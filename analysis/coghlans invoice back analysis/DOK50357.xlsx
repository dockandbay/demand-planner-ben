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F31197A4-C4D8-4CFE-8F66-7A4E8422DC2D}" xr6:coauthVersionLast="47" xr6:coauthVersionMax="47" xr10:uidLastSave="{00000000-0000-0000-0000-000000000000}"/>
  <workbookProtection workbookAlgorithmName="SHA-512" workbookHashValue="H/5qDjaTulsabKCqQR3BTM3ohO2hEoTImh6SgXuOjGWspzukfDp6R3jR9iXTyeji+U7t0JflqxMM/1olU9Q9gQ==" workbookSaltValue="ojGq4RvipOzmxi0Odj5hQg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<sst xmlns="http://schemas.openxmlformats.org/spreadsheetml/2006/main" count="1284" uniqueCount="893">
  <si>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</si>
  <si>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</si>
  <si>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</si>
  <si>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</si>
  <si>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</si>
  <si>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</si>
  <si>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</si>
  <si>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</si>
  <si>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</si>
  <si>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</si>
  <si>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</si>
  <si>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</si>
  <si>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</si>
  <si>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</si>
  <si>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</si>
  <si>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</si>
  <si>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</si>
  <si>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</si>
  <si>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</si>
  <si>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</si>
  <si>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</si>
  <si>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</si>
  <si>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</si>
  <si>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</si>
  <si>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</si>
  <si>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</si>
  <si>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</si>
  <si>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</si>
  <si>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</si>
  <si>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</si>
  <si>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</si>
  <si>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</si>
  <si>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</si>
  <si>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</si>
  <si>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</si>
  <si>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</si>
  <si>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</si>
  <si>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</si>
  <si>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</si>
  <si>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</si>
  <si>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</si>
  <si>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</si>
  <si>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</si>
  <si>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</si>
  <si>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</si>
  <si>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</si>
  <si>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</si>
  <si>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</si>
  <si>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</si>
  <si>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</si>
  <si>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</si>
  <si>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</si>
  <si>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</si>
  <si>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</si>
  <si>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</si>
  <si>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</si>
  <si>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</si>
  <si>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</si>
  <si>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</si>
  <si>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</si>
  <si>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</si>
  <si>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</si>
  <si>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</si>
  <si>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</si>
  <si>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</si>
  <si>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</si>
  <si>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</si>
  <si>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</si>
  <si>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</si>
  <si>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</si>
  <si>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</si>
  <si>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</si>
  <si>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</si>
  <si>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</si>
  <si>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</si>
  <si>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</si>
  <si>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</si>
  <si>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</si>
  <si>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</si>
  <si>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</si>
  <si>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</si>
  <si>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</si>
  <si>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</si>
  <si>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</si>
  <si>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</si>
  <si>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</si>
  <si>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</si>
  <si>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</si>
  <si>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</si>
  <si>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</si>
  <si>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</si>
  <si>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</si>
  <si>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</si>
  <si>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</si>
  <si>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</si>
  <si>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</si>
  <si>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</si>
  <si>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</si>
  <si>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</si>
  <si>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</si>
  <si>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</si>
  <si>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</si>
  <si>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</si>
  <si>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</si>
  <si>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</si>
  <si>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</si>
  <si>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</si>
  <si>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</si>
  <si>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</si>
  <si>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</si>
  <si>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</si>
  <si>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</si>
  <si>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</si>
  <si>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</si>
  <si>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</si>
  <si>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</si>
  <si>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</si>
  <si>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</si>
  <si>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</si>
  <si>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</si>
  <si>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</si>
  <si>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</si>
  <si>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</si>
  <si>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</si>
  <si>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</si>
  <si>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</si>
  <si>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</si>
  <si>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</si>
  <si>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</si>
  <si>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</si>
  <si>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</si>
  <si>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</si>
  <si>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</si>
  <si>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</si>
  <si>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</si>
  <si>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</si>
  <si>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</si>
  <si>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</si>
  <si>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</si>
  <si>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</si>
  <si>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</si>
  <si>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</si>
  <si>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</si>
  <si>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</si>
  <si>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</si>
  <si>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</si>
  <si>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</si>
  <si>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</si>
  <si>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</si>
  <si>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</si>
  <si>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</si>
  <si>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</si>
  <si>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</si>
  <si>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</si>
  <si>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</si>
  <si>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</si>
  <si>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</si>
  <si>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</si>
  <si>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</si>
  <si>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</si>
  <si>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</si>
  <si>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</si>
  <si>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</si>
  <si>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</si>
  <si>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</si>
  <si>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</si>
  <si>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</si>
  <si>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</si>
  <si>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</si>
  <si>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</si>
  <si>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</si>
  <si>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</si>
  <si>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</si>
  <si>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</si>
  <si>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</si>
  <si>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</si>
  <si>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</si>
  <si>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</si>
  <si>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</si>
  <si>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</si>
  <si>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</si>
  <si>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</si>
  <si>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</si>
  <si>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</si>
  <si>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</si>
  <si>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</si>
  <si>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</si>
  <si>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</si>
  <si>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</si>
  <si>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</si>
  <si>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</si>
  <si>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</si>
  <si>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</si>
  <si>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</si>
  <si>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</si>
  <si>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</si>
  <si>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</si>
  <si>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</si>
  <si>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</si>
  <si>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</si>
  <si>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</si>
  <si>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</si>
  <si>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</si>
  <si>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</si>
  <si>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</si>
  <si>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</si>
  <si>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</si>
  <si>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</si>
  <si>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</si>
  <si>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</si>
  <si>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</si>
  <si>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</si>
  <si>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</si>
  <si>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</si>
  <si>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</si>
  <si>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</si>
  <si>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</si>
  <si>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</si>
  <si>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</si>
  <si>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</si>
  <si>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</si>
  <si>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</si>
  <si>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</si>
  <si>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</si>
  <si>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</si>
  <si>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</si>
  <si>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</si>
  <si>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</si>
  <si>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</si>
  <si>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</si>
  <si>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</si>
  <si>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</si>
  <si>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</si>
  <si>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</si>
  <si>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</si>
  <si>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</si>
  <si>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</si>
  <si>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</si>
  <si>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</si>
  <si>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</si>
  <si>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</si>
  <si>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</si>
  <si>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</si>
  <si>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</si>
  <si>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</si>
  <si>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</si>
  <si>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</si>
  <si>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</si>
  <si>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</si>
  <si>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</si>
  <si>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</si>
  <si>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</si>
  <si>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</si>
  <si>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</si>
  <si>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</si>
  <si>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</si>
  <si>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</si>
  <si>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</si>
  <si>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</si>
  <si>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</si>
  <si>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</si>
  <si>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</si>
  <si>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</si>
  <si>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</si>
  <si>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</si>
  <si>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</si>
  <si>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</si>
  <si>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</si>
  <si>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</si>
  <si>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</si>
  <si>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</si>
  <si>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</si>
  <si>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</si>
  <si>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</si>
  <si>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</si>
  <si>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</si>
  <si>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</si>
  <si>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</si>
  <si>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</si>
  <si>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</si>
  <si>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</si>
  <si>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</si>
  <si>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</si>
  <si>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</si>
  <si>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</si>
  <si>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</si>
  <si>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</si>
  <si>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</si>
  <si>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</si>
  <si>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</si>
  <si>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</si>
  <si>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</si>
  <si>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</si>
  <si>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</si>
  <si>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</si>
  <si>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DOK50357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</si>
  <si>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</si>
  <si>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</si>
  <si>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</si>
  <si>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</si>
  <si>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</si>
  <si>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</si>
  <si>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</si>
  <si>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</si>
  <si>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</si>
  <si>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</si>
  <si>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</si>
  <si>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</si>
  <si>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</si>
  <si>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</si>
  <si>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</si>
  <si>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</si>
  <si>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</si>
  <si>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</si>
  <si>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</si>
  <si>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</si>
  <si>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</si>
  <si>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</si>
  <si>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</si>
  <si>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</si>
  <si>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</si>
  <si>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</si>
  <si>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</si>
  <si>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</si>
  <si>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</si>
  <si>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</si>
  <si>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</si>
  <si>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</si>
  <si>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</si>
  <si>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</si>
  <si>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</si>
  <si>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</si>
  <si>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</si>
  <si>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</si>
  <si>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</si>
  <si>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</si>
  <si>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</si>
  <si>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</si>
  <si>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</si>
  <si>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</si>
  <si>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</si>
  <si>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</si>
  <si>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</si>
  <si>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</si>
  <si>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</si>
  <si>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</si>
  <si>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</si>
  <si>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</si>
  <si>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</si>
  <si>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- 365 x 295 x 185</t>
  </si>
  <si>
    <t>14</t>
  </si>
  <si>
    <t>365 x 295 x 185</t>
  </si>
  <si>
    <t>Carton - 420 x 300 x 320</t>
  </si>
  <si>
    <t>16</t>
  </si>
  <si>
    <t>420 x 300 x 320</t>
  </si>
  <si>
    <t>Customer Carton</t>
  </si>
  <si>
    <t>CUST-CTN</t>
  </si>
  <si>
    <t>Courier Tuff Bag Size 3</t>
  </si>
  <si>
    <t>6943389500775</t>
  </si>
  <si>
    <t>280 x 380mm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</si>
  <si>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</si>
  <si>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</si>
  <si>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</si>
  <si>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</si>
  <si>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</si>
  <si>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</si>
  <si>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</si>
  <si>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135621</t>
  </si>
  <si>
    <t>AU-139065</t>
  </si>
  <si>
    <t>HIGHETT</t>
  </si>
  <si>
    <t>AUSTRALIA</t>
  </si>
  <si>
    <t>@650966961381;</t>
  </si>
  <si>
    <t>@AXL6433389;</t>
  </si>
  <si>
    <t>@5061011628411@(..8411)Dock &amp; Bay Quick Dry Bath Towel@1;</t>
  </si>
  <si>
    <t xml:space="preserve">V0 </t>
  </si>
  <si>
    <t>135753</t>
  </si>
  <si>
    <t>AU-139197</t>
  </si>
  <si>
    <t>DELAHEY</t>
  </si>
  <si>
    <t>@650966961404;</t>
  </si>
  <si>
    <t>@AXL6436347;</t>
  </si>
  <si>
    <t>@5061011624222@(..4222)Dock &amp; Bay Foldaway Tote Bags -@1;@5061011624314@(..4314)Dock &amp; Bay Quick Dry Towel - Blu@2;@5061011623942@(..3942)Dock &amp; Bay Kids Beach Towel - Tu@2;@5061011623935@(..3935)Dock &amp; Bay Kids Beach Towel - Ka@1;</t>
  </si>
  <si>
    <t>135859</t>
  </si>
  <si>
    <t>FBA15GCRZSQF</t>
  </si>
  <si>
    <t>KEMPS CREEK</t>
  </si>
  <si>
    <t>@16;@14;</t>
  </si>
  <si>
    <t>@AXL6395239;@AXL6395239;</t>
  </si>
  <si>
    <t>@5061011628466@(..8466)Hair Wraps - Suede - Ibiza Glow@2;@5061011628275@(..8275)Towels - Beach - Blue Sky - GRS@1;@5061011623645@(..3645)Towels - Beach - Good Times &amp; Ta@1;@5061011623652@(..3652)Towels - Beach - Pool Party Vibe@1;@5061011626257@(..6257)Towels - Beach - Ocean Pavilion@1;@5060668830895@(..0895)Towels - Beach - Kamari Charcoal@2;@5060668833407@(..3407)Towels - Beach - Malibu Pink - G@6;@5061011625199@(..5199)Towels - Beach - Hot Tropics - G@1;@5061011626264@(..6264)Towels - Beach - Tutti Frutti -@1;@5061011625250@(..5250)Towels - Beach - Wish You Were H@1;@5061011625342@(..5342)Towels - Beach - Calm - GRS Cert@1;@5061011625274@(..5274)Towels - Beach - Ibiza Glow - GR@1;@5061011628343@(..8343)Towels - Beach - Raspberry Road@1;@5060668831151@(..1151)Towels - Beach - Waikiki Coral -@4;@5061011626271@(..6271)Towels - Beach - Ocean Pavilion@1;@5061011625205@(..5205)Towels - Beach - Ibiza Glow - GR@1;@5061011625182@(..5182)Towels - Beach - Wish You Were H@1;@5061011625267@(..5267)Towels - Beach - Hot Tropics - G@1;@5061011625335@(..5335)Towels - Beach - Calm - GRS Cert@1;@5061011626240@(..6240)Towels - Beach - Tutti Frutti -@1;@5061011625885@(..5885)Tea Towel - Very Appeeling - GRS@1;@5061011625786@(..5786)Tea Towel - Feelin' Vine - GRS C@8;</t>
  </si>
  <si>
    <t xml:space="preserve">N0 </t>
  </si>
  <si>
    <t>135869</t>
  </si>
  <si>
    <t>AU-139306</t>
  </si>
  <si>
    <t>BURLEIGH WATERS</t>
  </si>
  <si>
    <t>@650966961398;</t>
  </si>
  <si>
    <t>@AXL6427495;</t>
  </si>
  <si>
    <t>@5061011623751@(..3751)Dock &amp; Bay Poncho - Adults - Che@1;</t>
  </si>
  <si>
    <t xml:space="preserve">GC </t>
  </si>
  <si>
    <t>135870</t>
  </si>
  <si>
    <t>AU-139307</t>
  </si>
  <si>
    <t>CEDAR VALE</t>
  </si>
  <si>
    <t>Suburb Corrected.</t>
  </si>
  <si>
    <t>@AXL6428986;</t>
  </si>
  <si>
    <t>@5061011628473@(..8473)Dock &amp; Bay Hair Wrap - Pink Para@1;</t>
  </si>
  <si>
    <t xml:space="preserve">Q1 </t>
  </si>
  <si>
    <t>135871</t>
  </si>
  <si>
    <t>AU-139308</t>
  </si>
  <si>
    <t>WERRINGTON COUNTY</t>
  </si>
  <si>
    <t>@CUST-CTN;</t>
  </si>
  <si>
    <t>@AXL6429644;</t>
  </si>
  <si>
    <t>@5061011626097@(..6097)Component Product@1;@5061011626509@(..6509)Component Product@1;@5061011625892@(..5892)Component Product@1;@5061011625632@(..5632)Component Product@1;@5061011625908@(..5908)Component Product@1;</t>
  </si>
  <si>
    <t>135872</t>
  </si>
  <si>
    <t>AU-139309</t>
  </si>
  <si>
    <t>BUDDINA</t>
  </si>
  <si>
    <t>@AXL6427520;</t>
  </si>
  <si>
    <t>@5060668836552@(..6552)Dock &amp; Bay Bath Towels - Hideawa@2;</t>
  </si>
  <si>
    <t xml:space="preserve">SC </t>
  </si>
  <si>
    <t>135873</t>
  </si>
  <si>
    <t>AU-139310</t>
  </si>
  <si>
    <t>GREENSBOROUGH</t>
  </si>
  <si>
    <t>@AXL6429627;</t>
  </si>
  <si>
    <t>@5060668833407@(..3407)Dock &amp; Bay Quick Dry Towel - Mal@1;@5061011623386@(..3386)Dock &amp; Bay Quick Dry Towel - Coo@1;</t>
  </si>
  <si>
    <t>135874</t>
  </si>
  <si>
    <t>AU-139311</t>
  </si>
  <si>
    <t>HERNE HILL</t>
  </si>
  <si>
    <t>@AXL6429028;</t>
  </si>
  <si>
    <t>@5061011624307@(..4307)Dock &amp; Bay Quick Dry Towel - Blu@1;@5061011623386@(..3386)Dock &amp; Bay Quick Dry Towel - Coo@1;@5061011623423@(..3423)Dock &amp; Bay Quick Dry Towel - Tro@1;</t>
  </si>
  <si>
    <t xml:space="preserve">GL </t>
  </si>
  <si>
    <t>135875</t>
  </si>
  <si>
    <t>250-2673205-5159046</t>
  </si>
  <si>
    <t>BRIGHTON EAST</t>
  </si>
  <si>
    <t>@AXL6429176;</t>
  </si>
  <si>
    <t>@5060668830918@(..0918)Dock &amp; Bay Beach Towel - Quick D@1;</t>
  </si>
  <si>
    <t>135876</t>
  </si>
  <si>
    <t>AU-139312</t>
  </si>
  <si>
    <t>BARDON</t>
  </si>
  <si>
    <t>@AXL6429014;</t>
  </si>
  <si>
    <t>@5061011628626@(..8626)Dock &amp; Bay Tea Towel - Apple Tar@1;@5061011628565@(..8565)Dock &amp; Bay Tea Towel - Catch of@1;</t>
  </si>
  <si>
    <t xml:space="preserve">Q0 </t>
  </si>
  <si>
    <t>135877</t>
  </si>
  <si>
    <t>AU-139313</t>
  </si>
  <si>
    <t>DOUBLE BAY</t>
  </si>
  <si>
    <t>@AXL6429643;</t>
  </si>
  <si>
    <t>@5061011623492@(..3492)Dock &amp; Bay Quick Dry Towel - Tro@1;</t>
  </si>
  <si>
    <t>135878</t>
  </si>
  <si>
    <t>AU-139314</t>
  </si>
  <si>
    <t>WEST BEACH</t>
  </si>
  <si>
    <t>@AXL6429141;</t>
  </si>
  <si>
    <t>@5060668830994@(..0994)Dock &amp; Bay Quick Dry Towel - Phi@1;</t>
  </si>
  <si>
    <t xml:space="preserve">S0 </t>
  </si>
  <si>
    <t>135879</t>
  </si>
  <si>
    <t>AU-139315</t>
  </si>
  <si>
    <t>WESTMEAD</t>
  </si>
  <si>
    <t>@AXL6429158;</t>
  </si>
  <si>
    <t>@5060668833469@(..3469)Dock &amp; Bay Quick Dry Towel - Cay@1;@5061011625793@(..5793)Dock &amp; Bay Tea Towel - Kiss The@1;@5061011623447@(..3447)Dock &amp; Bay Quick Dry Towel - Mia@1;</t>
  </si>
  <si>
    <t>135880</t>
  </si>
  <si>
    <t>AU-139316</t>
  </si>
  <si>
    <t>PALLARA</t>
  </si>
  <si>
    <t>@AXL6427590;</t>
  </si>
  <si>
    <t>@5061011624260@(..4260)Dock &amp; Bay Foldaway Tote Bags -@1;@5061011624178@(..4178)Dock &amp; Bay Picnic Blanket - Bana@1;</t>
  </si>
  <si>
    <t>135881</t>
  </si>
  <si>
    <t>AU-139317</t>
  </si>
  <si>
    <t>BONDI BEACH</t>
  </si>
  <si>
    <t>@AXL6429000;</t>
  </si>
  <si>
    <t>@5061011628312@(..8312)Dock &amp; Bay Quick Dry Towel - Blu@1;</t>
  </si>
  <si>
    <t>135882</t>
  </si>
  <si>
    <t>AU-139318</t>
  </si>
  <si>
    <t>SEYMOUR</t>
  </si>
  <si>
    <t>@AXL6428999;</t>
  </si>
  <si>
    <t>@5061011628473@(..8473)Dock &amp; Bay Hair Wrap - Pink Para@2;</t>
  </si>
  <si>
    <t xml:space="preserve">V2 </t>
  </si>
  <si>
    <t>135883</t>
  </si>
  <si>
    <t>AU-139319</t>
  </si>
  <si>
    <t>MOUNT ANNAN</t>
  </si>
  <si>
    <t>@AXL6429029;</t>
  </si>
  <si>
    <t>@5060668830932@(..0932)Component Product@1;@5060668833407@(..3407)Component Product@1;@5060668833414@(..3414)Component Product@1;@5060668830994@(..0994)Component Product@1;</t>
  </si>
  <si>
    <t>135884</t>
  </si>
  <si>
    <t>AU-139320</t>
  </si>
  <si>
    <t>NARRANDERA</t>
  </si>
  <si>
    <t>@AXL6429159;</t>
  </si>
  <si>
    <t>@5061011628374@(..8374)Dock &amp; Bay Quick Dry Bath Towel@1;@5061011628381@(..8381)Dock &amp; Bay Quick Dry Bath Towel@1;</t>
  </si>
  <si>
    <t xml:space="preserve">N2 </t>
  </si>
  <si>
    <t>135885</t>
  </si>
  <si>
    <t>AU-139321</t>
  </si>
  <si>
    <t>LISAROW</t>
  </si>
  <si>
    <t>@AXL6429225;</t>
  </si>
  <si>
    <t>@5061011628466@(..8466)Dock &amp; Bay Hair Wrap - Ibiza Glo@1;@5061011628473@(..8473)Dock &amp; Bay Hair Wrap - Pink Para@1;</t>
  </si>
  <si>
    <t xml:space="preserve">GF </t>
  </si>
  <si>
    <t>135886</t>
  </si>
  <si>
    <t>AU-139322</t>
  </si>
  <si>
    <t>WEST ULVERSTONE</t>
  </si>
  <si>
    <t>@AXL6429233;</t>
  </si>
  <si>
    <t>@5061011623379@(..3379)Dock &amp; Bay Quick Dry Towel - Mia@1;@5061011623386@(..3386)Dock &amp; Bay Quick Dry Towel - Coo@1;</t>
  </si>
  <si>
    <t xml:space="preserve">T0 </t>
  </si>
  <si>
    <t>135887</t>
  </si>
  <si>
    <t>AU-139323</t>
  </si>
  <si>
    <t>LAWNTON</t>
  </si>
  <si>
    <t>@AXL6427298;</t>
  </si>
  <si>
    <t>@5061011625571@(..5571)Dock &amp; Bay Hair Wrap - Ocean Tre@1;@5061011623089@(..3089)Dock &amp; Bay Dog Towel - Sunset Sp@1;</t>
  </si>
  <si>
    <t>135888</t>
  </si>
  <si>
    <t>AU-139324</t>
  </si>
  <si>
    <t>PATTERSON LAKES</t>
  </si>
  <si>
    <t>@AXL6427496;</t>
  </si>
  <si>
    <t>135889</t>
  </si>
  <si>
    <t>AU-139325</t>
  </si>
  <si>
    <t>ENGADINE</t>
  </si>
  <si>
    <t>@AXL6429645;</t>
  </si>
  <si>
    <t>135890</t>
  </si>
  <si>
    <t>AU-139326</t>
  </si>
  <si>
    <t>BARDEN RIDGE</t>
  </si>
  <si>
    <t>@AXL6427519;</t>
  </si>
  <si>
    <t>@5061011624901@(..4901)Dock &amp; Bay x Ballast Beach Pillo@1;</t>
  </si>
  <si>
    <t>135891</t>
  </si>
  <si>
    <t>249-8128069-5353434</t>
  </si>
  <si>
    <t>DARCH</t>
  </si>
  <si>
    <t>@AXL6428950;</t>
  </si>
  <si>
    <t>@5061011621412@(..1412)Dock &amp; Bay Beach Towel - Quick D@1;</t>
  </si>
  <si>
    <t xml:space="preserve">W0 </t>
  </si>
  <si>
    <t>135892</t>
  </si>
  <si>
    <t>AU-139327</t>
  </si>
  <si>
    <t>NEWTOWN</t>
  </si>
  <si>
    <t>@AXL6427539;</t>
  </si>
  <si>
    <t>@5061011628626@(..8626)Component Product@3;@5061011628619@(..8619)Component Product@3;</t>
  </si>
  <si>
    <t>135893</t>
  </si>
  <si>
    <t>AU-139328</t>
  </si>
  <si>
    <t>AGNES WATER</t>
  </si>
  <si>
    <t>@AXL6428499;</t>
  </si>
  <si>
    <t>@5061011628404@(..8404)Component Product@2;@5061011628398@(..8398)Component Product@2;</t>
  </si>
  <si>
    <t xml:space="preserve">Q2 </t>
  </si>
  <si>
    <t>135894</t>
  </si>
  <si>
    <t>AU-139329</t>
  </si>
  <si>
    <t>SMYTHES CREEK</t>
  </si>
  <si>
    <t>@AXL6428539;</t>
  </si>
  <si>
    <t>@5061011623515@(..3515)Dock &amp; Bay Quick Dry Towel - Gro@1;</t>
  </si>
  <si>
    <t>135895</t>
  </si>
  <si>
    <t>AU-139330</t>
  </si>
  <si>
    <t>BLACK ROCK</t>
  </si>
  <si>
    <t>@AXL6430410;</t>
  </si>
  <si>
    <t>@5060668831045@(..1045)Dock &amp; Bay Quick Dry Towel - Bon@1;@5061011628329@(..8329)Dock &amp; Bay Quick Dry Towel - Mel@1;</t>
  </si>
  <si>
    <t>135896</t>
  </si>
  <si>
    <t>AU-139331</t>
  </si>
  <si>
    <t>OYSTER BAY</t>
  </si>
  <si>
    <t>@AXL6430399;</t>
  </si>
  <si>
    <t>@5060668830918@(..0918)Dock &amp; Bay Quick Dry Towel - Whi@1;</t>
  </si>
  <si>
    <t>135897</t>
  </si>
  <si>
    <t>AU-139332</t>
  </si>
  <si>
    <t>MILLTHORPE</t>
  </si>
  <si>
    <t>@AXL6429848;</t>
  </si>
  <si>
    <t>@5061011626509@(..6509)Component Product@2;@5061011625892@(..5892)Component Product@2;@5061011625632@(..5632)Component Product@2;@5061011625786@(..5786)Dock &amp; Bay Tea Towel - Feelin' V@1;</t>
  </si>
  <si>
    <t>135898</t>
  </si>
  <si>
    <t>AU-139333</t>
  </si>
  <si>
    <t>PITT TOWN</t>
  </si>
  <si>
    <t>@AXL6428518;</t>
  </si>
  <si>
    <t>@5061011625892@(..5892)Dock &amp; Bay Tea Towel - Spaghetti@1;@5061011625885@(..5885)Dock &amp; Bay Tea Towel - Very Appe@1;</t>
  </si>
  <si>
    <t xml:space="preserve">N1 </t>
  </si>
  <si>
    <t>135899</t>
  </si>
  <si>
    <t>250-8882506-8411028</t>
  </si>
  <si>
    <t>CUMBERLAND PARK</t>
  </si>
  <si>
    <t>@AXL6431256;</t>
  </si>
  <si>
    <t>@5060668830932@(..0932)Dock &amp; Bay Beach Towel - Quick D@1;</t>
  </si>
  <si>
    <t>135900</t>
  </si>
  <si>
    <t>AU-139334</t>
  </si>
  <si>
    <t>JANNALI</t>
  </si>
  <si>
    <t>@AXL6430967;</t>
  </si>
  <si>
    <t>@5061011626103@(..6103)Dock &amp; Bay Tea Towel - Peas in a@1;@5061011626110@(..6110)Dock &amp; Bay Foldaway Tote Bags -@1;@5061011625632@(..5632)Dock &amp; Bay Tea Towel - Check Ple@1;@5060668831335@(..1335)Dock &amp; Bay Quick Dry Towel - Rai@1;@5061011625885@(..5885)Dock &amp; Bay Tea Towel - Very Appe@1;</t>
  </si>
  <si>
    <t>135901</t>
  </si>
  <si>
    <t>AU-139335</t>
  </si>
  <si>
    <t>NEWINGTON</t>
  </si>
  <si>
    <t>@AXL6431191;</t>
  </si>
  <si>
    <t>@5061011623379@(..3379)Dock &amp; Bay Quick Dry Towel - Mia@1;</t>
  </si>
  <si>
    <t xml:space="preserve">BR </t>
  </si>
  <si>
    <t>135902</t>
  </si>
  <si>
    <t>AU-139336</t>
  </si>
  <si>
    <t>POINT COOK</t>
  </si>
  <si>
    <t>@AXL6430221;</t>
  </si>
  <si>
    <t>@5061011625595@(..5595)Dock &amp; Bay Hair Wrap - Wish You@1;@5061011628459@(..8459)Dock &amp; Bay Hair Wrap - Tiger Pal@2;@5060668835944@(..5944)Dock &amp; Bay Dog Towel - Walkies i@1;@5060668835814@(..5814)Dock &amp; Bay Dog Towel - Walkies i@1;@5061011628497@(..8497)Dock &amp; Bay Hair Wrap - Squeeze t@1;</t>
  </si>
  <si>
    <t>135903</t>
  </si>
  <si>
    <t>AU-139338</t>
  </si>
  <si>
    <t>ADAMSTOWN HEIGHTS</t>
  </si>
  <si>
    <t>@AXL6431273;</t>
  </si>
  <si>
    <t>@5060668830932@(..0932)Dock &amp; Bay Quick Dry Towel - Bor@1;@5060668830918@(..0918)Dock &amp; Bay Quick Dry Towel - Whi@1;</t>
  </si>
  <si>
    <t xml:space="preserve">NC </t>
  </si>
  <si>
    <t>135904</t>
  </si>
  <si>
    <t>AU-139339</t>
  </si>
  <si>
    <t>CANNING VALE</t>
  </si>
  <si>
    <t>@AXL6432050;</t>
  </si>
  <si>
    <t>@5060668831106@(..1106)Dock &amp; Bay Quick Dry Towel - Goa@1;</t>
  </si>
  <si>
    <t>135905</t>
  </si>
  <si>
    <t>AU-139340</t>
  </si>
  <si>
    <t>BERRIWILLOCK</t>
  </si>
  <si>
    <t>@14;</t>
  </si>
  <si>
    <t>@AXL6431255;</t>
  </si>
  <si>
    <t>@5061011629852@(..9852)Dock &amp; Bay x UNO Quick Dry Beach@1;@5061011629890@(..9890)Dock &amp; Bay x UNO Quick Dry Beach@1;@5061011628626@(..8626)Component Product@2;@5061011623898@(..3898)Dock &amp; Bay Kids Beach Towel - Bu@1;@5061011625335@(..5335)Dock &amp; Bay Quick Dry Towel - Fee@1;@5061011628619@(..8619)Component Product@2;@5061011628589@(..8589)Component Product@2;@5061011623478@(..3478)Dock &amp; Bay Quick Dry Towel - Wil@1;</t>
  </si>
  <si>
    <t>135906</t>
  </si>
  <si>
    <t>AU-139341</t>
  </si>
  <si>
    <t>SALE</t>
  </si>
  <si>
    <t>@AXL6430988;</t>
  </si>
  <si>
    <t>@5060668833421@(..3421)Dock &amp; Bay Quick Dry Towel - Cay@1;</t>
  </si>
  <si>
    <t>135907</t>
  </si>
  <si>
    <t>AU-139342</t>
  </si>
  <si>
    <t>MERMAID BEACH</t>
  </si>
  <si>
    <t>@AXL6430989;</t>
  </si>
  <si>
    <t>@5061011626509@(..6509)Component Product@1;@5061011625892@(..5892)Component Product@1;@5061011625632@(..5632)Component Product@1;</t>
  </si>
  <si>
    <t>135908</t>
  </si>
  <si>
    <t>249-2808667-9789414</t>
  </si>
  <si>
    <t>WARRAGUL</t>
  </si>
  <si>
    <t>@AXL6432321;</t>
  </si>
  <si>
    <t>@5060668833407@(..3407)Dock &amp; Bay Beach Towel - Quick D@1;</t>
  </si>
  <si>
    <t>135909</t>
  </si>
  <si>
    <t>250-8636040-3779063</t>
  </si>
  <si>
    <t>ASCOT</t>
  </si>
  <si>
    <t>@AXL6432364;</t>
  </si>
  <si>
    <t>@5061011625601@(..5601)Component Product@1;@5061011626509@(..6509)Component Product@1;@5061011626103@(..6103)Component Product@1;@5061011625892@(..5892)Component Product@1;@5061011625625@(..5625)Component Product@1;</t>
  </si>
  <si>
    <t>135910</t>
  </si>
  <si>
    <t>AU-139343</t>
  </si>
  <si>
    <t>BRIGHTON</t>
  </si>
  <si>
    <t>@AXL6432316;</t>
  </si>
  <si>
    <t>@5060668830925@(..0925)Dock &amp; Bay Quick Dry Towel - Can@1;@5060668830918@(..0918)Dock &amp; Bay Quick Dry Towel - Whi@1;</t>
  </si>
  <si>
    <t>135911</t>
  </si>
  <si>
    <t>AU-139344</t>
  </si>
  <si>
    <t>CLYDE NORTH</t>
  </si>
  <si>
    <t>@AXL6432297;</t>
  </si>
  <si>
    <t>@5061011625595@(..5595)Dock &amp; Bay Hair Wrap - Wish You@1;</t>
  </si>
  <si>
    <t xml:space="preserve">V1 </t>
  </si>
  <si>
    <t>135912</t>
  </si>
  <si>
    <t>AU-139345</t>
  </si>
  <si>
    <t>UNANDERRA</t>
  </si>
  <si>
    <t>@AXL6433511;</t>
  </si>
  <si>
    <t>@5060668831076@(..1076)Dock &amp; Bay Quick Dry Towel - Bor@1;</t>
  </si>
  <si>
    <t xml:space="preserve">WG </t>
  </si>
  <si>
    <t>135913</t>
  </si>
  <si>
    <t>AU-139346</t>
  </si>
  <si>
    <t>MANLY WEST</t>
  </si>
  <si>
    <t>@AXL6432607;</t>
  </si>
  <si>
    <t>@5061011628275@(..8275)Component Product@1;@5061011628282@(..8282)Component Product@1;@5061011628299@(..8299)Component Product@1;@5061011628305@(..8305)Component Product@1;@5061011624307@(..4307)Component Product@1;@5061011623379@(..3379)Component Product@1;@5061011623386@(..3386)Component Product@1;@5061011623393@(..3393)Component Product@1;</t>
  </si>
  <si>
    <t>135914</t>
  </si>
  <si>
    <t>AU-139347</t>
  </si>
  <si>
    <t>PARKWOOD</t>
  </si>
  <si>
    <t>@AXL6433525;</t>
  </si>
  <si>
    <t>@5061011623867@(..3867)Dock &amp; Bay Small Waterproof Dry@1;</t>
  </si>
  <si>
    <t>135915</t>
  </si>
  <si>
    <t>AU-139348</t>
  </si>
  <si>
    <t>BALGOWLAH</t>
  </si>
  <si>
    <t>@AXL6433539;</t>
  </si>
  <si>
    <t>135916</t>
  </si>
  <si>
    <t>AU-139349</t>
  </si>
  <si>
    <t>WARRADALE</t>
  </si>
  <si>
    <t>@AXL6432622;</t>
  </si>
  <si>
    <t>@5061011625830@(..5830)Component Product@1;@5061011628565@(..8565)Component Product@1;@5061011628558@(..8558)Component Product@1;@5061011628589@(..8589)Component Product@1;@5061011628572@(..8572)Component Product@1;</t>
  </si>
  <si>
    <t>135917</t>
  </si>
  <si>
    <t>AU-139350</t>
  </si>
  <si>
    <t>ATHERTON</t>
  </si>
  <si>
    <t>@AXL6433540;</t>
  </si>
  <si>
    <t>@5061011628398@(..8398)Dock &amp; Bay Quick Dry Bath Towel@1;@5061011628442@(..8442)Dock &amp; Bay Hair Wrap - Cherry Bo@1;</t>
  </si>
  <si>
    <t xml:space="preserve">Q4 </t>
  </si>
  <si>
    <t>135918</t>
  </si>
  <si>
    <t>AU-139351</t>
  </si>
  <si>
    <t>CARINGBAH SOUTH</t>
  </si>
  <si>
    <t>@AXL6433552;</t>
  </si>
  <si>
    <t>@5061011628381@(..8381)Dock &amp; Bay Quick Dry Bath Towel@2;@5061011628428@(..8428)Dock &amp; Bay Quick Dry Bath Towel@1;</t>
  </si>
  <si>
    <t>135919</t>
  </si>
  <si>
    <t>AU-139352</t>
  </si>
  <si>
    <t>CARDIFF HEIGHTS</t>
  </si>
  <si>
    <t>@AXL6432319;</t>
  </si>
  <si>
    <t>@5060668830932@(..0932)Dock &amp; Bay Quick Dry Towel - Bor@1;</t>
  </si>
  <si>
    <t>135920</t>
  </si>
  <si>
    <t>AU-139353</t>
  </si>
  <si>
    <t>BURNSIDE HEIGHTS</t>
  </si>
  <si>
    <t>@AXL6432638;</t>
  </si>
  <si>
    <t>@5061011625298@(..5298)Dock &amp; Bay Quick Dry Towel - Tan@1;@5060668830987@(..0987)Dock &amp; Bay Quick Dry Towel - Ipa@1;</t>
  </si>
  <si>
    <t>135921</t>
  </si>
  <si>
    <t>AU-139354</t>
  </si>
  <si>
    <t>WEST FOOTSCRAY</t>
  </si>
  <si>
    <t>@AXL6433501;</t>
  </si>
  <si>
    <t>@5061011623577@(..3577)Dock &amp; Bay Quick Dry Towel - Gro@1;</t>
  </si>
  <si>
    <t>135922</t>
  </si>
  <si>
    <t>AU-139355</t>
  </si>
  <si>
    <t>OAKLEIGH EAST</t>
  </si>
  <si>
    <t>@AXL6433485;</t>
  </si>
  <si>
    <t>@5060668831038@(..1038)Dock &amp; Bay Quick Dry Towel - Kam@1;</t>
  </si>
  <si>
    <t>135923</t>
  </si>
  <si>
    <t>AU-139356</t>
  </si>
  <si>
    <t>BAYSWATER NORTH</t>
  </si>
  <si>
    <t>@AXL6432621;</t>
  </si>
  <si>
    <t>@5060668831083@(..1083)Component Product@1;@5060668831038@(..1038)Component Product@1;@5060668831052@(..1052)Component Product@1;@5060668831045@(..1045)Component Product@1;</t>
  </si>
  <si>
    <t>135924</t>
  </si>
  <si>
    <t>AU-139357</t>
  </si>
  <si>
    <t>PORT MELBOURNE</t>
  </si>
  <si>
    <t>@AXL6433537;</t>
  </si>
  <si>
    <t>@5060668831052@(..1052)Dock &amp; Bay Quick Dry Towel - Whi@1;</t>
  </si>
  <si>
    <t>135925</t>
  </si>
  <si>
    <t>AU-139358</t>
  </si>
  <si>
    <t>KINGSCLIFF</t>
  </si>
  <si>
    <t>@AXL6432620;</t>
  </si>
  <si>
    <t>@5060668830994@(..0994)Dock &amp; Bay Quick Dry Towel - Phi@1;@5060668830918@(..0918)Dock &amp; Bay Quick Dry Towel - Whi@1;</t>
  </si>
  <si>
    <t>135926</t>
  </si>
  <si>
    <t>AU-139359</t>
  </si>
  <si>
    <t>BELFIELD</t>
  </si>
  <si>
    <t>@AXL6433538;</t>
  </si>
  <si>
    <t>@5060668831052@(..1052)Dock &amp; Bay Quick Dry Towel - Whi@1;@5061011623447@(..3447)Dock &amp; Bay Quick Dry Towel - Mia@1;@5061011623454@(..3454)Dock &amp; Bay Quick Dry Towel - Coo@1;</t>
  </si>
  <si>
    <t>135927</t>
  </si>
  <si>
    <t>AU-139360</t>
  </si>
  <si>
    <t>KLEMZIG</t>
  </si>
  <si>
    <t>@AXL6433512;</t>
  </si>
  <si>
    <t>@5061011623393@(..3393)Dock &amp; Bay Quick Dry Towel - Lem@1;</t>
  </si>
  <si>
    <t>135928</t>
  </si>
  <si>
    <t>AU-139361</t>
  </si>
  <si>
    <t>RUNAWAY BAY</t>
  </si>
  <si>
    <t>@AXL6432318;</t>
  </si>
  <si>
    <t>135929</t>
  </si>
  <si>
    <t>AU-139362</t>
  </si>
  <si>
    <t>LONDONDERRY</t>
  </si>
  <si>
    <t>@AXL6433693;</t>
  </si>
  <si>
    <t>@5061011626509@(..6509)Component Product@2;@5061011625892@(..5892)Component Product@2;@5061011625632@(..5632)Component Product@2;</t>
  </si>
  <si>
    <t>135930</t>
  </si>
  <si>
    <t>AU-139363</t>
  </si>
  <si>
    <t>YARRAWONGA</t>
  </si>
  <si>
    <t>@AXL6431657;</t>
  </si>
  <si>
    <t>@5061011628305@(..8305)Dock &amp; Bay Quick Dry Towel - Ras@1;</t>
  </si>
  <si>
    <t>135931</t>
  </si>
  <si>
    <t>AU-139364</t>
  </si>
  <si>
    <t>BLACKBURN</t>
  </si>
  <si>
    <t>@AXL6433641;</t>
  </si>
  <si>
    <t>@5061011623485@(..3485)Dock &amp; Bay Quick Dry Towel - Gre@1;@5060668833445@(..3445)Dock &amp; Bay Quick Dry Towel - Mal@1;</t>
  </si>
  <si>
    <t>135932</t>
  </si>
  <si>
    <t>AU-139365</t>
  </si>
  <si>
    <t>FOREST HILL</t>
  </si>
  <si>
    <t>@AXL6433605;</t>
  </si>
  <si>
    <t>@5060668835593@(..5593)Dock &amp; Bay Kids Beach Towel - Si@1;</t>
  </si>
  <si>
    <t>135933</t>
  </si>
  <si>
    <t>AU-139366</t>
  </si>
  <si>
    <t>STRATHMORE</t>
  </si>
  <si>
    <t>@AXL6434350;</t>
  </si>
  <si>
    <t>@5061011628312@(..8312)Dock &amp; Bay Quick Dry Towel - Blu@1;@5060668832080@(..2080)Dock &amp; Bay Quick Dry Towel - Isl@1;@5061011628343@(..8343)Dock &amp; Bay Quick Dry Towel - Ras@1;@5060668831052@(..1052)Dock &amp; Bay Quick Dry Towel - Whi@1;</t>
  </si>
  <si>
    <t>135934</t>
  </si>
  <si>
    <t>AU-139367</t>
  </si>
  <si>
    <t>BELLEVUE HILL</t>
  </si>
  <si>
    <t>@AXL6433572;</t>
  </si>
  <si>
    <t>@5061011628312@(..8312)Component Product@1;@5061011628343@(..8343)Component Product@1;@5061011628336@(..8336)Component Product@1;@5061011628329@(..8329)Component Product@1;</t>
  </si>
  <si>
    <t>135935</t>
  </si>
  <si>
    <t>AU-139368</t>
  </si>
  <si>
    <t>KALAMUNDA</t>
  </si>
  <si>
    <t>@AXL6433878;</t>
  </si>
  <si>
    <t>135936</t>
  </si>
  <si>
    <t>AU-139369</t>
  </si>
  <si>
    <t>HORSHAM</t>
  </si>
  <si>
    <t>@AXL6434879;</t>
  </si>
  <si>
    <t>@5061011625632@(..5632)Dock &amp; Bay Tea Towel - Check Ple@1;@5061011628619@(..8619)Dock &amp; Bay Tea Towel - Strawberr@1;</t>
  </si>
  <si>
    <t>135937</t>
  </si>
  <si>
    <t>AU-139370</t>
  </si>
  <si>
    <t>@AXL6433686;</t>
  </si>
  <si>
    <t>@5060668833421@(..3421)Dock &amp; Bay Quick Dry Towel - Cay@1;@5061011623416@(..3416)Dock &amp; Bay Quick Dry Towel - Gre@1;@5061011624109@(..4109)Dock &amp; Bay Cooling Gym Towel - M@1;</t>
  </si>
  <si>
    <t>135938</t>
  </si>
  <si>
    <t>AU-139371</t>
  </si>
  <si>
    <t>BROOKFIELD</t>
  </si>
  <si>
    <t>@AXL6433692;</t>
  </si>
  <si>
    <t>@5061011623669@(..3669)Dock &amp; Bay Poncho - Adults - Coa@2;</t>
  </si>
  <si>
    <t>135939</t>
  </si>
  <si>
    <t>AU-139372</t>
  </si>
  <si>
    <t>OAKLANDS PARK</t>
  </si>
  <si>
    <t>@AXL6434880;</t>
  </si>
  <si>
    <t>@5061011623683@(..3683)Dock &amp; Bay Poncho - Adults - Che@1;@5061011627780@(..7780)Dock &amp; Bay Poncho - Adults - Fru@1;</t>
  </si>
  <si>
    <t>135940</t>
  </si>
  <si>
    <t>AU-139373</t>
  </si>
  <si>
    <t>BOX HILL SOUTH</t>
  </si>
  <si>
    <t>@AXL6432092;</t>
  </si>
  <si>
    <t>@5061011624222@(..4222)Dock &amp; Bay Foldaway Tote Bags -@1;</t>
  </si>
  <si>
    <t>135941</t>
  </si>
  <si>
    <t>AU-139374</t>
  </si>
  <si>
    <t>KIALLA</t>
  </si>
  <si>
    <t>@AXL6432145;</t>
  </si>
  <si>
    <t>@5061011625595@(..5595)Dock &amp; Bay Hair Wrap - Wish You@1;@5060668839072@(..9072)Dock &amp; Bay Hair Wrap - Malibu Pi@1;</t>
  </si>
  <si>
    <t>135942</t>
  </si>
  <si>
    <t>AU-139375</t>
  </si>
  <si>
    <t>DARLING POINT</t>
  </si>
  <si>
    <t>@AXL6432200;</t>
  </si>
  <si>
    <t>@5061011626110@(..6110)Dock &amp; Bay Foldaway Tote Bags -@1;@5061011623386@(..3386)Dock &amp; Bay Quick Dry Towel - Coo@1;@5061011623508@(..3508)Dock &amp; Bay Quick Dry Towel - Che@1;</t>
  </si>
  <si>
    <t>135943</t>
  </si>
  <si>
    <t>AU-139376A</t>
  </si>
  <si>
    <t>MINDARIE</t>
  </si>
  <si>
    <t>@AXL6434791;</t>
  </si>
  <si>
    <t>@5061011628534@(..8534)Gift Box - Hair Wrap &amp; Makeup Re@1;</t>
  </si>
  <si>
    <t>135944</t>
  </si>
  <si>
    <t>AU-139377</t>
  </si>
  <si>
    <t>RICHMOND</t>
  </si>
  <si>
    <t>@AXL6434687;</t>
  </si>
  <si>
    <t>@5060668833469@(..3469)Dock &amp; Bay Quick Dry Towel - Cay@1;@5060668833445@(..3445)Dock &amp; Bay Quick Dry Towel - Mal@1;</t>
  </si>
  <si>
    <t>135945</t>
  </si>
  <si>
    <t>AU-139378</t>
  </si>
  <si>
    <t>DALKEITH</t>
  </si>
  <si>
    <t>@AXL6432073;</t>
  </si>
  <si>
    <t>@5060668839058@(..9058)Dock &amp; Bay Hair Wrap - Tulum Blu@1;@5061011628442@(..8442)Dock &amp; Bay Hair Wrap - Cherry Bo@1;</t>
  </si>
  <si>
    <t>135946</t>
  </si>
  <si>
    <t>AU-139379</t>
  </si>
  <si>
    <t>LANGWARRIN</t>
  </si>
  <si>
    <t>@AXL6432172;</t>
  </si>
  <si>
    <t>@5060668833469@(..3469)Dock &amp; Bay Quick Dry Towel - Cay@2;</t>
  </si>
  <si>
    <t>135947</t>
  </si>
  <si>
    <t>AU-139380</t>
  </si>
  <si>
    <t>ERINDALE</t>
  </si>
  <si>
    <t>@AXL6432124;</t>
  </si>
  <si>
    <t>135948</t>
  </si>
  <si>
    <t>AU-139381</t>
  </si>
  <si>
    <t>CLIFTLEIGH</t>
  </si>
  <si>
    <t>@AXL6432241;</t>
  </si>
  <si>
    <t>@5060668831052@(..1052)Dock &amp; Bay Quick Dry Towel - Whi@1;@5060668831076@(..1076)Dock &amp; Bay Quick Dry Towel - Bor@1;</t>
  </si>
  <si>
    <t>135949</t>
  </si>
  <si>
    <t>AU-139382</t>
  </si>
  <si>
    <t>WARWICK</t>
  </si>
  <si>
    <t>@AXL6432144;</t>
  </si>
  <si>
    <t>@5061011626103@(..6103)Dock &amp; Bay Tea Towel - Peas in a@1;@5061011628619@(..8619)Dock &amp; Bay Tea Towel - Strawberr@1;</t>
  </si>
  <si>
    <t>135950</t>
  </si>
  <si>
    <t>AU-139383</t>
  </si>
  <si>
    <t>PETERSHAM</t>
  </si>
  <si>
    <t>@AXL6432171;</t>
  </si>
  <si>
    <t>@5060668833469@(..3469)Dock &amp; Bay Quick Dry Towel - Cay@1;@5060668831045@(..1045)Dock &amp; Bay Quick Dry Towel - Bon@1;</t>
  </si>
  <si>
    <t>135951</t>
  </si>
  <si>
    <t>AU-139384</t>
  </si>
  <si>
    <t>@AXL6436212;</t>
  </si>
  <si>
    <t>135952</t>
  </si>
  <si>
    <t>AU-139385</t>
  </si>
  <si>
    <t>HEIDELBERG WEST</t>
  </si>
  <si>
    <t>@AXL6432186;</t>
  </si>
  <si>
    <t>@5060668830994@(..0994)Dock &amp; Bay Quick Dry Towel - Phi@2;</t>
  </si>
  <si>
    <t>135953</t>
  </si>
  <si>
    <t>AU-139386</t>
  </si>
  <si>
    <t>HAMILTON</t>
  </si>
  <si>
    <t>@AXL6432199;</t>
  </si>
  <si>
    <t>@5061011628466@(..8466)Dock &amp; Bay Hair Wrap - Ibiza Glo@1;@5061011626509@(..6509)Dock &amp; Bay Tea Towel - Squeaky C@1;@5061011626103@(..6103)Dock &amp; Bay Tea Towel - Peas in a@1;@5061011628473@(..8473)Dock &amp; Bay Hair Wrap - Pink Para@1;@5061011625779@(..5779)Dock &amp; Bay Tea Towel - Cucumber@1;@5061011628572@(..8572)Dock &amp; Bay Tea Towel - Greetings@1;</t>
  </si>
  <si>
    <t>135954</t>
  </si>
  <si>
    <t>AU-139387</t>
  </si>
  <si>
    <t>ROCHEDALE SOUTH</t>
  </si>
  <si>
    <t>@AXL6434686;</t>
  </si>
  <si>
    <t>@5061011624222@(..4222)Dock &amp; Bay Foldaway Tote Bags -@12;</t>
  </si>
  <si>
    <t>135955</t>
  </si>
  <si>
    <t>AU-139388</t>
  </si>
  <si>
    <t>WATERLOO</t>
  </si>
  <si>
    <t>@AXL6434775;</t>
  </si>
  <si>
    <t>@5060668833445@(..3445)Dock &amp; Bay Quick Dry Towel - Mal@1;</t>
  </si>
  <si>
    <t>135956</t>
  </si>
  <si>
    <t>AU-139389</t>
  </si>
  <si>
    <t>BRADDON</t>
  </si>
  <si>
    <t>@AXL6436217;</t>
  </si>
  <si>
    <t xml:space="preserve">CB </t>
  </si>
  <si>
    <t>135957</t>
  </si>
  <si>
    <t>AU-139390</t>
  </si>
  <si>
    <t>KENSINGTON</t>
  </si>
  <si>
    <t>@AXL6432240;</t>
  </si>
  <si>
    <t>@5061011628305@(..8305)Dock &amp; Bay Quick Dry Towel - Ras@1;@5060668830987@(..0987)Dock &amp; Bay Quick Dry Towel - Ipa@1;</t>
  </si>
  <si>
    <t>135958</t>
  </si>
  <si>
    <t>AU-139391</t>
  </si>
  <si>
    <t>GORDON</t>
  </si>
  <si>
    <t>@AXL6435913;</t>
  </si>
  <si>
    <t>@5060668830963@(..0963)Component Product@1;@5060668833407@(..3407)Component Product@1;@5061011625601@(..5601)Component Product@1;@5061011626509@(..6509)Component Product@1;@5061011626103@(..6103)Component Product@1;@5060668831137@(..1137)Component Product@1;@5061011621290@(..1290)Dock &amp; Bay Poncho - Kids - Bondi@1;@5061011625892@(..5892)Component Product@1;@5060668831052@(..1052)Component Product@1;@5060668831045@(..1045)Component Product@1;@5061011625625@(..5625)Component Product@1;@5060668833445@(..3445)Component Product@1;@5060668830949@(..0949)Component Product@1;@5060668830918@(..0918)Component Product@1;@5061011621719@(..1719)Dock &amp; Bay Poncho - Kids - Unico@1;@5061011621689@(..1689)Dock &amp; Bay Poncho - Kids - Whits@1;</t>
  </si>
  <si>
    <t>135959</t>
  </si>
  <si>
    <t>AU-139392</t>
  </si>
  <si>
    <t>MEREWETHER</t>
  </si>
  <si>
    <t>@AXL6435920;</t>
  </si>
  <si>
    <t>@5060668830901@(..0901)Dock &amp; Bay Quick Dry Towel - Bon@1;@5060668830918@(..0918)Dock &amp; Bay Quick Dry Towel - Whi@1;</t>
  </si>
  <si>
    <t>135960</t>
  </si>
  <si>
    <t>250-8801556-4853400</t>
  </si>
  <si>
    <t>@AXL6436773;</t>
  </si>
  <si>
    <t>@5060668830932@(..0932)Towels - Beach - Bora Bora Beige@1;</t>
  </si>
  <si>
    <t>135961</t>
  </si>
  <si>
    <t>503-3479092-4386208</t>
  </si>
  <si>
    <t>SUCCESS</t>
  </si>
  <si>
    <t>@6943389500775;</t>
  </si>
  <si>
    <t>@AXL6432338;</t>
  </si>
  <si>
    <t>@5060668833407@(..3407)Towels - Beach - Malibu Pink - G@1;</t>
  </si>
  <si>
    <t>135962</t>
  </si>
  <si>
    <t>503-4979063-4458225</t>
  </si>
  <si>
    <t>PARAFIELD GARDENS</t>
  </si>
  <si>
    <t>@AXL6436785;</t>
  </si>
  <si>
    <t>135963</t>
  </si>
  <si>
    <t>AU-139393</t>
  </si>
  <si>
    <t>GLEBE</t>
  </si>
  <si>
    <t>@AXL6436786;</t>
  </si>
  <si>
    <t>135964</t>
  </si>
  <si>
    <t>AU-139394</t>
  </si>
  <si>
    <t>NERANG</t>
  </si>
  <si>
    <t>@AXL6436799;</t>
  </si>
  <si>
    <t>@5061011625892@(..5892)Dock &amp; Bay Tea Towel - Spaghetti@1;@5061011625830@(..5830)Component Product@1;@5061011628565@(..8565)Component Product@1;@5061011628558@(..8558)Component Product@1;@5061011628589@(..8589)Component Product@1;@5061011625786@(..5786)Dock &amp; Bay Tea Towel - Feelin' V@1;@5061011628572@(..8572)Component Product@1;</t>
  </si>
  <si>
    <t>Nicole</t>
  </si>
  <si>
    <t>DOK135859 Special Instructions</t>
  </si>
  <si>
    <t>Amazon Kemps Creek</t>
  </si>
  <si>
    <t>DOK1020770</t>
  </si>
  <si>
    <t>LAB-A</t>
  </si>
  <si>
    <t>Admin Labour Hours</t>
  </si>
  <si>
    <t>LAB-W</t>
  </si>
  <si>
    <t>Warehouse Labour Hours</t>
  </si>
  <si>
    <t>Billing</t>
  </si>
  <si>
    <t>WE 03-Jul-26</t>
  </si>
  <si>
    <t>DOKZ2601</t>
  </si>
  <si>
    <t>DOK--STR1</t>
  </si>
  <si>
    <t>DOK--STR2</t>
  </si>
  <si>
    <t>Storage per Unit of 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</si>
</sst>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46209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DOK50357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46206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0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455.79999999999995</v>
      </c>
    </row>
    <row r="20" spans="1:8" x14ac:dyDescent="0.25">
      <c r="D20" s="118"/>
      <c r="E20" s="102" t="s">
        <v>2</v>
      </c>
      <c r="G20" s="117"/>
      <c r="H20" s="117">
        <f>'Order Processing'!$AC$9</f>
        <v>976.75000000000023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29.73000000000004</v>
      </c>
    </row>
    <row r="22" spans="1:8" x14ac:dyDescent="0.25">
      <c r="A22" s="118" t="s">
        <v>48</v>
      </c>
      <c r="C22" s="120"/>
      <c r="D22" s="118" t="s">
        <v>6</v>
      </c>
      <c r="F22" s="102">
        <v>0</v>
      </c>
      <c r="G22" s="117">
        <f>SUMIF('Coghlan Settings'!J:J,"6.1",'Coghlan Settings'!M:M)</f>
        <v>4.6399999999999997</v>
      </c>
      <c r="H22" s="117">
        <f>ROUNDUP(F22*G22,2)</f>
        <v>0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1270.78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2869.53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286.95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3156.48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i+bvAjx03j32C5bJ+phkanUrlONfI48k41+ekDmNpfoM8ZjirMC0FEYPDHgNJ6BiJrTm80urbfzwMFHAgzwNHw==" saltValue="sw76sWsqI0BL7jDs4cHUdg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0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DOK50357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03 Jul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0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</sheetData>
  <sheetProtection algorithmName="SHA-512" hashValue="ozne66zpjXVoEHwwDdcb3Iy+TNr3PFdxSJw1Wj2I4H8PHYV/A7kSd2p/DVwG6doe1MupgAniSTqna9qcCGijlw==" saltValue="sq71vvJUUHyi+2yprjrxmA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112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DOK50357</v>
      </c>
      <c r="B2" s="132"/>
      <c r="G2" s="53">
        <f>SUMIF('Coghlan Settings'!J:J,"5.1",'Coghlan Settings'!M:M)</f>
        <v>2.4300000000000002</v>
      </c>
      <c r="H2" s="51">
        <f>SUM(C11:C1048576)</f>
        <v>99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03 Jul 26</v>
      </c>
      <c r="B3" s="132"/>
      <c r="G3" s="53">
        <f>SUMIF('Coghlan Settings'!J:J,"5.2",'Coghlan Settings'!M:M)</f>
        <v>0.31</v>
      </c>
      <c r="H3" s="51">
        <f>SUM(D11:D1048576)</f>
        <v>244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297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100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102.91299999999995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1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455.79999999999995</v>
      </c>
      <c r="AC9" s="70">
        <f>SUM(AC12:AC1048576)</f>
        <v>976.75000000000023</v>
      </c>
      <c r="AD9" s="71">
        <f>SUM(AD12:AD1048576)</f>
        <v>29.73000000000004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367</v>
      </c>
      <c r="B13" s="134" t="s">
        <v>368</v>
      </c>
      <c r="C13" s="1">
        <v>1</v>
      </c>
      <c r="D13" s="1">
        <v>1</v>
      </c>
      <c r="E13" s="1">
        <v>1</v>
      </c>
      <c r="F13" s="1" t="s">
        <v>369</v>
      </c>
      <c r="G13" s="1">
        <v>3190</v>
      </c>
      <c r="H13" s="1" t="s">
        <v>370</v>
      </c>
      <c r="I13" s="94">
        <v>155</v>
      </c>
      <c r="J13" s="2">
        <v>0.20799999999999999</v>
      </c>
      <c r="L13" s="135">
        <v>46205</v>
      </c>
      <c r="M13" s="3" t="s">
        <v>371</v>
      </c>
      <c r="O13" s="1">
        <v>1</v>
      </c>
      <c r="P13" s="94">
        <v>2</v>
      </c>
      <c r="Q13" s="4">
        <v>0</v>
      </c>
      <c r="R13" s="2">
        <v>0</v>
      </c>
      <c r="S13" s="25" t="s">
        <v>372</v>
      </c>
      <c r="V13" s="41" t="s">
        <v>373</v>
      </c>
      <c r="W13" s="43" t="s">
        <v>374</v>
      </c>
      <c r="AB13" s="2">
        <v>3.21</v>
      </c>
      <c r="AC13" s="2">
        <v>6.95</v>
      </c>
      <c r="AD13" s="2">
        <v>0.28000000000000003</v>
      </c>
    </row>
    <row r="14" spans="1:30" x14ac:dyDescent="0.25">
      <c r="A14" s="25" t="s">
        <v>375</v>
      </c>
      <c r="B14" s="134" t="s">
        <v>376</v>
      </c>
      <c r="C14" s="1">
        <v>1</v>
      </c>
      <c r="D14" s="1">
        <v>4</v>
      </c>
      <c r="E14" s="1">
        <v>6</v>
      </c>
      <c r="F14" s="1" t="s">
        <v>377</v>
      </c>
      <c r="G14" s="1">
        <v>3037</v>
      </c>
      <c r="H14" s="1" t="s">
        <v>370</v>
      </c>
      <c r="I14" s="94">
        <v>155</v>
      </c>
      <c r="J14" s="2">
        <v>2.5390000000000001</v>
      </c>
      <c r="L14" s="135">
        <v>46206</v>
      </c>
      <c r="M14" s="3" t="s">
        <v>378</v>
      </c>
      <c r="O14" s="1">
        <v>1</v>
      </c>
      <c r="P14" s="94">
        <v>2</v>
      </c>
      <c r="Q14" s="4">
        <v>0</v>
      </c>
      <c r="R14" s="2">
        <v>0</v>
      </c>
      <c r="S14" s="25" t="s">
        <v>379</v>
      </c>
      <c r="V14" s="41" t="s">
        <v>380</v>
      </c>
      <c r="W14" s="43" t="s">
        <v>374</v>
      </c>
      <c r="AB14" s="2">
        <v>6.49</v>
      </c>
      <c r="AC14" s="2">
        <v>10</v>
      </c>
      <c r="AD14" s="2">
        <v>0.28000000000000003</v>
      </c>
    </row>
    <row r="15" spans="1:30" x14ac:dyDescent="0.25">
      <c r="A15" s="25" t="s">
        <v>381</v>
      </c>
      <c r="B15" s="134" t="s">
        <v>382</v>
      </c>
      <c r="C15" s="1">
        <v>1</v>
      </c>
      <c r="D15" s="1">
        <v>22</v>
      </c>
      <c r="E15" s="1">
        <v>39</v>
      </c>
      <c r="F15" s="1" t="s">
        <v>383</v>
      </c>
      <c r="G15" s="1">
        <v>2178</v>
      </c>
      <c r="H15" s="1" t="s">
        <v>370</v>
      </c>
      <c r="I15" s="94">
        <v>55</v>
      </c>
      <c r="J15" s="2">
        <v>4.7</v>
      </c>
      <c r="L15" s="135">
        <v>46205</v>
      </c>
      <c r="M15" s="3" t="s">
        <v>384</v>
      </c>
      <c r="O15" s="1">
        <v>1</v>
      </c>
      <c r="P15" s="94">
        <v>2</v>
      </c>
      <c r="Q15" s="4">
        <v>0</v>
      </c>
      <c r="R15" s="2">
        <v>0</v>
      </c>
      <c r="S15" s="25" t="s">
        <v>385</v>
      </c>
      <c r="V15" s="41" t="s">
        <v>386</v>
      </c>
      <c r="W15" s="43" t="s">
        <v>387</v>
      </c>
      <c r="AB15" s="2">
        <v>27.58</v>
      </c>
      <c r="AC15" s="2">
        <v>6.79</v>
      </c>
      <c r="AD15" s="2">
        <v>2.4699999999999998</v>
      </c>
    </row>
    <row r="16" spans="1:30" x14ac:dyDescent="0.25">
      <c r="A16" s="25" t="s">
        <v>381</v>
      </c>
      <c r="B16" s="134" t="s">
        <v>382</v>
      </c>
      <c r="C16" s="1">
        <v>0</v>
      </c>
      <c r="D16" s="1">
        <v>0</v>
      </c>
      <c r="E16" s="1">
        <v>0</v>
      </c>
      <c r="F16" s="1" t="s">
        <v>383</v>
      </c>
      <c r="G16" s="1">
        <v>2178</v>
      </c>
      <c r="H16" s="1" t="s">
        <v>370</v>
      </c>
      <c r="I16" s="94">
        <v>55</v>
      </c>
      <c r="J16" s="2">
        <v>10.3</v>
      </c>
      <c r="L16" s="135">
        <v>46205</v>
      </c>
      <c r="O16" s="1">
        <v>1</v>
      </c>
      <c r="S16" s="25" t="s">
        <v>385</v>
      </c>
      <c r="W16" s="43" t="s">
        <v>387</v>
      </c>
      <c r="AB16" s="2">
        <v>0</v>
      </c>
      <c r="AC16" s="2">
        <v>9.93</v>
      </c>
    </row>
    <row r="17" spans="1:30" x14ac:dyDescent="0.25">
      <c r="A17" s="25" t="s">
        <v>388</v>
      </c>
      <c r="B17" s="134" t="s">
        <v>389</v>
      </c>
      <c r="C17" s="1">
        <v>1</v>
      </c>
      <c r="D17" s="1">
        <v>1</v>
      </c>
      <c r="E17" s="1">
        <v>1</v>
      </c>
      <c r="F17" s="1" t="s">
        <v>390</v>
      </c>
      <c r="G17" s="1">
        <v>4220</v>
      </c>
      <c r="H17" s="1" t="s">
        <v>370</v>
      </c>
      <c r="I17" s="94">
        <v>155</v>
      </c>
      <c r="J17" s="2">
        <v>0.68200000000000005</v>
      </c>
      <c r="L17" s="135">
        <v>46204</v>
      </c>
      <c r="M17" s="3" t="s">
        <v>391</v>
      </c>
      <c r="O17" s="1">
        <v>1</v>
      </c>
      <c r="P17" s="94">
        <v>2</v>
      </c>
      <c r="Q17" s="4">
        <v>0</v>
      </c>
      <c r="R17" s="2">
        <v>0</v>
      </c>
      <c r="S17" s="25" t="s">
        <v>392</v>
      </c>
      <c r="V17" s="41" t="s">
        <v>393</v>
      </c>
      <c r="W17" s="43" t="s">
        <v>394</v>
      </c>
      <c r="AB17" s="2">
        <v>3.21</v>
      </c>
      <c r="AC17" s="2">
        <v>10.85</v>
      </c>
      <c r="AD17" s="2">
        <v>0.28000000000000003</v>
      </c>
    </row>
    <row r="18" spans="1:30" x14ac:dyDescent="0.25">
      <c r="A18" s="25" t="s">
        <v>395</v>
      </c>
      <c r="B18" s="134" t="s">
        <v>396</v>
      </c>
      <c r="C18" s="1">
        <v>1</v>
      </c>
      <c r="D18" s="1">
        <v>1</v>
      </c>
      <c r="E18" s="1">
        <v>1</v>
      </c>
      <c r="F18" s="1" t="s">
        <v>397</v>
      </c>
      <c r="G18" s="1">
        <v>4285</v>
      </c>
      <c r="H18" s="1" t="s">
        <v>370</v>
      </c>
      <c r="I18" s="94">
        <v>155</v>
      </c>
      <c r="J18" s="2">
        <v>0.20899999999999999</v>
      </c>
      <c r="L18" s="135">
        <v>46204</v>
      </c>
      <c r="M18" s="3" t="s">
        <v>371</v>
      </c>
      <c r="N18" s="1" t="s">
        <v>398</v>
      </c>
      <c r="O18" s="1">
        <v>1</v>
      </c>
      <c r="P18" s="94">
        <v>2</v>
      </c>
      <c r="Q18" s="4">
        <v>0</v>
      </c>
      <c r="R18" s="2">
        <v>0</v>
      </c>
      <c r="S18" s="25" t="s">
        <v>399</v>
      </c>
      <c r="V18" s="41" t="s">
        <v>400</v>
      </c>
      <c r="W18" s="43" t="s">
        <v>401</v>
      </c>
      <c r="AB18" s="2">
        <v>3.21</v>
      </c>
      <c r="AC18" s="2">
        <v>8.41</v>
      </c>
      <c r="AD18" s="2">
        <v>0.28000000000000003</v>
      </c>
    </row>
    <row r="19" spans="1:30" x14ac:dyDescent="0.25">
      <c r="A19" s="25" t="s">
        <v>402</v>
      </c>
      <c r="B19" s="134" t="s">
        <v>403</v>
      </c>
      <c r="C19" s="1">
        <v>1</v>
      </c>
      <c r="D19" s="1">
        <v>5</v>
      </c>
      <c r="E19" s="1">
        <v>5</v>
      </c>
      <c r="F19" s="1" t="s">
        <v>404</v>
      </c>
      <c r="G19" s="1">
        <v>2747</v>
      </c>
      <c r="H19" s="1" t="s">
        <v>370</v>
      </c>
      <c r="I19" s="94">
        <v>155</v>
      </c>
      <c r="J19" s="2">
        <v>0.80200000000000005</v>
      </c>
      <c r="L19" s="135">
        <v>46204</v>
      </c>
      <c r="M19" s="3" t="s">
        <v>405</v>
      </c>
      <c r="O19" s="1">
        <v>1</v>
      </c>
      <c r="P19" s="94">
        <v>2</v>
      </c>
      <c r="Q19" s="4">
        <v>0</v>
      </c>
      <c r="R19" s="2">
        <v>0</v>
      </c>
      <c r="S19" s="25" t="s">
        <v>406</v>
      </c>
      <c r="V19" s="41" t="s">
        <v>407</v>
      </c>
      <c r="W19" s="43" t="s">
        <v>387</v>
      </c>
      <c r="AB19" s="2">
        <v>6.33</v>
      </c>
      <c r="AC19" s="2">
        <v>5.98</v>
      </c>
      <c r="AD19" s="2">
        <v>0</v>
      </c>
    </row>
    <row r="20" spans="1:30" x14ac:dyDescent="0.25">
      <c r="A20" s="25" t="s">
        <v>408</v>
      </c>
      <c r="B20" s="134" t="s">
        <v>409</v>
      </c>
      <c r="C20" s="1">
        <v>1</v>
      </c>
      <c r="D20" s="1">
        <v>1</v>
      </c>
      <c r="E20" s="1">
        <v>2</v>
      </c>
      <c r="F20" s="1" t="s">
        <v>410</v>
      </c>
      <c r="G20" s="1">
        <v>4575</v>
      </c>
      <c r="H20" s="1" t="s">
        <v>370</v>
      </c>
      <c r="I20" s="94">
        <v>155</v>
      </c>
      <c r="J20" s="2">
        <v>0.436</v>
      </c>
      <c r="L20" s="135">
        <v>46204</v>
      </c>
      <c r="M20" s="3" t="s">
        <v>391</v>
      </c>
      <c r="O20" s="1">
        <v>1</v>
      </c>
      <c r="P20" s="94">
        <v>2</v>
      </c>
      <c r="Q20" s="4">
        <v>0</v>
      </c>
      <c r="R20" s="2">
        <v>0</v>
      </c>
      <c r="S20" s="25" t="s">
        <v>411</v>
      </c>
      <c r="V20" s="41" t="s">
        <v>412</v>
      </c>
      <c r="W20" s="43" t="s">
        <v>413</v>
      </c>
      <c r="AB20" s="2">
        <v>3.68</v>
      </c>
      <c r="AC20" s="2">
        <v>8.41</v>
      </c>
      <c r="AD20" s="2">
        <v>0.28000000000000003</v>
      </c>
    </row>
    <row r="21" spans="1:30" x14ac:dyDescent="0.25">
      <c r="A21" s="25" t="s">
        <v>414</v>
      </c>
      <c r="B21" s="134" t="s">
        <v>415</v>
      </c>
      <c r="C21" s="1">
        <v>1</v>
      </c>
      <c r="D21" s="1">
        <v>2</v>
      </c>
      <c r="E21" s="1">
        <v>2</v>
      </c>
      <c r="F21" s="1" t="s">
        <v>416</v>
      </c>
      <c r="G21" s="1">
        <v>3088</v>
      </c>
      <c r="H21" s="1" t="s">
        <v>370</v>
      </c>
      <c r="I21" s="94">
        <v>155</v>
      </c>
      <c r="J21" s="2">
        <v>0.84599999999999997</v>
      </c>
      <c r="L21" s="135">
        <v>46204</v>
      </c>
      <c r="M21" s="3" t="s">
        <v>405</v>
      </c>
      <c r="O21" s="1">
        <v>1</v>
      </c>
      <c r="P21" s="94">
        <v>2</v>
      </c>
      <c r="Q21" s="4">
        <v>0</v>
      </c>
      <c r="R21" s="2">
        <v>0</v>
      </c>
      <c r="S21" s="25" t="s">
        <v>417</v>
      </c>
      <c r="V21" s="41" t="s">
        <v>418</v>
      </c>
      <c r="W21" s="43" t="s">
        <v>374</v>
      </c>
      <c r="AB21" s="2">
        <v>3.99</v>
      </c>
      <c r="AC21" s="2">
        <v>8.6199999999999992</v>
      </c>
      <c r="AD21" s="2">
        <v>0</v>
      </c>
    </row>
    <row r="22" spans="1:30" x14ac:dyDescent="0.25">
      <c r="A22" s="25" t="s">
        <v>419</v>
      </c>
      <c r="B22" s="134" t="s">
        <v>420</v>
      </c>
      <c r="C22" s="1">
        <v>1</v>
      </c>
      <c r="D22" s="1">
        <v>3</v>
      </c>
      <c r="E22" s="1">
        <v>3</v>
      </c>
      <c r="F22" s="1" t="s">
        <v>421</v>
      </c>
      <c r="G22" s="1">
        <v>3218</v>
      </c>
      <c r="H22" s="1" t="s">
        <v>370</v>
      </c>
      <c r="I22" s="94">
        <v>155</v>
      </c>
      <c r="J22" s="2">
        <v>1.3480000000000001</v>
      </c>
      <c r="L22" s="135">
        <v>46204</v>
      </c>
      <c r="M22" s="3" t="s">
        <v>391</v>
      </c>
      <c r="O22" s="1">
        <v>1</v>
      </c>
      <c r="P22" s="94">
        <v>2</v>
      </c>
      <c r="Q22" s="4">
        <v>0</v>
      </c>
      <c r="R22" s="2">
        <v>0</v>
      </c>
      <c r="S22" s="25" t="s">
        <v>422</v>
      </c>
      <c r="V22" s="41" t="s">
        <v>423</v>
      </c>
      <c r="W22" s="43" t="s">
        <v>424</v>
      </c>
      <c r="AB22" s="2">
        <v>4.7699999999999996</v>
      </c>
      <c r="AC22" s="2">
        <v>13.63</v>
      </c>
      <c r="AD22" s="2">
        <v>0.28000000000000003</v>
      </c>
    </row>
    <row r="23" spans="1:30" x14ac:dyDescent="0.25">
      <c r="A23" s="25" t="s">
        <v>425</v>
      </c>
      <c r="B23" s="134" t="s">
        <v>426</v>
      </c>
      <c r="C23" s="1">
        <v>1</v>
      </c>
      <c r="D23" s="1">
        <v>1</v>
      </c>
      <c r="E23" s="1">
        <v>1</v>
      </c>
      <c r="F23" s="1" t="s">
        <v>427</v>
      </c>
      <c r="G23" s="1">
        <v>3187</v>
      </c>
      <c r="H23" s="1" t="s">
        <v>370</v>
      </c>
      <c r="I23" s="94">
        <v>155</v>
      </c>
      <c r="J23" s="2">
        <v>0.45900000000000002</v>
      </c>
      <c r="L23" s="135">
        <v>46204</v>
      </c>
      <c r="M23" s="3" t="s">
        <v>371</v>
      </c>
      <c r="O23" s="1">
        <v>1</v>
      </c>
      <c r="P23" s="94">
        <v>2</v>
      </c>
      <c r="Q23" s="4">
        <v>0</v>
      </c>
      <c r="R23" s="2">
        <v>0</v>
      </c>
      <c r="S23" s="25" t="s">
        <v>428</v>
      </c>
      <c r="V23" s="41" t="s">
        <v>429</v>
      </c>
      <c r="W23" s="43" t="s">
        <v>374</v>
      </c>
      <c r="AB23" s="2">
        <v>3.21</v>
      </c>
      <c r="AC23" s="2">
        <v>6.95</v>
      </c>
      <c r="AD23" s="2">
        <v>0.28000000000000003</v>
      </c>
    </row>
    <row r="24" spans="1:30" x14ac:dyDescent="0.25">
      <c r="A24" s="25" t="s">
        <v>430</v>
      </c>
      <c r="B24" s="134" t="s">
        <v>431</v>
      </c>
      <c r="C24" s="1">
        <v>1</v>
      </c>
      <c r="D24" s="1">
        <v>2</v>
      </c>
      <c r="E24" s="1">
        <v>2</v>
      </c>
      <c r="F24" s="1" t="s">
        <v>432</v>
      </c>
      <c r="G24" s="1">
        <v>4065</v>
      </c>
      <c r="H24" s="1" t="s">
        <v>370</v>
      </c>
      <c r="I24" s="94">
        <v>155</v>
      </c>
      <c r="J24" s="2">
        <v>0.33600000000000002</v>
      </c>
      <c r="L24" s="135">
        <v>46204</v>
      </c>
      <c r="M24" s="3" t="s">
        <v>371</v>
      </c>
      <c r="O24" s="1">
        <v>1</v>
      </c>
      <c r="P24" s="94">
        <v>2</v>
      </c>
      <c r="Q24" s="4">
        <v>0</v>
      </c>
      <c r="R24" s="2">
        <v>0</v>
      </c>
      <c r="S24" s="25" t="s">
        <v>433</v>
      </c>
      <c r="V24" s="41" t="s">
        <v>434</v>
      </c>
      <c r="W24" s="43" t="s">
        <v>435</v>
      </c>
      <c r="AB24" s="2">
        <v>3.99</v>
      </c>
      <c r="AC24" s="2">
        <v>6.95</v>
      </c>
      <c r="AD24" s="2">
        <v>0.28000000000000003</v>
      </c>
    </row>
    <row r="25" spans="1:30" x14ac:dyDescent="0.25">
      <c r="A25" s="25" t="s">
        <v>436</v>
      </c>
      <c r="B25" s="134" t="s">
        <v>437</v>
      </c>
      <c r="C25" s="1">
        <v>1</v>
      </c>
      <c r="D25" s="1">
        <v>1</v>
      </c>
      <c r="E25" s="1">
        <v>1</v>
      </c>
      <c r="F25" s="1" t="s">
        <v>438</v>
      </c>
      <c r="G25" s="1">
        <v>2028</v>
      </c>
      <c r="H25" s="1" t="s">
        <v>370</v>
      </c>
      <c r="I25" s="94">
        <v>155</v>
      </c>
      <c r="J25" s="2">
        <v>0.56899999999999995</v>
      </c>
      <c r="L25" s="135">
        <v>46204</v>
      </c>
      <c r="M25" s="3" t="s">
        <v>405</v>
      </c>
      <c r="O25" s="1">
        <v>1</v>
      </c>
      <c r="P25" s="94">
        <v>2</v>
      </c>
      <c r="Q25" s="4">
        <v>0</v>
      </c>
      <c r="R25" s="2">
        <v>0</v>
      </c>
      <c r="S25" s="25" t="s">
        <v>439</v>
      </c>
      <c r="V25" s="41" t="s">
        <v>440</v>
      </c>
      <c r="W25" s="43" t="s">
        <v>387</v>
      </c>
      <c r="AB25" s="2">
        <v>3.21</v>
      </c>
      <c r="AC25" s="2">
        <v>5.98</v>
      </c>
      <c r="AD25" s="2">
        <v>0</v>
      </c>
    </row>
    <row r="26" spans="1:30" x14ac:dyDescent="0.25">
      <c r="A26" s="25" t="s">
        <v>441</v>
      </c>
      <c r="B26" s="134" t="s">
        <v>442</v>
      </c>
      <c r="C26" s="1">
        <v>1</v>
      </c>
      <c r="D26" s="1">
        <v>1</v>
      </c>
      <c r="E26" s="1">
        <v>1</v>
      </c>
      <c r="F26" s="1" t="s">
        <v>443</v>
      </c>
      <c r="G26" s="1">
        <v>5024</v>
      </c>
      <c r="H26" s="1" t="s">
        <v>370</v>
      </c>
      <c r="I26" s="94">
        <v>155</v>
      </c>
      <c r="J26" s="2">
        <v>0.45400000000000001</v>
      </c>
      <c r="L26" s="135">
        <v>46204</v>
      </c>
      <c r="M26" s="3" t="s">
        <v>371</v>
      </c>
      <c r="O26" s="1">
        <v>1</v>
      </c>
      <c r="P26" s="94">
        <v>2</v>
      </c>
      <c r="Q26" s="4">
        <v>0</v>
      </c>
      <c r="R26" s="2">
        <v>0</v>
      </c>
      <c r="S26" s="25" t="s">
        <v>444</v>
      </c>
      <c r="V26" s="41" t="s">
        <v>445</v>
      </c>
      <c r="W26" s="43" t="s">
        <v>446</v>
      </c>
      <c r="AB26" s="2">
        <v>3.21</v>
      </c>
      <c r="AC26" s="2">
        <v>7.16</v>
      </c>
      <c r="AD26" s="2">
        <v>0.28000000000000003</v>
      </c>
    </row>
    <row r="27" spans="1:30" x14ac:dyDescent="0.25">
      <c r="A27" s="25" t="s">
        <v>447</v>
      </c>
      <c r="B27" s="134" t="s">
        <v>448</v>
      </c>
      <c r="C27" s="1">
        <v>1</v>
      </c>
      <c r="D27" s="1">
        <v>3</v>
      </c>
      <c r="E27" s="1">
        <v>3</v>
      </c>
      <c r="F27" s="1" t="s">
        <v>449</v>
      </c>
      <c r="G27" s="1">
        <v>2145</v>
      </c>
      <c r="H27" s="1" t="s">
        <v>370</v>
      </c>
      <c r="I27" s="94">
        <v>155</v>
      </c>
      <c r="J27" s="2">
        <v>1.1759999999999999</v>
      </c>
      <c r="L27" s="135">
        <v>46204</v>
      </c>
      <c r="M27" s="3" t="s">
        <v>371</v>
      </c>
      <c r="O27" s="1">
        <v>1</v>
      </c>
      <c r="P27" s="94">
        <v>2</v>
      </c>
      <c r="Q27" s="4">
        <v>0</v>
      </c>
      <c r="R27" s="2">
        <v>0</v>
      </c>
      <c r="S27" s="25" t="s">
        <v>450</v>
      </c>
      <c r="V27" s="41" t="s">
        <v>451</v>
      </c>
      <c r="W27" s="43" t="s">
        <v>387</v>
      </c>
      <c r="AB27" s="2">
        <v>4.7699999999999996</v>
      </c>
      <c r="AC27" s="2">
        <v>5.98</v>
      </c>
      <c r="AD27" s="2">
        <v>0.28000000000000003</v>
      </c>
    </row>
    <row r="28" spans="1:30" x14ac:dyDescent="0.25">
      <c r="A28" s="25" t="s">
        <v>452</v>
      </c>
      <c r="B28" s="134" t="s">
        <v>453</v>
      </c>
      <c r="C28" s="1">
        <v>1</v>
      </c>
      <c r="D28" s="1">
        <v>2</v>
      </c>
      <c r="E28" s="1">
        <v>2</v>
      </c>
      <c r="F28" s="1" t="s">
        <v>454</v>
      </c>
      <c r="G28" s="1">
        <v>4110</v>
      </c>
      <c r="H28" s="1" t="s">
        <v>370</v>
      </c>
      <c r="I28" s="94">
        <v>155</v>
      </c>
      <c r="J28" s="2">
        <v>1.6970000000000001</v>
      </c>
      <c r="L28" s="135">
        <v>46204</v>
      </c>
      <c r="M28" s="3" t="s">
        <v>378</v>
      </c>
      <c r="O28" s="1">
        <v>1</v>
      </c>
      <c r="P28" s="94">
        <v>2</v>
      </c>
      <c r="Q28" s="4">
        <v>0</v>
      </c>
      <c r="R28" s="2">
        <v>0</v>
      </c>
      <c r="S28" s="25" t="s">
        <v>455</v>
      </c>
      <c r="V28" s="41" t="s">
        <v>456</v>
      </c>
      <c r="W28" s="43" t="s">
        <v>435</v>
      </c>
      <c r="AB28" s="2">
        <v>3.99</v>
      </c>
      <c r="AC28" s="2">
        <v>9.2899999999999991</v>
      </c>
      <c r="AD28" s="2">
        <v>0.28000000000000003</v>
      </c>
    </row>
    <row r="29" spans="1:30" x14ac:dyDescent="0.25">
      <c r="A29" s="25" t="s">
        <v>457</v>
      </c>
      <c r="B29" s="134" t="s">
        <v>458</v>
      </c>
      <c r="C29" s="1">
        <v>1</v>
      </c>
      <c r="D29" s="1">
        <v>1</v>
      </c>
      <c r="E29" s="1">
        <v>1</v>
      </c>
      <c r="F29" s="1" t="s">
        <v>459</v>
      </c>
      <c r="G29" s="1">
        <v>2026</v>
      </c>
      <c r="H29" s="1" t="s">
        <v>370</v>
      </c>
      <c r="I29" s="94">
        <v>55</v>
      </c>
      <c r="J29" s="2">
        <v>0.56200000000000006</v>
      </c>
      <c r="L29" s="135">
        <v>46204</v>
      </c>
      <c r="M29" s="3" t="s">
        <v>371</v>
      </c>
      <c r="O29" s="1">
        <v>1</v>
      </c>
      <c r="P29" s="94">
        <v>2</v>
      </c>
      <c r="Q29" s="4">
        <v>0</v>
      </c>
      <c r="R29" s="2">
        <v>0</v>
      </c>
      <c r="S29" s="25" t="s">
        <v>460</v>
      </c>
      <c r="V29" s="41" t="s">
        <v>461</v>
      </c>
      <c r="W29" s="43" t="s">
        <v>387</v>
      </c>
      <c r="AB29" s="2">
        <v>3.21</v>
      </c>
      <c r="AC29" s="2">
        <v>5.98</v>
      </c>
      <c r="AD29" s="2">
        <v>0.28000000000000003</v>
      </c>
    </row>
    <row r="30" spans="1:30" x14ac:dyDescent="0.25">
      <c r="A30" s="25" t="s">
        <v>462</v>
      </c>
      <c r="B30" s="134" t="s">
        <v>463</v>
      </c>
      <c r="C30" s="1">
        <v>1</v>
      </c>
      <c r="D30" s="1">
        <v>1</v>
      </c>
      <c r="E30" s="1">
        <v>2</v>
      </c>
      <c r="F30" s="1" t="s">
        <v>464</v>
      </c>
      <c r="G30" s="1">
        <v>3660</v>
      </c>
      <c r="H30" s="1" t="s">
        <v>370</v>
      </c>
      <c r="I30" s="94">
        <v>155</v>
      </c>
      <c r="J30" s="2">
        <v>0.36899999999999999</v>
      </c>
      <c r="L30" s="135">
        <v>46204</v>
      </c>
      <c r="M30" s="3" t="s">
        <v>371</v>
      </c>
      <c r="O30" s="1">
        <v>1</v>
      </c>
      <c r="P30" s="94">
        <v>2</v>
      </c>
      <c r="Q30" s="4">
        <v>0</v>
      </c>
      <c r="R30" s="2">
        <v>0</v>
      </c>
      <c r="S30" s="25" t="s">
        <v>465</v>
      </c>
      <c r="V30" s="41" t="s">
        <v>466</v>
      </c>
      <c r="W30" s="43" t="s">
        <v>467</v>
      </c>
      <c r="AB30" s="2">
        <v>3.68</v>
      </c>
      <c r="AC30" s="2">
        <v>11.61</v>
      </c>
      <c r="AD30" s="2">
        <v>0.28000000000000003</v>
      </c>
    </row>
    <row r="31" spans="1:30" x14ac:dyDescent="0.25">
      <c r="A31" s="25" t="s">
        <v>468</v>
      </c>
      <c r="B31" s="134" t="s">
        <v>469</v>
      </c>
      <c r="C31" s="1">
        <v>1</v>
      </c>
      <c r="D31" s="1">
        <v>4</v>
      </c>
      <c r="E31" s="1">
        <v>4</v>
      </c>
      <c r="F31" s="1" t="s">
        <v>470</v>
      </c>
      <c r="G31" s="1">
        <v>2567</v>
      </c>
      <c r="H31" s="1" t="s">
        <v>370</v>
      </c>
      <c r="I31" s="94">
        <v>155</v>
      </c>
      <c r="J31" s="2">
        <v>1.669</v>
      </c>
      <c r="L31" s="135">
        <v>46204</v>
      </c>
      <c r="M31" s="3" t="s">
        <v>391</v>
      </c>
      <c r="O31" s="1">
        <v>1</v>
      </c>
      <c r="P31" s="94">
        <v>2</v>
      </c>
      <c r="Q31" s="4">
        <v>0</v>
      </c>
      <c r="R31" s="2">
        <v>0</v>
      </c>
      <c r="S31" s="25" t="s">
        <v>471</v>
      </c>
      <c r="V31" s="41" t="s">
        <v>472</v>
      </c>
      <c r="W31" s="43" t="s">
        <v>387</v>
      </c>
      <c r="AB31" s="2">
        <v>5.55</v>
      </c>
      <c r="AC31" s="2">
        <v>5.98</v>
      </c>
      <c r="AD31" s="2">
        <v>0.28000000000000003</v>
      </c>
    </row>
    <row r="32" spans="1:30" x14ac:dyDescent="0.25">
      <c r="A32" s="25" t="s">
        <v>473</v>
      </c>
      <c r="B32" s="134" t="s">
        <v>474</v>
      </c>
      <c r="C32" s="1">
        <v>1</v>
      </c>
      <c r="D32" s="1">
        <v>2</v>
      </c>
      <c r="E32" s="1">
        <v>2</v>
      </c>
      <c r="F32" s="1" t="s">
        <v>475</v>
      </c>
      <c r="G32" s="1">
        <v>2700</v>
      </c>
      <c r="H32" s="1" t="s">
        <v>370</v>
      </c>
      <c r="I32" s="94">
        <v>155</v>
      </c>
      <c r="J32" s="2">
        <v>1.0549999999999999</v>
      </c>
      <c r="L32" s="135">
        <v>46204</v>
      </c>
      <c r="M32" s="3" t="s">
        <v>391</v>
      </c>
      <c r="O32" s="1">
        <v>1</v>
      </c>
      <c r="P32" s="94">
        <v>2</v>
      </c>
      <c r="Q32" s="4">
        <v>0</v>
      </c>
      <c r="R32" s="2">
        <v>0</v>
      </c>
      <c r="S32" s="25" t="s">
        <v>476</v>
      </c>
      <c r="V32" s="41" t="s">
        <v>477</v>
      </c>
      <c r="W32" s="43" t="s">
        <v>478</v>
      </c>
      <c r="AB32" s="2">
        <v>3.99</v>
      </c>
      <c r="AC32" s="2">
        <v>15.27</v>
      </c>
      <c r="AD32" s="2">
        <v>0.28000000000000003</v>
      </c>
    </row>
    <row r="33" spans="1:30" x14ac:dyDescent="0.25">
      <c r="A33" s="25" t="s">
        <v>479</v>
      </c>
      <c r="B33" s="134" t="s">
        <v>480</v>
      </c>
      <c r="C33" s="1">
        <v>1</v>
      </c>
      <c r="D33" s="1">
        <v>2</v>
      </c>
      <c r="E33" s="1">
        <v>2</v>
      </c>
      <c r="F33" s="1" t="s">
        <v>481</v>
      </c>
      <c r="G33" s="1">
        <v>2250</v>
      </c>
      <c r="H33" s="1" t="s">
        <v>370</v>
      </c>
      <c r="I33" s="94">
        <v>154</v>
      </c>
      <c r="J33" s="2">
        <v>0.36699999999999999</v>
      </c>
      <c r="L33" s="135">
        <v>46204</v>
      </c>
      <c r="M33" s="3" t="s">
        <v>371</v>
      </c>
      <c r="O33" s="1">
        <v>1</v>
      </c>
      <c r="P33" s="94">
        <v>2</v>
      </c>
      <c r="Q33" s="4">
        <v>0</v>
      </c>
      <c r="R33" s="2">
        <v>0</v>
      </c>
      <c r="S33" s="25" t="s">
        <v>482</v>
      </c>
      <c r="V33" s="41" t="s">
        <v>483</v>
      </c>
      <c r="W33" s="43" t="s">
        <v>484</v>
      </c>
      <c r="AB33" s="2">
        <v>3.99</v>
      </c>
      <c r="AC33" s="2">
        <v>11.27</v>
      </c>
      <c r="AD33" s="2">
        <v>0.28000000000000003</v>
      </c>
    </row>
    <row r="34" spans="1:30" x14ac:dyDescent="0.25">
      <c r="A34" s="25" t="s">
        <v>485</v>
      </c>
      <c r="B34" s="134" t="s">
        <v>486</v>
      </c>
      <c r="C34" s="1">
        <v>1</v>
      </c>
      <c r="D34" s="1">
        <v>2</v>
      </c>
      <c r="E34" s="1">
        <v>2</v>
      </c>
      <c r="F34" s="1" t="s">
        <v>487</v>
      </c>
      <c r="G34" s="1">
        <v>7315</v>
      </c>
      <c r="H34" s="1" t="s">
        <v>370</v>
      </c>
      <c r="I34" s="94">
        <v>155</v>
      </c>
      <c r="J34" s="2">
        <v>0.878</v>
      </c>
      <c r="L34" s="135">
        <v>46204</v>
      </c>
      <c r="M34" s="3" t="s">
        <v>371</v>
      </c>
      <c r="O34" s="1">
        <v>1</v>
      </c>
      <c r="P34" s="94">
        <v>2</v>
      </c>
      <c r="Q34" s="4">
        <v>0</v>
      </c>
      <c r="R34" s="2">
        <v>0</v>
      </c>
      <c r="S34" s="25" t="s">
        <v>488</v>
      </c>
      <c r="V34" s="41" t="s">
        <v>489</v>
      </c>
      <c r="W34" s="43" t="s">
        <v>490</v>
      </c>
      <c r="AB34" s="2">
        <v>3.99</v>
      </c>
      <c r="AC34" s="2">
        <v>13.39</v>
      </c>
      <c r="AD34" s="2">
        <v>0.28000000000000003</v>
      </c>
    </row>
    <row r="35" spans="1:30" x14ac:dyDescent="0.25">
      <c r="A35" s="25" t="s">
        <v>491</v>
      </c>
      <c r="B35" s="134" t="s">
        <v>492</v>
      </c>
      <c r="C35" s="1">
        <v>1</v>
      </c>
      <c r="D35" s="1">
        <v>2</v>
      </c>
      <c r="E35" s="1">
        <v>2</v>
      </c>
      <c r="F35" s="1" t="s">
        <v>493</v>
      </c>
      <c r="G35" s="1">
        <v>4501</v>
      </c>
      <c r="H35" s="1" t="s">
        <v>370</v>
      </c>
      <c r="I35" s="94">
        <v>154</v>
      </c>
      <c r="J35" s="2">
        <v>0.69499999999999995</v>
      </c>
      <c r="L35" s="135">
        <v>46204</v>
      </c>
      <c r="M35" s="3" t="s">
        <v>391</v>
      </c>
      <c r="O35" s="1">
        <v>1</v>
      </c>
      <c r="P35" s="94">
        <v>2</v>
      </c>
      <c r="Q35" s="4">
        <v>0</v>
      </c>
      <c r="R35" s="2">
        <v>0</v>
      </c>
      <c r="S35" s="25" t="s">
        <v>494</v>
      </c>
      <c r="V35" s="41" t="s">
        <v>495</v>
      </c>
      <c r="W35" s="43" t="s">
        <v>401</v>
      </c>
      <c r="AB35" s="2">
        <v>3.99</v>
      </c>
      <c r="AC35" s="2">
        <v>15.41</v>
      </c>
      <c r="AD35" s="2">
        <v>0.28000000000000003</v>
      </c>
    </row>
    <row r="36" spans="1:30" x14ac:dyDescent="0.25">
      <c r="A36" s="25" t="s">
        <v>496</v>
      </c>
      <c r="B36" s="134" t="s">
        <v>497</v>
      </c>
      <c r="C36" s="1">
        <v>1</v>
      </c>
      <c r="D36" s="1">
        <v>1</v>
      </c>
      <c r="E36" s="1">
        <v>1</v>
      </c>
      <c r="F36" s="1" t="s">
        <v>498</v>
      </c>
      <c r="G36" s="1">
        <v>3197</v>
      </c>
      <c r="H36" s="1" t="s">
        <v>370</v>
      </c>
      <c r="I36" s="94">
        <v>155</v>
      </c>
      <c r="J36" s="2">
        <v>0.21199999999999999</v>
      </c>
      <c r="L36" s="135">
        <v>46204</v>
      </c>
      <c r="M36" s="3" t="s">
        <v>371</v>
      </c>
      <c r="O36" s="1">
        <v>1</v>
      </c>
      <c r="P36" s="94">
        <v>2</v>
      </c>
      <c r="Q36" s="4">
        <v>0</v>
      </c>
      <c r="R36" s="2">
        <v>0</v>
      </c>
      <c r="S36" s="25" t="s">
        <v>499</v>
      </c>
      <c r="V36" s="41" t="s">
        <v>400</v>
      </c>
      <c r="W36" s="43" t="s">
        <v>374</v>
      </c>
      <c r="AB36" s="2">
        <v>3.21</v>
      </c>
      <c r="AC36" s="2">
        <v>6.95</v>
      </c>
      <c r="AD36" s="2">
        <v>0.28000000000000003</v>
      </c>
    </row>
    <row r="37" spans="1:30" x14ac:dyDescent="0.25">
      <c r="A37" s="25" t="s">
        <v>500</v>
      </c>
      <c r="B37" s="134" t="s">
        <v>501</v>
      </c>
      <c r="C37" s="1">
        <v>1</v>
      </c>
      <c r="D37" s="1">
        <v>1</v>
      </c>
      <c r="E37" s="1">
        <v>1</v>
      </c>
      <c r="F37" s="1" t="s">
        <v>502</v>
      </c>
      <c r="G37" s="1">
        <v>2233</v>
      </c>
      <c r="H37" s="1" t="s">
        <v>370</v>
      </c>
      <c r="I37" s="94">
        <v>155</v>
      </c>
      <c r="J37" s="2">
        <v>0.56999999999999995</v>
      </c>
      <c r="L37" s="135">
        <v>46204</v>
      </c>
      <c r="M37" s="3" t="s">
        <v>371</v>
      </c>
      <c r="O37" s="1">
        <v>1</v>
      </c>
      <c r="P37" s="94">
        <v>2</v>
      </c>
      <c r="Q37" s="4">
        <v>0</v>
      </c>
      <c r="R37" s="2">
        <v>0</v>
      </c>
      <c r="S37" s="25" t="s">
        <v>503</v>
      </c>
      <c r="V37" s="41" t="s">
        <v>440</v>
      </c>
      <c r="W37" s="43" t="s">
        <v>387</v>
      </c>
      <c r="AB37" s="2">
        <v>3.21</v>
      </c>
      <c r="AC37" s="2">
        <v>5.98</v>
      </c>
      <c r="AD37" s="2">
        <v>0.28000000000000003</v>
      </c>
    </row>
    <row r="38" spans="1:30" x14ac:dyDescent="0.25">
      <c r="A38" s="25" t="s">
        <v>504</v>
      </c>
      <c r="B38" s="134" t="s">
        <v>505</v>
      </c>
      <c r="C38" s="1">
        <v>1</v>
      </c>
      <c r="D38" s="1">
        <v>1</v>
      </c>
      <c r="E38" s="1">
        <v>1</v>
      </c>
      <c r="F38" s="1" t="s">
        <v>506</v>
      </c>
      <c r="G38" s="1">
        <v>2234</v>
      </c>
      <c r="H38" s="1" t="s">
        <v>370</v>
      </c>
      <c r="I38" s="94">
        <v>155</v>
      </c>
      <c r="J38" s="2">
        <v>0.221</v>
      </c>
      <c r="L38" s="135">
        <v>46204</v>
      </c>
      <c r="M38" s="3" t="s">
        <v>371</v>
      </c>
      <c r="O38" s="1">
        <v>1</v>
      </c>
      <c r="P38" s="94">
        <v>2</v>
      </c>
      <c r="Q38" s="4">
        <v>0</v>
      </c>
      <c r="R38" s="2">
        <v>0</v>
      </c>
      <c r="S38" s="25" t="s">
        <v>507</v>
      </c>
      <c r="V38" s="41" t="s">
        <v>508</v>
      </c>
      <c r="W38" s="43" t="s">
        <v>387</v>
      </c>
      <c r="AB38" s="2">
        <v>3.21</v>
      </c>
      <c r="AC38" s="2">
        <v>5.52</v>
      </c>
      <c r="AD38" s="2">
        <v>0.28000000000000003</v>
      </c>
    </row>
    <row r="39" spans="1:30" x14ac:dyDescent="0.25">
      <c r="A39" s="25" t="s">
        <v>509</v>
      </c>
      <c r="B39" s="134" t="s">
        <v>510</v>
      </c>
      <c r="C39" s="1">
        <v>1</v>
      </c>
      <c r="D39" s="1">
        <v>1</v>
      </c>
      <c r="E39" s="1">
        <v>1</v>
      </c>
      <c r="F39" s="1" t="s">
        <v>511</v>
      </c>
      <c r="G39" s="1">
        <v>6065</v>
      </c>
      <c r="H39" s="1" t="s">
        <v>370</v>
      </c>
      <c r="I39" s="94">
        <v>155</v>
      </c>
      <c r="J39" s="2">
        <v>0.57399999999999995</v>
      </c>
      <c r="L39" s="135">
        <v>46204</v>
      </c>
      <c r="M39" s="3" t="s">
        <v>371</v>
      </c>
      <c r="O39" s="1">
        <v>1</v>
      </c>
      <c r="P39" s="94">
        <v>2</v>
      </c>
      <c r="Q39" s="4">
        <v>0</v>
      </c>
      <c r="R39" s="2">
        <v>0</v>
      </c>
      <c r="S39" s="25" t="s">
        <v>512</v>
      </c>
      <c r="V39" s="41" t="s">
        <v>513</v>
      </c>
      <c r="W39" s="43" t="s">
        <v>514</v>
      </c>
      <c r="AB39" s="2">
        <v>3.21</v>
      </c>
      <c r="AC39" s="2">
        <v>12.96</v>
      </c>
      <c r="AD39" s="2">
        <v>0.28000000000000003</v>
      </c>
    </row>
    <row r="40" spans="1:30" x14ac:dyDescent="0.25">
      <c r="A40" s="25" t="s">
        <v>515</v>
      </c>
      <c r="B40" s="134" t="s">
        <v>516</v>
      </c>
      <c r="C40" s="1">
        <v>1</v>
      </c>
      <c r="D40" s="1">
        <v>2</v>
      </c>
      <c r="E40" s="1">
        <v>6</v>
      </c>
      <c r="F40" s="1" t="s">
        <v>517</v>
      </c>
      <c r="G40" s="1">
        <v>2042</v>
      </c>
      <c r="H40" s="1" t="s">
        <v>370</v>
      </c>
      <c r="I40" s="94">
        <v>155</v>
      </c>
      <c r="J40" s="2">
        <v>0.92100000000000004</v>
      </c>
      <c r="L40" s="135">
        <v>46204</v>
      </c>
      <c r="M40" s="3" t="s">
        <v>391</v>
      </c>
      <c r="O40" s="1">
        <v>1</v>
      </c>
      <c r="P40" s="94">
        <v>2</v>
      </c>
      <c r="Q40" s="4">
        <v>0</v>
      </c>
      <c r="R40" s="2">
        <v>0</v>
      </c>
      <c r="S40" s="25" t="s">
        <v>518</v>
      </c>
      <c r="V40" s="41" t="s">
        <v>519</v>
      </c>
      <c r="W40" s="43" t="s">
        <v>387</v>
      </c>
      <c r="AB40" s="2">
        <v>5.87</v>
      </c>
      <c r="AC40" s="2">
        <v>5.98</v>
      </c>
      <c r="AD40" s="2">
        <v>0.28000000000000003</v>
      </c>
    </row>
    <row r="41" spans="1:30" x14ac:dyDescent="0.25">
      <c r="A41" s="25" t="s">
        <v>520</v>
      </c>
      <c r="B41" s="134" t="s">
        <v>521</v>
      </c>
      <c r="C41" s="1">
        <v>1</v>
      </c>
      <c r="D41" s="1">
        <v>2</v>
      </c>
      <c r="E41" s="1">
        <v>4</v>
      </c>
      <c r="F41" s="1" t="s">
        <v>522</v>
      </c>
      <c r="G41" s="1">
        <v>4677</v>
      </c>
      <c r="H41" s="1" t="s">
        <v>370</v>
      </c>
      <c r="I41" s="94">
        <v>155</v>
      </c>
      <c r="J41" s="2">
        <v>2.512</v>
      </c>
      <c r="L41" s="135">
        <v>46204</v>
      </c>
      <c r="M41" s="3" t="s">
        <v>378</v>
      </c>
      <c r="O41" s="1">
        <v>1</v>
      </c>
      <c r="P41" s="94">
        <v>2</v>
      </c>
      <c r="Q41" s="4">
        <v>0</v>
      </c>
      <c r="R41" s="2">
        <v>0</v>
      </c>
      <c r="S41" s="25" t="s">
        <v>523</v>
      </c>
      <c r="V41" s="41" t="s">
        <v>524</v>
      </c>
      <c r="W41" s="43" t="s">
        <v>525</v>
      </c>
      <c r="AB41" s="2">
        <v>4.93</v>
      </c>
      <c r="AC41" s="2">
        <v>23.51</v>
      </c>
      <c r="AD41" s="2">
        <v>0.28000000000000003</v>
      </c>
    </row>
    <row r="42" spans="1:30" x14ac:dyDescent="0.25">
      <c r="A42" s="25" t="s">
        <v>526</v>
      </c>
      <c r="B42" s="134" t="s">
        <v>527</v>
      </c>
      <c r="C42" s="1">
        <v>1</v>
      </c>
      <c r="D42" s="1">
        <v>1</v>
      </c>
      <c r="E42" s="1">
        <v>1</v>
      </c>
      <c r="F42" s="1" t="s">
        <v>528</v>
      </c>
      <c r="G42" s="1">
        <v>3351</v>
      </c>
      <c r="H42" s="1" t="s">
        <v>370</v>
      </c>
      <c r="I42" s="94">
        <v>154</v>
      </c>
      <c r="J42" s="2">
        <v>0.49099999999999999</v>
      </c>
      <c r="L42" s="135">
        <v>46204</v>
      </c>
      <c r="M42" s="3" t="s">
        <v>371</v>
      </c>
      <c r="O42" s="1">
        <v>1</v>
      </c>
      <c r="P42" s="94">
        <v>2</v>
      </c>
      <c r="Q42" s="4">
        <v>0</v>
      </c>
      <c r="R42" s="2">
        <v>0</v>
      </c>
      <c r="S42" s="25" t="s">
        <v>529</v>
      </c>
      <c r="V42" s="41" t="s">
        <v>530</v>
      </c>
      <c r="W42" s="43" t="s">
        <v>467</v>
      </c>
      <c r="AB42" s="2">
        <v>3.21</v>
      </c>
      <c r="AC42" s="2">
        <v>19.04</v>
      </c>
      <c r="AD42" s="2">
        <v>0.28000000000000003</v>
      </c>
    </row>
    <row r="43" spans="1:30" x14ac:dyDescent="0.25">
      <c r="A43" s="25" t="s">
        <v>531</v>
      </c>
      <c r="B43" s="134" t="s">
        <v>532</v>
      </c>
      <c r="C43" s="1">
        <v>1</v>
      </c>
      <c r="D43" s="1">
        <v>2</v>
      </c>
      <c r="E43" s="1">
        <v>2</v>
      </c>
      <c r="F43" s="1" t="s">
        <v>533</v>
      </c>
      <c r="G43" s="1">
        <v>3193</v>
      </c>
      <c r="H43" s="1" t="s">
        <v>370</v>
      </c>
      <c r="I43" s="94">
        <v>155</v>
      </c>
      <c r="J43" s="2">
        <v>1.093</v>
      </c>
      <c r="L43" s="135">
        <v>46204</v>
      </c>
      <c r="M43" s="3" t="s">
        <v>391</v>
      </c>
      <c r="O43" s="1">
        <v>1</v>
      </c>
      <c r="P43" s="94">
        <v>2</v>
      </c>
      <c r="Q43" s="4">
        <v>0</v>
      </c>
      <c r="R43" s="2">
        <v>0</v>
      </c>
      <c r="S43" s="25" t="s">
        <v>534</v>
      </c>
      <c r="V43" s="41" t="s">
        <v>535</v>
      </c>
      <c r="W43" s="43" t="s">
        <v>374</v>
      </c>
      <c r="AB43" s="2">
        <v>3.99</v>
      </c>
      <c r="AC43" s="2">
        <v>9.2899999999999991</v>
      </c>
      <c r="AD43" s="2">
        <v>0.28000000000000003</v>
      </c>
    </row>
    <row r="44" spans="1:30" x14ac:dyDescent="0.25">
      <c r="A44" s="25" t="s">
        <v>536</v>
      </c>
      <c r="B44" s="134" t="s">
        <v>537</v>
      </c>
      <c r="C44" s="1">
        <v>1</v>
      </c>
      <c r="D44" s="1">
        <v>1</v>
      </c>
      <c r="E44" s="1">
        <v>1</v>
      </c>
      <c r="F44" s="1" t="s">
        <v>538</v>
      </c>
      <c r="G44" s="1">
        <v>2225</v>
      </c>
      <c r="H44" s="1" t="s">
        <v>370</v>
      </c>
      <c r="I44" s="94">
        <v>155</v>
      </c>
      <c r="J44" s="2">
        <v>0.45700000000000002</v>
      </c>
      <c r="L44" s="135">
        <v>46204</v>
      </c>
      <c r="M44" s="3" t="s">
        <v>371</v>
      </c>
      <c r="O44" s="1">
        <v>1</v>
      </c>
      <c r="P44" s="94">
        <v>2</v>
      </c>
      <c r="Q44" s="4">
        <v>0</v>
      </c>
      <c r="R44" s="2">
        <v>0</v>
      </c>
      <c r="S44" s="25" t="s">
        <v>539</v>
      </c>
      <c r="V44" s="41" t="s">
        <v>540</v>
      </c>
      <c r="W44" s="43" t="s">
        <v>387</v>
      </c>
      <c r="AB44" s="2">
        <v>3.21</v>
      </c>
      <c r="AC44" s="2">
        <v>5.52</v>
      </c>
      <c r="AD44" s="2">
        <v>0.28000000000000003</v>
      </c>
    </row>
    <row r="45" spans="1:30" x14ac:dyDescent="0.25">
      <c r="A45" s="25" t="s">
        <v>541</v>
      </c>
      <c r="B45" s="134" t="s">
        <v>542</v>
      </c>
      <c r="C45" s="1">
        <v>1</v>
      </c>
      <c r="D45" s="1">
        <v>4</v>
      </c>
      <c r="E45" s="1">
        <v>7</v>
      </c>
      <c r="F45" s="1" t="s">
        <v>543</v>
      </c>
      <c r="G45" s="1">
        <v>2798</v>
      </c>
      <c r="H45" s="1" t="s">
        <v>370</v>
      </c>
      <c r="I45" s="94">
        <v>155</v>
      </c>
      <c r="J45" s="2">
        <v>1.1080000000000001</v>
      </c>
      <c r="L45" s="135">
        <v>46204</v>
      </c>
      <c r="M45" s="3" t="s">
        <v>405</v>
      </c>
      <c r="O45" s="1">
        <v>1</v>
      </c>
      <c r="P45" s="94">
        <v>2</v>
      </c>
      <c r="Q45" s="4">
        <v>0</v>
      </c>
      <c r="R45" s="2">
        <v>0</v>
      </c>
      <c r="S45" s="25" t="s">
        <v>544</v>
      </c>
      <c r="V45" s="41" t="s">
        <v>545</v>
      </c>
      <c r="W45" s="43" t="s">
        <v>478</v>
      </c>
      <c r="AB45" s="2">
        <v>6.96</v>
      </c>
      <c r="AC45" s="2">
        <v>15.27</v>
      </c>
      <c r="AD45" s="2">
        <v>0</v>
      </c>
    </row>
    <row r="46" spans="1:30" x14ac:dyDescent="0.25">
      <c r="A46" s="25" t="s">
        <v>546</v>
      </c>
      <c r="B46" s="134" t="s">
        <v>547</v>
      </c>
      <c r="C46" s="1">
        <v>1</v>
      </c>
      <c r="D46" s="1">
        <v>2</v>
      </c>
      <c r="E46" s="1">
        <v>2</v>
      </c>
      <c r="F46" s="1" t="s">
        <v>548</v>
      </c>
      <c r="G46" s="1">
        <v>2756</v>
      </c>
      <c r="H46" s="1" t="s">
        <v>370</v>
      </c>
      <c r="I46" s="94">
        <v>155</v>
      </c>
      <c r="J46" s="2">
        <v>0.34100000000000003</v>
      </c>
      <c r="L46" s="135">
        <v>46204</v>
      </c>
      <c r="M46" s="3" t="s">
        <v>371</v>
      </c>
      <c r="O46" s="1">
        <v>1</v>
      </c>
      <c r="P46" s="94">
        <v>2</v>
      </c>
      <c r="Q46" s="4">
        <v>0</v>
      </c>
      <c r="R46" s="2">
        <v>0</v>
      </c>
      <c r="S46" s="25" t="s">
        <v>549</v>
      </c>
      <c r="V46" s="41" t="s">
        <v>550</v>
      </c>
      <c r="W46" s="43" t="s">
        <v>551</v>
      </c>
      <c r="AB46" s="2">
        <v>3.99</v>
      </c>
      <c r="AC46" s="2">
        <v>7.25</v>
      </c>
      <c r="AD46" s="2">
        <v>0.28000000000000003</v>
      </c>
    </row>
    <row r="47" spans="1:30" x14ac:dyDescent="0.25">
      <c r="A47" s="25" t="s">
        <v>552</v>
      </c>
      <c r="B47" s="134" t="s">
        <v>553</v>
      </c>
      <c r="C47" s="1">
        <v>1</v>
      </c>
      <c r="D47" s="1">
        <v>1</v>
      </c>
      <c r="E47" s="1">
        <v>1</v>
      </c>
      <c r="F47" s="1" t="s">
        <v>554</v>
      </c>
      <c r="G47" s="1">
        <v>5041</v>
      </c>
      <c r="H47" s="1" t="s">
        <v>370</v>
      </c>
      <c r="I47" s="94">
        <v>155</v>
      </c>
      <c r="J47" s="2">
        <v>0.44900000000000001</v>
      </c>
      <c r="L47" s="135">
        <v>46204</v>
      </c>
      <c r="M47" s="3" t="s">
        <v>371</v>
      </c>
      <c r="O47" s="1">
        <v>1</v>
      </c>
      <c r="P47" s="94">
        <v>2</v>
      </c>
      <c r="Q47" s="4">
        <v>0</v>
      </c>
      <c r="R47" s="2">
        <v>0</v>
      </c>
      <c r="S47" s="25" t="s">
        <v>555</v>
      </c>
      <c r="V47" s="41" t="s">
        <v>556</v>
      </c>
      <c r="W47" s="43" t="s">
        <v>446</v>
      </c>
      <c r="AB47" s="2">
        <v>3.21</v>
      </c>
      <c r="AC47" s="2">
        <v>7.16</v>
      </c>
      <c r="AD47" s="2">
        <v>0.28000000000000003</v>
      </c>
    </row>
    <row r="48" spans="1:30" x14ac:dyDescent="0.25">
      <c r="A48" s="25" t="s">
        <v>557</v>
      </c>
      <c r="B48" s="134" t="s">
        <v>558</v>
      </c>
      <c r="C48" s="1">
        <v>1</v>
      </c>
      <c r="D48" s="1">
        <v>5</v>
      </c>
      <c r="E48" s="1">
        <v>5</v>
      </c>
      <c r="F48" s="1" t="s">
        <v>559</v>
      </c>
      <c r="G48" s="1">
        <v>2226</v>
      </c>
      <c r="H48" s="1" t="s">
        <v>370</v>
      </c>
      <c r="I48" s="94">
        <v>155</v>
      </c>
      <c r="J48" s="2">
        <v>1.038</v>
      </c>
      <c r="L48" s="135">
        <v>46204</v>
      </c>
      <c r="M48" s="3" t="s">
        <v>391</v>
      </c>
      <c r="O48" s="1">
        <v>1</v>
      </c>
      <c r="P48" s="94">
        <v>2</v>
      </c>
      <c r="Q48" s="4">
        <v>0</v>
      </c>
      <c r="R48" s="2">
        <v>0</v>
      </c>
      <c r="S48" s="25" t="s">
        <v>560</v>
      </c>
      <c r="V48" s="41" t="s">
        <v>561</v>
      </c>
      <c r="W48" s="43" t="s">
        <v>387</v>
      </c>
      <c r="AB48" s="2">
        <v>6.33</v>
      </c>
      <c r="AC48" s="2">
        <v>5.98</v>
      </c>
      <c r="AD48" s="2">
        <v>0.28000000000000003</v>
      </c>
    </row>
    <row r="49" spans="1:30" x14ac:dyDescent="0.25">
      <c r="A49" s="25" t="s">
        <v>562</v>
      </c>
      <c r="B49" s="134" t="s">
        <v>563</v>
      </c>
      <c r="C49" s="1">
        <v>1</v>
      </c>
      <c r="D49" s="1">
        <v>1</v>
      </c>
      <c r="E49" s="1">
        <v>1</v>
      </c>
      <c r="F49" s="1" t="s">
        <v>564</v>
      </c>
      <c r="G49" s="1">
        <v>3350</v>
      </c>
      <c r="H49" s="1" t="s">
        <v>370</v>
      </c>
      <c r="I49" s="94">
        <v>155</v>
      </c>
      <c r="J49" s="2">
        <v>0.46500000000000002</v>
      </c>
      <c r="L49" s="135">
        <v>46204</v>
      </c>
      <c r="M49" s="3" t="s">
        <v>371</v>
      </c>
      <c r="O49" s="1">
        <v>1</v>
      </c>
      <c r="P49" s="94">
        <v>2</v>
      </c>
      <c r="Q49" s="4">
        <v>0</v>
      </c>
      <c r="R49" s="2">
        <v>0</v>
      </c>
      <c r="S49" s="25" t="s">
        <v>565</v>
      </c>
      <c r="V49" s="41" t="s">
        <v>566</v>
      </c>
      <c r="W49" s="43" t="s">
        <v>567</v>
      </c>
      <c r="AB49" s="2">
        <v>3.21</v>
      </c>
      <c r="AC49" s="2">
        <v>8.41</v>
      </c>
      <c r="AD49" s="2">
        <v>0.28000000000000003</v>
      </c>
    </row>
    <row r="50" spans="1:30" x14ac:dyDescent="0.25">
      <c r="A50" s="25" t="s">
        <v>568</v>
      </c>
      <c r="B50" s="134" t="s">
        <v>569</v>
      </c>
      <c r="C50" s="1">
        <v>1</v>
      </c>
      <c r="D50" s="1">
        <v>5</v>
      </c>
      <c r="E50" s="1">
        <v>6</v>
      </c>
      <c r="F50" s="1" t="s">
        <v>570</v>
      </c>
      <c r="G50" s="1">
        <v>3030</v>
      </c>
      <c r="H50" s="1" t="s">
        <v>370</v>
      </c>
      <c r="I50" s="94">
        <v>155</v>
      </c>
      <c r="J50" s="2">
        <v>1.6</v>
      </c>
      <c r="L50" s="135">
        <v>46204</v>
      </c>
      <c r="M50" s="3" t="s">
        <v>391</v>
      </c>
      <c r="O50" s="1">
        <v>1</v>
      </c>
      <c r="P50" s="94">
        <v>2</v>
      </c>
      <c r="Q50" s="4">
        <v>0</v>
      </c>
      <c r="R50" s="2">
        <v>0</v>
      </c>
      <c r="S50" s="25" t="s">
        <v>571</v>
      </c>
      <c r="V50" s="41" t="s">
        <v>572</v>
      </c>
      <c r="W50" s="43" t="s">
        <v>374</v>
      </c>
      <c r="AB50" s="2">
        <v>6.8</v>
      </c>
      <c r="AC50" s="2">
        <v>9.2899999999999991</v>
      </c>
      <c r="AD50" s="2">
        <v>0.28000000000000003</v>
      </c>
    </row>
    <row r="51" spans="1:30" x14ac:dyDescent="0.25">
      <c r="A51" s="25" t="s">
        <v>573</v>
      </c>
      <c r="B51" s="134" t="s">
        <v>574</v>
      </c>
      <c r="C51" s="1">
        <v>1</v>
      </c>
      <c r="D51" s="1">
        <v>2</v>
      </c>
      <c r="E51" s="1">
        <v>2</v>
      </c>
      <c r="F51" s="1" t="s">
        <v>575</v>
      </c>
      <c r="G51" s="1">
        <v>2289</v>
      </c>
      <c r="H51" s="1" t="s">
        <v>370</v>
      </c>
      <c r="I51" s="94">
        <v>155</v>
      </c>
      <c r="J51" s="2">
        <v>0.88200000000000001</v>
      </c>
      <c r="L51" s="135">
        <v>46204</v>
      </c>
      <c r="M51" s="3" t="s">
        <v>391</v>
      </c>
      <c r="O51" s="1">
        <v>1</v>
      </c>
      <c r="P51" s="94">
        <v>2</v>
      </c>
      <c r="Q51" s="4">
        <v>0</v>
      </c>
      <c r="R51" s="2">
        <v>0</v>
      </c>
      <c r="S51" s="25" t="s">
        <v>576</v>
      </c>
      <c r="V51" s="41" t="s">
        <v>577</v>
      </c>
      <c r="W51" s="43" t="s">
        <v>578</v>
      </c>
      <c r="AB51" s="2">
        <v>3.99</v>
      </c>
      <c r="AC51" s="2">
        <v>8.1</v>
      </c>
      <c r="AD51" s="2">
        <v>0.28000000000000003</v>
      </c>
    </row>
    <row r="52" spans="1:30" x14ac:dyDescent="0.25">
      <c r="A52" s="25" t="s">
        <v>579</v>
      </c>
      <c r="B52" s="134" t="s">
        <v>580</v>
      </c>
      <c r="C52" s="1">
        <v>1</v>
      </c>
      <c r="D52" s="1">
        <v>1</v>
      </c>
      <c r="E52" s="1">
        <v>1</v>
      </c>
      <c r="F52" s="1" t="s">
        <v>581</v>
      </c>
      <c r="G52" s="1">
        <v>6155</v>
      </c>
      <c r="H52" s="1" t="s">
        <v>370</v>
      </c>
      <c r="I52" s="94">
        <v>155</v>
      </c>
      <c r="J52" s="2">
        <v>0.55000000000000004</v>
      </c>
      <c r="L52" s="135">
        <v>46204</v>
      </c>
      <c r="M52" s="3" t="s">
        <v>371</v>
      </c>
      <c r="O52" s="1">
        <v>1</v>
      </c>
      <c r="P52" s="94">
        <v>2</v>
      </c>
      <c r="Q52" s="4">
        <v>0</v>
      </c>
      <c r="R52" s="2">
        <v>0</v>
      </c>
      <c r="S52" s="25" t="s">
        <v>582</v>
      </c>
      <c r="V52" s="41" t="s">
        <v>583</v>
      </c>
      <c r="W52" s="43" t="s">
        <v>514</v>
      </c>
      <c r="AB52" s="2">
        <v>3.21</v>
      </c>
      <c r="AC52" s="2">
        <v>12.96</v>
      </c>
      <c r="AD52" s="2">
        <v>0.28000000000000003</v>
      </c>
    </row>
    <row r="53" spans="1:30" x14ac:dyDescent="0.25">
      <c r="A53" s="25" t="s">
        <v>584</v>
      </c>
      <c r="B53" s="134" t="s">
        <v>585</v>
      </c>
      <c r="C53" s="1">
        <v>1</v>
      </c>
      <c r="D53" s="1">
        <v>8</v>
      </c>
      <c r="E53" s="1">
        <v>11</v>
      </c>
      <c r="F53" s="1" t="s">
        <v>586</v>
      </c>
      <c r="G53" s="1">
        <v>3531</v>
      </c>
      <c r="H53" s="1" t="s">
        <v>370</v>
      </c>
      <c r="I53" s="94">
        <v>155</v>
      </c>
      <c r="J53" s="2">
        <v>3.403</v>
      </c>
      <c r="L53" s="135">
        <v>46204</v>
      </c>
      <c r="M53" s="3" t="s">
        <v>587</v>
      </c>
      <c r="O53" s="1">
        <v>1</v>
      </c>
      <c r="P53" s="94">
        <v>2</v>
      </c>
      <c r="Q53" s="4">
        <v>0</v>
      </c>
      <c r="R53" s="2">
        <v>0</v>
      </c>
      <c r="S53" s="25" t="s">
        <v>588</v>
      </c>
      <c r="V53" s="41" t="s">
        <v>589</v>
      </c>
      <c r="W53" s="43" t="s">
        <v>467</v>
      </c>
      <c r="AB53" s="2">
        <v>10.08</v>
      </c>
      <c r="AC53" s="2">
        <v>23.82</v>
      </c>
      <c r="AD53" s="2">
        <v>1.04</v>
      </c>
    </row>
    <row r="54" spans="1:30" x14ac:dyDescent="0.25">
      <c r="A54" s="25" t="s">
        <v>590</v>
      </c>
      <c r="B54" s="134" t="s">
        <v>591</v>
      </c>
      <c r="C54" s="1">
        <v>1</v>
      </c>
      <c r="D54" s="1">
        <v>1</v>
      </c>
      <c r="E54" s="1">
        <v>1</v>
      </c>
      <c r="F54" s="1" t="s">
        <v>592</v>
      </c>
      <c r="G54" s="1">
        <v>3850</v>
      </c>
      <c r="H54" s="1" t="s">
        <v>370</v>
      </c>
      <c r="I54" s="94">
        <v>155</v>
      </c>
      <c r="J54" s="2">
        <v>0.45</v>
      </c>
      <c r="L54" s="135">
        <v>46204</v>
      </c>
      <c r="M54" s="3" t="s">
        <v>371</v>
      </c>
      <c r="O54" s="1">
        <v>1</v>
      </c>
      <c r="P54" s="94">
        <v>2</v>
      </c>
      <c r="Q54" s="4">
        <v>0</v>
      </c>
      <c r="R54" s="2">
        <v>0</v>
      </c>
      <c r="S54" s="25" t="s">
        <v>593</v>
      </c>
      <c r="V54" s="41" t="s">
        <v>594</v>
      </c>
      <c r="W54" s="43" t="s">
        <v>467</v>
      </c>
      <c r="AB54" s="2">
        <v>3.21</v>
      </c>
      <c r="AC54" s="2">
        <v>11.61</v>
      </c>
      <c r="AD54" s="2">
        <v>0.28000000000000003</v>
      </c>
    </row>
    <row r="55" spans="1:30" x14ac:dyDescent="0.25">
      <c r="A55" s="25" t="s">
        <v>595</v>
      </c>
      <c r="B55" s="134" t="s">
        <v>596</v>
      </c>
      <c r="C55" s="1">
        <v>1</v>
      </c>
      <c r="D55" s="1">
        <v>3</v>
      </c>
      <c r="E55" s="1">
        <v>3</v>
      </c>
      <c r="F55" s="1" t="s">
        <v>597</v>
      </c>
      <c r="G55" s="1">
        <v>4218</v>
      </c>
      <c r="H55" s="1" t="s">
        <v>370</v>
      </c>
      <c r="I55" s="94">
        <v>155</v>
      </c>
      <c r="J55" s="2">
        <v>0.47699999999999998</v>
      </c>
      <c r="L55" s="135">
        <v>46204</v>
      </c>
      <c r="M55" s="3" t="s">
        <v>371</v>
      </c>
      <c r="O55" s="1">
        <v>1</v>
      </c>
      <c r="P55" s="94">
        <v>2</v>
      </c>
      <c r="Q55" s="4">
        <v>0</v>
      </c>
      <c r="R55" s="2">
        <v>0</v>
      </c>
      <c r="S55" s="25" t="s">
        <v>598</v>
      </c>
      <c r="V55" s="41" t="s">
        <v>599</v>
      </c>
      <c r="W55" s="43" t="s">
        <v>394</v>
      </c>
      <c r="AB55" s="2">
        <v>4.7699999999999996</v>
      </c>
      <c r="AC55" s="2">
        <v>8.41</v>
      </c>
      <c r="AD55" s="2">
        <v>0.28000000000000003</v>
      </c>
    </row>
    <row r="56" spans="1:30" x14ac:dyDescent="0.25">
      <c r="A56" s="25" t="s">
        <v>600</v>
      </c>
      <c r="B56" s="134" t="s">
        <v>601</v>
      </c>
      <c r="C56" s="1">
        <v>1</v>
      </c>
      <c r="D56" s="1">
        <v>1</v>
      </c>
      <c r="E56" s="1">
        <v>1</v>
      </c>
      <c r="F56" s="1" t="s">
        <v>602</v>
      </c>
      <c r="G56" s="1">
        <v>3820</v>
      </c>
      <c r="H56" s="1" t="s">
        <v>370</v>
      </c>
      <c r="I56" s="94">
        <v>155</v>
      </c>
      <c r="J56" s="2">
        <v>0.44900000000000001</v>
      </c>
      <c r="L56" s="135">
        <v>46205</v>
      </c>
      <c r="M56" s="3" t="s">
        <v>371</v>
      </c>
      <c r="O56" s="1">
        <v>1</v>
      </c>
      <c r="P56" s="94">
        <v>2</v>
      </c>
      <c r="Q56" s="4">
        <v>0</v>
      </c>
      <c r="R56" s="2">
        <v>0</v>
      </c>
      <c r="S56" s="25" t="s">
        <v>603</v>
      </c>
      <c r="V56" s="41" t="s">
        <v>604</v>
      </c>
      <c r="W56" s="43" t="s">
        <v>467</v>
      </c>
      <c r="AB56" s="2">
        <v>3.21</v>
      </c>
      <c r="AC56" s="2">
        <v>11.61</v>
      </c>
      <c r="AD56" s="2">
        <v>0.28000000000000003</v>
      </c>
    </row>
    <row r="57" spans="1:30" x14ac:dyDescent="0.25">
      <c r="A57" s="25" t="s">
        <v>605</v>
      </c>
      <c r="B57" s="134" t="s">
        <v>606</v>
      </c>
      <c r="C57" s="1">
        <v>1</v>
      </c>
      <c r="D57" s="1">
        <v>5</v>
      </c>
      <c r="E57" s="1">
        <v>5</v>
      </c>
      <c r="F57" s="1" t="s">
        <v>607</v>
      </c>
      <c r="G57" s="1">
        <v>4007</v>
      </c>
      <c r="H57" s="1" t="s">
        <v>370</v>
      </c>
      <c r="I57" s="94">
        <v>155</v>
      </c>
      <c r="J57" s="2">
        <v>0.79100000000000004</v>
      </c>
      <c r="L57" s="135">
        <v>46205</v>
      </c>
      <c r="M57" s="3" t="s">
        <v>391</v>
      </c>
      <c r="O57" s="1">
        <v>1</v>
      </c>
      <c r="P57" s="94">
        <v>2</v>
      </c>
      <c r="Q57" s="4">
        <v>0</v>
      </c>
      <c r="R57" s="2">
        <v>0</v>
      </c>
      <c r="S57" s="25" t="s">
        <v>608</v>
      </c>
      <c r="V57" s="41" t="s">
        <v>609</v>
      </c>
      <c r="W57" s="43" t="s">
        <v>435</v>
      </c>
      <c r="AB57" s="2">
        <v>6.33</v>
      </c>
      <c r="AC57" s="2">
        <v>8.6199999999999992</v>
      </c>
      <c r="AD57" s="2">
        <v>0.28000000000000003</v>
      </c>
    </row>
    <row r="58" spans="1:30" x14ac:dyDescent="0.25">
      <c r="A58" s="25" t="s">
        <v>610</v>
      </c>
      <c r="B58" s="134" t="s">
        <v>611</v>
      </c>
      <c r="C58" s="1">
        <v>1</v>
      </c>
      <c r="D58" s="1">
        <v>2</v>
      </c>
      <c r="E58" s="1">
        <v>2</v>
      </c>
      <c r="F58" s="1" t="s">
        <v>612</v>
      </c>
      <c r="G58" s="1">
        <v>3186</v>
      </c>
      <c r="H58" s="1" t="s">
        <v>370</v>
      </c>
      <c r="I58" s="94">
        <v>155</v>
      </c>
      <c r="J58" s="2">
        <v>0.86399999999999999</v>
      </c>
      <c r="L58" s="135">
        <v>46205</v>
      </c>
      <c r="M58" s="3" t="s">
        <v>371</v>
      </c>
      <c r="O58" s="1">
        <v>1</v>
      </c>
      <c r="P58" s="94">
        <v>2</v>
      </c>
      <c r="Q58" s="4">
        <v>0</v>
      </c>
      <c r="R58" s="2">
        <v>0</v>
      </c>
      <c r="S58" s="25" t="s">
        <v>613</v>
      </c>
      <c r="V58" s="41" t="s">
        <v>614</v>
      </c>
      <c r="W58" s="43" t="s">
        <v>374</v>
      </c>
      <c r="AB58" s="2">
        <v>3.99</v>
      </c>
      <c r="AC58" s="2">
        <v>8.6199999999999992</v>
      </c>
      <c r="AD58" s="2">
        <v>0.28000000000000003</v>
      </c>
    </row>
    <row r="59" spans="1:30" x14ac:dyDescent="0.25">
      <c r="A59" s="25" t="s">
        <v>615</v>
      </c>
      <c r="B59" s="134" t="s">
        <v>616</v>
      </c>
      <c r="C59" s="1">
        <v>1</v>
      </c>
      <c r="D59" s="1">
        <v>1</v>
      </c>
      <c r="E59" s="1">
        <v>1</v>
      </c>
      <c r="F59" s="1" t="s">
        <v>617</v>
      </c>
      <c r="G59" s="1">
        <v>3978</v>
      </c>
      <c r="H59" s="1" t="s">
        <v>370</v>
      </c>
      <c r="I59" s="94">
        <v>155</v>
      </c>
      <c r="J59" s="2">
        <v>0.20599999999999999</v>
      </c>
      <c r="L59" s="135">
        <v>46205</v>
      </c>
      <c r="M59" s="3" t="s">
        <v>371</v>
      </c>
      <c r="O59" s="1">
        <v>1</v>
      </c>
      <c r="P59" s="94">
        <v>2</v>
      </c>
      <c r="Q59" s="4">
        <v>0</v>
      </c>
      <c r="R59" s="2">
        <v>0</v>
      </c>
      <c r="S59" s="25" t="s">
        <v>618</v>
      </c>
      <c r="V59" s="41" t="s">
        <v>619</v>
      </c>
      <c r="W59" s="43" t="s">
        <v>620</v>
      </c>
      <c r="AB59" s="2">
        <v>3.21</v>
      </c>
      <c r="AC59" s="2">
        <v>8.41</v>
      </c>
      <c r="AD59" s="2">
        <v>0.28000000000000003</v>
      </c>
    </row>
    <row r="60" spans="1:30" x14ac:dyDescent="0.25">
      <c r="A60" s="25" t="s">
        <v>621</v>
      </c>
      <c r="B60" s="134" t="s">
        <v>622</v>
      </c>
      <c r="C60" s="1">
        <v>1</v>
      </c>
      <c r="D60" s="1">
        <v>1</v>
      </c>
      <c r="E60" s="1">
        <v>1</v>
      </c>
      <c r="F60" s="1" t="s">
        <v>623</v>
      </c>
      <c r="G60" s="1">
        <v>2526</v>
      </c>
      <c r="H60" s="1" t="s">
        <v>370</v>
      </c>
      <c r="I60" s="94">
        <v>155</v>
      </c>
      <c r="J60" s="2">
        <v>0.53</v>
      </c>
      <c r="L60" s="135">
        <v>46205</v>
      </c>
      <c r="M60" s="3" t="s">
        <v>371</v>
      </c>
      <c r="O60" s="1">
        <v>1</v>
      </c>
      <c r="P60" s="94">
        <v>2</v>
      </c>
      <c r="Q60" s="4">
        <v>0</v>
      </c>
      <c r="R60" s="2">
        <v>0</v>
      </c>
      <c r="S60" s="25" t="s">
        <v>624</v>
      </c>
      <c r="V60" s="41" t="s">
        <v>625</v>
      </c>
      <c r="W60" s="43" t="s">
        <v>626</v>
      </c>
      <c r="AB60" s="2">
        <v>3.21</v>
      </c>
      <c r="AC60" s="2">
        <v>8.1</v>
      </c>
      <c r="AD60" s="2">
        <v>0.28000000000000003</v>
      </c>
    </row>
    <row r="61" spans="1:30" x14ac:dyDescent="0.25">
      <c r="A61" s="25" t="s">
        <v>627</v>
      </c>
      <c r="B61" s="134" t="s">
        <v>628</v>
      </c>
      <c r="C61" s="1">
        <v>1</v>
      </c>
      <c r="D61" s="1">
        <v>8</v>
      </c>
      <c r="E61" s="1">
        <v>8</v>
      </c>
      <c r="F61" s="1" t="s">
        <v>629</v>
      </c>
      <c r="G61" s="1">
        <v>4179</v>
      </c>
      <c r="H61" s="1" t="s">
        <v>370</v>
      </c>
      <c r="I61" s="94">
        <v>155</v>
      </c>
      <c r="J61" s="2">
        <v>3.4430000000000001</v>
      </c>
      <c r="L61" s="135">
        <v>46205</v>
      </c>
      <c r="M61" s="3" t="s">
        <v>378</v>
      </c>
      <c r="O61" s="1">
        <v>1</v>
      </c>
      <c r="P61" s="94">
        <v>2</v>
      </c>
      <c r="Q61" s="4">
        <v>0</v>
      </c>
      <c r="R61" s="2">
        <v>0</v>
      </c>
      <c r="S61" s="25" t="s">
        <v>630</v>
      </c>
      <c r="V61" s="41" t="s">
        <v>631</v>
      </c>
      <c r="W61" s="43" t="s">
        <v>435</v>
      </c>
      <c r="AB61" s="2">
        <v>8.67</v>
      </c>
      <c r="AC61" s="2">
        <v>10.92</v>
      </c>
      <c r="AD61" s="2">
        <v>0.28000000000000003</v>
      </c>
    </row>
    <row r="62" spans="1:30" x14ac:dyDescent="0.25">
      <c r="A62" s="25" t="s">
        <v>632</v>
      </c>
      <c r="B62" s="134" t="s">
        <v>633</v>
      </c>
      <c r="C62" s="1">
        <v>1</v>
      </c>
      <c r="D62" s="1">
        <v>1</v>
      </c>
      <c r="E62" s="1">
        <v>1</v>
      </c>
      <c r="F62" s="1" t="s">
        <v>634</v>
      </c>
      <c r="G62" s="1">
        <v>4214</v>
      </c>
      <c r="H62" s="1" t="s">
        <v>370</v>
      </c>
      <c r="I62" s="94">
        <v>155</v>
      </c>
      <c r="J62" s="2">
        <v>0.18</v>
      </c>
      <c r="L62" s="135">
        <v>46205</v>
      </c>
      <c r="M62" s="3" t="s">
        <v>371</v>
      </c>
      <c r="O62" s="1">
        <v>1</v>
      </c>
      <c r="P62" s="94">
        <v>2</v>
      </c>
      <c r="Q62" s="4">
        <v>0</v>
      </c>
      <c r="R62" s="2">
        <v>0</v>
      </c>
      <c r="S62" s="25" t="s">
        <v>635</v>
      </c>
      <c r="V62" s="41" t="s">
        <v>636</v>
      </c>
      <c r="W62" s="43" t="s">
        <v>394</v>
      </c>
      <c r="AB62" s="2">
        <v>3.21</v>
      </c>
      <c r="AC62" s="2">
        <v>8.41</v>
      </c>
      <c r="AD62" s="2">
        <v>0.28000000000000003</v>
      </c>
    </row>
    <row r="63" spans="1:30" x14ac:dyDescent="0.25">
      <c r="A63" s="25" t="s">
        <v>637</v>
      </c>
      <c r="B63" s="134" t="s">
        <v>638</v>
      </c>
      <c r="C63" s="1">
        <v>1</v>
      </c>
      <c r="D63" s="1">
        <v>2</v>
      </c>
      <c r="E63" s="1">
        <v>2</v>
      </c>
      <c r="F63" s="1" t="s">
        <v>639</v>
      </c>
      <c r="G63" s="1">
        <v>2093</v>
      </c>
      <c r="H63" s="1" t="s">
        <v>370</v>
      </c>
      <c r="I63" s="94">
        <v>155</v>
      </c>
      <c r="J63" s="2">
        <v>0.9</v>
      </c>
      <c r="L63" s="135">
        <v>46205</v>
      </c>
      <c r="M63" s="3" t="s">
        <v>391</v>
      </c>
      <c r="O63" s="1">
        <v>1</v>
      </c>
      <c r="P63" s="94">
        <v>2</v>
      </c>
      <c r="Q63" s="4">
        <v>0</v>
      </c>
      <c r="R63" s="2">
        <v>0</v>
      </c>
      <c r="S63" s="25" t="s">
        <v>640</v>
      </c>
      <c r="V63" s="41" t="s">
        <v>489</v>
      </c>
      <c r="W63" s="43" t="s">
        <v>387</v>
      </c>
      <c r="AB63" s="2">
        <v>3.99</v>
      </c>
      <c r="AC63" s="2">
        <v>5.98</v>
      </c>
      <c r="AD63" s="2">
        <v>0.28000000000000003</v>
      </c>
    </row>
    <row r="64" spans="1:30" x14ac:dyDescent="0.25">
      <c r="A64" s="25" t="s">
        <v>641</v>
      </c>
      <c r="B64" s="134" t="s">
        <v>642</v>
      </c>
      <c r="C64" s="1">
        <v>1</v>
      </c>
      <c r="D64" s="1">
        <v>5</v>
      </c>
      <c r="E64" s="1">
        <v>5</v>
      </c>
      <c r="F64" s="1" t="s">
        <v>643</v>
      </c>
      <c r="G64" s="1">
        <v>5046</v>
      </c>
      <c r="H64" s="1" t="s">
        <v>370</v>
      </c>
      <c r="I64" s="94">
        <v>155</v>
      </c>
      <c r="J64" s="2">
        <v>0.78</v>
      </c>
      <c r="L64" s="135">
        <v>46205</v>
      </c>
      <c r="M64" s="3" t="s">
        <v>391</v>
      </c>
      <c r="O64" s="1">
        <v>1</v>
      </c>
      <c r="P64" s="94">
        <v>2</v>
      </c>
      <c r="Q64" s="4">
        <v>0</v>
      </c>
      <c r="R64" s="2">
        <v>0</v>
      </c>
      <c r="S64" s="25" t="s">
        <v>644</v>
      </c>
      <c r="V64" s="41" t="s">
        <v>645</v>
      </c>
      <c r="W64" s="43" t="s">
        <v>446</v>
      </c>
      <c r="AB64" s="2">
        <v>6.33</v>
      </c>
      <c r="AC64" s="2">
        <v>9.01</v>
      </c>
      <c r="AD64" s="2">
        <v>0.28000000000000003</v>
      </c>
    </row>
    <row r="65" spans="1:30" x14ac:dyDescent="0.25">
      <c r="A65" s="25" t="s">
        <v>646</v>
      </c>
      <c r="B65" s="134" t="s">
        <v>647</v>
      </c>
      <c r="C65" s="1">
        <v>1</v>
      </c>
      <c r="D65" s="1">
        <v>2</v>
      </c>
      <c r="E65" s="1">
        <v>2</v>
      </c>
      <c r="F65" s="1" t="s">
        <v>648</v>
      </c>
      <c r="G65" s="1">
        <v>4883</v>
      </c>
      <c r="H65" s="1" t="s">
        <v>370</v>
      </c>
      <c r="I65" s="94">
        <v>155</v>
      </c>
      <c r="J65" s="2">
        <v>0.9</v>
      </c>
      <c r="L65" s="135">
        <v>46205</v>
      </c>
      <c r="M65" s="3" t="s">
        <v>391</v>
      </c>
      <c r="O65" s="1">
        <v>1</v>
      </c>
      <c r="P65" s="94">
        <v>2</v>
      </c>
      <c r="Q65" s="4">
        <v>0</v>
      </c>
      <c r="R65" s="2">
        <v>0</v>
      </c>
      <c r="S65" s="25" t="s">
        <v>649</v>
      </c>
      <c r="V65" s="41" t="s">
        <v>650</v>
      </c>
      <c r="W65" s="43" t="s">
        <v>651</v>
      </c>
      <c r="AB65" s="2">
        <v>3.99</v>
      </c>
      <c r="AC65" s="2">
        <v>21.18</v>
      </c>
      <c r="AD65" s="2">
        <v>0.28000000000000003</v>
      </c>
    </row>
    <row r="66" spans="1:30" x14ac:dyDescent="0.25">
      <c r="A66" s="25" t="s">
        <v>652</v>
      </c>
      <c r="B66" s="134" t="s">
        <v>653</v>
      </c>
      <c r="C66" s="1">
        <v>1</v>
      </c>
      <c r="D66" s="1">
        <v>2</v>
      </c>
      <c r="E66" s="1">
        <v>3</v>
      </c>
      <c r="F66" s="1" t="s">
        <v>654</v>
      </c>
      <c r="G66" s="1">
        <v>2229</v>
      </c>
      <c r="H66" s="1" t="s">
        <v>370</v>
      </c>
      <c r="I66" s="94">
        <v>155</v>
      </c>
      <c r="J66" s="2">
        <v>1.5649999999999999</v>
      </c>
      <c r="L66" s="135">
        <v>46205</v>
      </c>
      <c r="M66" s="3" t="s">
        <v>378</v>
      </c>
      <c r="O66" s="1">
        <v>1</v>
      </c>
      <c r="P66" s="94">
        <v>2</v>
      </c>
      <c r="Q66" s="4">
        <v>0</v>
      </c>
      <c r="R66" s="2">
        <v>0</v>
      </c>
      <c r="S66" s="25" t="s">
        <v>655</v>
      </c>
      <c r="V66" s="41" t="s">
        <v>656</v>
      </c>
      <c r="W66" s="43" t="s">
        <v>387</v>
      </c>
      <c r="AB66" s="2">
        <v>4.46</v>
      </c>
      <c r="AC66" s="2">
        <v>5.98</v>
      </c>
      <c r="AD66" s="2">
        <v>0.28000000000000003</v>
      </c>
    </row>
    <row r="67" spans="1:30" x14ac:dyDescent="0.25">
      <c r="A67" s="25" t="s">
        <v>657</v>
      </c>
      <c r="B67" s="134" t="s">
        <v>658</v>
      </c>
      <c r="C67" s="1">
        <v>1</v>
      </c>
      <c r="D67" s="1">
        <v>1</v>
      </c>
      <c r="E67" s="1">
        <v>1</v>
      </c>
      <c r="F67" s="1" t="s">
        <v>659</v>
      </c>
      <c r="G67" s="1">
        <v>2285</v>
      </c>
      <c r="H67" s="1" t="s">
        <v>370</v>
      </c>
      <c r="I67" s="94">
        <v>155</v>
      </c>
      <c r="J67" s="2">
        <v>0.45300000000000001</v>
      </c>
      <c r="L67" s="135">
        <v>46205</v>
      </c>
      <c r="M67" s="3" t="s">
        <v>371</v>
      </c>
      <c r="O67" s="1">
        <v>1</v>
      </c>
      <c r="P67" s="94">
        <v>2</v>
      </c>
      <c r="Q67" s="4">
        <v>0</v>
      </c>
      <c r="R67" s="2">
        <v>0</v>
      </c>
      <c r="S67" s="25" t="s">
        <v>660</v>
      </c>
      <c r="V67" s="41" t="s">
        <v>661</v>
      </c>
      <c r="W67" s="43" t="s">
        <v>578</v>
      </c>
      <c r="AB67" s="2">
        <v>3.21</v>
      </c>
      <c r="AC67" s="2">
        <v>7.25</v>
      </c>
      <c r="AD67" s="2">
        <v>0.28000000000000003</v>
      </c>
    </row>
    <row r="68" spans="1:30" x14ac:dyDescent="0.25">
      <c r="A68" s="25" t="s">
        <v>662</v>
      </c>
      <c r="B68" s="134" t="s">
        <v>663</v>
      </c>
      <c r="C68" s="1">
        <v>1</v>
      </c>
      <c r="D68" s="1">
        <v>2</v>
      </c>
      <c r="E68" s="1">
        <v>2</v>
      </c>
      <c r="F68" s="1" t="s">
        <v>664</v>
      </c>
      <c r="G68" s="1">
        <v>3023</v>
      </c>
      <c r="H68" s="1" t="s">
        <v>370</v>
      </c>
      <c r="I68" s="94">
        <v>155</v>
      </c>
      <c r="J68" s="2">
        <v>0.91</v>
      </c>
      <c r="L68" s="135">
        <v>46205</v>
      </c>
      <c r="M68" s="3" t="s">
        <v>391</v>
      </c>
      <c r="O68" s="1">
        <v>1</v>
      </c>
      <c r="P68" s="94">
        <v>2</v>
      </c>
      <c r="Q68" s="4">
        <v>0</v>
      </c>
      <c r="R68" s="2">
        <v>0</v>
      </c>
      <c r="S68" s="25" t="s">
        <v>665</v>
      </c>
      <c r="V68" s="41" t="s">
        <v>666</v>
      </c>
      <c r="W68" s="43" t="s">
        <v>374</v>
      </c>
      <c r="AB68" s="2">
        <v>3.99</v>
      </c>
      <c r="AC68" s="2">
        <v>8.6199999999999992</v>
      </c>
      <c r="AD68" s="2">
        <v>0.28000000000000003</v>
      </c>
    </row>
    <row r="69" spans="1:30" x14ac:dyDescent="0.25">
      <c r="A69" s="25" t="s">
        <v>667</v>
      </c>
      <c r="B69" s="134" t="s">
        <v>668</v>
      </c>
      <c r="C69" s="1">
        <v>1</v>
      </c>
      <c r="D69" s="1">
        <v>1</v>
      </c>
      <c r="E69" s="1">
        <v>1</v>
      </c>
      <c r="F69" s="1" t="s">
        <v>669</v>
      </c>
      <c r="G69" s="1">
        <v>3012</v>
      </c>
      <c r="H69" s="1" t="s">
        <v>370</v>
      </c>
      <c r="I69" s="94">
        <v>155</v>
      </c>
      <c r="J69" s="2">
        <v>0.56499999999999995</v>
      </c>
      <c r="L69" s="135">
        <v>46205</v>
      </c>
      <c r="M69" s="3" t="s">
        <v>371</v>
      </c>
      <c r="O69" s="1">
        <v>1</v>
      </c>
      <c r="P69" s="94">
        <v>2</v>
      </c>
      <c r="Q69" s="4">
        <v>0</v>
      </c>
      <c r="R69" s="2">
        <v>0</v>
      </c>
      <c r="S69" s="25" t="s">
        <v>670</v>
      </c>
      <c r="V69" s="41" t="s">
        <v>671</v>
      </c>
      <c r="W69" s="43" t="s">
        <v>374</v>
      </c>
      <c r="AB69" s="2">
        <v>3.21</v>
      </c>
      <c r="AC69" s="2">
        <v>8.6199999999999992</v>
      </c>
      <c r="AD69" s="2">
        <v>0.28000000000000003</v>
      </c>
    </row>
    <row r="70" spans="1:30" x14ac:dyDescent="0.25">
      <c r="A70" s="25" t="s">
        <v>672</v>
      </c>
      <c r="B70" s="134" t="s">
        <v>673</v>
      </c>
      <c r="C70" s="1">
        <v>1</v>
      </c>
      <c r="D70" s="1">
        <v>1</v>
      </c>
      <c r="E70" s="1">
        <v>1</v>
      </c>
      <c r="F70" s="1" t="s">
        <v>674</v>
      </c>
      <c r="G70" s="1">
        <v>3166</v>
      </c>
      <c r="H70" s="1" t="s">
        <v>370</v>
      </c>
      <c r="I70" s="94">
        <v>154</v>
      </c>
      <c r="J70" s="2">
        <v>0.54500000000000004</v>
      </c>
      <c r="L70" s="135">
        <v>46205</v>
      </c>
      <c r="M70" s="3" t="s">
        <v>371</v>
      </c>
      <c r="O70" s="1">
        <v>1</v>
      </c>
      <c r="P70" s="94">
        <v>2</v>
      </c>
      <c r="Q70" s="4">
        <v>0</v>
      </c>
      <c r="R70" s="2">
        <v>0</v>
      </c>
      <c r="S70" s="25" t="s">
        <v>675</v>
      </c>
      <c r="V70" s="41" t="s">
        <v>676</v>
      </c>
      <c r="W70" s="43" t="s">
        <v>374</v>
      </c>
      <c r="AB70" s="2">
        <v>3.21</v>
      </c>
      <c r="AC70" s="2">
        <v>13.14</v>
      </c>
      <c r="AD70" s="2">
        <v>0.28000000000000003</v>
      </c>
    </row>
    <row r="71" spans="1:30" x14ac:dyDescent="0.25">
      <c r="A71" s="25" t="s">
        <v>677</v>
      </c>
      <c r="B71" s="134" t="s">
        <v>678</v>
      </c>
      <c r="C71" s="1">
        <v>1</v>
      </c>
      <c r="D71" s="1">
        <v>4</v>
      </c>
      <c r="E71" s="1">
        <v>4</v>
      </c>
      <c r="F71" s="1" t="s">
        <v>679</v>
      </c>
      <c r="G71" s="1">
        <v>3153</v>
      </c>
      <c r="H71" s="1" t="s">
        <v>370</v>
      </c>
      <c r="I71" s="94">
        <v>155</v>
      </c>
      <c r="J71" s="2">
        <v>1.994</v>
      </c>
      <c r="L71" s="135">
        <v>46205</v>
      </c>
      <c r="M71" s="3" t="s">
        <v>391</v>
      </c>
      <c r="O71" s="1">
        <v>1</v>
      </c>
      <c r="P71" s="94">
        <v>2</v>
      </c>
      <c r="Q71" s="4">
        <v>0</v>
      </c>
      <c r="R71" s="2">
        <v>0</v>
      </c>
      <c r="S71" s="25" t="s">
        <v>680</v>
      </c>
      <c r="V71" s="41" t="s">
        <v>681</v>
      </c>
      <c r="W71" s="43" t="s">
        <v>374</v>
      </c>
      <c r="AB71" s="2">
        <v>5.55</v>
      </c>
      <c r="AC71" s="2">
        <v>9.2899999999999991</v>
      </c>
      <c r="AD71" s="2">
        <v>0.28000000000000003</v>
      </c>
    </row>
    <row r="72" spans="1:30" x14ac:dyDescent="0.25">
      <c r="A72" s="25" t="s">
        <v>682</v>
      </c>
      <c r="B72" s="134" t="s">
        <v>683</v>
      </c>
      <c r="C72" s="1">
        <v>1</v>
      </c>
      <c r="D72" s="1">
        <v>1</v>
      </c>
      <c r="E72" s="1">
        <v>1</v>
      </c>
      <c r="F72" s="1" t="s">
        <v>684</v>
      </c>
      <c r="G72" s="1">
        <v>3207</v>
      </c>
      <c r="H72" s="1" t="s">
        <v>370</v>
      </c>
      <c r="I72" s="94">
        <v>155</v>
      </c>
      <c r="J72" s="2">
        <v>0.52</v>
      </c>
      <c r="L72" s="135">
        <v>46205</v>
      </c>
      <c r="M72" s="3" t="s">
        <v>371</v>
      </c>
      <c r="O72" s="1">
        <v>1</v>
      </c>
      <c r="P72" s="94">
        <v>2</v>
      </c>
      <c r="Q72" s="4">
        <v>0</v>
      </c>
      <c r="R72" s="2">
        <v>0</v>
      </c>
      <c r="S72" s="25" t="s">
        <v>685</v>
      </c>
      <c r="V72" s="41" t="s">
        <v>686</v>
      </c>
      <c r="W72" s="43" t="s">
        <v>374</v>
      </c>
      <c r="AB72" s="2">
        <v>3.21</v>
      </c>
      <c r="AC72" s="2">
        <v>8.6199999999999992</v>
      </c>
      <c r="AD72" s="2">
        <v>0.28000000000000003</v>
      </c>
    </row>
    <row r="73" spans="1:30" x14ac:dyDescent="0.25">
      <c r="A73" s="25" t="s">
        <v>687</v>
      </c>
      <c r="B73" s="134" t="s">
        <v>688</v>
      </c>
      <c r="C73" s="1">
        <v>1</v>
      </c>
      <c r="D73" s="1">
        <v>2</v>
      </c>
      <c r="E73" s="1">
        <v>2</v>
      </c>
      <c r="F73" s="1" t="s">
        <v>689</v>
      </c>
      <c r="G73" s="1">
        <v>2487</v>
      </c>
      <c r="H73" s="1" t="s">
        <v>370</v>
      </c>
      <c r="I73" s="94">
        <v>155</v>
      </c>
      <c r="J73" s="2">
        <v>0.877</v>
      </c>
      <c r="L73" s="135">
        <v>46205</v>
      </c>
      <c r="M73" s="3" t="s">
        <v>391</v>
      </c>
      <c r="O73" s="1">
        <v>1</v>
      </c>
      <c r="P73" s="94">
        <v>2</v>
      </c>
      <c r="Q73" s="4">
        <v>0</v>
      </c>
      <c r="R73" s="2">
        <v>0</v>
      </c>
      <c r="S73" s="25" t="s">
        <v>690</v>
      </c>
      <c r="V73" s="41" t="s">
        <v>691</v>
      </c>
      <c r="W73" s="43" t="s">
        <v>478</v>
      </c>
      <c r="AB73" s="2">
        <v>3.99</v>
      </c>
      <c r="AC73" s="2">
        <v>13.81</v>
      </c>
      <c r="AD73" s="2">
        <v>0.28000000000000003</v>
      </c>
    </row>
    <row r="74" spans="1:30" x14ac:dyDescent="0.25">
      <c r="A74" s="25" t="s">
        <v>692</v>
      </c>
      <c r="B74" s="134" t="s">
        <v>693</v>
      </c>
      <c r="C74" s="1">
        <v>1</v>
      </c>
      <c r="D74" s="1">
        <v>3</v>
      </c>
      <c r="E74" s="1">
        <v>3</v>
      </c>
      <c r="F74" s="1" t="s">
        <v>694</v>
      </c>
      <c r="G74" s="1">
        <v>2191</v>
      </c>
      <c r="H74" s="1" t="s">
        <v>370</v>
      </c>
      <c r="I74" s="94">
        <v>155</v>
      </c>
      <c r="J74" s="2">
        <v>1.5549999999999999</v>
      </c>
      <c r="L74" s="135">
        <v>46205</v>
      </c>
      <c r="M74" s="3" t="s">
        <v>391</v>
      </c>
      <c r="O74" s="1">
        <v>1</v>
      </c>
      <c r="P74" s="94">
        <v>2</v>
      </c>
      <c r="Q74" s="4">
        <v>0</v>
      </c>
      <c r="R74" s="2">
        <v>0</v>
      </c>
      <c r="S74" s="25" t="s">
        <v>695</v>
      </c>
      <c r="V74" s="41" t="s">
        <v>696</v>
      </c>
      <c r="W74" s="43" t="s">
        <v>387</v>
      </c>
      <c r="AB74" s="2">
        <v>4.7699999999999996</v>
      </c>
      <c r="AC74" s="2">
        <v>5.98</v>
      </c>
      <c r="AD74" s="2">
        <v>0.28000000000000003</v>
      </c>
    </row>
    <row r="75" spans="1:30" x14ac:dyDescent="0.25">
      <c r="A75" s="25" t="s">
        <v>697</v>
      </c>
      <c r="B75" s="134" t="s">
        <v>698</v>
      </c>
      <c r="C75" s="1">
        <v>1</v>
      </c>
      <c r="D75" s="1">
        <v>1</v>
      </c>
      <c r="E75" s="1">
        <v>1</v>
      </c>
      <c r="F75" s="1" t="s">
        <v>699</v>
      </c>
      <c r="G75" s="1">
        <v>5087</v>
      </c>
      <c r="H75" s="1" t="s">
        <v>370</v>
      </c>
      <c r="I75" s="94">
        <v>154</v>
      </c>
      <c r="J75" s="2">
        <v>0.48</v>
      </c>
      <c r="L75" s="135">
        <v>46205</v>
      </c>
      <c r="M75" s="3" t="s">
        <v>371</v>
      </c>
      <c r="O75" s="1">
        <v>1</v>
      </c>
      <c r="P75" s="94">
        <v>2</v>
      </c>
      <c r="Q75" s="4">
        <v>0</v>
      </c>
      <c r="R75" s="2">
        <v>0</v>
      </c>
      <c r="S75" s="25" t="s">
        <v>700</v>
      </c>
      <c r="V75" s="41" t="s">
        <v>701</v>
      </c>
      <c r="W75" s="43" t="s">
        <v>446</v>
      </c>
      <c r="AB75" s="2">
        <v>3.21</v>
      </c>
      <c r="AC75" s="2">
        <v>11.29</v>
      </c>
      <c r="AD75" s="2">
        <v>0.28000000000000003</v>
      </c>
    </row>
    <row r="76" spans="1:30" x14ac:dyDescent="0.25">
      <c r="A76" s="25" t="s">
        <v>702</v>
      </c>
      <c r="B76" s="134" t="s">
        <v>703</v>
      </c>
      <c r="C76" s="1">
        <v>1</v>
      </c>
      <c r="D76" s="1">
        <v>3</v>
      </c>
      <c r="E76" s="1">
        <v>3</v>
      </c>
      <c r="F76" s="1" t="s">
        <v>704</v>
      </c>
      <c r="G76" s="1">
        <v>4216</v>
      </c>
      <c r="H76" s="1" t="s">
        <v>370</v>
      </c>
      <c r="I76" s="94">
        <v>155</v>
      </c>
      <c r="J76" s="2">
        <v>0.48</v>
      </c>
      <c r="L76" s="135">
        <v>46205</v>
      </c>
      <c r="M76" s="3" t="s">
        <v>371</v>
      </c>
      <c r="O76" s="1">
        <v>1</v>
      </c>
      <c r="P76" s="94">
        <v>2</v>
      </c>
      <c r="Q76" s="4">
        <v>0</v>
      </c>
      <c r="R76" s="2">
        <v>0</v>
      </c>
      <c r="S76" s="25" t="s">
        <v>705</v>
      </c>
      <c r="V76" s="41" t="s">
        <v>599</v>
      </c>
      <c r="W76" s="43" t="s">
        <v>394</v>
      </c>
      <c r="AB76" s="2">
        <v>4.7699999999999996</v>
      </c>
      <c r="AC76" s="2">
        <v>8.41</v>
      </c>
      <c r="AD76" s="2">
        <v>0.28000000000000003</v>
      </c>
    </row>
    <row r="77" spans="1:30" x14ac:dyDescent="0.25">
      <c r="A77" s="25" t="s">
        <v>706</v>
      </c>
      <c r="B77" s="134" t="s">
        <v>707</v>
      </c>
      <c r="C77" s="1">
        <v>1</v>
      </c>
      <c r="D77" s="1">
        <v>3</v>
      </c>
      <c r="E77" s="1">
        <v>6</v>
      </c>
      <c r="F77" s="1" t="s">
        <v>708</v>
      </c>
      <c r="G77" s="1">
        <v>2753</v>
      </c>
      <c r="H77" s="1" t="s">
        <v>370</v>
      </c>
      <c r="I77" s="94">
        <v>155</v>
      </c>
      <c r="J77" s="2">
        <v>0.93600000000000005</v>
      </c>
      <c r="L77" s="135">
        <v>46205</v>
      </c>
      <c r="M77" s="3" t="s">
        <v>391</v>
      </c>
      <c r="O77" s="1">
        <v>1</v>
      </c>
      <c r="P77" s="94">
        <v>2</v>
      </c>
      <c r="Q77" s="4">
        <v>0</v>
      </c>
      <c r="R77" s="2">
        <v>0</v>
      </c>
      <c r="S77" s="25" t="s">
        <v>709</v>
      </c>
      <c r="V77" s="41" t="s">
        <v>710</v>
      </c>
      <c r="W77" s="43" t="s">
        <v>551</v>
      </c>
      <c r="AB77" s="2">
        <v>6.18</v>
      </c>
      <c r="AC77" s="2">
        <v>8.1</v>
      </c>
      <c r="AD77" s="2">
        <v>0.28000000000000003</v>
      </c>
    </row>
    <row r="78" spans="1:30" x14ac:dyDescent="0.25">
      <c r="A78" s="25" t="s">
        <v>711</v>
      </c>
      <c r="B78" s="134" t="s">
        <v>712</v>
      </c>
      <c r="C78" s="1">
        <v>1</v>
      </c>
      <c r="D78" s="1">
        <v>1</v>
      </c>
      <c r="E78" s="1">
        <v>1</v>
      </c>
      <c r="F78" s="1" t="s">
        <v>713</v>
      </c>
      <c r="G78" s="1">
        <v>3730</v>
      </c>
      <c r="H78" s="1" t="s">
        <v>370</v>
      </c>
      <c r="I78" s="94">
        <v>155</v>
      </c>
      <c r="J78" s="2">
        <v>0.45500000000000002</v>
      </c>
      <c r="L78" s="135">
        <v>46205</v>
      </c>
      <c r="M78" s="3" t="s">
        <v>371</v>
      </c>
      <c r="O78" s="1">
        <v>1</v>
      </c>
      <c r="P78" s="94">
        <v>2</v>
      </c>
      <c r="Q78" s="4">
        <v>0</v>
      </c>
      <c r="R78" s="2">
        <v>0</v>
      </c>
      <c r="S78" s="25" t="s">
        <v>714</v>
      </c>
      <c r="V78" s="41" t="s">
        <v>715</v>
      </c>
      <c r="W78" s="43" t="s">
        <v>467</v>
      </c>
      <c r="AB78" s="2">
        <v>3.21</v>
      </c>
      <c r="AC78" s="2">
        <v>11.61</v>
      </c>
      <c r="AD78" s="2">
        <v>0.28000000000000003</v>
      </c>
    </row>
    <row r="79" spans="1:30" x14ac:dyDescent="0.25">
      <c r="A79" s="25" t="s">
        <v>716</v>
      </c>
      <c r="B79" s="134" t="s">
        <v>717</v>
      </c>
      <c r="C79" s="1">
        <v>1</v>
      </c>
      <c r="D79" s="1">
        <v>2</v>
      </c>
      <c r="E79" s="1">
        <v>2</v>
      </c>
      <c r="F79" s="1" t="s">
        <v>718</v>
      </c>
      <c r="G79" s="1">
        <v>3130</v>
      </c>
      <c r="H79" s="1" t="s">
        <v>370</v>
      </c>
      <c r="I79" s="94">
        <v>155</v>
      </c>
      <c r="J79" s="2">
        <v>1.056</v>
      </c>
      <c r="L79" s="135">
        <v>46205</v>
      </c>
      <c r="M79" s="3" t="s">
        <v>371</v>
      </c>
      <c r="O79" s="1">
        <v>1</v>
      </c>
      <c r="P79" s="94">
        <v>2</v>
      </c>
      <c r="Q79" s="4">
        <v>0</v>
      </c>
      <c r="R79" s="2">
        <v>0</v>
      </c>
      <c r="S79" s="25" t="s">
        <v>719</v>
      </c>
      <c r="V79" s="41" t="s">
        <v>720</v>
      </c>
      <c r="W79" s="43" t="s">
        <v>374</v>
      </c>
      <c r="AB79" s="2">
        <v>3.99</v>
      </c>
      <c r="AC79" s="2">
        <v>9.2899999999999991</v>
      </c>
      <c r="AD79" s="2">
        <v>0.28000000000000003</v>
      </c>
    </row>
    <row r="80" spans="1:30" x14ac:dyDescent="0.25">
      <c r="A80" s="25" t="s">
        <v>721</v>
      </c>
      <c r="B80" s="134" t="s">
        <v>722</v>
      </c>
      <c r="C80" s="1">
        <v>1</v>
      </c>
      <c r="D80" s="1">
        <v>1</v>
      </c>
      <c r="E80" s="1">
        <v>1</v>
      </c>
      <c r="F80" s="1" t="s">
        <v>723</v>
      </c>
      <c r="G80" s="1">
        <v>3131</v>
      </c>
      <c r="H80" s="1" t="s">
        <v>370</v>
      </c>
      <c r="I80" s="94">
        <v>155</v>
      </c>
      <c r="J80" s="2">
        <v>0.315</v>
      </c>
      <c r="L80" s="135">
        <v>46205</v>
      </c>
      <c r="M80" s="3" t="s">
        <v>371</v>
      </c>
      <c r="O80" s="1">
        <v>1</v>
      </c>
      <c r="P80" s="94">
        <v>2</v>
      </c>
      <c r="Q80" s="4">
        <v>0</v>
      </c>
      <c r="R80" s="2">
        <v>0</v>
      </c>
      <c r="S80" s="25" t="s">
        <v>724</v>
      </c>
      <c r="V80" s="41" t="s">
        <v>725</v>
      </c>
      <c r="W80" s="43" t="s">
        <v>374</v>
      </c>
      <c r="AB80" s="2">
        <v>3.21</v>
      </c>
      <c r="AC80" s="2">
        <v>6.95</v>
      </c>
      <c r="AD80" s="2">
        <v>0.28000000000000003</v>
      </c>
    </row>
    <row r="81" spans="1:30" x14ac:dyDescent="0.25">
      <c r="A81" s="25" t="s">
        <v>726</v>
      </c>
      <c r="B81" s="134" t="s">
        <v>727</v>
      </c>
      <c r="C81" s="1">
        <v>1</v>
      </c>
      <c r="D81" s="1">
        <v>4</v>
      </c>
      <c r="E81" s="1">
        <v>4</v>
      </c>
      <c r="F81" s="1" t="s">
        <v>728</v>
      </c>
      <c r="G81" s="1">
        <v>3041</v>
      </c>
      <c r="H81" s="1" t="s">
        <v>370</v>
      </c>
      <c r="I81" s="94">
        <v>155</v>
      </c>
      <c r="J81" s="2">
        <v>2.048</v>
      </c>
      <c r="L81" s="135">
        <v>46205</v>
      </c>
      <c r="M81" s="3" t="s">
        <v>378</v>
      </c>
      <c r="O81" s="1">
        <v>1</v>
      </c>
      <c r="P81" s="94">
        <v>2</v>
      </c>
      <c r="Q81" s="4">
        <v>0</v>
      </c>
      <c r="R81" s="2">
        <v>0</v>
      </c>
      <c r="S81" s="25" t="s">
        <v>729</v>
      </c>
      <c r="V81" s="41" t="s">
        <v>730</v>
      </c>
      <c r="W81" s="43" t="s">
        <v>374</v>
      </c>
      <c r="AB81" s="2">
        <v>5.55</v>
      </c>
      <c r="AC81" s="2">
        <v>10</v>
      </c>
      <c r="AD81" s="2">
        <v>0.28000000000000003</v>
      </c>
    </row>
    <row r="82" spans="1:30" x14ac:dyDescent="0.25">
      <c r="A82" s="25" t="s">
        <v>731</v>
      </c>
      <c r="B82" s="134" t="s">
        <v>732</v>
      </c>
      <c r="C82" s="1">
        <v>1</v>
      </c>
      <c r="D82" s="1">
        <v>4</v>
      </c>
      <c r="E82" s="1">
        <v>4</v>
      </c>
      <c r="F82" s="1" t="s">
        <v>733</v>
      </c>
      <c r="G82" s="1">
        <v>2023</v>
      </c>
      <c r="H82" s="1" t="s">
        <v>370</v>
      </c>
      <c r="I82" s="94">
        <v>155</v>
      </c>
      <c r="J82" s="2">
        <v>2.093</v>
      </c>
      <c r="L82" s="135">
        <v>46205</v>
      </c>
      <c r="M82" s="3" t="s">
        <v>391</v>
      </c>
      <c r="O82" s="1">
        <v>1</v>
      </c>
      <c r="P82" s="94">
        <v>2</v>
      </c>
      <c r="Q82" s="4">
        <v>0</v>
      </c>
      <c r="R82" s="2">
        <v>0</v>
      </c>
      <c r="S82" s="25" t="s">
        <v>734</v>
      </c>
      <c r="V82" s="41" t="s">
        <v>735</v>
      </c>
      <c r="W82" s="43" t="s">
        <v>387</v>
      </c>
      <c r="AB82" s="2">
        <v>5.55</v>
      </c>
      <c r="AC82" s="2">
        <v>6.02</v>
      </c>
      <c r="AD82" s="2">
        <v>0.28000000000000003</v>
      </c>
    </row>
    <row r="83" spans="1:30" x14ac:dyDescent="0.25">
      <c r="A83" s="25" t="s">
        <v>736</v>
      </c>
      <c r="B83" s="134" t="s">
        <v>737</v>
      </c>
      <c r="C83" s="1">
        <v>1</v>
      </c>
      <c r="D83" s="1">
        <v>1</v>
      </c>
      <c r="E83" s="1">
        <v>1</v>
      </c>
      <c r="F83" s="1" t="s">
        <v>738</v>
      </c>
      <c r="G83" s="1">
        <v>6076</v>
      </c>
      <c r="H83" s="1" t="s">
        <v>370</v>
      </c>
      <c r="I83" s="94">
        <v>155</v>
      </c>
      <c r="J83" s="2">
        <v>0.20699999999999999</v>
      </c>
      <c r="L83" s="135">
        <v>46205</v>
      </c>
      <c r="M83" s="3" t="s">
        <v>371</v>
      </c>
      <c r="O83" s="1">
        <v>1</v>
      </c>
      <c r="P83" s="94">
        <v>2</v>
      </c>
      <c r="Q83" s="4">
        <v>0</v>
      </c>
      <c r="R83" s="2">
        <v>0</v>
      </c>
      <c r="S83" s="25" t="s">
        <v>739</v>
      </c>
      <c r="V83" s="41" t="s">
        <v>400</v>
      </c>
      <c r="W83" s="43" t="s">
        <v>514</v>
      </c>
      <c r="AB83" s="2">
        <v>3.21</v>
      </c>
      <c r="AC83" s="2">
        <v>8.26</v>
      </c>
      <c r="AD83" s="2">
        <v>0.28000000000000003</v>
      </c>
    </row>
    <row r="84" spans="1:30" x14ac:dyDescent="0.25">
      <c r="A84" s="25" t="s">
        <v>740</v>
      </c>
      <c r="B84" s="134" t="s">
        <v>741</v>
      </c>
      <c r="C84" s="1">
        <v>1</v>
      </c>
      <c r="D84" s="1">
        <v>2</v>
      </c>
      <c r="E84" s="1">
        <v>2</v>
      </c>
      <c r="F84" s="1" t="s">
        <v>742</v>
      </c>
      <c r="G84" s="1">
        <v>3400</v>
      </c>
      <c r="H84" s="1" t="s">
        <v>370</v>
      </c>
      <c r="I84" s="94">
        <v>155</v>
      </c>
      <c r="J84" s="2">
        <v>0.36499999999999999</v>
      </c>
      <c r="L84" s="135">
        <v>46205</v>
      </c>
      <c r="M84" s="3" t="s">
        <v>391</v>
      </c>
      <c r="O84" s="1">
        <v>1</v>
      </c>
      <c r="P84" s="94">
        <v>2</v>
      </c>
      <c r="Q84" s="4">
        <v>0</v>
      </c>
      <c r="R84" s="2">
        <v>0</v>
      </c>
      <c r="S84" s="25" t="s">
        <v>743</v>
      </c>
      <c r="V84" s="41" t="s">
        <v>744</v>
      </c>
      <c r="W84" s="43" t="s">
        <v>467</v>
      </c>
      <c r="AB84" s="2">
        <v>3.99</v>
      </c>
      <c r="AC84" s="2">
        <v>11.61</v>
      </c>
      <c r="AD84" s="2">
        <v>0.28000000000000003</v>
      </c>
    </row>
    <row r="85" spans="1:30" x14ac:dyDescent="0.25">
      <c r="A85" s="25" t="s">
        <v>745</v>
      </c>
      <c r="B85" s="134" t="s">
        <v>746</v>
      </c>
      <c r="C85" s="1">
        <v>1</v>
      </c>
      <c r="D85" s="1">
        <v>3</v>
      </c>
      <c r="E85" s="1">
        <v>3</v>
      </c>
      <c r="F85" s="1" t="s">
        <v>443</v>
      </c>
      <c r="G85" s="1">
        <v>5024</v>
      </c>
      <c r="H85" s="1" t="s">
        <v>370</v>
      </c>
      <c r="I85" s="94">
        <v>154</v>
      </c>
      <c r="J85" s="2">
        <v>1.004</v>
      </c>
      <c r="L85" s="135">
        <v>46205</v>
      </c>
      <c r="M85" s="3" t="s">
        <v>371</v>
      </c>
      <c r="O85" s="1">
        <v>1</v>
      </c>
      <c r="P85" s="94">
        <v>2</v>
      </c>
      <c r="Q85" s="4">
        <v>0</v>
      </c>
      <c r="R85" s="2">
        <v>0</v>
      </c>
      <c r="S85" s="25" t="s">
        <v>747</v>
      </c>
      <c r="V85" s="41" t="s">
        <v>748</v>
      </c>
      <c r="W85" s="43" t="s">
        <v>446</v>
      </c>
      <c r="AB85" s="2">
        <v>4.7699999999999996</v>
      </c>
      <c r="AC85" s="2">
        <v>16.21</v>
      </c>
      <c r="AD85" s="2">
        <v>0.28000000000000003</v>
      </c>
    </row>
    <row r="86" spans="1:30" x14ac:dyDescent="0.25">
      <c r="A86" s="25" t="s">
        <v>749</v>
      </c>
      <c r="B86" s="134" t="s">
        <v>750</v>
      </c>
      <c r="C86" s="1">
        <v>1</v>
      </c>
      <c r="D86" s="1">
        <v>1</v>
      </c>
      <c r="E86" s="1">
        <v>2</v>
      </c>
      <c r="F86" s="1" t="s">
        <v>751</v>
      </c>
      <c r="G86" s="1">
        <v>4069</v>
      </c>
      <c r="H86" s="1" t="s">
        <v>370</v>
      </c>
      <c r="I86" s="94">
        <v>154</v>
      </c>
      <c r="J86" s="2">
        <v>1.052</v>
      </c>
      <c r="L86" s="135">
        <v>46205</v>
      </c>
      <c r="M86" s="3" t="s">
        <v>391</v>
      </c>
      <c r="O86" s="1">
        <v>1</v>
      </c>
      <c r="P86" s="94">
        <v>2</v>
      </c>
      <c r="Q86" s="4">
        <v>0</v>
      </c>
      <c r="R86" s="2">
        <v>0</v>
      </c>
      <c r="S86" s="25" t="s">
        <v>752</v>
      </c>
      <c r="V86" s="41" t="s">
        <v>753</v>
      </c>
      <c r="W86" s="43" t="s">
        <v>401</v>
      </c>
      <c r="AB86" s="2">
        <v>3.68</v>
      </c>
      <c r="AC86" s="2">
        <v>18.670000000000002</v>
      </c>
      <c r="AD86" s="2">
        <v>0.28000000000000003</v>
      </c>
    </row>
    <row r="87" spans="1:30" x14ac:dyDescent="0.25">
      <c r="A87" s="25" t="s">
        <v>754</v>
      </c>
      <c r="B87" s="134" t="s">
        <v>755</v>
      </c>
      <c r="C87" s="1">
        <v>1</v>
      </c>
      <c r="D87" s="1">
        <v>2</v>
      </c>
      <c r="E87" s="1">
        <v>2</v>
      </c>
      <c r="F87" s="1" t="s">
        <v>756</v>
      </c>
      <c r="G87" s="1">
        <v>5046</v>
      </c>
      <c r="H87" s="1" t="s">
        <v>370</v>
      </c>
      <c r="I87" s="94">
        <v>155</v>
      </c>
      <c r="J87" s="2">
        <v>1.07</v>
      </c>
      <c r="L87" s="135">
        <v>46205</v>
      </c>
      <c r="M87" s="3" t="s">
        <v>391</v>
      </c>
      <c r="O87" s="1">
        <v>1</v>
      </c>
      <c r="P87" s="94">
        <v>2</v>
      </c>
      <c r="Q87" s="4">
        <v>0</v>
      </c>
      <c r="R87" s="2">
        <v>0</v>
      </c>
      <c r="S87" s="25" t="s">
        <v>757</v>
      </c>
      <c r="V87" s="41" t="s">
        <v>758</v>
      </c>
      <c r="W87" s="43" t="s">
        <v>446</v>
      </c>
      <c r="AB87" s="2">
        <v>3.99</v>
      </c>
      <c r="AC87" s="2">
        <v>9.89</v>
      </c>
      <c r="AD87" s="2">
        <v>0.28000000000000003</v>
      </c>
    </row>
    <row r="88" spans="1:30" x14ac:dyDescent="0.25">
      <c r="A88" s="25" t="s">
        <v>759</v>
      </c>
      <c r="B88" s="134" t="s">
        <v>760</v>
      </c>
      <c r="C88" s="1">
        <v>1</v>
      </c>
      <c r="D88" s="1">
        <v>1</v>
      </c>
      <c r="E88" s="1">
        <v>1</v>
      </c>
      <c r="F88" s="1" t="s">
        <v>761</v>
      </c>
      <c r="G88" s="1">
        <v>3128</v>
      </c>
      <c r="H88" s="1" t="s">
        <v>370</v>
      </c>
      <c r="I88" s="94">
        <v>155</v>
      </c>
      <c r="J88" s="2">
        <v>0.20499999999999999</v>
      </c>
      <c r="L88" s="135">
        <v>46206</v>
      </c>
      <c r="M88" s="3" t="s">
        <v>371</v>
      </c>
      <c r="O88" s="1">
        <v>1</v>
      </c>
      <c r="P88" s="94">
        <v>2</v>
      </c>
      <c r="Q88" s="4">
        <v>0</v>
      </c>
      <c r="R88" s="2">
        <v>0</v>
      </c>
      <c r="S88" s="25" t="s">
        <v>762</v>
      </c>
      <c r="V88" s="41" t="s">
        <v>763</v>
      </c>
      <c r="W88" s="43" t="s">
        <v>374</v>
      </c>
      <c r="AB88" s="2">
        <v>3.21</v>
      </c>
      <c r="AC88" s="2">
        <v>6.95</v>
      </c>
      <c r="AD88" s="2">
        <v>0.28000000000000003</v>
      </c>
    </row>
    <row r="89" spans="1:30" x14ac:dyDescent="0.25">
      <c r="A89" s="25" t="s">
        <v>764</v>
      </c>
      <c r="B89" s="134" t="s">
        <v>765</v>
      </c>
      <c r="C89" s="1">
        <v>1</v>
      </c>
      <c r="D89" s="1">
        <v>2</v>
      </c>
      <c r="E89" s="1">
        <v>2</v>
      </c>
      <c r="F89" s="1" t="s">
        <v>766</v>
      </c>
      <c r="G89" s="1">
        <v>3631</v>
      </c>
      <c r="H89" s="1" t="s">
        <v>370</v>
      </c>
      <c r="I89" s="94">
        <v>155</v>
      </c>
      <c r="J89" s="2">
        <v>0.35799999999999998</v>
      </c>
      <c r="L89" s="135">
        <v>46206</v>
      </c>
      <c r="M89" s="3" t="s">
        <v>371</v>
      </c>
      <c r="O89" s="1">
        <v>1</v>
      </c>
      <c r="P89" s="94">
        <v>2</v>
      </c>
      <c r="Q89" s="4">
        <v>0</v>
      </c>
      <c r="R89" s="2">
        <v>0</v>
      </c>
      <c r="S89" s="25" t="s">
        <v>767</v>
      </c>
      <c r="V89" s="41" t="s">
        <v>768</v>
      </c>
      <c r="W89" s="43" t="s">
        <v>467</v>
      </c>
      <c r="AB89" s="2">
        <v>3.99</v>
      </c>
      <c r="AC89" s="2">
        <v>11.61</v>
      </c>
      <c r="AD89" s="2">
        <v>0.28000000000000003</v>
      </c>
    </row>
    <row r="90" spans="1:30" x14ac:dyDescent="0.25">
      <c r="A90" s="25" t="s">
        <v>769</v>
      </c>
      <c r="B90" s="134" t="s">
        <v>770</v>
      </c>
      <c r="C90" s="1">
        <v>1</v>
      </c>
      <c r="D90" s="1">
        <v>3</v>
      </c>
      <c r="E90" s="1">
        <v>3</v>
      </c>
      <c r="F90" s="1" t="s">
        <v>771</v>
      </c>
      <c r="G90" s="1">
        <v>2027</v>
      </c>
      <c r="H90" s="1" t="s">
        <v>370</v>
      </c>
      <c r="I90" s="94">
        <v>155</v>
      </c>
      <c r="J90" s="2">
        <v>1.0980000000000001</v>
      </c>
      <c r="L90" s="135">
        <v>46206</v>
      </c>
      <c r="M90" s="3" t="s">
        <v>378</v>
      </c>
      <c r="O90" s="1">
        <v>1</v>
      </c>
      <c r="P90" s="94">
        <v>2</v>
      </c>
      <c r="Q90" s="4">
        <v>0</v>
      </c>
      <c r="R90" s="2">
        <v>0</v>
      </c>
      <c r="S90" s="25" t="s">
        <v>772</v>
      </c>
      <c r="V90" s="41" t="s">
        <v>773</v>
      </c>
      <c r="W90" s="43" t="s">
        <v>387</v>
      </c>
      <c r="AB90" s="2">
        <v>4.7699999999999996</v>
      </c>
      <c r="AC90" s="2">
        <v>5.98</v>
      </c>
      <c r="AD90" s="2">
        <v>0.28000000000000003</v>
      </c>
    </row>
    <row r="91" spans="1:30" x14ac:dyDescent="0.25">
      <c r="A91" s="25" t="s">
        <v>774</v>
      </c>
      <c r="B91" s="134" t="s">
        <v>775</v>
      </c>
      <c r="C91" s="1">
        <v>1</v>
      </c>
      <c r="D91" s="1">
        <v>1</v>
      </c>
      <c r="E91" s="1">
        <v>1</v>
      </c>
      <c r="F91" s="1" t="s">
        <v>776</v>
      </c>
      <c r="G91" s="1">
        <v>6030</v>
      </c>
      <c r="H91" s="1" t="s">
        <v>370</v>
      </c>
      <c r="I91" s="94">
        <v>155</v>
      </c>
      <c r="J91" s="2">
        <v>0.378</v>
      </c>
      <c r="L91" s="135">
        <v>46206</v>
      </c>
      <c r="M91" s="3" t="s">
        <v>371</v>
      </c>
      <c r="O91" s="1">
        <v>1</v>
      </c>
      <c r="P91" s="94">
        <v>2</v>
      </c>
      <c r="Q91" s="4">
        <v>0</v>
      </c>
      <c r="R91" s="2">
        <v>0</v>
      </c>
      <c r="S91" s="25" t="s">
        <v>777</v>
      </c>
      <c r="V91" s="41" t="s">
        <v>778</v>
      </c>
      <c r="W91" s="43" t="s">
        <v>514</v>
      </c>
      <c r="AB91" s="2">
        <v>3.21</v>
      </c>
      <c r="AC91" s="2">
        <v>8.26</v>
      </c>
      <c r="AD91" s="2">
        <v>0.28000000000000003</v>
      </c>
    </row>
    <row r="92" spans="1:30" x14ac:dyDescent="0.25">
      <c r="A92" s="25" t="s">
        <v>779</v>
      </c>
      <c r="B92" s="134" t="s">
        <v>780</v>
      </c>
      <c r="C92" s="1">
        <v>1</v>
      </c>
      <c r="D92" s="1">
        <v>2</v>
      </c>
      <c r="E92" s="1">
        <v>2</v>
      </c>
      <c r="F92" s="1" t="s">
        <v>781</v>
      </c>
      <c r="G92" s="1">
        <v>3121</v>
      </c>
      <c r="H92" s="1" t="s">
        <v>370</v>
      </c>
      <c r="I92" s="94">
        <v>155</v>
      </c>
      <c r="J92" s="2">
        <v>1.012</v>
      </c>
      <c r="L92" s="135">
        <v>46206</v>
      </c>
      <c r="M92" s="3" t="s">
        <v>371</v>
      </c>
      <c r="O92" s="1">
        <v>1</v>
      </c>
      <c r="P92" s="94">
        <v>2</v>
      </c>
      <c r="Q92" s="4">
        <v>0</v>
      </c>
      <c r="R92" s="2">
        <v>0</v>
      </c>
      <c r="S92" s="25" t="s">
        <v>782</v>
      </c>
      <c r="V92" s="41" t="s">
        <v>783</v>
      </c>
      <c r="W92" s="43" t="s">
        <v>374</v>
      </c>
      <c r="AB92" s="2">
        <v>3.99</v>
      </c>
      <c r="AC92" s="2">
        <v>9.2899999999999991</v>
      </c>
      <c r="AD92" s="2">
        <v>0.28000000000000003</v>
      </c>
    </row>
    <row r="93" spans="1:30" x14ac:dyDescent="0.25">
      <c r="A93" s="25" t="s">
        <v>784</v>
      </c>
      <c r="B93" s="134" t="s">
        <v>785</v>
      </c>
      <c r="C93" s="1">
        <v>1</v>
      </c>
      <c r="D93" s="1">
        <v>2</v>
      </c>
      <c r="E93" s="1">
        <v>2</v>
      </c>
      <c r="F93" s="1" t="s">
        <v>786</v>
      </c>
      <c r="G93" s="1">
        <v>6009</v>
      </c>
      <c r="H93" s="1" t="s">
        <v>370</v>
      </c>
      <c r="I93" s="94">
        <v>155</v>
      </c>
      <c r="J93" s="2">
        <v>0.44800000000000001</v>
      </c>
      <c r="L93" s="135">
        <v>46206</v>
      </c>
      <c r="M93" s="3" t="s">
        <v>391</v>
      </c>
      <c r="O93" s="1">
        <v>1</v>
      </c>
      <c r="P93" s="94">
        <v>2</v>
      </c>
      <c r="Q93" s="4">
        <v>0</v>
      </c>
      <c r="R93" s="2">
        <v>0</v>
      </c>
      <c r="S93" s="25" t="s">
        <v>787</v>
      </c>
      <c r="V93" s="41" t="s">
        <v>788</v>
      </c>
      <c r="W93" s="43" t="s">
        <v>514</v>
      </c>
      <c r="AB93" s="2">
        <v>3.99</v>
      </c>
      <c r="AC93" s="2">
        <v>8.26</v>
      </c>
      <c r="AD93" s="2">
        <v>0.28000000000000003</v>
      </c>
    </row>
    <row r="94" spans="1:30" x14ac:dyDescent="0.25">
      <c r="A94" s="25" t="s">
        <v>789</v>
      </c>
      <c r="B94" s="134" t="s">
        <v>790</v>
      </c>
      <c r="C94" s="1">
        <v>1</v>
      </c>
      <c r="D94" s="1">
        <v>1</v>
      </c>
      <c r="E94" s="1">
        <v>2</v>
      </c>
      <c r="F94" s="1" t="s">
        <v>791</v>
      </c>
      <c r="G94" s="1">
        <v>3910</v>
      </c>
      <c r="H94" s="1" t="s">
        <v>370</v>
      </c>
      <c r="I94" s="94">
        <v>155</v>
      </c>
      <c r="J94" s="2">
        <v>1.0249999999999999</v>
      </c>
      <c r="L94" s="135">
        <v>46206</v>
      </c>
      <c r="M94" s="3" t="s">
        <v>391</v>
      </c>
      <c r="O94" s="1">
        <v>1</v>
      </c>
      <c r="P94" s="94">
        <v>2</v>
      </c>
      <c r="Q94" s="4">
        <v>0</v>
      </c>
      <c r="R94" s="2">
        <v>0</v>
      </c>
      <c r="S94" s="25" t="s">
        <v>792</v>
      </c>
      <c r="V94" s="41" t="s">
        <v>793</v>
      </c>
      <c r="W94" s="43" t="s">
        <v>620</v>
      </c>
      <c r="AB94" s="2">
        <v>3.68</v>
      </c>
      <c r="AC94" s="2">
        <v>11.2</v>
      </c>
      <c r="AD94" s="2">
        <v>0.28000000000000003</v>
      </c>
    </row>
    <row r="95" spans="1:30" x14ac:dyDescent="0.25">
      <c r="A95" s="25" t="s">
        <v>794</v>
      </c>
      <c r="B95" s="134" t="s">
        <v>795</v>
      </c>
      <c r="C95" s="1">
        <v>1</v>
      </c>
      <c r="D95" s="1">
        <v>2</v>
      </c>
      <c r="E95" s="1">
        <v>2</v>
      </c>
      <c r="F95" s="1" t="s">
        <v>796</v>
      </c>
      <c r="G95" s="1">
        <v>5066</v>
      </c>
      <c r="H95" s="1" t="s">
        <v>370</v>
      </c>
      <c r="I95" s="94">
        <v>155</v>
      </c>
      <c r="J95" s="2">
        <v>0.872</v>
      </c>
      <c r="L95" s="135">
        <v>46206</v>
      </c>
      <c r="M95" s="3" t="s">
        <v>391</v>
      </c>
      <c r="O95" s="1">
        <v>1</v>
      </c>
      <c r="P95" s="94">
        <v>2</v>
      </c>
      <c r="Q95" s="4">
        <v>0</v>
      </c>
      <c r="R95" s="2">
        <v>0</v>
      </c>
      <c r="S95" s="25" t="s">
        <v>797</v>
      </c>
      <c r="V95" s="41" t="s">
        <v>577</v>
      </c>
      <c r="W95" s="43" t="s">
        <v>446</v>
      </c>
      <c r="AB95" s="2">
        <v>3.99</v>
      </c>
      <c r="AC95" s="2">
        <v>9.01</v>
      </c>
      <c r="AD95" s="2">
        <v>0.28000000000000003</v>
      </c>
    </row>
    <row r="96" spans="1:30" x14ac:dyDescent="0.25">
      <c r="A96" s="25" t="s">
        <v>798</v>
      </c>
      <c r="B96" s="134" t="s">
        <v>799</v>
      </c>
      <c r="C96" s="1">
        <v>1</v>
      </c>
      <c r="D96" s="1">
        <v>2</v>
      </c>
      <c r="E96" s="1">
        <v>2</v>
      </c>
      <c r="F96" s="1" t="s">
        <v>800</v>
      </c>
      <c r="G96" s="1">
        <v>2321</v>
      </c>
      <c r="H96" s="1" t="s">
        <v>370</v>
      </c>
      <c r="I96" s="94">
        <v>155</v>
      </c>
      <c r="J96" s="2">
        <v>1.0109999999999999</v>
      </c>
      <c r="L96" s="135">
        <v>46206</v>
      </c>
      <c r="M96" s="3" t="s">
        <v>391</v>
      </c>
      <c r="O96" s="1">
        <v>1</v>
      </c>
      <c r="P96" s="94">
        <v>2</v>
      </c>
      <c r="Q96" s="4">
        <v>0</v>
      </c>
      <c r="R96" s="2">
        <v>0</v>
      </c>
      <c r="S96" s="25" t="s">
        <v>801</v>
      </c>
      <c r="V96" s="41" t="s">
        <v>802</v>
      </c>
      <c r="W96" s="43" t="s">
        <v>478</v>
      </c>
      <c r="AB96" s="2">
        <v>3.99</v>
      </c>
      <c r="AC96" s="2">
        <v>15.27</v>
      </c>
      <c r="AD96" s="2">
        <v>0.28000000000000003</v>
      </c>
    </row>
    <row r="97" spans="1:30" x14ac:dyDescent="0.25">
      <c r="A97" s="25" t="s">
        <v>803</v>
      </c>
      <c r="B97" s="134" t="s">
        <v>804</v>
      </c>
      <c r="C97" s="1">
        <v>1</v>
      </c>
      <c r="D97" s="1">
        <v>2</v>
      </c>
      <c r="E97" s="1">
        <v>2</v>
      </c>
      <c r="F97" s="1" t="s">
        <v>805</v>
      </c>
      <c r="G97" s="1">
        <v>4370</v>
      </c>
      <c r="H97" s="1" t="s">
        <v>370</v>
      </c>
      <c r="I97" s="94">
        <v>155</v>
      </c>
      <c r="J97" s="2">
        <v>0.33200000000000002</v>
      </c>
      <c r="L97" s="135">
        <v>46206</v>
      </c>
      <c r="M97" s="3" t="s">
        <v>371</v>
      </c>
      <c r="O97" s="1">
        <v>1</v>
      </c>
      <c r="P97" s="94">
        <v>2</v>
      </c>
      <c r="Q97" s="4">
        <v>0</v>
      </c>
      <c r="R97" s="2">
        <v>0</v>
      </c>
      <c r="S97" s="25" t="s">
        <v>806</v>
      </c>
      <c r="V97" s="41" t="s">
        <v>807</v>
      </c>
      <c r="W97" s="43" t="s">
        <v>525</v>
      </c>
      <c r="AB97" s="2">
        <v>3.99</v>
      </c>
      <c r="AC97" s="2">
        <v>11.61</v>
      </c>
      <c r="AD97" s="2">
        <v>0.28000000000000003</v>
      </c>
    </row>
    <row r="98" spans="1:30" x14ac:dyDescent="0.25">
      <c r="A98" s="25" t="s">
        <v>808</v>
      </c>
      <c r="B98" s="134" t="s">
        <v>809</v>
      </c>
      <c r="C98" s="1">
        <v>1</v>
      </c>
      <c r="D98" s="1">
        <v>2</v>
      </c>
      <c r="E98" s="1">
        <v>2</v>
      </c>
      <c r="F98" s="1" t="s">
        <v>810</v>
      </c>
      <c r="G98" s="1">
        <v>2049</v>
      </c>
      <c r="H98" s="1" t="s">
        <v>370</v>
      </c>
      <c r="I98" s="94">
        <v>155</v>
      </c>
      <c r="J98" s="2">
        <v>1.0509999999999999</v>
      </c>
      <c r="L98" s="135">
        <v>46206</v>
      </c>
      <c r="M98" s="3" t="s">
        <v>391</v>
      </c>
      <c r="O98" s="1">
        <v>1</v>
      </c>
      <c r="P98" s="94">
        <v>2</v>
      </c>
      <c r="Q98" s="4">
        <v>0</v>
      </c>
      <c r="R98" s="2">
        <v>0</v>
      </c>
      <c r="S98" s="25" t="s">
        <v>811</v>
      </c>
      <c r="V98" s="41" t="s">
        <v>812</v>
      </c>
      <c r="W98" s="43" t="s">
        <v>387</v>
      </c>
      <c r="AB98" s="2">
        <v>3.99</v>
      </c>
      <c r="AC98" s="2">
        <v>5.98</v>
      </c>
      <c r="AD98" s="2">
        <v>0.28000000000000003</v>
      </c>
    </row>
    <row r="99" spans="1:30" x14ac:dyDescent="0.25">
      <c r="A99" s="25" t="s">
        <v>813</v>
      </c>
      <c r="B99" s="134" t="s">
        <v>814</v>
      </c>
      <c r="C99" s="1">
        <v>1</v>
      </c>
      <c r="D99" s="1">
        <v>1</v>
      </c>
      <c r="E99" s="1">
        <v>1</v>
      </c>
      <c r="F99" s="1" t="s">
        <v>718</v>
      </c>
      <c r="G99" s="1">
        <v>3130</v>
      </c>
      <c r="H99" s="1" t="s">
        <v>370</v>
      </c>
      <c r="I99" s="94">
        <v>155</v>
      </c>
      <c r="J99" s="2">
        <v>0.47799999999999998</v>
      </c>
      <c r="L99" s="135">
        <v>46206</v>
      </c>
      <c r="M99" s="3" t="s">
        <v>405</v>
      </c>
      <c r="O99" s="1">
        <v>1</v>
      </c>
      <c r="P99" s="94">
        <v>2</v>
      </c>
      <c r="Q99" s="4">
        <v>0</v>
      </c>
      <c r="R99" s="2">
        <v>0</v>
      </c>
      <c r="S99" s="25" t="s">
        <v>815</v>
      </c>
      <c r="V99" s="41" t="s">
        <v>715</v>
      </c>
      <c r="W99" s="43" t="s">
        <v>374</v>
      </c>
      <c r="AB99" s="2">
        <v>3.21</v>
      </c>
      <c r="AC99" s="2">
        <v>6.95</v>
      </c>
      <c r="AD99" s="2">
        <v>0</v>
      </c>
    </row>
    <row r="100" spans="1:30" x14ac:dyDescent="0.25">
      <c r="A100" s="25" t="s">
        <v>816</v>
      </c>
      <c r="B100" s="134" t="s">
        <v>817</v>
      </c>
      <c r="C100" s="1">
        <v>1</v>
      </c>
      <c r="D100" s="1">
        <v>1</v>
      </c>
      <c r="E100" s="1">
        <v>2</v>
      </c>
      <c r="F100" s="1" t="s">
        <v>818</v>
      </c>
      <c r="G100" s="1">
        <v>3081</v>
      </c>
      <c r="H100" s="1" t="s">
        <v>370</v>
      </c>
      <c r="I100" s="94">
        <v>155</v>
      </c>
      <c r="J100" s="2">
        <v>0.90100000000000002</v>
      </c>
      <c r="L100" s="135">
        <v>46206</v>
      </c>
      <c r="M100" s="3" t="s">
        <v>391</v>
      </c>
      <c r="O100" s="1">
        <v>1</v>
      </c>
      <c r="P100" s="94">
        <v>2</v>
      </c>
      <c r="Q100" s="4">
        <v>0</v>
      </c>
      <c r="R100" s="2">
        <v>0</v>
      </c>
      <c r="S100" s="25" t="s">
        <v>819</v>
      </c>
      <c r="V100" s="41" t="s">
        <v>820</v>
      </c>
      <c r="W100" s="43" t="s">
        <v>374</v>
      </c>
      <c r="AB100" s="2">
        <v>3.68</v>
      </c>
      <c r="AC100" s="2">
        <v>8.6199999999999992</v>
      </c>
      <c r="AD100" s="2">
        <v>0.28000000000000003</v>
      </c>
    </row>
    <row r="101" spans="1:30" x14ac:dyDescent="0.25">
      <c r="A101" s="25" t="s">
        <v>821</v>
      </c>
      <c r="B101" s="134" t="s">
        <v>822</v>
      </c>
      <c r="C101" s="1">
        <v>1</v>
      </c>
      <c r="D101" s="1">
        <v>6</v>
      </c>
      <c r="E101" s="1">
        <v>6</v>
      </c>
      <c r="F101" s="1" t="s">
        <v>823</v>
      </c>
      <c r="G101" s="1">
        <v>3300</v>
      </c>
      <c r="H101" s="1" t="s">
        <v>370</v>
      </c>
      <c r="I101" s="94">
        <v>155</v>
      </c>
      <c r="J101" s="2">
        <v>0.95099999999999996</v>
      </c>
      <c r="L101" s="135">
        <v>46206</v>
      </c>
      <c r="M101" s="3" t="s">
        <v>391</v>
      </c>
      <c r="O101" s="1">
        <v>1</v>
      </c>
      <c r="P101" s="94">
        <v>2</v>
      </c>
      <c r="Q101" s="4">
        <v>0</v>
      </c>
      <c r="R101" s="2">
        <v>0</v>
      </c>
      <c r="S101" s="25" t="s">
        <v>824</v>
      </c>
      <c r="V101" s="41" t="s">
        <v>825</v>
      </c>
      <c r="W101" s="43" t="s">
        <v>467</v>
      </c>
      <c r="AB101" s="2">
        <v>7.11</v>
      </c>
      <c r="AC101" s="2">
        <v>19.3</v>
      </c>
      <c r="AD101" s="2">
        <v>0.28000000000000003</v>
      </c>
    </row>
    <row r="102" spans="1:30" x14ac:dyDescent="0.25">
      <c r="A102" s="25" t="s">
        <v>826</v>
      </c>
      <c r="B102" s="134" t="s">
        <v>827</v>
      </c>
      <c r="C102" s="1">
        <v>1</v>
      </c>
      <c r="D102" s="1">
        <v>1</v>
      </c>
      <c r="E102" s="1">
        <v>12</v>
      </c>
      <c r="F102" s="1" t="s">
        <v>828</v>
      </c>
      <c r="G102" s="1">
        <v>4123</v>
      </c>
      <c r="H102" s="1" t="s">
        <v>370</v>
      </c>
      <c r="I102" s="94">
        <v>155</v>
      </c>
      <c r="J102" s="2">
        <v>1.915</v>
      </c>
      <c r="L102" s="135">
        <v>46206</v>
      </c>
      <c r="M102" s="3" t="s">
        <v>391</v>
      </c>
      <c r="O102" s="1">
        <v>1</v>
      </c>
      <c r="P102" s="94">
        <v>2</v>
      </c>
      <c r="Q102" s="4">
        <v>0</v>
      </c>
      <c r="R102" s="2">
        <v>0</v>
      </c>
      <c r="S102" s="25" t="s">
        <v>829</v>
      </c>
      <c r="V102" s="41" t="s">
        <v>830</v>
      </c>
      <c r="W102" s="43" t="s">
        <v>435</v>
      </c>
      <c r="AB102" s="2">
        <v>8.3800000000000008</v>
      </c>
      <c r="AC102" s="2">
        <v>9.2899999999999991</v>
      </c>
      <c r="AD102" s="2">
        <v>0.28000000000000003</v>
      </c>
    </row>
    <row r="103" spans="1:30" x14ac:dyDescent="0.25">
      <c r="A103" s="25" t="s">
        <v>831</v>
      </c>
      <c r="B103" s="134" t="s">
        <v>832</v>
      </c>
      <c r="C103" s="1">
        <v>1</v>
      </c>
      <c r="D103" s="1">
        <v>1</v>
      </c>
      <c r="E103" s="1">
        <v>1</v>
      </c>
      <c r="F103" s="1" t="s">
        <v>833</v>
      </c>
      <c r="G103" s="1">
        <v>2017</v>
      </c>
      <c r="H103" s="1" t="s">
        <v>370</v>
      </c>
      <c r="I103" s="94">
        <v>155</v>
      </c>
      <c r="J103" s="2">
        <v>0.53400000000000003</v>
      </c>
      <c r="L103" s="135">
        <v>46206</v>
      </c>
      <c r="M103" s="3" t="s">
        <v>371</v>
      </c>
      <c r="O103" s="1">
        <v>1</v>
      </c>
      <c r="P103" s="94">
        <v>2</v>
      </c>
      <c r="Q103" s="4">
        <v>0</v>
      </c>
      <c r="R103" s="2">
        <v>0</v>
      </c>
      <c r="S103" s="25" t="s">
        <v>834</v>
      </c>
      <c r="V103" s="41" t="s">
        <v>835</v>
      </c>
      <c r="W103" s="43" t="s">
        <v>387</v>
      </c>
      <c r="AB103" s="2">
        <v>3.21</v>
      </c>
      <c r="AC103" s="2">
        <v>5.98</v>
      </c>
      <c r="AD103" s="2">
        <v>0.28000000000000003</v>
      </c>
    </row>
    <row r="104" spans="1:30" x14ac:dyDescent="0.25">
      <c r="A104" s="25" t="s">
        <v>836</v>
      </c>
      <c r="B104" s="134" t="s">
        <v>837</v>
      </c>
      <c r="C104" s="1">
        <v>1</v>
      </c>
      <c r="D104" s="1">
        <v>1</v>
      </c>
      <c r="E104" s="1">
        <v>1</v>
      </c>
      <c r="F104" s="1" t="s">
        <v>838</v>
      </c>
      <c r="G104" s="1">
        <v>2612</v>
      </c>
      <c r="H104" s="1" t="s">
        <v>370</v>
      </c>
      <c r="I104" s="94">
        <v>155</v>
      </c>
      <c r="J104" s="2">
        <v>0.48199999999999998</v>
      </c>
      <c r="L104" s="135">
        <v>46206</v>
      </c>
      <c r="M104" s="3" t="s">
        <v>405</v>
      </c>
      <c r="O104" s="1">
        <v>1</v>
      </c>
      <c r="P104" s="94">
        <v>2</v>
      </c>
      <c r="Q104" s="4">
        <v>0</v>
      </c>
      <c r="R104" s="2">
        <v>0</v>
      </c>
      <c r="S104" s="25" t="s">
        <v>839</v>
      </c>
      <c r="V104" s="41" t="s">
        <v>530</v>
      </c>
      <c r="W104" s="43" t="s">
        <v>840</v>
      </c>
      <c r="AB104" s="2">
        <v>3.21</v>
      </c>
      <c r="AC104" s="2">
        <v>7.25</v>
      </c>
      <c r="AD104" s="2">
        <v>0</v>
      </c>
    </row>
    <row r="105" spans="1:30" x14ac:dyDescent="0.25">
      <c r="A105" s="25" t="s">
        <v>841</v>
      </c>
      <c r="B105" s="134" t="s">
        <v>842</v>
      </c>
      <c r="C105" s="1">
        <v>1</v>
      </c>
      <c r="D105" s="1">
        <v>2</v>
      </c>
      <c r="E105" s="1">
        <v>2</v>
      </c>
      <c r="F105" s="1" t="s">
        <v>843</v>
      </c>
      <c r="G105" s="1">
        <v>3031</v>
      </c>
      <c r="H105" s="1" t="s">
        <v>370</v>
      </c>
      <c r="I105" s="94">
        <v>155</v>
      </c>
      <c r="J105" s="2">
        <v>0.88700000000000001</v>
      </c>
      <c r="L105" s="135">
        <v>46206</v>
      </c>
      <c r="M105" s="3" t="s">
        <v>391</v>
      </c>
      <c r="O105" s="1">
        <v>1</v>
      </c>
      <c r="P105" s="94">
        <v>2</v>
      </c>
      <c r="Q105" s="4">
        <v>0</v>
      </c>
      <c r="R105" s="2">
        <v>0</v>
      </c>
      <c r="S105" s="25" t="s">
        <v>844</v>
      </c>
      <c r="V105" s="41" t="s">
        <v>845</v>
      </c>
      <c r="W105" s="43" t="s">
        <v>374</v>
      </c>
      <c r="AB105" s="2">
        <v>3.99</v>
      </c>
      <c r="AC105" s="2">
        <v>8.6199999999999992</v>
      </c>
      <c r="AD105" s="2">
        <v>0.28000000000000003</v>
      </c>
    </row>
    <row r="106" spans="1:30" x14ac:dyDescent="0.25">
      <c r="A106" s="25" t="s">
        <v>846</v>
      </c>
      <c r="B106" s="134" t="s">
        <v>847</v>
      </c>
      <c r="C106" s="1">
        <v>1</v>
      </c>
      <c r="D106" s="1">
        <v>16</v>
      </c>
      <c r="E106" s="1">
        <v>16</v>
      </c>
      <c r="F106" s="1" t="s">
        <v>848</v>
      </c>
      <c r="G106" s="1">
        <v>2906</v>
      </c>
      <c r="H106" s="1" t="s">
        <v>370</v>
      </c>
      <c r="I106" s="94">
        <v>55</v>
      </c>
      <c r="J106" s="2">
        <v>5.58</v>
      </c>
      <c r="L106" s="135">
        <v>46206</v>
      </c>
      <c r="M106" s="3" t="s">
        <v>587</v>
      </c>
      <c r="O106" s="1">
        <v>1</v>
      </c>
      <c r="P106" s="94">
        <v>2</v>
      </c>
      <c r="Q106" s="4">
        <v>0</v>
      </c>
      <c r="R106" s="2">
        <v>0</v>
      </c>
      <c r="S106" s="25" t="s">
        <v>849</v>
      </c>
      <c r="V106" s="41" t="s">
        <v>850</v>
      </c>
      <c r="W106" s="43" t="s">
        <v>840</v>
      </c>
      <c r="AB106" s="2">
        <v>14.91</v>
      </c>
      <c r="AC106" s="2">
        <v>12.31</v>
      </c>
      <c r="AD106" s="2">
        <v>1.04</v>
      </c>
    </row>
    <row r="107" spans="1:30" x14ac:dyDescent="0.25">
      <c r="A107" s="25" t="s">
        <v>851</v>
      </c>
      <c r="B107" s="134" t="s">
        <v>852</v>
      </c>
      <c r="C107" s="1">
        <v>1</v>
      </c>
      <c r="D107" s="1">
        <v>2</v>
      </c>
      <c r="E107" s="1">
        <v>2</v>
      </c>
      <c r="F107" s="1" t="s">
        <v>853</v>
      </c>
      <c r="G107" s="1">
        <v>2291</v>
      </c>
      <c r="H107" s="1" t="s">
        <v>370</v>
      </c>
      <c r="I107" s="94">
        <v>155</v>
      </c>
      <c r="J107" s="2">
        <v>0.9</v>
      </c>
      <c r="L107" s="135">
        <v>46206</v>
      </c>
      <c r="M107" s="3" t="s">
        <v>391</v>
      </c>
      <c r="O107" s="1">
        <v>1</v>
      </c>
      <c r="P107" s="94">
        <v>2</v>
      </c>
      <c r="Q107" s="4">
        <v>0</v>
      </c>
      <c r="R107" s="2">
        <v>0</v>
      </c>
      <c r="S107" s="25" t="s">
        <v>854</v>
      </c>
      <c r="V107" s="41" t="s">
        <v>855</v>
      </c>
      <c r="W107" s="43" t="s">
        <v>578</v>
      </c>
      <c r="AB107" s="2">
        <v>3.99</v>
      </c>
      <c r="AC107" s="2">
        <v>8.1</v>
      </c>
      <c r="AD107" s="2">
        <v>0.28000000000000003</v>
      </c>
    </row>
    <row r="108" spans="1:30" x14ac:dyDescent="0.25">
      <c r="A108" s="25" t="s">
        <v>856</v>
      </c>
      <c r="B108" s="134" t="s">
        <v>857</v>
      </c>
      <c r="C108" s="1">
        <v>1</v>
      </c>
      <c r="D108" s="1">
        <v>1</v>
      </c>
      <c r="E108" s="1">
        <v>1</v>
      </c>
      <c r="F108" s="1" t="s">
        <v>602</v>
      </c>
      <c r="G108" s="1">
        <v>3820</v>
      </c>
      <c r="H108" s="1" t="s">
        <v>370</v>
      </c>
      <c r="I108" s="94">
        <v>155</v>
      </c>
      <c r="J108" s="2">
        <v>0.44600000000000001</v>
      </c>
      <c r="L108" s="135">
        <v>46206</v>
      </c>
      <c r="M108" s="3" t="s">
        <v>371</v>
      </c>
      <c r="O108" s="1">
        <v>1</v>
      </c>
      <c r="P108" s="94">
        <v>2</v>
      </c>
      <c r="Q108" s="4">
        <v>0</v>
      </c>
      <c r="R108" s="2">
        <v>0</v>
      </c>
      <c r="S108" s="25" t="s">
        <v>858</v>
      </c>
      <c r="V108" s="41" t="s">
        <v>859</v>
      </c>
      <c r="W108" s="43" t="s">
        <v>467</v>
      </c>
      <c r="AB108" s="2">
        <v>3.21</v>
      </c>
      <c r="AC108" s="2">
        <v>11.61</v>
      </c>
      <c r="AD108" s="2">
        <v>0.28000000000000003</v>
      </c>
    </row>
    <row r="109" spans="1:30" x14ac:dyDescent="0.25">
      <c r="A109" s="25" t="s">
        <v>860</v>
      </c>
      <c r="B109" s="134" t="s">
        <v>861</v>
      </c>
      <c r="C109" s="1">
        <v>1</v>
      </c>
      <c r="D109" s="1">
        <v>1</v>
      </c>
      <c r="E109" s="1">
        <v>1</v>
      </c>
      <c r="F109" s="1" t="s">
        <v>862</v>
      </c>
      <c r="G109" s="1">
        <v>6164</v>
      </c>
      <c r="H109" s="1" t="s">
        <v>370</v>
      </c>
      <c r="I109" s="94">
        <v>155</v>
      </c>
      <c r="J109" s="2">
        <v>0.41899999999999998</v>
      </c>
      <c r="L109" s="135">
        <v>46206</v>
      </c>
      <c r="M109" s="3" t="s">
        <v>863</v>
      </c>
      <c r="O109" s="1">
        <v>1</v>
      </c>
      <c r="P109" s="94">
        <v>2</v>
      </c>
      <c r="Q109" s="4">
        <v>0</v>
      </c>
      <c r="R109" s="2">
        <v>0</v>
      </c>
      <c r="S109" s="25" t="s">
        <v>864</v>
      </c>
      <c r="V109" s="41" t="s">
        <v>865</v>
      </c>
      <c r="W109" s="43" t="s">
        <v>514</v>
      </c>
      <c r="AB109" s="2">
        <v>3.21</v>
      </c>
      <c r="AC109" s="2">
        <v>8.26</v>
      </c>
      <c r="AD109" s="2">
        <v>0.26</v>
      </c>
    </row>
    <row r="110" spans="1:30" x14ac:dyDescent="0.25">
      <c r="A110" s="25" t="s">
        <v>866</v>
      </c>
      <c r="B110" s="134" t="s">
        <v>867</v>
      </c>
      <c r="C110" s="1">
        <v>1</v>
      </c>
      <c r="D110" s="1">
        <v>1</v>
      </c>
      <c r="E110" s="1">
        <v>1</v>
      </c>
      <c r="F110" s="1" t="s">
        <v>868</v>
      </c>
      <c r="G110" s="1">
        <v>5107</v>
      </c>
      <c r="H110" s="1" t="s">
        <v>370</v>
      </c>
      <c r="I110" s="94">
        <v>155</v>
      </c>
      <c r="J110" s="2">
        <v>0.44500000000000001</v>
      </c>
      <c r="L110" s="135">
        <v>46206</v>
      </c>
      <c r="M110" s="3" t="s">
        <v>371</v>
      </c>
      <c r="O110" s="1">
        <v>1</v>
      </c>
      <c r="P110" s="94">
        <v>2</v>
      </c>
      <c r="Q110" s="4">
        <v>0</v>
      </c>
      <c r="R110" s="2">
        <v>0</v>
      </c>
      <c r="S110" s="25" t="s">
        <v>869</v>
      </c>
      <c r="V110" s="41" t="s">
        <v>859</v>
      </c>
      <c r="W110" s="43" t="s">
        <v>446</v>
      </c>
      <c r="AB110" s="2">
        <v>3.21</v>
      </c>
      <c r="AC110" s="2">
        <v>7.16</v>
      </c>
      <c r="AD110" s="2">
        <v>0.28000000000000003</v>
      </c>
    </row>
    <row r="111" spans="1:30" x14ac:dyDescent="0.25">
      <c r="A111" s="25" t="s">
        <v>870</v>
      </c>
      <c r="B111" s="134" t="s">
        <v>871</v>
      </c>
      <c r="C111" s="1">
        <v>1</v>
      </c>
      <c r="D111" s="1">
        <v>1</v>
      </c>
      <c r="E111" s="1">
        <v>2</v>
      </c>
      <c r="F111" s="1" t="s">
        <v>872</v>
      </c>
      <c r="G111" s="1">
        <v>2037</v>
      </c>
      <c r="H111" s="1" t="s">
        <v>370</v>
      </c>
      <c r="I111" s="94">
        <v>155</v>
      </c>
      <c r="J111" s="2">
        <v>0.36499999999999999</v>
      </c>
      <c r="L111" s="135">
        <v>46206</v>
      </c>
      <c r="M111" s="3" t="s">
        <v>371</v>
      </c>
      <c r="O111" s="1">
        <v>1</v>
      </c>
      <c r="P111" s="94">
        <v>2</v>
      </c>
      <c r="Q111" s="4">
        <v>0</v>
      </c>
      <c r="R111" s="2">
        <v>0</v>
      </c>
      <c r="S111" s="25" t="s">
        <v>873</v>
      </c>
      <c r="V111" s="41" t="s">
        <v>466</v>
      </c>
      <c r="W111" s="43" t="s">
        <v>387</v>
      </c>
      <c r="AB111" s="2">
        <v>3.68</v>
      </c>
      <c r="AC111" s="2">
        <v>5.52</v>
      </c>
      <c r="AD111" s="2">
        <v>0.28000000000000003</v>
      </c>
    </row>
    <row r="112" spans="1:30" x14ac:dyDescent="0.25">
      <c r="A112" s="25" t="s">
        <v>874</v>
      </c>
      <c r="B112" s="134" t="s">
        <v>875</v>
      </c>
      <c r="C112" s="1">
        <v>1</v>
      </c>
      <c r="D112" s="1">
        <v>7</v>
      </c>
      <c r="E112" s="1">
        <v>7</v>
      </c>
      <c r="F112" s="1" t="s">
        <v>876</v>
      </c>
      <c r="G112" s="1">
        <v>4211</v>
      </c>
      <c r="H112" s="1" t="s">
        <v>370</v>
      </c>
      <c r="I112" s="94">
        <v>155</v>
      </c>
      <c r="J112" s="2">
        <v>1.0620000000000001</v>
      </c>
      <c r="L112" s="135">
        <v>46206</v>
      </c>
      <c r="M112" s="3" t="s">
        <v>391</v>
      </c>
      <c r="O112" s="1">
        <v>1</v>
      </c>
      <c r="P112" s="94">
        <v>2</v>
      </c>
      <c r="Q112" s="4">
        <v>0</v>
      </c>
      <c r="R112" s="2">
        <v>0</v>
      </c>
      <c r="S112" s="25" t="s">
        <v>877</v>
      </c>
      <c r="V112" s="41" t="s">
        <v>878</v>
      </c>
      <c r="W112" s="43" t="s">
        <v>394</v>
      </c>
      <c r="AB112" s="2">
        <v>7.89</v>
      </c>
      <c r="AC112" s="2">
        <v>12.08</v>
      </c>
      <c r="AD112" s="2">
        <v>0.28000000000000003</v>
      </c>
    </row>
  </sheetData>
  <sheetProtection algorithmName="SHA-512" hashValue="BHgyHQThXXcNHapzYtI+6OIT59BVF4vnEDYKreCrEppMJl0lIQj0W4xNEN/cc/WZ1esEtGj56NCDAZcka9EbdA==" saltValue="ns8smXP5qXjDLnjOFmIUcw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DOK50357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03 Jul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1270.78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882</v>
      </c>
      <c r="C13" s="34">
        <v>46206</v>
      </c>
      <c r="D13" s="14" t="s">
        <v>879</v>
      </c>
      <c r="E13" s="20" t="s">
        <v>880</v>
      </c>
      <c r="F13" s="20" t="s">
        <v>881</v>
      </c>
      <c r="G13" s="15">
        <v>0</v>
      </c>
      <c r="I13" s="96">
        <v>8.1999999999999993</v>
      </c>
      <c r="J13" s="16" t="s">
        <v>883</v>
      </c>
      <c r="K13" s="20" t="s">
        <v>884</v>
      </c>
      <c r="L13" s="17">
        <v>0.17</v>
      </c>
      <c r="M13" s="17">
        <v>56.72</v>
      </c>
      <c r="N13" s="17">
        <v>9.64</v>
      </c>
    </row>
    <row r="14" spans="1:14" ht="12" x14ac:dyDescent="0.25">
      <c r="A14" s="101" t="s">
        <v>882</v>
      </c>
      <c r="I14" s="96">
        <v>8.1</v>
      </c>
      <c r="J14" s="16" t="s">
        <v>885</v>
      </c>
      <c r="K14" s="20" t="s">
        <v>886</v>
      </c>
      <c r="L14" s="17">
        <v>0.17</v>
      </c>
      <c r="M14" s="17">
        <v>56.72</v>
      </c>
      <c r="N14" s="17">
        <v>9.64</v>
      </c>
    </row>
    <row r="15" spans="1:14" ht="12" x14ac:dyDescent="0.25">
      <c r="M15" s="17"/>
    </row>
    <row r="16" spans="1:14" ht="12" x14ac:dyDescent="0.25">
      <c r="A16" s="101" t="s">
        <v>889</v>
      </c>
      <c r="C16" s="34">
        <v>46206</v>
      </c>
      <c r="D16" s="14" t="s">
        <v>887</v>
      </c>
      <c r="E16" s="20" t="s">
        <v>130</v>
      </c>
      <c r="F16" s="20" t="s">
        <v>888</v>
      </c>
      <c r="G16" s="15">
        <v>0</v>
      </c>
      <c r="I16" s="96">
        <v>10.1</v>
      </c>
      <c r="J16" s="16" t="s">
        <v>890</v>
      </c>
      <c r="K16" s="20" t="s">
        <v>321</v>
      </c>
      <c r="L16" s="17">
        <v>356</v>
      </c>
      <c r="M16" s="17">
        <v>0.36</v>
      </c>
      <c r="N16" s="17">
        <v>128.16</v>
      </c>
    </row>
    <row r="17" spans="1:14" ht="24" x14ac:dyDescent="0.25">
      <c r="A17" s="101" t="s">
        <v>889</v>
      </c>
      <c r="I17" s="96">
        <v>10.199999999999999</v>
      </c>
      <c r="J17" s="16" t="s">
        <v>891</v>
      </c>
      <c r="K17" s="20" t="s">
        <v>892</v>
      </c>
      <c r="L17" s="17">
        <v>56167</v>
      </c>
      <c r="M17" s="17">
        <v>0.02</v>
      </c>
      <c r="N17" s="17">
        <v>1123.3399999999999</v>
      </c>
    </row>
    <row r="18" spans="1:14" ht="12" x14ac:dyDescent="0.25">
      <c r="M18" s="17"/>
    </row>
    <row r="19" spans="1:14" ht="12" x14ac:dyDescent="0.25">
      <c r="M19" s="17"/>
    </row>
    <row r="20" spans="1:14" ht="12" x14ac:dyDescent="0.25">
      <c r="M20" s="17"/>
    </row>
    <row r="21" spans="1:14" ht="12" x14ac:dyDescent="0.25">
      <c r="M21" s="17"/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knf6MaFyw+a+AXrZYR6Ze2AHgVOhFw6GyXwAGm97yHefmkogZ2ptUXkgxQlQkqmzFhGqF3PBvPQYM0g7eLTRxQ==" saltValue="wg9JFoNgn3ADzNZE4JTvQ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6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DOK50357</v>
      </c>
    </row>
    <row r="3" spans="1:5" x14ac:dyDescent="0.25">
      <c r="A3" s="25" t="str">
        <f>Invoice!$G$4&amp;TEXT(Invoice!$H$4,"dd mmm yy")</f>
        <v>Period End : 03 Jul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1.04</v>
      </c>
      <c r="E10" s="40">
        <v>3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1.43</v>
      </c>
      <c r="E11" s="40">
        <v>1</v>
      </c>
    </row>
    <row r="12" spans="1:5" x14ac:dyDescent="0.25">
      <c r="A12" s="23" t="s">
        <v>355</v>
      </c>
      <c r="B12" s="23" t="s">
        <v>356</v>
      </c>
      <c r="C12" s="23" t="s">
        <v>300</v>
      </c>
      <c r="D12" s="39">
        <v>0</v>
      </c>
      <c r="E12" s="40">
        <v>6</v>
      </c>
    </row>
    <row r="13" spans="1:5" x14ac:dyDescent="0.25">
      <c r="A13" s="23" t="s">
        <v>357</v>
      </c>
      <c r="B13" s="23" t="s">
        <v>358</v>
      </c>
      <c r="C13" s="23" t="s">
        <v>359</v>
      </c>
      <c r="D13" s="39">
        <v>0.26</v>
      </c>
      <c r="E13" s="40">
        <v>1</v>
      </c>
    </row>
    <row r="14" spans="1:5" x14ac:dyDescent="0.25">
      <c r="A14" s="23" t="s">
        <v>360</v>
      </c>
      <c r="B14" s="23" t="s">
        <v>361</v>
      </c>
      <c r="C14" s="23" t="s">
        <v>362</v>
      </c>
      <c r="D14" s="21">
        <v>0.28000000000000003</v>
      </c>
      <c r="E14" s="28">
        <v>47</v>
      </c>
    </row>
    <row r="15" spans="1:5" x14ac:dyDescent="0.25">
      <c r="A15" s="23" t="s">
        <v>363</v>
      </c>
      <c r="B15" s="23" t="s">
        <v>364</v>
      </c>
      <c r="C15" s="23" t="s">
        <v>362</v>
      </c>
      <c r="D15" s="21">
        <v>0.28000000000000003</v>
      </c>
      <c r="E15" s="28">
        <v>35</v>
      </c>
    </row>
    <row r="16" spans="1:5" x14ac:dyDescent="0.25">
      <c r="A16" s="23" t="s">
        <v>365</v>
      </c>
      <c r="B16" s="23" t="s">
        <v>366</v>
      </c>
      <c r="C16" s="23" t="s">
        <v>362</v>
      </c>
      <c r="D16" s="21">
        <v>0.28000000000000003</v>
      </c>
      <c r="E16" s="28">
        <v>7</v>
      </c>
    </row>
  </sheetData>
  <sheetProtection algorithmName="SHA-512" hashValue="mA5oylN2VUgdUx3ycQrtZt0rMAULmxK1SCeomgDLvi+3Bu+sGSWwNOBpVa3P/2kimeTbG203OkZFFkwuFeLk8Q==" saltValue="SiaSxtusEpyJmAUQUh9zEA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DOK50357</v>
      </c>
    </row>
    <row r="3" spans="1:5" x14ac:dyDescent="0.25">
      <c r="A3" s="49" t="str">
        <f>Invoice!$G$4&amp;TEXT(Invoice!$H$4,"dd mmm yy")</f>
        <v>Period End : 03 Jul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455.79999999999995</v>
      </c>
      <c r="D12" s="92">
        <f>+'Order Processing'!AC9</f>
        <v>976.75000000000023</v>
      </c>
      <c r="E12" s="92">
        <f>+'Order Processing'!AD9</f>
        <v>29.73000000000004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455.79999999999995</v>
      </c>
      <c r="D13" s="85">
        <f>D12-SUM('Layout Summary'!D14:D141)</f>
        <v>976.75000000000023</v>
      </c>
      <c r="E13" s="85">
        <f>E12-SUM('Layout Summary'!E14:E141)</f>
        <v>29.73000000000004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f0QA4kvslvqy1fGvzy15qTmCSi+qzBOCieMkopTecE7HDAh3UQzntmrQp3vcOCA6u+Hjbq9xL75sx5EQN4xajQ==" saltValue="iE/X3cJ0RRBV7gfvj9Qj/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DOK50357</v>
      </c>
    </row>
    <row r="3" spans="1:2" x14ac:dyDescent="0.25">
      <c r="A3" s="1" t="str">
        <f>Invoice!$G$4&amp;TEXT(Invoice!$H$4,"dd mmm yy")</f>
        <v>Period End : 03 Jul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46209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46206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WK2601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1892.78</v>
      </c>
    </row>
    <row r="12" spans="1:2" x14ac:dyDescent="0.25">
      <c r="A12" t="s">
        <v>131</v>
      </c>
      <c r="B12" s="37">
        <f>Invoice!H20</f>
        <v>976.75000000000023</v>
      </c>
    </row>
    <row r="13" spans="1:2" x14ac:dyDescent="0.25">
      <c r="A13" t="s">
        <v>132</v>
      </c>
      <c r="B13" s="37">
        <f>Invoice!H27</f>
        <v>2869.53</v>
      </c>
    </row>
    <row r="14" spans="1:2" x14ac:dyDescent="0.25">
      <c r="A14" t="s">
        <v>40</v>
      </c>
      <c r="B14" s="37">
        <f>Invoice!H28</f>
        <v>286.95</v>
      </c>
    </row>
    <row r="15" spans="1:2" x14ac:dyDescent="0.25">
      <c r="A15" t="s">
        <v>133</v>
      </c>
      <c r="B15" s="37">
        <f>Invoice!H29</f>
        <v>3156.48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2026-07-07T06:10:03Z</dcterms:modified>
</cp:coreProperties>
</file>