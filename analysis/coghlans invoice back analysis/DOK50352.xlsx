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2AF771AF-C41D-4572-AE1F-E5B963F9FE12}" xr6:coauthVersionLast="47" xr6:coauthVersionMax="47" xr10:uidLastSave="{00000000-0000-0000-0000-000000000000}"/>
  <workbookProtection workbookAlgorithmName="SHA-512" workbookHashValue="ItKI3uuWLUQl4psNT70IXlU2yLF3jMneaLPytB/OKuHwmEovW7kPzBmOV2rGh4nu6PurH2XoEeBBjihBloTySQ==" workbookSaltValue="Czfxky8v9fnh7UlFAoW87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<sst xmlns="http://schemas.openxmlformats.org/spreadsheetml/2006/main" count="2468" uniqueCount="1564">
  <si>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</si>
  <si>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</si>
  <si>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</si>
  <si>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</si>
  <si>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</si>
  <si>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</si>
  <si>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</si>
  <si>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</si>
  <si>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</si>
  <si>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</si>
  <si>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</si>
  <si>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</si>
  <si>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</si>
  <si>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</si>
  <si>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</si>
  <si>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</si>
  <si>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</si>
  <si>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</si>
  <si>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</si>
  <si>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</si>
  <si>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</si>
  <si>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</si>
  <si>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</si>
  <si>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</si>
  <si>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</si>
  <si>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</si>
  <si>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</si>
  <si>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</si>
  <si>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</si>
  <si>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</si>
  <si>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</si>
  <si>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</si>
  <si>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</si>
  <si>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</si>
  <si>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</si>
  <si>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</si>
  <si>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</si>
  <si>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</si>
  <si>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</si>
  <si>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</si>
  <si>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</si>
  <si>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</si>
  <si>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</si>
  <si>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</si>
  <si>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</si>
  <si>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</si>
  <si>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</si>
  <si>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</si>
  <si>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</si>
  <si>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</si>
  <si>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</si>
  <si>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</si>
  <si>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</si>
  <si>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</si>
  <si>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</si>
  <si>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</si>
  <si>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</si>
  <si>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</si>
  <si>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</si>
  <si>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</si>
  <si>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</si>
  <si>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</si>
  <si>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</si>
  <si>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</si>
  <si>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</si>
  <si>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</si>
  <si>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</si>
  <si>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</si>
  <si>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</si>
  <si>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</si>
  <si>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</si>
  <si>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</si>
  <si>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</si>
  <si>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</si>
  <si>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</si>
  <si>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</si>
  <si>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</si>
  <si>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</si>
  <si>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</si>
  <si>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</si>
  <si>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</si>
  <si>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</si>
  <si>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</si>
  <si>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</si>
  <si>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</si>
  <si>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</si>
  <si>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</si>
  <si>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</si>
  <si>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</si>
  <si>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</si>
  <si>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</si>
  <si>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</si>
  <si>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</si>
  <si>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</si>
  <si>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</si>
  <si>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</si>
  <si>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</si>
  <si>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</si>
  <si>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</si>
  <si>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</si>
  <si>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</si>
  <si>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</si>
  <si>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</si>
  <si>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</si>
  <si>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</si>
  <si>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</si>
  <si>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</si>
  <si>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</si>
  <si>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</si>
  <si>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</si>
  <si>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</si>
  <si>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</si>
  <si>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</si>
  <si>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</si>
  <si>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</si>
  <si>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</si>
  <si>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</si>
  <si>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</si>
  <si>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</si>
  <si>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</si>
  <si>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</si>
  <si>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</si>
  <si>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</si>
  <si>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</si>
  <si>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</si>
  <si>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</si>
  <si>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</si>
  <si>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</si>
  <si>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</si>
  <si>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</si>
  <si>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</si>
  <si>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</si>
  <si>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</si>
  <si>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</si>
  <si>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</si>
  <si>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</si>
  <si>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</si>
  <si>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</si>
  <si>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</si>
  <si>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</si>
  <si>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</si>
  <si>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</si>
  <si>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</si>
  <si>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</si>
  <si>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</si>
  <si>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</si>
  <si>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</si>
  <si>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</si>
  <si>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</si>
  <si>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</si>
  <si>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</si>
  <si>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</si>
  <si>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</si>
  <si>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</si>
  <si>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</si>
  <si>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</si>
  <si>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</si>
  <si>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</si>
  <si>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</si>
  <si>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</si>
  <si>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</si>
  <si>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</si>
  <si>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</si>
  <si>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</si>
  <si>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</si>
  <si>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</si>
  <si>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</si>
  <si>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</si>
  <si>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</si>
  <si>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</si>
  <si>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</si>
  <si>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</si>
  <si>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</si>
  <si>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</si>
  <si>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</si>
  <si>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</si>
  <si>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</si>
  <si>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</si>
  <si>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</si>
  <si>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</si>
  <si>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</si>
  <si>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</si>
  <si>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</si>
  <si>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</si>
  <si>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</si>
  <si>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</si>
  <si>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</si>
  <si>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</si>
  <si>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</si>
  <si>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</si>
  <si>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</si>
  <si>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</si>
  <si>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</si>
  <si>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</si>
  <si>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</si>
  <si>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</si>
  <si>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</si>
  <si>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</si>
  <si>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</si>
  <si>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</si>
  <si>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</si>
  <si>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</si>
  <si>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</si>
  <si>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</si>
  <si>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</si>
  <si>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</si>
  <si>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</si>
  <si>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</si>
  <si>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</si>
  <si>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</si>
  <si>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</si>
  <si>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</si>
  <si>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</si>
  <si>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</si>
  <si>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</si>
  <si>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</si>
  <si>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</si>
  <si>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</si>
  <si>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</si>
  <si>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</si>
  <si>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</si>
  <si>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</si>
  <si>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</si>
  <si>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</si>
  <si>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</si>
  <si>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</si>
  <si>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</si>
  <si>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</si>
  <si>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</si>
  <si>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</si>
  <si>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</si>
  <si>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</si>
  <si>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</si>
  <si>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</si>
  <si>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</si>
  <si>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</si>
  <si>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</si>
  <si>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</si>
  <si>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</si>
  <si>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</si>
  <si>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</si>
  <si>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</si>
  <si>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</si>
  <si>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</si>
  <si>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</si>
  <si>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</si>
  <si>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</si>
  <si>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</si>
  <si>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</si>
  <si>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</si>
  <si>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</si>
  <si>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</si>
  <si>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</si>
  <si>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</si>
  <si>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</si>
  <si>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</si>
  <si>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</si>
  <si>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</si>
  <si>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</si>
  <si>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</si>
  <si>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</si>
  <si>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</si>
  <si>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</si>
  <si>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</si>
  <si>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</si>
  <si>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</si>
  <si>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</si>
  <si>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</si>
  <si>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</si>
  <si>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</si>
  <si>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</si>
  <si>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</si>
  <si>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</si>
  <si>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</si>
  <si>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</si>
  <si>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</si>
  <si>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</si>
  <si>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</si>
  <si>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</si>
  <si>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</si>
  <si>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</si>
  <si>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</si>
  <si>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</si>
  <si>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</si>
  <si>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</si>
  <si>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</si>
  <si>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</si>
  <si>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</si>
  <si>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</si>
  <si>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</si>
  <si>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</si>
  <si>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</si>
  <si>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</si>
  <si>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</si>
  <si>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</si>
  <si>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DOK50352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</si>
  <si>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</si>
  <si>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</si>
  <si>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</si>
  <si>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</si>
  <si>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</si>
  <si>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</si>
  <si>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</si>
  <si>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</si>
  <si>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</si>
  <si>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</si>
  <si>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</si>
  <si>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</si>
  <si>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</si>
  <si>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</si>
  <si>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</si>
  <si>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</si>
  <si>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</si>
  <si>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</si>
  <si>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</si>
  <si>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</si>
  <si>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</si>
  <si>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</si>
  <si>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</si>
  <si>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</si>
  <si>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</si>
  <si>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</si>
  <si>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</si>
  <si>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</si>
  <si>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</si>
  <si>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</si>
  <si>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</si>
  <si>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</si>
  <si>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</si>
  <si>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</si>
  <si>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</si>
  <si>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</si>
  <si>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</si>
  <si>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</si>
  <si>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</si>
  <si>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</si>
  <si>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</si>
  <si>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</si>
  <si>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</si>
  <si>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</si>
  <si>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</si>
  <si>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</si>
  <si>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</si>
  <si>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</si>
  <si>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</si>
  <si>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</si>
  <si>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</si>
  <si>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</si>
  <si>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</si>
  <si>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</si>
  <si>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</si>
  <si>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</si>
  <si>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Customer Carton</t>
  </si>
  <si>
    <t>CUST-CTN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</si>
  <si>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</si>
  <si>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</si>
  <si>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</si>
  <si>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</si>
  <si>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</si>
  <si>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</si>
  <si>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</si>
  <si>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134466</t>
  </si>
  <si>
    <t>250-7125936-0726250</t>
  </si>
  <si>
    <t>NEW LAMBTON</t>
  </si>
  <si>
    <t>AUSTRALIA</t>
  </si>
  <si>
    <t>@650966961398;</t>
  </si>
  <si>
    <t>@AXL6358928;</t>
  </si>
  <si>
    <t>@5061011628602@(..8602)Component Product@1;@5061011628565@(..8565)Component Product@1;@5061011628558@(..8558)Component Product@1;@5061011628589@(..8589)Component Product@1;@5061011625786@(..5786)Dock &amp; Bay Tea Towels - Quick-Dr@1;@5061011628572@(..8572)Component Product@1;</t>
  </si>
  <si>
    <t xml:space="preserve">NC </t>
  </si>
  <si>
    <t>134467</t>
  </si>
  <si>
    <t>AU-138078</t>
  </si>
  <si>
    <t>MOONAH</t>
  </si>
  <si>
    <t>@650966961381;</t>
  </si>
  <si>
    <t>@AXL6360484;</t>
  </si>
  <si>
    <t>@5060668839133@(..9133)Dock &amp; Bay Hair Wrap - Unicorn W@1;@5061011628473@(..8473)Dock &amp; Bay Hair Wrap - Pink Para@1;</t>
  </si>
  <si>
    <t xml:space="preserve">T0 </t>
  </si>
  <si>
    <t>134468</t>
  </si>
  <si>
    <t>AU-138079</t>
  </si>
  <si>
    <t>RUSHWORTH</t>
  </si>
  <si>
    <t>@AXL6358657;</t>
  </si>
  <si>
    <t>@5061011628473@(..8473)Dock &amp; Bay Hair Wrap - Pink Para@1;</t>
  </si>
  <si>
    <t xml:space="preserve">V2 </t>
  </si>
  <si>
    <t>134469</t>
  </si>
  <si>
    <t>AU-138080</t>
  </si>
  <si>
    <t>MERBEIN</t>
  </si>
  <si>
    <t>@AXL6360466;</t>
  </si>
  <si>
    <t>@5061011623416@(..3416)Dock &amp; Bay Quick Dry Towel - Gre@1;@5061011623546@(..3546)Dock &amp; Bay Quick Dry Towel - Sug@1;</t>
  </si>
  <si>
    <t>134470</t>
  </si>
  <si>
    <t>AU-138081</t>
  </si>
  <si>
    <t>CARLINGFORD</t>
  </si>
  <si>
    <t>@AXL6360455;</t>
  </si>
  <si>
    <t>@5061011623447@(..3447)Dock &amp; Bay Quick Dry Towel - Mia@1;</t>
  </si>
  <si>
    <t xml:space="preserve">N0 </t>
  </si>
  <si>
    <t>134471</t>
  </si>
  <si>
    <t>AU-138082</t>
  </si>
  <si>
    <t>PASCOE VALE</t>
  </si>
  <si>
    <t>@CUST-CTN;</t>
  </si>
  <si>
    <t>@AXL6359876;</t>
  </si>
  <si>
    <t>@5060668836224@(..6224)Component Product@1;@5060668836231@(..6231)Component Product@1;@5060668831960@(..1960)Component Product@1;@5060668831977@(..1977)Component Product@1;@5060668831984@(..1984)Component Product@1;@5060668832073@(..2073)Component Product@1;</t>
  </si>
  <si>
    <t xml:space="preserve">V0 </t>
  </si>
  <si>
    <t>134472</t>
  </si>
  <si>
    <t>AU-138083</t>
  </si>
  <si>
    <t>BRUNSWICK WEST</t>
  </si>
  <si>
    <t>@AXL6359856;</t>
  </si>
  <si>
    <t>@5060668838501@(..8501)Dock &amp; Bay Quick Dry Bath Towel@1;@5061011628374@(..8374)Component Product@2;@5061011628381@(..8381)Component Product@2;@5060668838228@(..8228)Dock &amp; Bay Bath Towels - Nautica@2;</t>
  </si>
  <si>
    <t>134473</t>
  </si>
  <si>
    <t>AU-138084</t>
  </si>
  <si>
    <t>KEYSBOROUGH</t>
  </si>
  <si>
    <t>@AXL6359438;</t>
  </si>
  <si>
    <t>@5061011623379@(..3379)Dock &amp; Bay Quick Dry Towel - Mia@1;</t>
  </si>
  <si>
    <t>134474</t>
  </si>
  <si>
    <t>AU-138085</t>
  </si>
  <si>
    <t>FLOREAT</t>
  </si>
  <si>
    <t>@AXL6359825;</t>
  </si>
  <si>
    <t>@5061011625571@(..5571)Dock &amp; Bay Hair Wrap - Ocean Tre@1;@5061011623225@(..3225)Dock &amp; Bay Hair Wrap - Miami Sor@1;</t>
  </si>
  <si>
    <t xml:space="preserve">W0 </t>
  </si>
  <si>
    <t>134475</t>
  </si>
  <si>
    <t>AU-138086</t>
  </si>
  <si>
    <t>CARINE</t>
  </si>
  <si>
    <t>@AXL6359477;</t>
  </si>
  <si>
    <t>@5061011625908@(..5908)Dock &amp; Bay Tea Towel - Head Chef@1;@5061011626097@(..6097)Dock &amp; Bay Tea Towel - Sous Chef@1;@5061011625793@(..5793)Dock &amp; Bay Tea Towel - Kiss The@1;</t>
  </si>
  <si>
    <t>134476</t>
  </si>
  <si>
    <t>AU-138087</t>
  </si>
  <si>
    <t>BULLSBROOK</t>
  </si>
  <si>
    <t>@AXL6374627;</t>
  </si>
  <si>
    <t>@5060668837498@(..7498)Dock &amp; Bay Poncho - Adults - Mal@1;</t>
  </si>
  <si>
    <t xml:space="preserve">W1 </t>
  </si>
  <si>
    <t>134477</t>
  </si>
  <si>
    <t>AU-138088</t>
  </si>
  <si>
    <t>ROXBURGH PARK</t>
  </si>
  <si>
    <t>@AXL6359459;</t>
  </si>
  <si>
    <t>@5061011623515@(..3515)Dock &amp; Bay Quick Dry Towel - Gro@1;</t>
  </si>
  <si>
    <t>134478</t>
  </si>
  <si>
    <t>AU-138089</t>
  </si>
  <si>
    <t>BRUNSWICK</t>
  </si>
  <si>
    <t>@AXL6359511;</t>
  </si>
  <si>
    <t>@5060668830925@(..0925)Dock &amp; Bay Quick Dry Towel - Can@1;@5060668830918@(..0918)Dock &amp; Bay Quick Dry Towel - Whi@1;</t>
  </si>
  <si>
    <t>134479</t>
  </si>
  <si>
    <t>AU-138090</t>
  </si>
  <si>
    <t>LARGS BAY</t>
  </si>
  <si>
    <t>@AXL6359492;</t>
  </si>
  <si>
    <t>@5061011628282@(..8282)Dock &amp; Bay Quick Dry Towel - Mel@1;@5060668833469@(..3469)Dock &amp; Bay Quick Dry Towel - Cay@1;</t>
  </si>
  <si>
    <t xml:space="preserve">S0 </t>
  </si>
  <si>
    <t>134480</t>
  </si>
  <si>
    <t>AU-138091</t>
  </si>
  <si>
    <t>PADDINGTON</t>
  </si>
  <si>
    <t>@AXL6359009;</t>
  </si>
  <si>
    <t>@5061011623454@(..3454)Dock &amp; Bay Quick Dry Towel - Coo@1;</t>
  </si>
  <si>
    <t xml:space="preserve">Q0 </t>
  </si>
  <si>
    <t>134481</t>
  </si>
  <si>
    <t>AU-138092</t>
  </si>
  <si>
    <t>TATURA EAST</t>
  </si>
  <si>
    <t>@AXL6358846;</t>
  </si>
  <si>
    <t>@5061011623393@(..3393)Dock &amp; Bay Quick Dry Towel - Lem@1;</t>
  </si>
  <si>
    <t>134482</t>
  </si>
  <si>
    <t>AU-138093</t>
  </si>
  <si>
    <t>BALGOWLAH HEIGHTS</t>
  </si>
  <si>
    <t>@AXL6358891;</t>
  </si>
  <si>
    <t>@5060668830918@(..0918)Component Product@4;</t>
  </si>
  <si>
    <t>134483</t>
  </si>
  <si>
    <t>AU-138094</t>
  </si>
  <si>
    <t>MENTONE</t>
  </si>
  <si>
    <t>@AXL6358890;</t>
  </si>
  <si>
    <t>@5061011625885@(..5885)Dock &amp; Bay Tea Towel - Very Appe@1;@5061011628565@(..8565)Dock &amp; Bay Tea Towel - Catch of@1;</t>
  </si>
  <si>
    <t>134484</t>
  </si>
  <si>
    <t>AU-138095</t>
  </si>
  <si>
    <t>ROZELLE</t>
  </si>
  <si>
    <t>@AXL6360453;</t>
  </si>
  <si>
    <t>@5061011625830@(..5830)Component Product@1;@5061011628565@(..8565)Component Product@1;@5061011628558@(..8558)Component Product@1;@5061011628589@(..8589)Component Product@1;@5061011628572@(..8572)Component Product@1;</t>
  </si>
  <si>
    <t>134485</t>
  </si>
  <si>
    <t>AU-138096</t>
  </si>
  <si>
    <t>WHYALLA STUART</t>
  </si>
  <si>
    <t>@AXL6360405;</t>
  </si>
  <si>
    <t>@5060668830918@(..0918)Dock &amp; Bay Quick Dry Towel - Whi@1;</t>
  </si>
  <si>
    <t xml:space="preserve">S2 </t>
  </si>
  <si>
    <t>134486</t>
  </si>
  <si>
    <t>AU-138097</t>
  </si>
  <si>
    <t>WHITFIELD</t>
  </si>
  <si>
    <t>@14;</t>
  </si>
  <si>
    <t>@AXL6360936;</t>
  </si>
  <si>
    <t>@5061011623430@(..3430)Dock &amp; Bay Quick Dry Towel - Coa@1;@5061011623379@(..3379)Dock &amp; Bay Quick Dry Towel - Mia@1;@5061011623492@(..3492)Dock &amp; Bay Quick Dry Towel - Tro@1;@5061011623492@(..3492)Component Product@1;@5061011623447@(..3447)Component Product@1;@5061011623454@(..3454)Dock &amp; Bay Quick Dry Towel - Coo@1;@5061011623454@(..3454)Component Product@1;@5061011623478@(..3478)Component Product@1;</t>
  </si>
  <si>
    <t xml:space="preserve">Q4 </t>
  </si>
  <si>
    <t>134487</t>
  </si>
  <si>
    <t>AU-138098</t>
  </si>
  <si>
    <t>MALENY</t>
  </si>
  <si>
    <t>@AXL6360425;</t>
  </si>
  <si>
    <t>@5060668839089@(..9089)Dock &amp; Bay Hair Wrap - Lombok Li@1;</t>
  </si>
  <si>
    <t xml:space="preserve">SC </t>
  </si>
  <si>
    <t>134488</t>
  </si>
  <si>
    <t>AU-138099</t>
  </si>
  <si>
    <t>@AXL6359491;</t>
  </si>
  <si>
    <t>@5060668831014@(..1014)Dock &amp; Bay Quick Dry Towel - Wai@1;</t>
  </si>
  <si>
    <t>134489</t>
  </si>
  <si>
    <t>AU-138100</t>
  </si>
  <si>
    <t>AUSTRAL</t>
  </si>
  <si>
    <t>@AXL6359793;</t>
  </si>
  <si>
    <t>@5061011624031@(..4031)Dock &amp; Bay Poncho - Kids - Bubbl@1;@5061011624246@(..4246)Dock &amp; Bay Foldaway Tote Bags -@1;@5060668832059@(..2059)Dock &amp; Bay Poncho - Adults - Bon@2;</t>
  </si>
  <si>
    <t>134490</t>
  </si>
  <si>
    <t>AU-138101</t>
  </si>
  <si>
    <t>NICHOLLS</t>
  </si>
  <si>
    <t>@AXL6360430;</t>
  </si>
  <si>
    <t>@5060668833445@(..3445)Dock &amp; Bay Quick Dry Towel - Mal@1;</t>
  </si>
  <si>
    <t xml:space="preserve">CB </t>
  </si>
  <si>
    <t>134491</t>
  </si>
  <si>
    <t>AU-138102</t>
  </si>
  <si>
    <t>NEDLANDS</t>
  </si>
  <si>
    <t>@AXL6360475;</t>
  </si>
  <si>
    <t>@5060668835562@(..5562)Dock &amp; Bay Quick Dry Towel - Tul@1;@5060668835586@(..5586)Dock &amp; Bay Quick Dry Towel - Mal@1;</t>
  </si>
  <si>
    <t>134492</t>
  </si>
  <si>
    <t>AU-138103</t>
  </si>
  <si>
    <t>TOORAK</t>
  </si>
  <si>
    <t>@AXL6360440;</t>
  </si>
  <si>
    <t>@5060668833421@(..3421)Dock &amp; Bay Quick Dry Towel - Cay@1;</t>
  </si>
  <si>
    <t>134493</t>
  </si>
  <si>
    <t>AU-138104</t>
  </si>
  <si>
    <t>SECRET HARBOUR</t>
  </si>
  <si>
    <t>@AXL6359865;</t>
  </si>
  <si>
    <t>@5060668833407@(..3407)Dock &amp; Bay Quick Dry Towel - Mal@1;@5061011623515@(..3515)Dock &amp; Bay Quick Dry Towel - Gro@1;</t>
  </si>
  <si>
    <t>134494</t>
  </si>
  <si>
    <t>AU-138105</t>
  </si>
  <si>
    <t>COOMERA</t>
  </si>
  <si>
    <t>@AXL6359439;</t>
  </si>
  <si>
    <t>@5061011623546@(..3546)Dock &amp; Bay Quick Dry Towel - Sug@1;</t>
  </si>
  <si>
    <t xml:space="preserve">Q1 </t>
  </si>
  <si>
    <t>134495</t>
  </si>
  <si>
    <t>AU-138106</t>
  </si>
  <si>
    <t>FRENCHVILLE</t>
  </si>
  <si>
    <t>@AXL6360467;</t>
  </si>
  <si>
    <t>@5061011624307@(..4307)Dock &amp; Bay Quick Dry Towel - Blu@1;@5061011621436@(..1436)Dock &amp; Bay Quick Dry Towel - San@1;</t>
  </si>
  <si>
    <t xml:space="preserve">Q3 </t>
  </si>
  <si>
    <t>134496</t>
  </si>
  <si>
    <t>AU-138107</t>
  </si>
  <si>
    <t>SOUTH NOWRA</t>
  </si>
  <si>
    <t>@AXL6358640;</t>
  </si>
  <si>
    <t xml:space="preserve">N2 </t>
  </si>
  <si>
    <t>134497</t>
  </si>
  <si>
    <t>AU-138108</t>
  </si>
  <si>
    <t>ST KILDA EAST</t>
  </si>
  <si>
    <t>@650966961404;</t>
  </si>
  <si>
    <t>Suburb Corrected.</t>
  </si>
  <si>
    <t>@AXL6360454;</t>
  </si>
  <si>
    <t>@5060668831137@(..1137)Component Product@1;@5060668831083@(..1083)Component Product@1;@5060668831120@(..1120)Component Product@1;@5060668833452@(..3452)Component Product@1;</t>
  </si>
  <si>
    <t>134498</t>
  </si>
  <si>
    <t>AU-138109</t>
  </si>
  <si>
    <t>WATERMANS BAY</t>
  </si>
  <si>
    <t>@AXL6360477;</t>
  </si>
  <si>
    <t>134499</t>
  </si>
  <si>
    <t>AU-138110</t>
  </si>
  <si>
    <t>DUNLOP</t>
  </si>
  <si>
    <t>@AXL6359824;</t>
  </si>
  <si>
    <t>@5060668836255@(..6255)Dock &amp; Bay Quick Dry Towel - Mea@1;@5060668832011@(..2011)Dock &amp; Bay Quick Dry Towel - Lag@1;@5060668836248@(..6248)Dock &amp; Bay Quick Dry Towel - Dee@1;@5060668832035@(..2035)Dock &amp; Bay Quick Dry Towel - Mou@2;@5060668831403@(..1403)Dock &amp; Bay Quick Dry Towel - Rai@1;</t>
  </si>
  <si>
    <t>134500</t>
  </si>
  <si>
    <t>AU-138111</t>
  </si>
  <si>
    <t>SANDY BAY</t>
  </si>
  <si>
    <t>@AXL6360424;</t>
  </si>
  <si>
    <t>134501</t>
  </si>
  <si>
    <t>AU-138112</t>
  </si>
  <si>
    <t>MONT ALBERT NORTH</t>
  </si>
  <si>
    <t>@AXL6359137;</t>
  </si>
  <si>
    <t>@5061011628305@(..8305)Dock &amp; Bay Quick Dry Towel - Ras@1;</t>
  </si>
  <si>
    <t>134502</t>
  </si>
  <si>
    <t>AU-138113</t>
  </si>
  <si>
    <t>COOLAROO</t>
  </si>
  <si>
    <t>@AXL6360446;</t>
  </si>
  <si>
    <t>@5061011623447@(..3447)Dock &amp; Bay Quick Dry Towel - Mia@1;@5061011623454@(..3454)Dock &amp; Bay Quick Dry Towel - Coo@1;</t>
  </si>
  <si>
    <t>134503</t>
  </si>
  <si>
    <t>AU-138114</t>
  </si>
  <si>
    <t>APPLETHORPE</t>
  </si>
  <si>
    <t>@AXL6358665;</t>
  </si>
  <si>
    <t>@5061011628442@(..8442)Dock &amp; Bay Hair Wrap - Cherry Bo@1;</t>
  </si>
  <si>
    <t xml:space="preserve">Q2 </t>
  </si>
  <si>
    <t>134504</t>
  </si>
  <si>
    <t>AU-138115</t>
  </si>
  <si>
    <t>RURAL VIEW</t>
  </si>
  <si>
    <t>@AXL6359493;</t>
  </si>
  <si>
    <t>@5061011624222@(..4222)Dock &amp; Bay Foldaway Tote Bags -@1;@5060668837351@(..7351)Dock &amp; Bay Foldaway Tote Bags -@1;@5061011624215@(..4215)Dock &amp; Bay Foldaway Tote Bags -@1;@5061011624239@(..4239)Dock &amp; Bay Foldaway Tote Bags -@1;@5060668837375@(..7375)Dock &amp; Bay Foldaway Tote Bags -@1;</t>
  </si>
  <si>
    <t>134505</t>
  </si>
  <si>
    <t>AU-138116</t>
  </si>
  <si>
    <t>MEREWETHER</t>
  </si>
  <si>
    <t>@AXL6359460;</t>
  </si>
  <si>
    <t>@5061011624239@(..4239)Dock &amp; Bay Foldaway Tote Bags -@1;</t>
  </si>
  <si>
    <t>134506</t>
  </si>
  <si>
    <t>AU-138117</t>
  </si>
  <si>
    <t>PASCOE VALE SOUTH</t>
  </si>
  <si>
    <t>@AXL6358666;</t>
  </si>
  <si>
    <t>134507</t>
  </si>
  <si>
    <t>AU-138118</t>
  </si>
  <si>
    <t>NARRABEEN</t>
  </si>
  <si>
    <t>@AXL6358629;</t>
  </si>
  <si>
    <t>134508</t>
  </si>
  <si>
    <t>AU-138119</t>
  </si>
  <si>
    <t>BANKSTOWN</t>
  </si>
  <si>
    <t>@AXL6359809;</t>
  </si>
  <si>
    <t>@5060668831083@(..1083)Dock &amp; Bay Quick Dry Towel - Tul@1;@5060668831052@(..1052)Dock &amp; Bay Quick Dry Towel - Whi@1;@5060668831045@(..1045)Dock &amp; Bay Quick Dry Towel - Bon@1;</t>
  </si>
  <si>
    <t>134509</t>
  </si>
  <si>
    <t>AU-138120</t>
  </si>
  <si>
    <t>GLENLYON</t>
  </si>
  <si>
    <t>@AXL6358929;</t>
  </si>
  <si>
    <t>@5061011628442@(..8442)Dock &amp; Bay Hair Wrap - Cherry Bo@1;@5061011628473@(..8473)Dock &amp; Bay Hair Wrap - Pink Para@1;</t>
  </si>
  <si>
    <t>134510</t>
  </si>
  <si>
    <t>AU-138121</t>
  </si>
  <si>
    <t>COLLAROY</t>
  </si>
  <si>
    <t>@AXL6358869;</t>
  </si>
  <si>
    <t>@5061011628619@(..8619)Component Product@2;@5061011628626@(..8626)Component Product@2;@5061011628589@(..8589)Component Product@2;</t>
  </si>
  <si>
    <t>134511</t>
  </si>
  <si>
    <t>AU-138122</t>
  </si>
  <si>
    <t>ALGESTER</t>
  </si>
  <si>
    <t>@AXL6358919;</t>
  </si>
  <si>
    <t>@5061011628473@(..8473)Dock &amp; Bay Hair Wrap - Pink Para@1;@5061011628497@(..8497)Dock &amp; Bay Hair Wrap - Squeeze t@1;</t>
  </si>
  <si>
    <t>134512</t>
  </si>
  <si>
    <t>AU-138123</t>
  </si>
  <si>
    <t>MORTDALE</t>
  </si>
  <si>
    <t>@AXL6359826;</t>
  </si>
  <si>
    <t>@5060668833407@(..3407)Dock &amp; Bay Quick Dry Towel - Mal@1;@5060668833421@(..3421)Dock &amp; Bay Quick Dry Towel - Cay@1;</t>
  </si>
  <si>
    <t>134513</t>
  </si>
  <si>
    <t>AU-138124</t>
  </si>
  <si>
    <t>KINGLAKE WEST</t>
  </si>
  <si>
    <t>@AXL6360935;</t>
  </si>
  <si>
    <t>@5060668831137@(..1137)Component Product@1;@5060668831168@(..1168)Component Product@1;@5060668831052@(..1052)Component Product@1;@5060668831045@(..1045)Component Product@1;@5060668831380@(..1380)Component Product@1;@5060668831403@(..1403)Component Product@1;</t>
  </si>
  <si>
    <t xml:space="preserve">V1 </t>
  </si>
  <si>
    <t>134514</t>
  </si>
  <si>
    <t>AU-138125</t>
  </si>
  <si>
    <t>GREENSLOPES</t>
  </si>
  <si>
    <t>@AXL6358954;</t>
  </si>
  <si>
    <t>134515</t>
  </si>
  <si>
    <t>AU-138126</t>
  </si>
  <si>
    <t>NORTH MELBOURNE</t>
  </si>
  <si>
    <t>@AXL6358853;</t>
  </si>
  <si>
    <t>@5060668831076@(..1076)Dock &amp; Bay Quick Dry Towel - Bor@2;</t>
  </si>
  <si>
    <t>134516</t>
  </si>
  <si>
    <t>AU-138127</t>
  </si>
  <si>
    <t>WOOLLOONGABBA</t>
  </si>
  <si>
    <t>@AXL6358920;</t>
  </si>
  <si>
    <t>@5060668839096@(..9096)Dock &amp; Bay Hair Wrap - Whitsunda@2;</t>
  </si>
  <si>
    <t>134517</t>
  </si>
  <si>
    <t>AU-138128</t>
  </si>
  <si>
    <t>OFFICER</t>
  </si>
  <si>
    <t>@AXL6360432;</t>
  </si>
  <si>
    <t>@5061011623430@(..3430)Dock &amp; Bay Quick Dry Towel - Coa@1;@5060668833902@(..3902)Dock &amp; Bay Quick Dry Towel - Uni@1;</t>
  </si>
  <si>
    <t>134518</t>
  </si>
  <si>
    <t>AU-138129</t>
  </si>
  <si>
    <t>MATRAVILLE</t>
  </si>
  <si>
    <t>@AXL6358616;</t>
  </si>
  <si>
    <t>134519</t>
  </si>
  <si>
    <t>AU-138130</t>
  </si>
  <si>
    <t>KEW</t>
  </si>
  <si>
    <t>@AXL6359462;</t>
  </si>
  <si>
    <t>@5060668833407@(..3407)Dock &amp; Bay Quick Dry Towel - Mal@1;@5060668836224@(..6224)Dock &amp; Bay Quick Dry Towel - Dee@1;@5060668839072@(..9072)Dock &amp; Bay Hair Wrap - Malibu Pi@1;@5060668830932@(..0932)Dock &amp; Bay Quick Dry Towel - Bor@1;</t>
  </si>
  <si>
    <t>134520</t>
  </si>
  <si>
    <t>AU-138131</t>
  </si>
  <si>
    <t>HOMEBUSH WEST</t>
  </si>
  <si>
    <t>@AXL6359875;</t>
  </si>
  <si>
    <t>@5061011623416@(..3416)Dock &amp; Bay Quick Dry Towel - Gre@1;@5061011624307@(..4307)Dock &amp; Bay Quick Dry Towel - Blu@1;</t>
  </si>
  <si>
    <t>134521</t>
  </si>
  <si>
    <t>AU-138132</t>
  </si>
  <si>
    <t>FERNTREE GULLY</t>
  </si>
  <si>
    <t>@AXL6358913;</t>
  </si>
  <si>
    <t>134522</t>
  </si>
  <si>
    <t>AU-138133</t>
  </si>
  <si>
    <t>NORTH BONDI</t>
  </si>
  <si>
    <t>@AXL6360441;</t>
  </si>
  <si>
    <t>134523</t>
  </si>
  <si>
    <t>AU-138134</t>
  </si>
  <si>
    <t>BRINSMEAD</t>
  </si>
  <si>
    <t>@AXL6358674;</t>
  </si>
  <si>
    <t>@5061011628497@(..8497)Dock &amp; Bay Hair Wrap - Squeeze t@1;</t>
  </si>
  <si>
    <t>134524</t>
  </si>
  <si>
    <t>AU-138135</t>
  </si>
  <si>
    <t>NARELLAN VALE</t>
  </si>
  <si>
    <t>@AXL6359427;</t>
  </si>
  <si>
    <t>@5060668831052@(..1052)Dock &amp; Bay Quick Dry Towel - Whi@1;</t>
  </si>
  <si>
    <t>134525</t>
  </si>
  <si>
    <t>AU-138136</t>
  </si>
  <si>
    <t>YALLAMBIE</t>
  </si>
  <si>
    <t>@AXL6358900;</t>
  </si>
  <si>
    <t>@5061011625632@(..5632)Dock &amp; Bay Tea Towel - Check Ple@1;@5061011628565@(..8565)Dock &amp; Bay Tea Towel - Catch of@1;@5061011628589@(..8589)Dock &amp; Bay Tea Towel - Kitchen D@1;@5061011625809@(..5809)Dock &amp; Bay Tea Towel - Mediterra@1;@5061011625755@(..5755)Dock &amp; Bay Tea Towel - Pink Grap@1;</t>
  </si>
  <si>
    <t>134526</t>
  </si>
  <si>
    <t>AU-138137</t>
  </si>
  <si>
    <t>ATHERTON</t>
  </si>
  <si>
    <t>@AXL6360448;</t>
  </si>
  <si>
    <t>@5061011624239@(..4239)Dock &amp; Bay Foldaway Tote Bags -@1;@5061011624093@(..4093)Dock &amp; Bay Cooling Gym Towel - S@1;</t>
  </si>
  <si>
    <t>134527</t>
  </si>
  <si>
    <t>AU-138138</t>
  </si>
  <si>
    <t>PARKINSON</t>
  </si>
  <si>
    <t>@AXL6359494;</t>
  </si>
  <si>
    <t>@5061011624222@(..4222)Dock &amp; Bay Foldaway Tote Bags -@1;@5061011624062@(..4062)Dock &amp; Bay Poncho - Kids - Turtl@1;@5061011624062@(..4062)Dock &amp; Bay Poncho - Kids - Turtl@1;@5061011621689@(..1689)Dock &amp; Bay Poncho - Kids - Whits@1;</t>
  </si>
  <si>
    <t>134528</t>
  </si>
  <si>
    <t>AU-138139</t>
  </si>
  <si>
    <t>MOUNT GAMBIER</t>
  </si>
  <si>
    <t>@AXL6359530;</t>
  </si>
  <si>
    <t>@5061011625571@(..5571)Dock &amp; Bay Hair Wrap - Ocean Tre@1;</t>
  </si>
  <si>
    <t>134529</t>
  </si>
  <si>
    <t>AU-138140</t>
  </si>
  <si>
    <t>EDITHVALE</t>
  </si>
  <si>
    <t>@AXL6360390;</t>
  </si>
  <si>
    <t>134530</t>
  </si>
  <si>
    <t>AU-138141</t>
  </si>
  <si>
    <t>WEST CROYDON</t>
  </si>
  <si>
    <t>@NONE;</t>
  </si>
  <si>
    <t>@AXL6360406;</t>
  </si>
  <si>
    <t>@5061011624772@(..4772)Component Product@1;</t>
  </si>
  <si>
    <t>134531</t>
  </si>
  <si>
    <t>AU-138142</t>
  </si>
  <si>
    <t>SURRY HILLS</t>
  </si>
  <si>
    <t>@AXL6360449;</t>
  </si>
  <si>
    <t>@5060668830901@(..0901)Component Product@1;@5060668831014@(..1014)Component Product@1;@5060668830987@(..0987)Component Product@1;@5060668830918@(..0918)Component Product@1;</t>
  </si>
  <si>
    <t>134532</t>
  </si>
  <si>
    <t>AU-138143</t>
  </si>
  <si>
    <t>MORNINGTON</t>
  </si>
  <si>
    <t>@AXL6358854;</t>
  </si>
  <si>
    <t>@5060668830932@(..0932)Dock &amp; Bay Quick Dry Towel - Bor@1;</t>
  </si>
  <si>
    <t>134533</t>
  </si>
  <si>
    <t>AU-138144</t>
  </si>
  <si>
    <t>CONCORD</t>
  </si>
  <si>
    <t>@AXL6359428;</t>
  </si>
  <si>
    <t>@5060668833469@(..3469)Dock &amp; Bay Quick Dry Towel - Cay@1;</t>
  </si>
  <si>
    <t>134534</t>
  </si>
  <si>
    <t>AU-138145</t>
  </si>
  <si>
    <t>@AXL6359461;</t>
  </si>
  <si>
    <t>@5060668832028@(..2028)Dock &amp; Bay Quick Dry Towel - Rai@1;</t>
  </si>
  <si>
    <t>134535</t>
  </si>
  <si>
    <t>AU-138146</t>
  </si>
  <si>
    <t>SPRINGFIELD</t>
  </si>
  <si>
    <t>@AXL6358649;</t>
  </si>
  <si>
    <t xml:space="preserve">GF </t>
  </si>
  <si>
    <t>134536</t>
  </si>
  <si>
    <t>AU-138147</t>
  </si>
  <si>
    <t>RESERVOIR</t>
  </si>
  <si>
    <t>@AXL6359414;</t>
  </si>
  <si>
    <t>134537</t>
  </si>
  <si>
    <t>AU-138148</t>
  </si>
  <si>
    <t>LEETON</t>
  </si>
  <si>
    <t>@AXL6358912;</t>
  </si>
  <si>
    <t>@5060668839133@(..9133)Dock &amp; Bay Hair Wrap - Unicorn W@1;@5061011623225@(..3225)Dock &amp; Bay Hair Wrap - Miami Sor@1;</t>
  </si>
  <si>
    <t>134538</t>
  </si>
  <si>
    <t>AU-138149</t>
  </si>
  <si>
    <t>@AXL6359004;</t>
  </si>
  <si>
    <t>@5060668830932@(..0932)Dock &amp; Bay Quick Dry Towel - Bor@2;</t>
  </si>
  <si>
    <t>134539</t>
  </si>
  <si>
    <t>AU-138150</t>
  </si>
  <si>
    <t>ERMINGTON</t>
  </si>
  <si>
    <t>@AXL6360476;</t>
  </si>
  <si>
    <t>@5061011628480@(..8480)Dock &amp; Bay Hair Wrap - Surf Chec@1;@5060668839058@(..9058)Dock &amp; Bay Hair Wrap - Tulum Blu@1;</t>
  </si>
  <si>
    <t>134540</t>
  </si>
  <si>
    <t>AU-138151</t>
  </si>
  <si>
    <t>MONTMORENCY</t>
  </si>
  <si>
    <t>@AXL6358684;</t>
  </si>
  <si>
    <t>@5061011628398@(..8398)Dock &amp; Bay Quick Dry Bath Towel@1;@5061011628442@(..8442)Dock &amp; Bay Hair Wrap - Cherry Bo@1;@5061011623454@(..3454)Dock &amp; Bay Quick Dry Towel - Coo@1;</t>
  </si>
  <si>
    <t>134541</t>
  </si>
  <si>
    <t>AU-138152</t>
  </si>
  <si>
    <t>GLADSTONE PARK</t>
  </si>
  <si>
    <t>@AXL6359811;</t>
  </si>
  <si>
    <t>134542</t>
  </si>
  <si>
    <t>AU-138153</t>
  </si>
  <si>
    <t>CHELSEA</t>
  </si>
  <si>
    <t>@AXL6358870;</t>
  </si>
  <si>
    <t>@5061011623607@(..3607)Dock &amp; Bay Quick Dry Towel - Sug@1;@5061011623508@(..3508)Dock &amp; Bay Quick Dry Towel - Che@1;</t>
  </si>
  <si>
    <t>134543</t>
  </si>
  <si>
    <t>AU-138154</t>
  </si>
  <si>
    <t>HAMPTON</t>
  </si>
  <si>
    <t>@AXL6359794;</t>
  </si>
  <si>
    <t>134544</t>
  </si>
  <si>
    <t>AU-138155</t>
  </si>
  <si>
    <t>BALDIVIS</t>
  </si>
  <si>
    <t>@AXL6360465;</t>
  </si>
  <si>
    <t>@5061011623867@(..3867)Dock &amp; Bay Small Waterproof Dry@1;@5060668831120@(..1120)Dock &amp; Bay Quick Dry Towel - Ipa@1;@5060668833469@(..3469)Dock &amp; Bay Quick Dry Towel - Cay@1;</t>
  </si>
  <si>
    <t>134545</t>
  </si>
  <si>
    <t>AU-138156</t>
  </si>
  <si>
    <t>CASUARINA</t>
  </si>
  <si>
    <t>@AXL6358994;</t>
  </si>
  <si>
    <t xml:space="preserve">NT1 </t>
  </si>
  <si>
    <t>134546</t>
  </si>
  <si>
    <t>AU-138157</t>
  </si>
  <si>
    <t>SYDNEY</t>
  </si>
  <si>
    <t>@AXL6360458;</t>
  </si>
  <si>
    <t>@5060668831137@(..1137)Component Product@1;@5060668831069@(..1069)Component Product@1;@5060668831052@(..1052)Component Product@1;@5060668831045@(..1045)Component Product@1;</t>
  </si>
  <si>
    <t>134547</t>
  </si>
  <si>
    <t>AU-138158</t>
  </si>
  <si>
    <t>HYDE PARK</t>
  </si>
  <si>
    <t>@AXL6360456;</t>
  </si>
  <si>
    <t>@5061011628336@(..8336)Component Product@1;@5061011628343@(..8343)Component Product@1;@5061011628312@(..8312)Component Product@1;@5061011628329@(..8329)Component Product@1;@5061011628497@(..8497)Dock &amp; Bay Hair Wrap - Squeeze t@1;</t>
  </si>
  <si>
    <t>134548</t>
  </si>
  <si>
    <t>AU-138159</t>
  </si>
  <si>
    <t>BARDON</t>
  </si>
  <si>
    <t>@AXL6360433;</t>
  </si>
  <si>
    <t>@5061011624680@(..4680)Component Product@1;</t>
  </si>
  <si>
    <t>134549</t>
  </si>
  <si>
    <t>AU-138160</t>
  </si>
  <si>
    <t>CLAREMONT</t>
  </si>
  <si>
    <t>@AXL6359479;</t>
  </si>
  <si>
    <t>134550</t>
  </si>
  <si>
    <t>AU-138161</t>
  </si>
  <si>
    <t>WERRIBEE</t>
  </si>
  <si>
    <t>@AXL6359476;</t>
  </si>
  <si>
    <t>@5060668837351@(..7351)Dock &amp; Bay Foldaway Tote Bags -@1;</t>
  </si>
  <si>
    <t>134551</t>
  </si>
  <si>
    <t>AU-138162</t>
  </si>
  <si>
    <t>ARMADALE</t>
  </si>
  <si>
    <t>@AXL6358650;</t>
  </si>
  <si>
    <t>@5061011628442@(..8442)Dock &amp; Bay Hair Wrap - Cherry Bo@2;</t>
  </si>
  <si>
    <t>134552</t>
  </si>
  <si>
    <t>AU-138163</t>
  </si>
  <si>
    <t>ADELAIDE</t>
  </si>
  <si>
    <t>@AXL6359512;</t>
  </si>
  <si>
    <t>134553</t>
  </si>
  <si>
    <t>503-9844663-9259839</t>
  </si>
  <si>
    <t>JORDAN SPRINGS</t>
  </si>
  <si>
    <t>@AXL6360429;</t>
  </si>
  <si>
    <t>@5061011621412@(..1412)Dock &amp; Bay Beach Towel - Quick D@1;</t>
  </si>
  <si>
    <t>134554</t>
  </si>
  <si>
    <t>AU-138164</t>
  </si>
  <si>
    <t>IVANHOE</t>
  </si>
  <si>
    <t>@AXL6360457;</t>
  </si>
  <si>
    <t>@5061011628305@(..8305)Dock &amp; Bay Quick Dry Towel - Ras@2;@5060668830932@(..0932)Dock &amp; Bay Quick Dry Towel - Bor@1;</t>
  </si>
  <si>
    <t>134555</t>
  </si>
  <si>
    <t>AU-138165</t>
  </si>
  <si>
    <t>WORONORA HEIGHTS</t>
  </si>
  <si>
    <t>@AXL6359478;</t>
  </si>
  <si>
    <t>@5061011623416@(..3416)Dock &amp; Bay Quick Dry Towel - Gre@1;</t>
  </si>
  <si>
    <t>134556</t>
  </si>
  <si>
    <t>AU-138166</t>
  </si>
  <si>
    <t>SOUTH MELBOURNE</t>
  </si>
  <si>
    <t>@AXL6360447;</t>
  </si>
  <si>
    <t>@5060668839058@(..9058)Dock &amp; Bay Hair Wrap - Tulum Blu@1;@5061011628442@(..8442)Dock &amp; Bay Hair Wrap - Cherry Bo@1;</t>
  </si>
  <si>
    <t>134557</t>
  </si>
  <si>
    <t>AU-138167</t>
  </si>
  <si>
    <t>RUTHERFORD</t>
  </si>
  <si>
    <t>@AXL6360439;</t>
  </si>
  <si>
    <t>@5060668833421@(..3421)Dock &amp; Bay Quick Dry Towel - Cay@1;@5060668830932@(..0932)Dock &amp; Bay Quick Dry Towel - Bor@1;</t>
  </si>
  <si>
    <t>134558</t>
  </si>
  <si>
    <t>AU-138168</t>
  </si>
  <si>
    <t>MOLLYMOOK BEACH</t>
  </si>
  <si>
    <t>@AXL6336426;</t>
  </si>
  <si>
    <t>@5061011628299@(..8299)Dock &amp; Bay Quick Dry Towel - Pas@1;@5060668833407@(..3407)Dock &amp; Bay Quick Dry Towel - Mal@1;@5060668836224@(..6224)Dock &amp; Bay Quick Dry Towel - Dee@1;</t>
  </si>
  <si>
    <t>134559</t>
  </si>
  <si>
    <t>AU-138169</t>
  </si>
  <si>
    <t>THORNHILL PARK</t>
  </si>
  <si>
    <t>@AXL6336415;</t>
  </si>
  <si>
    <t>134560</t>
  </si>
  <si>
    <t>AU-138170</t>
  </si>
  <si>
    <t>WEST RYDE</t>
  </si>
  <si>
    <t>@AXL6336413;</t>
  </si>
  <si>
    <t>@5060668833421@(..3421)Dock &amp; Bay Quick Dry Towel - Cay@1;@5060668830918@(..0918)Dock &amp; Bay Quick Dry Towel - Whi@1;</t>
  </si>
  <si>
    <t>134561</t>
  </si>
  <si>
    <t>AU-138171</t>
  </si>
  <si>
    <t>CAULFIELD NORTH</t>
  </si>
  <si>
    <t>@AXL6336337;</t>
  </si>
  <si>
    <t>@5060668831403@(..1403)Dock &amp; Bay Quick Dry Towel - Rai@1;</t>
  </si>
  <si>
    <t>134562</t>
  </si>
  <si>
    <t>AU-138172</t>
  </si>
  <si>
    <t>NORTH BEACH</t>
  </si>
  <si>
    <t>@AXL6336414;</t>
  </si>
  <si>
    <t>134563</t>
  </si>
  <si>
    <t>AU-138173</t>
  </si>
  <si>
    <t>BUDDINA</t>
  </si>
  <si>
    <t>@AXL6336228;</t>
  </si>
  <si>
    <t>@5061011623072@(..3072)Dock &amp; Bay Dog Towel - K9 Camo -@1;</t>
  </si>
  <si>
    <t>134564</t>
  </si>
  <si>
    <t>AU-138174</t>
  </si>
  <si>
    <t>MUNDARING</t>
  </si>
  <si>
    <t>@AXL6336790;</t>
  </si>
  <si>
    <t>@5061011625830@(..5830)Component Product@1;@5061011628497@(..8497)Dock &amp; Bay Hair Wrap - Squeeze t@1;@5061011628565@(..8565)Component Product@1;@5061011628558@(..8558)Component Product@1;@5061011628589@(..8589)Component Product@1;@5061011625786@(..5786)Dock &amp; Bay Tea Towel - Feelin' V@1;@5061011628572@(..8572)Component Product@1;</t>
  </si>
  <si>
    <t>134565</t>
  </si>
  <si>
    <t>AU-138175</t>
  </si>
  <si>
    <t>BERRIMAH</t>
  </si>
  <si>
    <t>@AXL6336208;</t>
  </si>
  <si>
    <t>@5061011623386@(..3386)Dock &amp; Bay Quick Dry Towel - Coo@1;</t>
  </si>
  <si>
    <t>134566</t>
  </si>
  <si>
    <t>AU-138176</t>
  </si>
  <si>
    <t>WEST PERTH</t>
  </si>
  <si>
    <t>@AXL6336229;</t>
  </si>
  <si>
    <t>@5060668833452@(..3452)Dock &amp; Bay Quick Dry Towel - Lom@1;</t>
  </si>
  <si>
    <t>134567</t>
  </si>
  <si>
    <t>AU-138177</t>
  </si>
  <si>
    <t>PERTH AIRPORT</t>
  </si>
  <si>
    <t>@AXL6361034;</t>
  </si>
  <si>
    <t>@5061011623867@(..3867)Dock &amp; Bay Small Waterproof Dry@1;@5060668831052@(..1052)Dock &amp; Bay Quick Dry Towel - Whi@1;</t>
  </si>
  <si>
    <t>134568</t>
  </si>
  <si>
    <t>AU-138178</t>
  </si>
  <si>
    <t>ST ALBANS</t>
  </si>
  <si>
    <t>@AXL6361083;</t>
  </si>
  <si>
    <t>@5060668831069@(..1069)Component Product@1;@5060668831052@(..1052)Component Product@1;@5060668831045@(..1045)Component Product@1;@5060668833469@(..3469)Component Product@1;</t>
  </si>
  <si>
    <t>134569</t>
  </si>
  <si>
    <t>AU-138179</t>
  </si>
  <si>
    <t>ZETLAND</t>
  </si>
  <si>
    <t>@AXL6361053;</t>
  </si>
  <si>
    <t>@5060668831960@(..1960)Dock &amp; Bay Quick Dry Towel - Lag@1;</t>
  </si>
  <si>
    <t>134570</t>
  </si>
  <si>
    <t>AU-138180</t>
  </si>
  <si>
    <t>AVONDALE HEIGHTS</t>
  </si>
  <si>
    <t>@AXL6361065;</t>
  </si>
  <si>
    <t>@5060668831038@(..1038)Dock &amp; Bay Quick Dry Towel - Kam@1;@5060668831076@(..1076)Dock &amp; Bay Quick Dry Towel - Bor@1;</t>
  </si>
  <si>
    <t>134571</t>
  </si>
  <si>
    <t>AU-138181</t>
  </si>
  <si>
    <t>KYLE BAY</t>
  </si>
  <si>
    <t>@AXL6361084;</t>
  </si>
  <si>
    <t>@5060668831076@(..1076)Dock &amp; Bay Quick Dry Towel - Bor@1;</t>
  </si>
  <si>
    <t>134572</t>
  </si>
  <si>
    <t>AU-138182</t>
  </si>
  <si>
    <t>BATEAU BAY</t>
  </si>
  <si>
    <t>@AXL6361054;</t>
  </si>
  <si>
    <t>@5061011621672@(..1672)Dock &amp; Bay Poncho - Kids - Bondi@1;@5061011621719@(..1719)Dock &amp; Bay Poncho - Kids - Unico@1;@5061011621702@(..1702)Dock &amp; Bay Poncho - Kids - Unico@1;</t>
  </si>
  <si>
    <t>134573</t>
  </si>
  <si>
    <t>AU-138183</t>
  </si>
  <si>
    <t>@AXL6361055;</t>
  </si>
  <si>
    <t>134574</t>
  </si>
  <si>
    <t>AU-138184</t>
  </si>
  <si>
    <t>PALMYRA</t>
  </si>
  <si>
    <t>@AXL6362667;</t>
  </si>
  <si>
    <t>@5060668830925@(..0925)Component Product@1;@5060668831021@(..1021)Component Product@1;@5060668830901@(..0901)Component Product@1;@5060668831014@(..1014)Component Product@1;</t>
  </si>
  <si>
    <t>134575</t>
  </si>
  <si>
    <t>AU-138185</t>
  </si>
  <si>
    <t>PRINCES HILL</t>
  </si>
  <si>
    <t>@AXL6360567;</t>
  </si>
  <si>
    <t>@5061011623522@(..3522)Dock &amp; Bay Quick Dry Towel - Vit@1;@5061011623393@(..3393)Dock &amp; Bay Quick Dry Towel - Lem@1;</t>
  </si>
  <si>
    <t>134576</t>
  </si>
  <si>
    <t>AU-138186</t>
  </si>
  <si>
    <t>ALKIMOS</t>
  </si>
  <si>
    <t>@AXL6360545;</t>
  </si>
  <si>
    <t>@5061011628282@(..8282)Dock &amp; Bay Quick Dry Towel - Mel@1;</t>
  </si>
  <si>
    <t>134577</t>
  </si>
  <si>
    <t>AU-138187</t>
  </si>
  <si>
    <t>WORROLONG</t>
  </si>
  <si>
    <t>@AXL6362643;</t>
  </si>
  <si>
    <t>@5061011625885@(..5885)Dock &amp; Bay Tea Towel - Very Appe@1;@5061011625786@(..5786)Dock &amp; Bay Tea Towel - Feelin' V@1;@5061011625618@(..5618)Dock &amp; Bay Tea Towel - Feeling S@1;@5061011625809@(..5809)Dock &amp; Bay Tea Towel - Mediterra@1;</t>
  </si>
  <si>
    <t>134578</t>
  </si>
  <si>
    <t>AU-138188</t>
  </si>
  <si>
    <t>COROWA</t>
  </si>
  <si>
    <t>@AXL6362937;</t>
  </si>
  <si>
    <t>@5060668830901@(..0901)Dock &amp; Bay Quick Dry Towel - Bon@2;</t>
  </si>
  <si>
    <t>134579</t>
  </si>
  <si>
    <t>AU-138189</t>
  </si>
  <si>
    <t>ELEEBANA</t>
  </si>
  <si>
    <t>@AXL6362865;</t>
  </si>
  <si>
    <t>@5061011624208@(..4208)Dock &amp; Bay Picnic Blanket - Marg@1;</t>
  </si>
  <si>
    <t>134580</t>
  </si>
  <si>
    <t>AU-138190</t>
  </si>
  <si>
    <t>SEMAPHORE PARK</t>
  </si>
  <si>
    <t>@AXL6362984;</t>
  </si>
  <si>
    <t>@5060668830895@(..0895)Component Product@1;@5060668830901@(..0901)Component Product@1;@5060668830949@(..0949)Component Product@1;@5060668830918@(..0918)Component Product@1;</t>
  </si>
  <si>
    <t>134581</t>
  </si>
  <si>
    <t>AU-138191</t>
  </si>
  <si>
    <t>@AXL6360554;</t>
  </si>
  <si>
    <t>134582</t>
  </si>
  <si>
    <t>AU-138192</t>
  </si>
  <si>
    <t>DIGGERS REST</t>
  </si>
  <si>
    <t>@AXL6362820;</t>
  </si>
  <si>
    <t>134583</t>
  </si>
  <si>
    <t>AU-138193</t>
  </si>
  <si>
    <t>NORTH COOGEE</t>
  </si>
  <si>
    <t>@AXL6360544;</t>
  </si>
  <si>
    <t>134584</t>
  </si>
  <si>
    <t>AU-138194</t>
  </si>
  <si>
    <t>BERKELEY</t>
  </si>
  <si>
    <t>@AXL6362626;</t>
  </si>
  <si>
    <t>@5061011628299@(..8299)Dock &amp; Bay Quick Dry Towel - Pas@1;@5061011628305@(..8305)Dock &amp; Bay Quick Dry Towel - Ras@1;</t>
  </si>
  <si>
    <t xml:space="preserve">WG </t>
  </si>
  <si>
    <t>134585</t>
  </si>
  <si>
    <t>AU-138195</t>
  </si>
  <si>
    <t>PARKERVILLE</t>
  </si>
  <si>
    <t>@AXL6360553;</t>
  </si>
  <si>
    <t>134586</t>
  </si>
  <si>
    <t>AU-138196</t>
  </si>
  <si>
    <t>DENMAN PROSPECT</t>
  </si>
  <si>
    <t>@AXL6360536;</t>
  </si>
  <si>
    <t>@5061011623430@(..3430)Dock &amp; Bay Quick Dry Towel - Coa@1;</t>
  </si>
  <si>
    <t>134587</t>
  </si>
  <si>
    <t>AU-138197</t>
  </si>
  <si>
    <t>@AXL6362686;</t>
  </si>
  <si>
    <t>@5061011625779@(..5779)Dock &amp; Bay Tea Towel - Cucumber@1;@5061011625786@(..5786)Dock &amp; Bay Tea Towel - Feelin' V@1;</t>
  </si>
  <si>
    <t>134588</t>
  </si>
  <si>
    <t>AU-138198</t>
  </si>
  <si>
    <t>BURRADOO</t>
  </si>
  <si>
    <t>@AXL6360559;</t>
  </si>
  <si>
    <t>134589</t>
  </si>
  <si>
    <t>AU-138199</t>
  </si>
  <si>
    <t>BALLARAT CENTRAL</t>
  </si>
  <si>
    <t>@AXL6362886;</t>
  </si>
  <si>
    <t>@5061011623379@(..3379)Dock &amp; Bay Quick Dry Towel - Mia@1;@5061011623386@(..3386)Dock &amp; Bay Quick Dry Towel - Coo@1;</t>
  </si>
  <si>
    <t xml:space="preserve">BR </t>
  </si>
  <si>
    <t>134590</t>
  </si>
  <si>
    <t>AU-138200</t>
  </si>
  <si>
    <t>KARABAR</t>
  </si>
  <si>
    <t>@AXL6360537;</t>
  </si>
  <si>
    <t>@5060668839072@(..9072)Dock &amp; Bay Hair Wrap - Malibu Pi@1;@5060668839089@(..9089)Dock &amp; Bay Hair Wrap - Lombok Li@1;</t>
  </si>
  <si>
    <t>134591</t>
  </si>
  <si>
    <t>AU-138201</t>
  </si>
  <si>
    <t>@AXL6362792;</t>
  </si>
  <si>
    <t>134592</t>
  </si>
  <si>
    <t>AU-138202</t>
  </si>
  <si>
    <t>HACKETT</t>
  </si>
  <si>
    <t>@AXL6362957;</t>
  </si>
  <si>
    <t>@5061011628336@(..8336)Dock &amp; Bay Quick Dry Towel - Pas@1;@5061011628312@(..8312)Dock &amp; Bay Quick Dry Towel - Blu@1;</t>
  </si>
  <si>
    <t>134593</t>
  </si>
  <si>
    <t>AU-138203</t>
  </si>
  <si>
    <t>KELLYVILLE RIDGE</t>
  </si>
  <si>
    <t>@AXL6362864;</t>
  </si>
  <si>
    <t>134594</t>
  </si>
  <si>
    <t>AU-138204</t>
  </si>
  <si>
    <t>BAIRNSDALE</t>
  </si>
  <si>
    <t>@AXL6362772;</t>
  </si>
  <si>
    <t>@5061011629074@(..9074)Beach Bag - Olive Grove - Single@1;</t>
  </si>
  <si>
    <t>134595</t>
  </si>
  <si>
    <t>AU-138205</t>
  </si>
  <si>
    <t>@AXL6362900;</t>
  </si>
  <si>
    <t>134596</t>
  </si>
  <si>
    <t>AU-138206</t>
  </si>
  <si>
    <t>@AXL6362819;</t>
  </si>
  <si>
    <t>134597</t>
  </si>
  <si>
    <t>250-7708374-0744634</t>
  </si>
  <si>
    <t>ELSTERNWICK</t>
  </si>
  <si>
    <t>@AXL6362712;</t>
  </si>
  <si>
    <t>134598</t>
  </si>
  <si>
    <t>AU-138054</t>
  </si>
  <si>
    <t>@AXL6366471;</t>
  </si>
  <si>
    <t>@5060668833414@(..3414)Towels - Beach - Lombok Lilac -@1;@5061011623379@(..3379)Towels - Beach - Miami Sorbet -@1;@5060668830987@(..0987)Towels - Beach - Ipanema Orange@1;@5060668830949@(..0949)Towels - Beach - Tulum Blue - GR@1;</t>
  </si>
  <si>
    <t>134599</t>
  </si>
  <si>
    <t>AU-138207</t>
  </si>
  <si>
    <t>BIRTINYA</t>
  </si>
  <si>
    <t>@AXL6362985;</t>
  </si>
  <si>
    <t>@5061011623751@(..3751)Dock &amp; Bay Poncho - Adults - Che@1;</t>
  </si>
  <si>
    <t>134600</t>
  </si>
  <si>
    <t>AU-138208</t>
  </si>
  <si>
    <t>MONA VALE</t>
  </si>
  <si>
    <t>@AXL6362713;</t>
  </si>
  <si>
    <t>@5061011623980@(..3980)Dock &amp; Bay Kids Beach Towel - Po@1;@5060668835845@(..5845)Dock &amp; Bay Dog Towel - Woofs Go@1;@5061011623935@(..3935)Dock &amp; Bay Kids Beach Towel - Ka@1;</t>
  </si>
  <si>
    <t>134601</t>
  </si>
  <si>
    <t>AU-138209</t>
  </si>
  <si>
    <t>ELWOOD</t>
  </si>
  <si>
    <t>@AXL6362918;</t>
  </si>
  <si>
    <t>@5060668836224@(..6224)Dock &amp; Bay Quick Dry Towel - Dee@1;</t>
  </si>
  <si>
    <t>134602</t>
  </si>
  <si>
    <t>AU-138210</t>
  </si>
  <si>
    <t>KUNUNURRA</t>
  </si>
  <si>
    <t>@AXL6360568;</t>
  </si>
  <si>
    <t>@5061011629074@(..9074)Beach Bag - Olive Grove - Single@1;@5061011625830@(..5830)Component Product@1;@5061011628565@(..8565)Component Product@1;@5061011628558@(..8558)Component Product@1;</t>
  </si>
  <si>
    <t xml:space="preserve">W3 </t>
  </si>
  <si>
    <t>134603</t>
  </si>
  <si>
    <t>AU-138211</t>
  </si>
  <si>
    <t>NORWOOD</t>
  </si>
  <si>
    <t>@AXL6362956;</t>
  </si>
  <si>
    <t>@5061011624215@(..4215)Dock &amp; Bay Foldaway Tote Bags -@1;@5061011623416@(..3416)Dock &amp; Bay Quick Dry Towel - Gre@1;@5061011623423@(..3423)Dock &amp; Bay Quick Dry Towel - Tro@1;</t>
  </si>
  <si>
    <t>134604</t>
  </si>
  <si>
    <t>AU-138212</t>
  </si>
  <si>
    <t>NIDDRIE</t>
  </si>
  <si>
    <t>@AXL6360560;</t>
  </si>
  <si>
    <t>@5061011625595@(..5595)Dock &amp; Bay Hair Wrap - Wish You@1;</t>
  </si>
  <si>
    <t>134605</t>
  </si>
  <si>
    <t>AU-138213</t>
  </si>
  <si>
    <t>DOUBLE BAY</t>
  </si>
  <si>
    <t>@AXL6362901;</t>
  </si>
  <si>
    <t>134606</t>
  </si>
  <si>
    <t>AU-138214</t>
  </si>
  <si>
    <t>ROUSE HILL</t>
  </si>
  <si>
    <t>@AXL6363052;</t>
  </si>
  <si>
    <t>@5060668831137@(..1137)Dock &amp; Bay Quick Dry Towel - Phi@1;</t>
  </si>
  <si>
    <t>134607</t>
  </si>
  <si>
    <t>AU-138215</t>
  </si>
  <si>
    <t>MEADOW SPRINGS</t>
  </si>
  <si>
    <t>@AXL6363186;</t>
  </si>
  <si>
    <t>134608</t>
  </si>
  <si>
    <t>AU-138216</t>
  </si>
  <si>
    <t>ROSSMOYNE</t>
  </si>
  <si>
    <t>@AXL6029541;</t>
  </si>
  <si>
    <t>@5061011625571@(..5571)Dock &amp; Bay Hair Wrap - Ocean Tre@1;@5061011628503@(..8503)Dock &amp; Bay Hair Wrap - Pastel Pi@1;@5060668839096@(..9096)Dock &amp; Bay Hair Wrap - Whitsunda@1;</t>
  </si>
  <si>
    <t>134609</t>
  </si>
  <si>
    <t>AU-138217</t>
  </si>
  <si>
    <t>MOUNT ELIZA</t>
  </si>
  <si>
    <t>@AXL6029549;</t>
  </si>
  <si>
    <t>@5061011625595@(..5595)Dock &amp; Bay Hair Wrap - Wish You@1;@5061011628442@(..8442)Dock &amp; Bay Hair Wrap - Cherry Bo@1;</t>
  </si>
  <si>
    <t>134610</t>
  </si>
  <si>
    <t>AU-138218</t>
  </si>
  <si>
    <t>OCEAN GROVE</t>
  </si>
  <si>
    <t>@AXL6007519;</t>
  </si>
  <si>
    <t>134611</t>
  </si>
  <si>
    <t>AU-138219</t>
  </si>
  <si>
    <t>ALLENDALE</t>
  </si>
  <si>
    <t>@AXL6029558;</t>
  </si>
  <si>
    <t>@5061011623515@(..3515)Dock &amp; Bay Quick Dry Towel - Gro@1;@5061011623508@(..3508)Dock &amp; Bay Quick Dry Towel - Che@1;</t>
  </si>
  <si>
    <t>134612</t>
  </si>
  <si>
    <t>AU-138220</t>
  </si>
  <si>
    <t>LUGARNO</t>
  </si>
  <si>
    <t>@AXL6029555;</t>
  </si>
  <si>
    <t>@5060668831083@(..1083)Dock &amp; Bay Quick Dry Towel - Tul@1;@5061011624673@(..4673)Component Product@1;@5061011623447@(..3447)Dock &amp; Bay Quick Dry Towel - Mia@1;</t>
  </si>
  <si>
    <t>134613</t>
  </si>
  <si>
    <t>AU-138221</t>
  </si>
  <si>
    <t>MANLY</t>
  </si>
  <si>
    <t>@AXL6029557;</t>
  </si>
  <si>
    <t>@5061011625571@(..5571)Dock &amp; Bay Hair Wrap - Ocean Tre@2;@5060668839058@(..9058)Dock &amp; Bay Hair Wrap - Tulum Blu@1;@5061011623225@(..3225)Dock &amp; Bay Hair Wrap - Miami Sor@1;@5061011628473@(..8473)Dock &amp; Bay Hair Wrap - Pink Para@1;@5061011628497@(..8497)Dock &amp; Bay Hair Wrap - Squeeze t@1;</t>
  </si>
  <si>
    <t>134614</t>
  </si>
  <si>
    <t>AU-138222</t>
  </si>
  <si>
    <t>ELTHAM NORTH</t>
  </si>
  <si>
    <t>@AXL6029559;</t>
  </si>
  <si>
    <t>@5060668831335@(..1335)Dock &amp; Bay Quick Dry Towel - Rai@1;</t>
  </si>
  <si>
    <t>134615</t>
  </si>
  <si>
    <t>AU-138223</t>
  </si>
  <si>
    <t>BEVERLY HILLS</t>
  </si>
  <si>
    <t>@AXL6029550;</t>
  </si>
  <si>
    <t>@5061011623225@(..3225)Dock &amp; Bay Hair Wrap - Miami Sor@1;@5060668830932@(..0932)Dock &amp; Bay Quick Dry Towel - Bor@1;@5061011623393@(..3393)Dock &amp; Bay Quick Dry Towel - Lem@1;</t>
  </si>
  <si>
    <t>134616</t>
  </si>
  <si>
    <t>AU-138224</t>
  </si>
  <si>
    <t>NOOSAVILLE</t>
  </si>
  <si>
    <t>@AXL6029553;</t>
  </si>
  <si>
    <t>@5061011623430@(..3430)Dock &amp; Bay Quick Dry Towel - Coa@1;@5061011621436@(..1436)Dock &amp; Bay Quick Dry Towel - San@1;@5061011623447@(..3447)Dock &amp; Bay Quick Dry Towel - Mia@1;@5061011623454@(..3454)Dock &amp; Bay Quick Dry Towel - Coo@1;</t>
  </si>
  <si>
    <t>134617</t>
  </si>
  <si>
    <t>AU-138225</t>
  </si>
  <si>
    <t>SOUTHPORT</t>
  </si>
  <si>
    <t>@AXL6032222;</t>
  </si>
  <si>
    <t>@5061011624215@(..4215)Dock &amp; Bay Foldaway Tote Bags -@1;@5061011623362@(..3362)Dock &amp; Bay Quick Dry Towel - Coa@1;@5061011623867@(..3867)Dock &amp; Bay Small Waterproof Dry@1;@5061011623584@(..3584)Dock &amp; Bay Quick Dry Towel - Vit@1;</t>
  </si>
  <si>
    <t xml:space="preserve">GC </t>
  </si>
  <si>
    <t>134618</t>
  </si>
  <si>
    <t>AU-138226</t>
  </si>
  <si>
    <t>NORTH BALGOWLAH</t>
  </si>
  <si>
    <t>@AXL6030104;</t>
  </si>
  <si>
    <t>134619</t>
  </si>
  <si>
    <t>AU-138227</t>
  </si>
  <si>
    <t>LEPPINGTON</t>
  </si>
  <si>
    <t>@AXL6032214;</t>
  </si>
  <si>
    <t>@5060668830918@(..0918)Dock &amp; Bay Quick Dry Towel - Whi@2;</t>
  </si>
  <si>
    <t>134620</t>
  </si>
  <si>
    <t>503-4254433-5841466</t>
  </si>
  <si>
    <t>WEST GLADSTONE</t>
  </si>
  <si>
    <t>@AXL6030109;</t>
  </si>
  <si>
    <t>@5060668838174@(..8174)Dock &amp; Bay QuickCool Cooling Tow@1;@5060668832349@(..2349)Dock &amp; Bay QuickCool Cooling Tow@10;@5060668836262@(..6262)Dock &amp; Bay QuickCool Cooling Tow@10;@5061011624109@(..4109)Dock &amp; Bay QuickCool Cooling Tow@10;</t>
  </si>
  <si>
    <t>134621</t>
  </si>
  <si>
    <t>AU-138228</t>
  </si>
  <si>
    <t>BRIGHTON</t>
  </si>
  <si>
    <t>@AXL6032221;</t>
  </si>
  <si>
    <t>134622</t>
  </si>
  <si>
    <t>AU-138229</t>
  </si>
  <si>
    <t>THE GAP</t>
  </si>
  <si>
    <t>@AXL6032216;</t>
  </si>
  <si>
    <t>134623</t>
  </si>
  <si>
    <t>AU-138230</t>
  </si>
  <si>
    <t>BOMBO</t>
  </si>
  <si>
    <t>@AXL6030108;</t>
  </si>
  <si>
    <t>@5061011628503@(..8503)Dock &amp; Bay Hair Wrap - Pastel Pi@1;@5061011628442@(..8442)Dock &amp; Bay Hair Wrap - Cherry Bo@1;@5061011628619@(..8619)Dock &amp; Bay Tea Towel - Strawberr@1;</t>
  </si>
  <si>
    <t>134624</t>
  </si>
  <si>
    <t>AU-138231</t>
  </si>
  <si>
    <t>WILLOUGHBY</t>
  </si>
  <si>
    <t>@AXL6029839;</t>
  </si>
  <si>
    <t>134625</t>
  </si>
  <si>
    <t>AU-138232</t>
  </si>
  <si>
    <t>KALAMUNDA</t>
  </si>
  <si>
    <t>@AXL6030103;</t>
  </si>
  <si>
    <t>@5060668831151@(..1151)Dock &amp; Bay Quick Dry Towel - Wai@1;</t>
  </si>
  <si>
    <t>134626</t>
  </si>
  <si>
    <t>AU-138233</t>
  </si>
  <si>
    <t>THIRROUL</t>
  </si>
  <si>
    <t>@AXL6029842;</t>
  </si>
  <si>
    <t>134627</t>
  </si>
  <si>
    <t>AU-138234</t>
  </si>
  <si>
    <t>GLENUNGA</t>
  </si>
  <si>
    <t>@AXL6029837;</t>
  </si>
  <si>
    <t>@5060668836057@(..6057)Dock &amp; Bay Poncho - Adults - Fuj@1;</t>
  </si>
  <si>
    <t>134628</t>
  </si>
  <si>
    <t>AU-138235</t>
  </si>
  <si>
    <t>TURRAMURRA</t>
  </si>
  <si>
    <t>@AXL6029838;</t>
  </si>
  <si>
    <t>134629</t>
  </si>
  <si>
    <t>AU-138236</t>
  </si>
  <si>
    <t>ENDEAVOUR HILLS</t>
  </si>
  <si>
    <t>@AXL6030106;</t>
  </si>
  <si>
    <t>@5060668830987@(..0987)Dock &amp; Bay Quick Dry Towel - Ipa@1;@5060668833421@(..3421)Dock &amp; Bay Quick Dry Towel - Cay@1;</t>
  </si>
  <si>
    <t>134630</t>
  </si>
  <si>
    <t>AU-138237</t>
  </si>
  <si>
    <t>MADORA BAY</t>
  </si>
  <si>
    <t>@AXL6032217;</t>
  </si>
  <si>
    <t>@5061011623492@(..3492)Component Product@1;@5061011623447@(..3447)Component Product@1;@5061011623454@(..3454)Component Product@1;@5061011623478@(..3478)Component Product@1;</t>
  </si>
  <si>
    <t>134631</t>
  </si>
  <si>
    <t>AU-138238</t>
  </si>
  <si>
    <t>SOUTH MORANG</t>
  </si>
  <si>
    <t>@AXL6030105;</t>
  </si>
  <si>
    <t>@5060668833407@(..3407)Dock &amp; Bay Quick Dry Towel - Mal@1;</t>
  </si>
  <si>
    <t>134632</t>
  </si>
  <si>
    <t>AU-138239</t>
  </si>
  <si>
    <t>@AXL6032215;</t>
  </si>
  <si>
    <t>@5061011623867@(..3867)Dock &amp; Bay Small Waterproof Dry@2;@5060668837368@(..7368)Dock &amp; Bay Foldaway Tote Bags -@1;</t>
  </si>
  <si>
    <t>134633</t>
  </si>
  <si>
    <t>AU-138240</t>
  </si>
  <si>
    <t>BALLAN</t>
  </si>
  <si>
    <t>@AXL6029841;</t>
  </si>
  <si>
    <t>@5061011624246@(..4246)Dock &amp; Bay Foldaway Tote Bags -@1;</t>
  </si>
  <si>
    <t>134634</t>
  </si>
  <si>
    <t>AU-138241</t>
  </si>
  <si>
    <t>PLENTY</t>
  </si>
  <si>
    <t>@AXL6032219;</t>
  </si>
  <si>
    <t>@5061011628343@(..8343)Dock &amp; Bay Quick Dry Towel - Ras@1;@5061011628329@(..8329)Dock &amp; Bay Quick Dry Towel - Mel@1;</t>
  </si>
  <si>
    <t>134635</t>
  </si>
  <si>
    <t>AU-138242</t>
  </si>
  <si>
    <t>UPPER FERNTREE GULLY</t>
  </si>
  <si>
    <t>@AXL6030107;</t>
  </si>
  <si>
    <t>134636</t>
  </si>
  <si>
    <t>250-7740082-7223017</t>
  </si>
  <si>
    <t>@AXL6029834;</t>
  </si>
  <si>
    <t>@5061011625618@(..5618)Dock &amp; Bay Tea Towels - Quick-Dr@1;@5061011625755@(..5755)Dock &amp; Bay Tea Towels - Quick-Dr@1;</t>
  </si>
  <si>
    <t>134637</t>
  </si>
  <si>
    <t>AU-138243</t>
  </si>
  <si>
    <t>@AXL6029835;</t>
  </si>
  <si>
    <t>134638</t>
  </si>
  <si>
    <t>AU-138244</t>
  </si>
  <si>
    <t>PAKENHAM</t>
  </si>
  <si>
    <t>@AXL6029836;</t>
  </si>
  <si>
    <t>134639</t>
  </si>
  <si>
    <t>AU-138245</t>
  </si>
  <si>
    <t>KURRALTA PARK</t>
  </si>
  <si>
    <t>@AXL6029840;</t>
  </si>
  <si>
    <t>134640</t>
  </si>
  <si>
    <t>AU-138246</t>
  </si>
  <si>
    <t>@AXL6032218;</t>
  </si>
  <si>
    <t>134641</t>
  </si>
  <si>
    <t>AU-138247</t>
  </si>
  <si>
    <t>TAPPING</t>
  </si>
  <si>
    <t>@AXL6032213;</t>
  </si>
  <si>
    <t>134642</t>
  </si>
  <si>
    <t>AU-138248</t>
  </si>
  <si>
    <t>SURFERS PARADISE</t>
  </si>
  <si>
    <t>@AXL6032220;</t>
  </si>
  <si>
    <t>134643</t>
  </si>
  <si>
    <t>AU-138249</t>
  </si>
  <si>
    <t>LEICHHARDT</t>
  </si>
  <si>
    <t>@AXL6027631;</t>
  </si>
  <si>
    <t>@5061011623492@(..3492)Dock &amp; Bay Quick Dry Towel - Tro@1;@5060668833469@(..3469)Dock &amp; Bay Quick Dry Towel - Cay@1;@5061011623454@(..3454)Dock &amp; Bay Quick Dry Towel - Coo@1;</t>
  </si>
  <si>
    <t>134644</t>
  </si>
  <si>
    <t>AU-138250</t>
  </si>
  <si>
    <t>KALLAROO</t>
  </si>
  <si>
    <t>@AXL6027329;</t>
  </si>
  <si>
    <t>@5061011628473@(..8473)Dock &amp; Bay Hair Wrap - Pink Para@1;@5061011625809@(..5809)Dock &amp; Bay Tea Towel - Mediterra@1;</t>
  </si>
  <si>
    <t>134645</t>
  </si>
  <si>
    <t>AU-138251</t>
  </si>
  <si>
    <t>LILYFIELD</t>
  </si>
  <si>
    <t>@AXL6027630;</t>
  </si>
  <si>
    <t>@5060668830949@(..0949)Dock &amp; Bay Quick Dry Towel - Tul@1;@5060668830918@(..0918)Dock &amp; Bay Quick Dry Towel - Whi@1;</t>
  </si>
  <si>
    <t>134646</t>
  </si>
  <si>
    <t>AU-138252</t>
  </si>
  <si>
    <t>BEECHWORTH</t>
  </si>
  <si>
    <t>@AXL6030127;</t>
  </si>
  <si>
    <t>@5061011628480@(..8480)Dock &amp; Bay Hair Wrap - Surf Chec@1;@5061011628442@(..8442)Dock &amp; Bay Hair Wrap - Cherry Bo@1;</t>
  </si>
  <si>
    <t>134647</t>
  </si>
  <si>
    <t>AU-138253</t>
  </si>
  <si>
    <t>AUSTINMER</t>
  </si>
  <si>
    <t>@AXL6027599;</t>
  </si>
  <si>
    <t>@5061011628503@(..8503)Dock &amp; Bay Hair Wrap - Pastel Pi@1;</t>
  </si>
  <si>
    <t>134648</t>
  </si>
  <si>
    <t>AU-138254</t>
  </si>
  <si>
    <t>FLAGSTAFF HILL</t>
  </si>
  <si>
    <t>@AXL6055983;</t>
  </si>
  <si>
    <t>@5060668835586@(..5586)Dock &amp; Bay Quick Dry Towel - Mal@1;</t>
  </si>
  <si>
    <t>134649</t>
  </si>
  <si>
    <t>503-7548448-2623018</t>
  </si>
  <si>
    <t>BOORAGOON</t>
  </si>
  <si>
    <t>@AXL6366439;</t>
  </si>
  <si>
    <t>@5061011628602@(..8602)Component Product@1;@5061011628565@(..8565)Component Product@1;@5061011628558@(..8558)Component Product@1;@5061011628589@(..8589)Component Product@1;@5061011628572@(..8572)Component Product@1;</t>
  </si>
  <si>
    <t>134650</t>
  </si>
  <si>
    <t>AU-138255</t>
  </si>
  <si>
    <t>SALE</t>
  </si>
  <si>
    <t>@AXL6030146;</t>
  </si>
  <si>
    <t>@5061011628336@(..8336)Component Product@1;@5061011628343@(..8343)Component Product@1;@5061011628312@(..8312)Component Product@1;@5061011628329@(..8329)Component Product@1;</t>
  </si>
  <si>
    <t>134651</t>
  </si>
  <si>
    <t>AU-138256</t>
  </si>
  <si>
    <t>GLENVALE</t>
  </si>
  <si>
    <t>@AXL6007656;</t>
  </si>
  <si>
    <t>@5061011624260@(..4260)Dock &amp; Bay Foldaway Tote Bags -@1;</t>
  </si>
  <si>
    <t>134652</t>
  </si>
  <si>
    <t>AU-138257</t>
  </si>
  <si>
    <t>STRATHMORE</t>
  </si>
  <si>
    <t>@AXL4420520;</t>
  </si>
  <si>
    <t>@5060668831021@(..1021)Dock &amp; Bay Quick Dry Towel - Bor@1;@5060668830895@(..0895)Dock &amp; Bay Quick Dry Towel - Kam@1;@5060668833421@(..3421)Dock &amp; Bay Quick Dry Towel - Cay@1;@5060668830932@(..0932)Dock &amp; Bay Quick Dry Towel - Bor@1;</t>
  </si>
  <si>
    <t>134653</t>
  </si>
  <si>
    <t>249-4559643-4407845</t>
  </si>
  <si>
    <t>WINDSOR</t>
  </si>
  <si>
    <t>@AXL6366972;</t>
  </si>
  <si>
    <t>@5061011625779@(..5779)Dock &amp; Bay Tea Towels - Quick-Dr@1;</t>
  </si>
  <si>
    <t>134654</t>
  </si>
  <si>
    <t>AU-138258</t>
  </si>
  <si>
    <t>VALENTINE</t>
  </si>
  <si>
    <t>@AXL4420427;</t>
  </si>
  <si>
    <t>134655</t>
  </si>
  <si>
    <t>AU-138259</t>
  </si>
  <si>
    <t>BURRANEER</t>
  </si>
  <si>
    <t>@AXL6366933;</t>
  </si>
  <si>
    <t>@5061011628503@(..8503)Dock &amp; Bay Hair Wrap - Pastel Pi@1;@5061011628442@(..8442)Dock &amp; Bay Hair Wrap - Cherry Bo@1;</t>
  </si>
  <si>
    <t xml:space="preserve">N1 </t>
  </si>
  <si>
    <t>134656</t>
  </si>
  <si>
    <t>AU-138260</t>
  </si>
  <si>
    <t>HOLMVIEW</t>
  </si>
  <si>
    <t>@AXL4420502;</t>
  </si>
  <si>
    <t>@5061011625595@(..5595)Dock &amp; Bay Hair Wrap - Wish You@1;@5061011628459@(..8459)Dock &amp; Bay Hair Wrap - Tiger Pal@1;</t>
  </si>
  <si>
    <t>134657</t>
  </si>
  <si>
    <t>AU-138261</t>
  </si>
  <si>
    <t>GEILSTON BAY</t>
  </si>
  <si>
    <t>@AXL4420476;</t>
  </si>
  <si>
    <t>134658</t>
  </si>
  <si>
    <t>AU-138262</t>
  </si>
  <si>
    <t>BANORA POINT</t>
  </si>
  <si>
    <t>@AXL6366971;</t>
  </si>
  <si>
    <t>@5061011628497@(..8497)Dock &amp; Bay Hair Wrap - Squeeze t@2;</t>
  </si>
  <si>
    <t xml:space="preserve">N4 </t>
  </si>
  <si>
    <t>134659</t>
  </si>
  <si>
    <t>AU-138263</t>
  </si>
  <si>
    <t>NARRE WARREN SOUTH</t>
  </si>
  <si>
    <t>@AXL4420392;</t>
  </si>
  <si>
    <t>@5060668831069@(..1069)Dock &amp; Bay Quick Dry Towel - Can@1;@5061011623379@(..3379)Dock &amp; Bay Quick Dry Towel - Mia@1;</t>
  </si>
  <si>
    <t>134660</t>
  </si>
  <si>
    <t>AU-138264</t>
  </si>
  <si>
    <t>TUMBI UMBI</t>
  </si>
  <si>
    <t>@AXL6366987;</t>
  </si>
  <si>
    <t>@5061011623164@(..3164)Dock &amp; Bay Dog Towel - Where's W@1;@5061011628657@(..8657)Dock &amp; Bay Dog Towel - A Dogs Di@1;</t>
  </si>
  <si>
    <t>134661</t>
  </si>
  <si>
    <t>AU-138265</t>
  </si>
  <si>
    <t>DALYELLUP</t>
  </si>
  <si>
    <t>@AXL4420406;</t>
  </si>
  <si>
    <t>@5061011623560@(..3560)Dock &amp; Bay Quick Dry Towel - Che@1;</t>
  </si>
  <si>
    <t xml:space="preserve">W2 </t>
  </si>
  <si>
    <t>134662</t>
  </si>
  <si>
    <t>AU-138266</t>
  </si>
  <si>
    <t>ABBOTSFORD</t>
  </si>
  <si>
    <t>@AXL4420436;</t>
  </si>
  <si>
    <t>134663</t>
  </si>
  <si>
    <t>AU-138267</t>
  </si>
  <si>
    <t>CROYDON HILLS</t>
  </si>
  <si>
    <t>@AXL4420511;</t>
  </si>
  <si>
    <t>134664</t>
  </si>
  <si>
    <t>AU-138268</t>
  </si>
  <si>
    <t>EAST BRISBANE</t>
  </si>
  <si>
    <t>@AXL4420383;</t>
  </si>
  <si>
    <t>@5061011623379@(..3379)Dock &amp; Bay Quick Dry Towel - Mia@1;@5060668833421@(..3421)Dock &amp; Bay Quick Dry Towel - Cay@1;</t>
  </si>
  <si>
    <t>134665</t>
  </si>
  <si>
    <t>AU-138269</t>
  </si>
  <si>
    <t>ELTHAM</t>
  </si>
  <si>
    <t>@AXL4420397;</t>
  </si>
  <si>
    <t>134666</t>
  </si>
  <si>
    <t>AU-138270</t>
  </si>
  <si>
    <t>@AXL4420529;</t>
  </si>
  <si>
    <t>@5060668831151@(..1151)Component Product@1;@5060668831052@(..1052)Component Product@1;@5060668831120@(..1120)Component Product@1;@5060668831045@(..1045)Component Product@1;</t>
  </si>
  <si>
    <t>134667</t>
  </si>
  <si>
    <t>AU-138271</t>
  </si>
  <si>
    <t>WEST END</t>
  </si>
  <si>
    <t>@AXL4422036;</t>
  </si>
  <si>
    <t>@5061011623478@(..3478)Dock &amp; Bay Quick Dry Towel - Wil@1;</t>
  </si>
  <si>
    <t>134668</t>
  </si>
  <si>
    <t>AU-138272</t>
  </si>
  <si>
    <t>DEVEREUX CREEK</t>
  </si>
  <si>
    <t>@AXL4421974;</t>
  </si>
  <si>
    <t>@5061011625908@(..5908)Dock &amp; Bay Tea Towel - Head Chef@1;@5061011626097@(..6097)Dock &amp; Bay Tea Towel - Sous Chef@1;@5061011626103@(..6103)Dock &amp; Bay Tea Towel - Peas in a@1;@5061011628558@(..8558)Dock &amp; Bay Tea Towel - Dinner Pa@1;@5061011628589@(..8589)Dock &amp; Bay Tea Towel - Kitchen D@2;@5061011625786@(..5786)Dock &amp; Bay Tea Towel - Feelin' V@2;@5061011625618@(..5618)Dock &amp; Bay Tea Towel - Feeling S@1;</t>
  </si>
  <si>
    <t>134669</t>
  </si>
  <si>
    <t>AU-138273</t>
  </si>
  <si>
    <t>NEW FARM</t>
  </si>
  <si>
    <t>@AXL4421991;</t>
  </si>
  <si>
    <t>134670</t>
  </si>
  <si>
    <t>AU-138275</t>
  </si>
  <si>
    <t>@AXL6372530;</t>
  </si>
  <si>
    <t>@5061011623225@(..3225)Dock &amp; Bay Hair Wrap - Miami Sor@1;</t>
  </si>
  <si>
    <t>134671</t>
  </si>
  <si>
    <t>AU-138276</t>
  </si>
  <si>
    <t>KEILOR EAST</t>
  </si>
  <si>
    <t>@AXL6372520;</t>
  </si>
  <si>
    <t>@5061011628312@(..8312)Dock &amp; Bay Quick Dry Towel - Blu@1;@5061011628329@(..8329)Dock &amp; Bay Quick Dry Towel - Mel@1;</t>
  </si>
  <si>
    <t>134672</t>
  </si>
  <si>
    <t>AU-138277</t>
  </si>
  <si>
    <t>TOOWONG</t>
  </si>
  <si>
    <t>@AXL6372836;</t>
  </si>
  <si>
    <t>@5061011624062@(..4062)Dock &amp; Bay Poncho - Kids - Turtl@1;@5061011624086@(..4086)Dock &amp; Bay Poncho - Kids - Bubbl@1;@5061011624055@(..4055)Dock &amp; Bay Poncho - Kids - Karma@1;</t>
  </si>
  <si>
    <t>134673</t>
  </si>
  <si>
    <t>AU-138278</t>
  </si>
  <si>
    <t>BALGOWNIE</t>
  </si>
  <si>
    <t>@AXL6372829;</t>
  </si>
  <si>
    <t>@5060668832073@(..2073)Dock &amp; Bay Quick Dry Towel - Isl@1;</t>
  </si>
  <si>
    <t>134674</t>
  </si>
  <si>
    <t>AU-138279</t>
  </si>
  <si>
    <t>DIAMOND CREEK</t>
  </si>
  <si>
    <t>@AXL6366706;</t>
  </si>
  <si>
    <t>134675</t>
  </si>
  <si>
    <t>AU-138280</t>
  </si>
  <si>
    <t>WINMALEE</t>
  </si>
  <si>
    <t>@AXL6372835;</t>
  </si>
  <si>
    <t>134676</t>
  </si>
  <si>
    <t>AU-138281</t>
  </si>
  <si>
    <t>DERRINALLUM</t>
  </si>
  <si>
    <t>@AXL6372830;</t>
  </si>
  <si>
    <t>134677</t>
  </si>
  <si>
    <t>AU-138282</t>
  </si>
  <si>
    <t>MULGRAVE</t>
  </si>
  <si>
    <t>@AXL6366659;</t>
  </si>
  <si>
    <t>@5060668835814@(..5814)Dock &amp; Bay Dog Towel - Walkies i@1;</t>
  </si>
  <si>
    <t>134678</t>
  </si>
  <si>
    <t>AU-138283</t>
  </si>
  <si>
    <t>TAYLORS LAKES</t>
  </si>
  <si>
    <t>@AXL6372384;</t>
  </si>
  <si>
    <t>@5060668830918@(..0918)Dock &amp; Bay Quick Dry Towel - Whi@1;@5060668830932@(..0932)Dock &amp; Bay Quick Dry Towel - Bor@1;</t>
  </si>
  <si>
    <t>134679</t>
  </si>
  <si>
    <t>AU-138284</t>
  </si>
  <si>
    <t>OLD BAR</t>
  </si>
  <si>
    <t>@AXL6373049;</t>
  </si>
  <si>
    <t>@5060668832080@(..2080)Dock &amp; Bay Quick Dry Towel - Isl@1;</t>
  </si>
  <si>
    <t>134680</t>
  </si>
  <si>
    <t>AU-138285</t>
  </si>
  <si>
    <t>HIGHETT</t>
  </si>
  <si>
    <t>@AXL6372980;</t>
  </si>
  <si>
    <t>@5060668831137@(..1137)Component Product@1;@5060668831069@(..1069)Component Product@1;@5060668831052@(..1052)Component Product@1;@5060668831045@(..1045)Component Product@1;@5060668833469@(..3469)Dock &amp; Bay Quick Dry Towel - Cay@1;</t>
  </si>
  <si>
    <t>134681</t>
  </si>
  <si>
    <t>AU-138286</t>
  </si>
  <si>
    <t>MILLSWOOD</t>
  </si>
  <si>
    <t>@AXL6373388;</t>
  </si>
  <si>
    <t>134682</t>
  </si>
  <si>
    <t>AU-138287</t>
  </si>
  <si>
    <t>ST JOHNS PARK</t>
  </si>
  <si>
    <t>@AXL6372372;</t>
  </si>
  <si>
    <t>@5061011628336@(..8336)Dock &amp; Bay Quick Dry Towel - Pas@1;@5061011628329@(..8329)Dock &amp; Bay Quick Dry Towel - Mel@1;</t>
  </si>
  <si>
    <t>134683</t>
  </si>
  <si>
    <t>AU-138288</t>
  </si>
  <si>
    <t>MARMONG POINT</t>
  </si>
  <si>
    <t>@AXL6373397;</t>
  </si>
  <si>
    <t>134684</t>
  </si>
  <si>
    <t>AU-138289</t>
  </si>
  <si>
    <t>WOODVILLE NORTH</t>
  </si>
  <si>
    <t>@AXL6373048;</t>
  </si>
  <si>
    <t>@5060668831403@(..1403)Dock &amp; Bay Quick Dry Towel - Rai@1;@5061011623447@(..3447)Dock &amp; Bay Quick Dry Towel - Mia@1;@5061011621436@(..1436)Dock &amp; Bay Quick Dry Towel - San@1;</t>
  </si>
  <si>
    <t>134685</t>
  </si>
  <si>
    <t>AU-138290</t>
  </si>
  <si>
    <t>ALBION</t>
  </si>
  <si>
    <t>@AXL6373108;</t>
  </si>
  <si>
    <t>@5061011628336@(..8336)Dock &amp; Bay Quick Dry Towel - Pas@1;@5061011628343@(..8343)Dock &amp; Bay Quick Dry Towel - Ras@1;</t>
  </si>
  <si>
    <t>134686</t>
  </si>
  <si>
    <t>AU-138291</t>
  </si>
  <si>
    <t>COOGEE</t>
  </si>
  <si>
    <t>@AXL6372406;</t>
  </si>
  <si>
    <t>@5061011624307@(..4307)Component Product@1;@5061011623379@(..3379)Component Product@1;@5061011623386@(..3386)Component Product@1;@5061011623393@(..3393)Component Product@1;</t>
  </si>
  <si>
    <t>134687</t>
  </si>
  <si>
    <t>AU-138292</t>
  </si>
  <si>
    <t>YOUNG</t>
  </si>
  <si>
    <t>@AXL6373404;</t>
  </si>
  <si>
    <t>@5061011624307@(..4307)Dock &amp; Bay Quick Dry Towel - Blu@1;@5061011623386@(..3386)Dock &amp; Bay Quick Dry Towel - Coo@1;@5060668833421@(..3421)Dock &amp; Bay Quick Dry Towel - Cay@2;</t>
  </si>
  <si>
    <t>134688</t>
  </si>
  <si>
    <t>AU-138293</t>
  </si>
  <si>
    <t>GLENBROOK</t>
  </si>
  <si>
    <t>@AXL6373050;</t>
  </si>
  <si>
    <t>@5060668833414@(..3414)Dock &amp; Bay Quick Dry Towel - Lom@1;@5060668833421@(..3421)Dock &amp; Bay Quick Dry Towel - Cay@1;</t>
  </si>
  <si>
    <t>134689</t>
  </si>
  <si>
    <t>AU-138294</t>
  </si>
  <si>
    <t>@AXL6373107;</t>
  </si>
  <si>
    <t>@5060668830963@(..0963)Dock &amp; Bay Quick Dry Towel - Goa@1;</t>
  </si>
  <si>
    <t>134690</t>
  </si>
  <si>
    <t>AU-138295</t>
  </si>
  <si>
    <t>GOONDIWINDI</t>
  </si>
  <si>
    <t>@AXL6372383;</t>
  </si>
  <si>
    <t>@5061011625908@(..5908)Component Product@1;@5061011626097@(..6097)Component Product@1;@5061011625571@(..5571)Dock &amp; Bay Hair Wrap - Ocean Tre@1;@5061011626103@(..6103)Component Product@1;@5060668839058@(..9058)Dock &amp; Bay Hair Wrap - Tulum Blu@1;@5061011628442@(..8442)Dock &amp; Bay Hair Wrap - Cherry Bo@1;@5061011625779@(..5779)Component Product@1;@5061011625755@(..5755)Component Product@1;</t>
  </si>
  <si>
    <t>134691</t>
  </si>
  <si>
    <t>AU-138296</t>
  </si>
  <si>
    <t>DUNCRAIG</t>
  </si>
  <si>
    <t>@AXL6373387;</t>
  </si>
  <si>
    <t>@5061011623508@(..3508)Dock &amp; Bay Quick Dry Towel - Che@1;</t>
  </si>
  <si>
    <t>134692</t>
  </si>
  <si>
    <t>AU-138299</t>
  </si>
  <si>
    <t>ROWVILLE</t>
  </si>
  <si>
    <t>@AXL6372390;</t>
  </si>
  <si>
    <t>@5060668831137@(..1137)Component Product@1;@5060668831069@(..1069)Component Product@1;@5060668831168@(..1168)Component Product@1;@5060668831151@(..1151)Component Product@1;@5060668831120@(..1120)Component Product@1;@5060668831045@(..1045)Component Product@1;</t>
  </si>
  <si>
    <t>134693</t>
  </si>
  <si>
    <t>AU-138300</t>
  </si>
  <si>
    <t>@AXL6372337;</t>
  </si>
  <si>
    <t>@5061011623485@(..3485)Dock &amp; Bay Quick Dry Towel - Gre@1;@5060668831052@(..1052)Dock &amp; Bay Quick Dry Towel - Whi@1;</t>
  </si>
  <si>
    <t>134694</t>
  </si>
  <si>
    <t>AU-138301</t>
  </si>
  <si>
    <t>ST KILDA</t>
  </si>
  <si>
    <t>@AXL6373097;</t>
  </si>
  <si>
    <t>134695</t>
  </si>
  <si>
    <t>AU-138302</t>
  </si>
  <si>
    <t>CANTERBURY</t>
  </si>
  <si>
    <t>@AXL6373109;</t>
  </si>
  <si>
    <t>@5060668831137@(..1137)Component Product@1;@5060668831083@(..1083)Component Product@1;@5060668831151@(..1151)Component Product@1;@5060668831052@(..1052)Component Product@1;@5060668831045@(..1045)Component Product@1;@5060668833445@(..3445)Component Product@1;</t>
  </si>
  <si>
    <t>134696</t>
  </si>
  <si>
    <t>AU-138303</t>
  </si>
  <si>
    <t>OCEAN VIEW</t>
  </si>
  <si>
    <t>@AXL6372396;</t>
  </si>
  <si>
    <t>@5060668831106@(..1106)Dock &amp; Bay Quick Dry Towel - Goa@1;@5060668831076@(..1076)Dock &amp; Bay Quick Dry Towel - Bor@1;</t>
  </si>
  <si>
    <t>134697</t>
  </si>
  <si>
    <t>AU-138304</t>
  </si>
  <si>
    <t>EIGHT MILE PLAINS</t>
  </si>
  <si>
    <t>@AXL6372395;</t>
  </si>
  <si>
    <t>134698</t>
  </si>
  <si>
    <t>AU-138305</t>
  </si>
  <si>
    <t>KINGSGROVE</t>
  </si>
  <si>
    <t>@AXL6373399;</t>
  </si>
  <si>
    <t>@5060668831069@(..1069)Dock &amp; Bay Quick Dry Towel - Can@1;@5060668831052@(..1052)Dock &amp; Bay Quick Dry Towel - Whi@1;</t>
  </si>
  <si>
    <t>134699</t>
  </si>
  <si>
    <t>AU-138306</t>
  </si>
  <si>
    <t>RIVERSTONE</t>
  </si>
  <si>
    <t>@AXL6373096;</t>
  </si>
  <si>
    <t>134700</t>
  </si>
  <si>
    <t>AU-138307</t>
  </si>
  <si>
    <t>WINSTON HILLS</t>
  </si>
  <si>
    <t>@AXL6373380;</t>
  </si>
  <si>
    <t>134701</t>
  </si>
  <si>
    <t>AU-138308</t>
  </si>
  <si>
    <t>PAGE</t>
  </si>
  <si>
    <t>@AXL6373389;</t>
  </si>
  <si>
    <t>@5061011628503@(..8503)Dock &amp; Bay Hair Wrap - Pastel Pi@1;@5060668839058@(..9058)Dock &amp; Bay Hair Wrap - Tulum Blu@1;</t>
  </si>
  <si>
    <t>134702</t>
  </si>
  <si>
    <t>AU-138309</t>
  </si>
  <si>
    <t>PRESTON</t>
  </si>
  <si>
    <t>@AXL6373398;</t>
  </si>
  <si>
    <t>@5060668831038@(..1038)Dock &amp; Bay Quick Dry Towel - Kam@1;@5060668831311@(..1311)Dock &amp; Bay Kids Beach Towel - Si@1;@5060668831076@(..1076)Dock &amp; Bay Quick Dry Towel - Bor@1;@5060668838532@(..8532)Dock &amp; Bay Kids Beach Towel - Co@1;</t>
  </si>
  <si>
    <t>134703</t>
  </si>
  <si>
    <t>AU-138310</t>
  </si>
  <si>
    <t>DOUGLAS</t>
  </si>
  <si>
    <t>@AXL6372378;</t>
  </si>
  <si>
    <t>134704</t>
  </si>
  <si>
    <t>AU-138311</t>
  </si>
  <si>
    <t>@AXL6030204;</t>
  </si>
  <si>
    <t>@5060668831069@(..1069)Component Product@1;@5060668831168@(..1168)Component Product@1;@5060668831151@(..1151)Component Product@1;@5060668831045@(..1045)Component Product@1;</t>
  </si>
  <si>
    <t>134705</t>
  </si>
  <si>
    <t>AU-138312</t>
  </si>
  <si>
    <t>HAWLEY BEACH</t>
  </si>
  <si>
    <t>@AXL6030203;</t>
  </si>
  <si>
    <t>134706</t>
  </si>
  <si>
    <t>AU-138313</t>
  </si>
  <si>
    <t>@AXL6373818;</t>
  </si>
  <si>
    <t>@5061011626509@(..6509)Dock &amp; Bay Tea Towel - Squeaky C@1;@5061011625830@(..5830)Component Product@1;@5061011628602@(..8602)Dock &amp; Bay Tea Towel - Golden Ho@1;@5061011628565@(..8565)Component Product@1;@5061011625779@(..5779)Component Product@1;@5061011628558@(..8558)Component Product@1;@5061011625755@(..5755)Component Product@1;</t>
  </si>
  <si>
    <t>134707</t>
  </si>
  <si>
    <t>AU-138315</t>
  </si>
  <si>
    <t>CAMPBELLTOWN</t>
  </si>
  <si>
    <t>@AXL6030205;</t>
  </si>
  <si>
    <t>@5060668831038@(..1038)Dock &amp; Bay Quick Dry Towel - Kam@1;@5060668831052@(..1052)Dock &amp; Bay Quick Dry Towel - Whi@1;</t>
  </si>
  <si>
    <t>134708</t>
  </si>
  <si>
    <t>AU-138316</t>
  </si>
  <si>
    <t>BORDERTOWN</t>
  </si>
  <si>
    <t>@AXL6365304;</t>
  </si>
  <si>
    <t>@5061011628305@(..8305)Dock &amp; Bay Quick Dry Towel - Ras@1;@5060668830932@(..0932)Dock &amp; Bay Quick Dry Towel - Bor@1;</t>
  </si>
  <si>
    <t>134709</t>
  </si>
  <si>
    <t>AU-138317</t>
  </si>
  <si>
    <t>FINDON</t>
  </si>
  <si>
    <t>@AXL6365305;</t>
  </si>
  <si>
    <t>@5061011625830@(..5830)Component Product@1;@5061011628473@(..8473)Dock &amp; Bay Hair Wrap - Pink Para@1;@5061011628565@(..8565)Component Product@1;@5061011628558@(..8558)Component Product@1;@5061011628589@(..8589)Component Product@1;@5061011628572@(..8572)Component Product@1;</t>
  </si>
  <si>
    <t>134710</t>
  </si>
  <si>
    <t>AU-138318</t>
  </si>
  <si>
    <t>TARRAWANNA</t>
  </si>
  <si>
    <t>@AXL6373409;</t>
  </si>
  <si>
    <t>134711</t>
  </si>
  <si>
    <t>AU-138319</t>
  </si>
  <si>
    <t>RED HILL</t>
  </si>
  <si>
    <t>@AXL6373410;</t>
  </si>
  <si>
    <t>@5060668831137@(..1137)Component Product@1;@5060668831168@(..1168)Component Product@1;@5060668831052@(..1052)Component Product@1;@5060668831380@(..1380)Component Product@1;@5060668831045@(..1045)Component Product@1;@5060668831403@(..1403)Component Product@1;</t>
  </si>
  <si>
    <t>134712</t>
  </si>
  <si>
    <t>AU-138320</t>
  </si>
  <si>
    <t>MOSS VALE</t>
  </si>
  <si>
    <t>@AXL6374016;</t>
  </si>
  <si>
    <t>134713</t>
  </si>
  <si>
    <t>AU-138321</t>
  </si>
  <si>
    <t>@AXL6374071;</t>
  </si>
  <si>
    <t>@5061011624222@(..4222)Dock &amp; Bay Foldaway Tote Bags -@1;</t>
  </si>
  <si>
    <t>Ashlee</t>
  </si>
  <si>
    <t>Cancel Order</t>
  </si>
  <si>
    <t>Cancel:DOK134804</t>
  </si>
  <si>
    <t>DOK1018997</t>
  </si>
  <si>
    <t>COG-CANCEL-ORDER-B</t>
  </si>
  <si>
    <t>N</t>
  </si>
  <si>
    <t>Billing</t>
  </si>
  <si>
    <t>WE 05-Jun-26</t>
  </si>
  <si>
    <t>DOKZ2549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</si>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</sst>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46182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DOK50352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46178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0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1036.4300000000014</v>
      </c>
    </row>
    <row r="20" spans="1:8" x14ac:dyDescent="0.25">
      <c r="D20" s="118"/>
      <c r="E20" s="102" t="s">
        <v>2</v>
      </c>
      <c r="G20" s="117"/>
      <c r="H20" s="117">
        <f>'Order Processing'!$AC$9</f>
        <v>2668.8299999999972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65.920000000000172</v>
      </c>
    </row>
    <row r="22" spans="1:8" x14ac:dyDescent="0.25">
      <c r="A22" s="118" t="s">
        <v>48</v>
      </c>
      <c r="C22" s="120"/>
      <c r="D22" s="118" t="s">
        <v>6</v>
      </c>
      <c r="F22" s="102">
        <v>0</v>
      </c>
      <c r="G22" s="117">
        <f>SUMIF('Coghlan Settings'!J:J,"6.1",'Coghlan Settings'!M:M)</f>
        <v>4.6399999999999997</v>
      </c>
      <c r="H22" s="117">
        <f>ROUNDUP(F22*G22,2)</f>
        <v>0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1028.5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4936.1499999999987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493.62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5429.7699999999986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jsX6r0e1/kvOvMzX5hcyWe43/MCt/QDnWotz/3fFpBktoGiFCsHV2xafxqa2123A/afQ5ik6q/hHzBe3p3skjw==" saltValue="vxaMXZLAJA4gEayCD1ZroQ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DOK50352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05 Jun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0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</sheetData>
  <sheetProtection algorithmName="SHA-512" hashValue="9VyVLRTSKAgTmHGzGLpAOVw2UsuYbmuBru7Q+3mG8iVYzTayUNMeB1bQ7kHyIowXj3F9vQ9qO9CXAY3sciDvsQ==" saltValue="Na3zLgbBT8Ba9K1Ms5sMfA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60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DOK50352</v>
      </c>
      <c r="B2" s="132"/>
      <c r="G2" s="53">
        <f>SUMIF('Coghlan Settings'!J:J,"5.1",'Coghlan Settings'!M:M)</f>
        <v>2.4300000000000002</v>
      </c>
      <c r="H2" s="51">
        <f>SUM(C11:C1048576)</f>
        <v>248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05 Jun 26</v>
      </c>
      <c r="B3" s="132"/>
      <c r="G3" s="53">
        <f>SUMIF('Coghlan Settings'!J:J,"5.2",'Coghlan Settings'!M:M)</f>
        <v>0.31</v>
      </c>
      <c r="H3" s="51">
        <f>SUM(D11:D1048576)</f>
        <v>523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578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248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218.08500000000001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4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1036.4300000000014</v>
      </c>
      <c r="AC9" s="70">
        <f>SUM(AC12:AC1048576)</f>
        <v>2668.8299999999972</v>
      </c>
      <c r="AD9" s="71">
        <f>SUM(AD12:AD1048576)</f>
        <v>65.920000000000172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361</v>
      </c>
      <c r="B13" s="134" t="s">
        <v>362</v>
      </c>
      <c r="C13" s="1">
        <v>1</v>
      </c>
      <c r="D13" s="1">
        <v>6</v>
      </c>
      <c r="E13" s="1">
        <v>6</v>
      </c>
      <c r="F13" s="1" t="s">
        <v>363</v>
      </c>
      <c r="G13" s="1">
        <v>2305</v>
      </c>
      <c r="H13" s="1" t="s">
        <v>364</v>
      </c>
      <c r="I13" s="94">
        <v>155</v>
      </c>
      <c r="J13" s="2">
        <v>0.92300000000000004</v>
      </c>
      <c r="L13" s="135">
        <v>46174</v>
      </c>
      <c r="M13" s="3" t="s">
        <v>365</v>
      </c>
      <c r="O13" s="1">
        <v>1</v>
      </c>
      <c r="P13" s="94">
        <v>2</v>
      </c>
      <c r="Q13" s="4">
        <v>0</v>
      </c>
      <c r="R13" s="2">
        <v>0</v>
      </c>
      <c r="S13" s="25" t="s">
        <v>366</v>
      </c>
      <c r="V13" s="41" t="s">
        <v>367</v>
      </c>
      <c r="W13" s="43" t="s">
        <v>368</v>
      </c>
      <c r="AB13" s="2">
        <v>7.11</v>
      </c>
      <c r="AC13" s="2">
        <v>8.6199999999999992</v>
      </c>
      <c r="AD13" s="2">
        <v>0.28000000000000003</v>
      </c>
    </row>
    <row r="14" spans="1:30" x14ac:dyDescent="0.25">
      <c r="A14" s="25" t="s">
        <v>369</v>
      </c>
      <c r="B14" s="134" t="s">
        <v>370</v>
      </c>
      <c r="C14" s="1">
        <v>1</v>
      </c>
      <c r="D14" s="1">
        <v>2</v>
      </c>
      <c r="E14" s="1">
        <v>2</v>
      </c>
      <c r="F14" s="1" t="s">
        <v>371</v>
      </c>
      <c r="G14" s="1">
        <v>7009</v>
      </c>
      <c r="H14" s="1" t="s">
        <v>364</v>
      </c>
      <c r="I14" s="94">
        <v>155</v>
      </c>
      <c r="J14" s="2">
        <v>0.36499999999999999</v>
      </c>
      <c r="L14" s="135">
        <v>46174</v>
      </c>
      <c r="M14" s="3" t="s">
        <v>372</v>
      </c>
      <c r="O14" s="1">
        <v>1</v>
      </c>
      <c r="P14" s="94">
        <v>2</v>
      </c>
      <c r="Q14" s="4">
        <v>0</v>
      </c>
      <c r="R14" s="2">
        <v>0</v>
      </c>
      <c r="S14" s="25" t="s">
        <v>373</v>
      </c>
      <c r="V14" s="41" t="s">
        <v>374</v>
      </c>
      <c r="W14" s="43" t="s">
        <v>375</v>
      </c>
      <c r="AB14" s="2">
        <v>3.99</v>
      </c>
      <c r="AC14" s="2">
        <v>9.31</v>
      </c>
      <c r="AD14" s="2">
        <v>0.28000000000000003</v>
      </c>
    </row>
    <row r="15" spans="1:30" x14ac:dyDescent="0.25">
      <c r="A15" s="25" t="s">
        <v>376</v>
      </c>
      <c r="B15" s="134" t="s">
        <v>377</v>
      </c>
      <c r="C15" s="1">
        <v>1</v>
      </c>
      <c r="D15" s="1">
        <v>1</v>
      </c>
      <c r="E15" s="1">
        <v>1</v>
      </c>
      <c r="F15" s="1" t="s">
        <v>378</v>
      </c>
      <c r="G15" s="1">
        <v>3612</v>
      </c>
      <c r="H15" s="1" t="s">
        <v>364</v>
      </c>
      <c r="I15" s="94">
        <v>155</v>
      </c>
      <c r="J15" s="2">
        <v>0.21</v>
      </c>
      <c r="L15" s="135">
        <v>46174</v>
      </c>
      <c r="M15" s="3" t="s">
        <v>372</v>
      </c>
      <c r="O15" s="1">
        <v>1</v>
      </c>
      <c r="P15" s="94">
        <v>2</v>
      </c>
      <c r="Q15" s="4">
        <v>0</v>
      </c>
      <c r="R15" s="2">
        <v>0</v>
      </c>
      <c r="S15" s="25" t="s">
        <v>379</v>
      </c>
      <c r="V15" s="41" t="s">
        <v>380</v>
      </c>
      <c r="W15" s="43" t="s">
        <v>381</v>
      </c>
      <c r="AB15" s="2">
        <v>3.21</v>
      </c>
      <c r="AC15" s="2">
        <v>12.35</v>
      </c>
      <c r="AD15" s="2">
        <v>0.28000000000000003</v>
      </c>
    </row>
    <row r="16" spans="1:30" x14ac:dyDescent="0.25">
      <c r="A16" s="25" t="s">
        <v>382</v>
      </c>
      <c r="B16" s="134" t="s">
        <v>383</v>
      </c>
      <c r="C16" s="1">
        <v>1</v>
      </c>
      <c r="D16" s="1">
        <v>2</v>
      </c>
      <c r="E16" s="1">
        <v>2</v>
      </c>
      <c r="F16" s="1" t="s">
        <v>384</v>
      </c>
      <c r="G16" s="1">
        <v>3505</v>
      </c>
      <c r="H16" s="1" t="s">
        <v>364</v>
      </c>
      <c r="I16" s="94">
        <v>155</v>
      </c>
      <c r="J16" s="2">
        <v>0.92500000000000004</v>
      </c>
      <c r="L16" s="135">
        <v>46174</v>
      </c>
      <c r="M16" s="3" t="s">
        <v>372</v>
      </c>
      <c r="O16" s="1">
        <v>1</v>
      </c>
      <c r="P16" s="94">
        <v>2</v>
      </c>
      <c r="Q16" s="4">
        <v>0</v>
      </c>
      <c r="R16" s="2">
        <v>0</v>
      </c>
      <c r="S16" s="25" t="s">
        <v>385</v>
      </c>
      <c r="V16" s="41" t="s">
        <v>386</v>
      </c>
      <c r="W16" s="43" t="s">
        <v>381</v>
      </c>
      <c r="AB16" s="2">
        <v>3.99</v>
      </c>
      <c r="AC16" s="2">
        <v>20.54</v>
      </c>
      <c r="AD16" s="2">
        <v>0.28000000000000003</v>
      </c>
    </row>
    <row r="17" spans="1:30" x14ac:dyDescent="0.25">
      <c r="A17" s="25" t="s">
        <v>387</v>
      </c>
      <c r="B17" s="134" t="s">
        <v>388</v>
      </c>
      <c r="C17" s="1">
        <v>1</v>
      </c>
      <c r="D17" s="1">
        <v>1</v>
      </c>
      <c r="E17" s="1">
        <v>1</v>
      </c>
      <c r="F17" s="1" t="s">
        <v>389</v>
      </c>
      <c r="G17" s="1">
        <v>2118</v>
      </c>
      <c r="H17" s="1" t="s">
        <v>364</v>
      </c>
      <c r="I17" s="94">
        <v>155</v>
      </c>
      <c r="J17" s="2">
        <v>0.54800000000000004</v>
      </c>
      <c r="L17" s="135">
        <v>46174</v>
      </c>
      <c r="M17" s="3" t="s">
        <v>372</v>
      </c>
      <c r="O17" s="1">
        <v>1</v>
      </c>
      <c r="P17" s="94">
        <v>2</v>
      </c>
      <c r="Q17" s="4">
        <v>0</v>
      </c>
      <c r="R17" s="2">
        <v>0</v>
      </c>
      <c r="S17" s="25" t="s">
        <v>390</v>
      </c>
      <c r="V17" s="41" t="s">
        <v>391</v>
      </c>
      <c r="W17" s="43" t="s">
        <v>392</v>
      </c>
      <c r="AB17" s="2">
        <v>3.21</v>
      </c>
      <c r="AC17" s="2">
        <v>6.36</v>
      </c>
      <c r="AD17" s="2">
        <v>0.28000000000000003</v>
      </c>
    </row>
    <row r="18" spans="1:30" x14ac:dyDescent="0.25">
      <c r="A18" s="25" t="s">
        <v>393</v>
      </c>
      <c r="B18" s="134" t="s">
        <v>394</v>
      </c>
      <c r="C18" s="1">
        <v>1</v>
      </c>
      <c r="D18" s="1">
        <v>6</v>
      </c>
      <c r="E18" s="1">
        <v>6</v>
      </c>
      <c r="F18" s="1" t="s">
        <v>395</v>
      </c>
      <c r="G18" s="1">
        <v>3044</v>
      </c>
      <c r="H18" s="1" t="s">
        <v>364</v>
      </c>
      <c r="I18" s="94">
        <v>155</v>
      </c>
      <c r="J18" s="2">
        <v>2.5049999999999999</v>
      </c>
      <c r="L18" s="135">
        <v>46174</v>
      </c>
      <c r="M18" s="3" t="s">
        <v>396</v>
      </c>
      <c r="O18" s="1">
        <v>1</v>
      </c>
      <c r="P18" s="94">
        <v>2</v>
      </c>
      <c r="Q18" s="4">
        <v>0</v>
      </c>
      <c r="R18" s="2">
        <v>0</v>
      </c>
      <c r="S18" s="25" t="s">
        <v>397</v>
      </c>
      <c r="V18" s="41" t="s">
        <v>398</v>
      </c>
      <c r="W18" s="43" t="s">
        <v>399</v>
      </c>
      <c r="AB18" s="2">
        <v>7.11</v>
      </c>
      <c r="AC18" s="2">
        <v>10.64</v>
      </c>
      <c r="AD18" s="2">
        <v>0</v>
      </c>
    </row>
    <row r="19" spans="1:30" x14ac:dyDescent="0.25">
      <c r="A19" s="25" t="s">
        <v>400</v>
      </c>
      <c r="B19" s="134" t="s">
        <v>401</v>
      </c>
      <c r="C19" s="1">
        <v>1</v>
      </c>
      <c r="D19" s="1">
        <v>4</v>
      </c>
      <c r="E19" s="1">
        <v>7</v>
      </c>
      <c r="F19" s="1" t="s">
        <v>402</v>
      </c>
      <c r="G19" s="1">
        <v>3055</v>
      </c>
      <c r="H19" s="1" t="s">
        <v>364</v>
      </c>
      <c r="I19" s="94">
        <v>155</v>
      </c>
      <c r="J19" s="2">
        <v>2.3530000000000002</v>
      </c>
      <c r="L19" s="135">
        <v>46174</v>
      </c>
      <c r="M19" s="3" t="s">
        <v>396</v>
      </c>
      <c r="O19" s="1">
        <v>1</v>
      </c>
      <c r="P19" s="94">
        <v>2</v>
      </c>
      <c r="Q19" s="4">
        <v>0</v>
      </c>
      <c r="R19" s="2">
        <v>0</v>
      </c>
      <c r="S19" s="25" t="s">
        <v>403</v>
      </c>
      <c r="V19" s="41" t="s">
        <v>404</v>
      </c>
      <c r="W19" s="43" t="s">
        <v>399</v>
      </c>
      <c r="AB19" s="2">
        <v>6.96</v>
      </c>
      <c r="AC19" s="2">
        <v>10.64</v>
      </c>
      <c r="AD19" s="2">
        <v>0</v>
      </c>
    </row>
    <row r="20" spans="1:30" x14ac:dyDescent="0.25">
      <c r="A20" s="25" t="s">
        <v>405</v>
      </c>
      <c r="B20" s="134" t="s">
        <v>406</v>
      </c>
      <c r="C20" s="1">
        <v>1</v>
      </c>
      <c r="D20" s="1">
        <v>1</v>
      </c>
      <c r="E20" s="1">
        <v>1</v>
      </c>
      <c r="F20" s="1" t="s">
        <v>407</v>
      </c>
      <c r="G20" s="1">
        <v>3173</v>
      </c>
      <c r="H20" s="1" t="s">
        <v>364</v>
      </c>
      <c r="I20" s="94">
        <v>155</v>
      </c>
      <c r="J20" s="2">
        <v>0.47</v>
      </c>
      <c r="L20" s="135">
        <v>46174</v>
      </c>
      <c r="M20" s="3" t="s">
        <v>372</v>
      </c>
      <c r="O20" s="1">
        <v>1</v>
      </c>
      <c r="P20" s="94">
        <v>2</v>
      </c>
      <c r="Q20" s="4">
        <v>0</v>
      </c>
      <c r="R20" s="2">
        <v>0</v>
      </c>
      <c r="S20" s="25" t="s">
        <v>408</v>
      </c>
      <c r="V20" s="41" t="s">
        <v>409</v>
      </c>
      <c r="W20" s="43" t="s">
        <v>399</v>
      </c>
      <c r="AB20" s="2">
        <v>3.21</v>
      </c>
      <c r="AC20" s="2">
        <v>7.39</v>
      </c>
      <c r="AD20" s="2">
        <v>0.28000000000000003</v>
      </c>
    </row>
    <row r="21" spans="1:30" x14ac:dyDescent="0.25">
      <c r="A21" s="25" t="s">
        <v>410</v>
      </c>
      <c r="B21" s="134" t="s">
        <v>411</v>
      </c>
      <c r="C21" s="1">
        <v>1</v>
      </c>
      <c r="D21" s="1">
        <v>2</v>
      </c>
      <c r="E21" s="1">
        <v>2</v>
      </c>
      <c r="F21" s="1" t="s">
        <v>412</v>
      </c>
      <c r="G21" s="1">
        <v>6014</v>
      </c>
      <c r="H21" s="1" t="s">
        <v>364</v>
      </c>
      <c r="I21" s="94">
        <v>155</v>
      </c>
      <c r="J21" s="2">
        <v>0.37</v>
      </c>
      <c r="L21" s="135">
        <v>46174</v>
      </c>
      <c r="M21" s="3" t="s">
        <v>396</v>
      </c>
      <c r="O21" s="1">
        <v>1</v>
      </c>
      <c r="P21" s="94">
        <v>2</v>
      </c>
      <c r="Q21" s="4">
        <v>0</v>
      </c>
      <c r="R21" s="2">
        <v>0</v>
      </c>
      <c r="S21" s="25" t="s">
        <v>413</v>
      </c>
      <c r="V21" s="41" t="s">
        <v>414</v>
      </c>
      <c r="W21" s="43" t="s">
        <v>415</v>
      </c>
      <c r="AB21" s="2">
        <v>3.99</v>
      </c>
      <c r="AC21" s="2">
        <v>8.7899999999999991</v>
      </c>
      <c r="AD21" s="2">
        <v>0</v>
      </c>
    </row>
    <row r="22" spans="1:30" x14ac:dyDescent="0.25">
      <c r="A22" s="25" t="s">
        <v>416</v>
      </c>
      <c r="B22" s="134" t="s">
        <v>417</v>
      </c>
      <c r="C22" s="1">
        <v>1</v>
      </c>
      <c r="D22" s="1">
        <v>3</v>
      </c>
      <c r="E22" s="1">
        <v>3</v>
      </c>
      <c r="F22" s="1" t="s">
        <v>418</v>
      </c>
      <c r="G22" s="1">
        <v>6020</v>
      </c>
      <c r="H22" s="1" t="s">
        <v>364</v>
      </c>
      <c r="I22" s="94">
        <v>155</v>
      </c>
      <c r="J22" s="2">
        <v>0.51</v>
      </c>
      <c r="L22" s="135">
        <v>46174</v>
      </c>
      <c r="M22" s="3" t="s">
        <v>365</v>
      </c>
      <c r="O22" s="1">
        <v>1</v>
      </c>
      <c r="P22" s="94">
        <v>2</v>
      </c>
      <c r="Q22" s="4">
        <v>0</v>
      </c>
      <c r="R22" s="2">
        <v>0</v>
      </c>
      <c r="S22" s="25" t="s">
        <v>419</v>
      </c>
      <c r="V22" s="41" t="s">
        <v>420</v>
      </c>
      <c r="W22" s="43" t="s">
        <v>415</v>
      </c>
      <c r="AB22" s="2">
        <v>4.7699999999999996</v>
      </c>
      <c r="AC22" s="2">
        <v>13.8</v>
      </c>
      <c r="AD22" s="2">
        <v>0.28000000000000003</v>
      </c>
    </row>
    <row r="23" spans="1:30" x14ac:dyDescent="0.25">
      <c r="A23" s="25" t="s">
        <v>421</v>
      </c>
      <c r="B23" s="134" t="s">
        <v>422</v>
      </c>
      <c r="C23" s="1">
        <v>1</v>
      </c>
      <c r="D23" s="1">
        <v>1</v>
      </c>
      <c r="E23" s="1">
        <v>1</v>
      </c>
      <c r="F23" s="1" t="s">
        <v>423</v>
      </c>
      <c r="G23" s="1">
        <v>6084</v>
      </c>
      <c r="H23" s="1" t="s">
        <v>364</v>
      </c>
      <c r="I23" s="94">
        <v>155</v>
      </c>
      <c r="J23" s="2">
        <v>0.439</v>
      </c>
      <c r="L23" s="135">
        <v>46178</v>
      </c>
      <c r="M23" s="3" t="s">
        <v>372</v>
      </c>
      <c r="O23" s="1">
        <v>1</v>
      </c>
      <c r="P23" s="94">
        <v>2</v>
      </c>
      <c r="Q23" s="4">
        <v>0</v>
      </c>
      <c r="R23" s="2">
        <v>0</v>
      </c>
      <c r="S23" s="25" t="s">
        <v>424</v>
      </c>
      <c r="V23" s="41" t="s">
        <v>425</v>
      </c>
      <c r="W23" s="43" t="s">
        <v>426</v>
      </c>
      <c r="AB23" s="2">
        <v>3.21</v>
      </c>
      <c r="AC23" s="2">
        <v>9.31</v>
      </c>
      <c r="AD23" s="2">
        <v>0.28000000000000003</v>
      </c>
    </row>
    <row r="24" spans="1:30" x14ac:dyDescent="0.25">
      <c r="A24" s="25" t="s">
        <v>427</v>
      </c>
      <c r="B24" s="134" t="s">
        <v>428</v>
      </c>
      <c r="C24" s="1">
        <v>1</v>
      </c>
      <c r="D24" s="1">
        <v>1</v>
      </c>
      <c r="E24" s="1">
        <v>1</v>
      </c>
      <c r="F24" s="1" t="s">
        <v>429</v>
      </c>
      <c r="G24" s="1">
        <v>3064</v>
      </c>
      <c r="H24" s="1" t="s">
        <v>364</v>
      </c>
      <c r="I24" s="94">
        <v>155</v>
      </c>
      <c r="J24" s="2">
        <v>0.48</v>
      </c>
      <c r="L24" s="135">
        <v>46174</v>
      </c>
      <c r="M24" s="3" t="s">
        <v>372</v>
      </c>
      <c r="O24" s="1">
        <v>1</v>
      </c>
      <c r="P24" s="94">
        <v>2</v>
      </c>
      <c r="Q24" s="4">
        <v>0</v>
      </c>
      <c r="R24" s="2">
        <v>0</v>
      </c>
      <c r="S24" s="25" t="s">
        <v>430</v>
      </c>
      <c r="V24" s="41" t="s">
        <v>431</v>
      </c>
      <c r="W24" s="43" t="s">
        <v>399</v>
      </c>
      <c r="AB24" s="2">
        <v>3.21</v>
      </c>
      <c r="AC24" s="2">
        <v>7.39</v>
      </c>
      <c r="AD24" s="2">
        <v>0.28000000000000003</v>
      </c>
    </row>
    <row r="25" spans="1:30" x14ac:dyDescent="0.25">
      <c r="A25" s="25" t="s">
        <v>432</v>
      </c>
      <c r="B25" s="134" t="s">
        <v>433</v>
      </c>
      <c r="C25" s="1">
        <v>1</v>
      </c>
      <c r="D25" s="1">
        <v>2</v>
      </c>
      <c r="E25" s="1">
        <v>2</v>
      </c>
      <c r="F25" s="1" t="s">
        <v>434</v>
      </c>
      <c r="G25" s="1">
        <v>3056</v>
      </c>
      <c r="H25" s="1" t="s">
        <v>364</v>
      </c>
      <c r="I25" s="94">
        <v>155</v>
      </c>
      <c r="J25" s="2">
        <v>0.89</v>
      </c>
      <c r="L25" s="135">
        <v>46174</v>
      </c>
      <c r="M25" s="3" t="s">
        <v>365</v>
      </c>
      <c r="O25" s="1">
        <v>1</v>
      </c>
      <c r="P25" s="94">
        <v>2</v>
      </c>
      <c r="Q25" s="4">
        <v>0</v>
      </c>
      <c r="R25" s="2">
        <v>0</v>
      </c>
      <c r="S25" s="25" t="s">
        <v>435</v>
      </c>
      <c r="V25" s="41" t="s">
        <v>436</v>
      </c>
      <c r="W25" s="43" t="s">
        <v>399</v>
      </c>
      <c r="AB25" s="2">
        <v>3.99</v>
      </c>
      <c r="AC25" s="2">
        <v>9.17</v>
      </c>
      <c r="AD25" s="2">
        <v>0.28000000000000003</v>
      </c>
    </row>
    <row r="26" spans="1:30" x14ac:dyDescent="0.25">
      <c r="A26" s="25" t="s">
        <v>437</v>
      </c>
      <c r="B26" s="134" t="s">
        <v>438</v>
      </c>
      <c r="C26" s="1">
        <v>1</v>
      </c>
      <c r="D26" s="1">
        <v>2</v>
      </c>
      <c r="E26" s="1">
        <v>2</v>
      </c>
      <c r="F26" s="1" t="s">
        <v>439</v>
      </c>
      <c r="G26" s="1">
        <v>5016</v>
      </c>
      <c r="H26" s="1" t="s">
        <v>364</v>
      </c>
      <c r="I26" s="94">
        <v>155</v>
      </c>
      <c r="J26" s="2">
        <v>0.98</v>
      </c>
      <c r="L26" s="135">
        <v>46174</v>
      </c>
      <c r="M26" s="3" t="s">
        <v>365</v>
      </c>
      <c r="O26" s="1">
        <v>1</v>
      </c>
      <c r="P26" s="94">
        <v>2</v>
      </c>
      <c r="Q26" s="4">
        <v>0</v>
      </c>
      <c r="R26" s="2">
        <v>0</v>
      </c>
      <c r="S26" s="25" t="s">
        <v>440</v>
      </c>
      <c r="V26" s="41" t="s">
        <v>441</v>
      </c>
      <c r="W26" s="43" t="s">
        <v>442</v>
      </c>
      <c r="AB26" s="2">
        <v>3.99</v>
      </c>
      <c r="AC26" s="2">
        <v>9.59</v>
      </c>
      <c r="AD26" s="2">
        <v>0.28000000000000003</v>
      </c>
    </row>
    <row r="27" spans="1:30" x14ac:dyDescent="0.25">
      <c r="A27" s="25" t="s">
        <v>443</v>
      </c>
      <c r="B27" s="134" t="s">
        <v>444</v>
      </c>
      <c r="C27" s="1">
        <v>1</v>
      </c>
      <c r="D27" s="1">
        <v>1</v>
      </c>
      <c r="E27" s="1">
        <v>1</v>
      </c>
      <c r="F27" s="1" t="s">
        <v>445</v>
      </c>
      <c r="G27" s="1">
        <v>4064</v>
      </c>
      <c r="H27" s="1" t="s">
        <v>364</v>
      </c>
      <c r="I27" s="94">
        <v>155</v>
      </c>
      <c r="J27" s="2">
        <v>0.53900000000000003</v>
      </c>
      <c r="L27" s="135">
        <v>46174</v>
      </c>
      <c r="M27" s="3" t="s">
        <v>372</v>
      </c>
      <c r="O27" s="1">
        <v>1</v>
      </c>
      <c r="P27" s="94">
        <v>2</v>
      </c>
      <c r="Q27" s="4">
        <v>0</v>
      </c>
      <c r="R27" s="2">
        <v>0</v>
      </c>
      <c r="S27" s="25" t="s">
        <v>446</v>
      </c>
      <c r="V27" s="41" t="s">
        <v>447</v>
      </c>
      <c r="W27" s="43" t="s">
        <v>448</v>
      </c>
      <c r="AB27" s="2">
        <v>3.21</v>
      </c>
      <c r="AC27" s="2">
        <v>9.17</v>
      </c>
      <c r="AD27" s="2">
        <v>0.28000000000000003</v>
      </c>
    </row>
    <row r="28" spans="1:30" x14ac:dyDescent="0.25">
      <c r="A28" s="25" t="s">
        <v>449</v>
      </c>
      <c r="B28" s="134" t="s">
        <v>450</v>
      </c>
      <c r="C28" s="1">
        <v>1</v>
      </c>
      <c r="D28" s="1">
        <v>1</v>
      </c>
      <c r="E28" s="1">
        <v>1</v>
      </c>
      <c r="F28" s="1" t="s">
        <v>451</v>
      </c>
      <c r="G28" s="1">
        <v>3616</v>
      </c>
      <c r="H28" s="1" t="s">
        <v>364</v>
      </c>
      <c r="I28" s="94">
        <v>155</v>
      </c>
      <c r="J28" s="2">
        <v>0.49199999999999999</v>
      </c>
      <c r="L28" s="135">
        <v>46174</v>
      </c>
      <c r="M28" s="3" t="s">
        <v>372</v>
      </c>
      <c r="O28" s="1">
        <v>1</v>
      </c>
      <c r="P28" s="94">
        <v>2</v>
      </c>
      <c r="Q28" s="4">
        <v>0</v>
      </c>
      <c r="R28" s="2">
        <v>0</v>
      </c>
      <c r="S28" s="25" t="s">
        <v>452</v>
      </c>
      <c r="V28" s="41" t="s">
        <v>453</v>
      </c>
      <c r="W28" s="43" t="s">
        <v>381</v>
      </c>
      <c r="AB28" s="2">
        <v>3.21</v>
      </c>
      <c r="AC28" s="2">
        <v>12.35</v>
      </c>
      <c r="AD28" s="2">
        <v>0.28000000000000003</v>
      </c>
    </row>
    <row r="29" spans="1:30" x14ac:dyDescent="0.25">
      <c r="A29" s="25" t="s">
        <v>454</v>
      </c>
      <c r="B29" s="134" t="s">
        <v>455</v>
      </c>
      <c r="C29" s="1">
        <v>1</v>
      </c>
      <c r="D29" s="1">
        <v>1</v>
      </c>
      <c r="E29" s="1">
        <v>4</v>
      </c>
      <c r="F29" s="1" t="s">
        <v>456</v>
      </c>
      <c r="G29" s="1">
        <v>2093</v>
      </c>
      <c r="H29" s="1" t="s">
        <v>364</v>
      </c>
      <c r="I29" s="94">
        <v>155</v>
      </c>
      <c r="J29" s="2">
        <v>1.71</v>
      </c>
      <c r="L29" s="135">
        <v>46174</v>
      </c>
      <c r="M29" s="3" t="s">
        <v>365</v>
      </c>
      <c r="O29" s="1">
        <v>1</v>
      </c>
      <c r="P29" s="94">
        <v>2</v>
      </c>
      <c r="Q29" s="4">
        <v>0</v>
      </c>
      <c r="R29" s="2">
        <v>0</v>
      </c>
      <c r="S29" s="25" t="s">
        <v>457</v>
      </c>
      <c r="V29" s="41" t="s">
        <v>458</v>
      </c>
      <c r="W29" s="43" t="s">
        <v>392</v>
      </c>
      <c r="AB29" s="2">
        <v>4.62</v>
      </c>
      <c r="AC29" s="2">
        <v>6.36</v>
      </c>
      <c r="AD29" s="2">
        <v>0.28000000000000003</v>
      </c>
    </row>
    <row r="30" spans="1:30" x14ac:dyDescent="0.25">
      <c r="A30" s="25" t="s">
        <v>459</v>
      </c>
      <c r="B30" s="134" t="s">
        <v>460</v>
      </c>
      <c r="C30" s="1">
        <v>1</v>
      </c>
      <c r="D30" s="1">
        <v>2</v>
      </c>
      <c r="E30" s="1">
        <v>2</v>
      </c>
      <c r="F30" s="1" t="s">
        <v>461</v>
      </c>
      <c r="G30" s="1">
        <v>3194</v>
      </c>
      <c r="H30" s="1" t="s">
        <v>364</v>
      </c>
      <c r="I30" s="94">
        <v>155</v>
      </c>
      <c r="J30" s="2">
        <v>0.33400000000000002</v>
      </c>
      <c r="L30" s="135">
        <v>46174</v>
      </c>
      <c r="M30" s="3" t="s">
        <v>372</v>
      </c>
      <c r="O30" s="1">
        <v>1</v>
      </c>
      <c r="P30" s="94">
        <v>2</v>
      </c>
      <c r="Q30" s="4">
        <v>0</v>
      </c>
      <c r="R30" s="2">
        <v>0</v>
      </c>
      <c r="S30" s="25" t="s">
        <v>462</v>
      </c>
      <c r="V30" s="41" t="s">
        <v>463</v>
      </c>
      <c r="W30" s="43" t="s">
        <v>399</v>
      </c>
      <c r="AB30" s="2">
        <v>3.99</v>
      </c>
      <c r="AC30" s="2">
        <v>7.39</v>
      </c>
      <c r="AD30" s="2">
        <v>0.28000000000000003</v>
      </c>
    </row>
    <row r="31" spans="1:30" x14ac:dyDescent="0.25">
      <c r="A31" s="25" t="s">
        <v>464</v>
      </c>
      <c r="B31" s="134" t="s">
        <v>465</v>
      </c>
      <c r="C31" s="1">
        <v>1</v>
      </c>
      <c r="D31" s="1">
        <v>5</v>
      </c>
      <c r="E31" s="1">
        <v>5</v>
      </c>
      <c r="F31" s="1" t="s">
        <v>466</v>
      </c>
      <c r="G31" s="1">
        <v>2039</v>
      </c>
      <c r="H31" s="1" t="s">
        <v>364</v>
      </c>
      <c r="I31" s="94">
        <v>154</v>
      </c>
      <c r="J31" s="2">
        <v>0.77400000000000002</v>
      </c>
      <c r="L31" s="135">
        <v>46174</v>
      </c>
      <c r="M31" s="3" t="s">
        <v>365</v>
      </c>
      <c r="O31" s="1">
        <v>1</v>
      </c>
      <c r="P31" s="94">
        <v>2</v>
      </c>
      <c r="Q31" s="4">
        <v>0</v>
      </c>
      <c r="R31" s="2">
        <v>0</v>
      </c>
      <c r="S31" s="25" t="s">
        <v>467</v>
      </c>
      <c r="V31" s="41" t="s">
        <v>468</v>
      </c>
      <c r="W31" s="43" t="s">
        <v>392</v>
      </c>
      <c r="AB31" s="2">
        <v>6.33</v>
      </c>
      <c r="AC31" s="2">
        <v>9.06</v>
      </c>
      <c r="AD31" s="2">
        <v>0.28000000000000003</v>
      </c>
    </row>
    <row r="32" spans="1:30" x14ac:dyDescent="0.25">
      <c r="A32" s="25" t="s">
        <v>469</v>
      </c>
      <c r="B32" s="134" t="s">
        <v>470</v>
      </c>
      <c r="C32" s="1">
        <v>1</v>
      </c>
      <c r="D32" s="1">
        <v>1</v>
      </c>
      <c r="E32" s="1">
        <v>1</v>
      </c>
      <c r="F32" s="1" t="s">
        <v>471</v>
      </c>
      <c r="G32" s="1">
        <v>5608</v>
      </c>
      <c r="H32" s="1" t="s">
        <v>364</v>
      </c>
      <c r="I32" s="94">
        <v>155</v>
      </c>
      <c r="J32" s="2">
        <v>0.45600000000000002</v>
      </c>
      <c r="L32" s="135">
        <v>46174</v>
      </c>
      <c r="M32" s="3" t="s">
        <v>372</v>
      </c>
      <c r="O32" s="1">
        <v>1</v>
      </c>
      <c r="P32" s="94">
        <v>2</v>
      </c>
      <c r="Q32" s="4">
        <v>0</v>
      </c>
      <c r="R32" s="2">
        <v>0</v>
      </c>
      <c r="S32" s="25" t="s">
        <v>472</v>
      </c>
      <c r="V32" s="41" t="s">
        <v>473</v>
      </c>
      <c r="W32" s="43" t="s">
        <v>474</v>
      </c>
      <c r="AB32" s="2">
        <v>3.21</v>
      </c>
      <c r="AC32" s="2">
        <v>12.35</v>
      </c>
      <c r="AD32" s="2">
        <v>0.28000000000000003</v>
      </c>
    </row>
    <row r="33" spans="1:30" x14ac:dyDescent="0.25">
      <c r="A33" s="25" t="s">
        <v>475</v>
      </c>
      <c r="B33" s="134" t="s">
        <v>476</v>
      </c>
      <c r="C33" s="1">
        <v>1</v>
      </c>
      <c r="D33" s="1">
        <v>8</v>
      </c>
      <c r="E33" s="1">
        <v>8</v>
      </c>
      <c r="F33" s="1" t="s">
        <v>477</v>
      </c>
      <c r="G33" s="1">
        <v>4870</v>
      </c>
      <c r="H33" s="1" t="s">
        <v>364</v>
      </c>
      <c r="I33" s="94">
        <v>155</v>
      </c>
      <c r="J33" s="2">
        <v>4.3179999999999996</v>
      </c>
      <c r="L33" s="135">
        <v>46174</v>
      </c>
      <c r="M33" s="3" t="s">
        <v>478</v>
      </c>
      <c r="O33" s="1">
        <v>1</v>
      </c>
      <c r="P33" s="94">
        <v>2</v>
      </c>
      <c r="Q33" s="4">
        <v>0</v>
      </c>
      <c r="R33" s="2">
        <v>0</v>
      </c>
      <c r="S33" s="25" t="s">
        <v>479</v>
      </c>
      <c r="V33" s="41" t="s">
        <v>480</v>
      </c>
      <c r="W33" s="43" t="s">
        <v>481</v>
      </c>
      <c r="AB33" s="2">
        <v>8.67</v>
      </c>
      <c r="AC33" s="2">
        <v>38.97</v>
      </c>
      <c r="AD33" s="2">
        <v>1.04</v>
      </c>
    </row>
    <row r="34" spans="1:30" x14ac:dyDescent="0.25">
      <c r="A34" s="25" t="s">
        <v>482</v>
      </c>
      <c r="B34" s="134" t="s">
        <v>483</v>
      </c>
      <c r="C34" s="1">
        <v>1</v>
      </c>
      <c r="D34" s="1">
        <v>1</v>
      </c>
      <c r="E34" s="1">
        <v>1</v>
      </c>
      <c r="F34" s="1" t="s">
        <v>484</v>
      </c>
      <c r="G34" s="1">
        <v>4552</v>
      </c>
      <c r="H34" s="1" t="s">
        <v>364</v>
      </c>
      <c r="I34" s="94">
        <v>155</v>
      </c>
      <c r="J34" s="2">
        <v>0.20399999999999999</v>
      </c>
      <c r="L34" s="135">
        <v>46174</v>
      </c>
      <c r="M34" s="3" t="s">
        <v>372</v>
      </c>
      <c r="O34" s="1">
        <v>1</v>
      </c>
      <c r="P34" s="94">
        <v>2</v>
      </c>
      <c r="Q34" s="4">
        <v>0</v>
      </c>
      <c r="R34" s="2">
        <v>0</v>
      </c>
      <c r="S34" s="25" t="s">
        <v>485</v>
      </c>
      <c r="V34" s="41" t="s">
        <v>486</v>
      </c>
      <c r="W34" s="43" t="s">
        <v>487</v>
      </c>
      <c r="AB34" s="2">
        <v>3.21</v>
      </c>
      <c r="AC34" s="2">
        <v>8.94</v>
      </c>
      <c r="AD34" s="2">
        <v>0.28000000000000003</v>
      </c>
    </row>
    <row r="35" spans="1:30" x14ac:dyDescent="0.25">
      <c r="A35" s="25" t="s">
        <v>488</v>
      </c>
      <c r="B35" s="134" t="s">
        <v>489</v>
      </c>
      <c r="C35" s="1">
        <v>1</v>
      </c>
      <c r="D35" s="1">
        <v>1</v>
      </c>
      <c r="E35" s="1">
        <v>1</v>
      </c>
      <c r="F35" s="1" t="s">
        <v>456</v>
      </c>
      <c r="G35" s="1">
        <v>2093</v>
      </c>
      <c r="H35" s="1" t="s">
        <v>364</v>
      </c>
      <c r="I35" s="94">
        <v>154</v>
      </c>
      <c r="J35" s="2">
        <v>0.45</v>
      </c>
      <c r="L35" s="135">
        <v>46174</v>
      </c>
      <c r="M35" s="3" t="s">
        <v>372</v>
      </c>
      <c r="O35" s="1">
        <v>1</v>
      </c>
      <c r="P35" s="94">
        <v>2</v>
      </c>
      <c r="Q35" s="4">
        <v>0</v>
      </c>
      <c r="R35" s="2">
        <v>0</v>
      </c>
      <c r="S35" s="25" t="s">
        <v>490</v>
      </c>
      <c r="V35" s="41" t="s">
        <v>491</v>
      </c>
      <c r="W35" s="43" t="s">
        <v>392</v>
      </c>
      <c r="AB35" s="2">
        <v>3.21</v>
      </c>
      <c r="AC35" s="2">
        <v>8.0399999999999991</v>
      </c>
      <c r="AD35" s="2">
        <v>0.28000000000000003</v>
      </c>
    </row>
    <row r="36" spans="1:30" x14ac:dyDescent="0.25">
      <c r="A36" s="25" t="s">
        <v>492</v>
      </c>
      <c r="B36" s="134" t="s">
        <v>493</v>
      </c>
      <c r="C36" s="1">
        <v>1</v>
      </c>
      <c r="D36" s="1">
        <v>3</v>
      </c>
      <c r="E36" s="1">
        <v>4</v>
      </c>
      <c r="F36" s="1" t="s">
        <v>494</v>
      </c>
      <c r="G36" s="1">
        <v>2179</v>
      </c>
      <c r="H36" s="1" t="s">
        <v>364</v>
      </c>
      <c r="I36" s="94">
        <v>154</v>
      </c>
      <c r="J36" s="2">
        <v>1.4350000000000001</v>
      </c>
      <c r="L36" s="135">
        <v>46174</v>
      </c>
      <c r="M36" s="3" t="s">
        <v>396</v>
      </c>
      <c r="O36" s="1">
        <v>1</v>
      </c>
      <c r="P36" s="94">
        <v>2</v>
      </c>
      <c r="Q36" s="4">
        <v>0</v>
      </c>
      <c r="R36" s="2">
        <v>0</v>
      </c>
      <c r="S36" s="25" t="s">
        <v>495</v>
      </c>
      <c r="V36" s="41" t="s">
        <v>496</v>
      </c>
      <c r="W36" s="43" t="s">
        <v>392</v>
      </c>
      <c r="AB36" s="2">
        <v>5.24</v>
      </c>
      <c r="AC36" s="2">
        <v>10.26</v>
      </c>
      <c r="AD36" s="2">
        <v>0</v>
      </c>
    </row>
    <row r="37" spans="1:30" x14ac:dyDescent="0.25">
      <c r="A37" s="25" t="s">
        <v>497</v>
      </c>
      <c r="B37" s="134" t="s">
        <v>498</v>
      </c>
      <c r="C37" s="1">
        <v>1</v>
      </c>
      <c r="D37" s="1">
        <v>1</v>
      </c>
      <c r="E37" s="1">
        <v>1</v>
      </c>
      <c r="F37" s="1" t="s">
        <v>499</v>
      </c>
      <c r="G37" s="1">
        <v>2913</v>
      </c>
      <c r="H37" s="1" t="s">
        <v>364</v>
      </c>
      <c r="I37" s="94">
        <v>155</v>
      </c>
      <c r="J37" s="2">
        <v>0.54300000000000004</v>
      </c>
      <c r="L37" s="135">
        <v>46174</v>
      </c>
      <c r="M37" s="3" t="s">
        <v>372</v>
      </c>
      <c r="O37" s="1">
        <v>1</v>
      </c>
      <c r="P37" s="94">
        <v>2</v>
      </c>
      <c r="Q37" s="4">
        <v>0</v>
      </c>
      <c r="R37" s="2">
        <v>0</v>
      </c>
      <c r="S37" s="25" t="s">
        <v>500</v>
      </c>
      <c r="V37" s="41" t="s">
        <v>501</v>
      </c>
      <c r="W37" s="43" t="s">
        <v>502</v>
      </c>
      <c r="AB37" s="2">
        <v>3.21</v>
      </c>
      <c r="AC37" s="2">
        <v>8.6199999999999992</v>
      </c>
      <c r="AD37" s="2">
        <v>0.28000000000000003</v>
      </c>
    </row>
    <row r="38" spans="1:30" x14ac:dyDescent="0.25">
      <c r="A38" s="25" t="s">
        <v>503</v>
      </c>
      <c r="B38" s="134" t="s">
        <v>504</v>
      </c>
      <c r="C38" s="1">
        <v>1</v>
      </c>
      <c r="D38" s="1">
        <v>2</v>
      </c>
      <c r="E38" s="1">
        <v>2</v>
      </c>
      <c r="F38" s="1" t="s">
        <v>505</v>
      </c>
      <c r="G38" s="1">
        <v>6009</v>
      </c>
      <c r="H38" s="1" t="s">
        <v>364</v>
      </c>
      <c r="I38" s="94">
        <v>155</v>
      </c>
      <c r="J38" s="2">
        <v>0.58799999999999997</v>
      </c>
      <c r="L38" s="135">
        <v>46174</v>
      </c>
      <c r="M38" s="3" t="s">
        <v>372</v>
      </c>
      <c r="O38" s="1">
        <v>1</v>
      </c>
      <c r="P38" s="94">
        <v>2</v>
      </c>
      <c r="Q38" s="4">
        <v>0</v>
      </c>
      <c r="R38" s="2">
        <v>0</v>
      </c>
      <c r="S38" s="25" t="s">
        <v>506</v>
      </c>
      <c r="V38" s="41" t="s">
        <v>507</v>
      </c>
      <c r="W38" s="43" t="s">
        <v>415</v>
      </c>
      <c r="AB38" s="2">
        <v>3.99</v>
      </c>
      <c r="AC38" s="2">
        <v>13.8</v>
      </c>
      <c r="AD38" s="2">
        <v>0.28000000000000003</v>
      </c>
    </row>
    <row r="39" spans="1:30" x14ac:dyDescent="0.25">
      <c r="A39" s="25" t="s">
        <v>508</v>
      </c>
      <c r="B39" s="134" t="s">
        <v>509</v>
      </c>
      <c r="C39" s="1">
        <v>1</v>
      </c>
      <c r="D39" s="1">
        <v>1</v>
      </c>
      <c r="E39" s="1">
        <v>1</v>
      </c>
      <c r="F39" s="1" t="s">
        <v>510</v>
      </c>
      <c r="G39" s="1">
        <v>3142</v>
      </c>
      <c r="H39" s="1" t="s">
        <v>364</v>
      </c>
      <c r="I39" s="94">
        <v>155</v>
      </c>
      <c r="J39" s="2">
        <v>0.45700000000000002</v>
      </c>
      <c r="L39" s="135">
        <v>46174</v>
      </c>
      <c r="M39" s="3" t="s">
        <v>372</v>
      </c>
      <c r="O39" s="1">
        <v>1</v>
      </c>
      <c r="P39" s="94">
        <v>2</v>
      </c>
      <c r="Q39" s="4">
        <v>0</v>
      </c>
      <c r="R39" s="2">
        <v>0</v>
      </c>
      <c r="S39" s="25" t="s">
        <v>511</v>
      </c>
      <c r="V39" s="41" t="s">
        <v>512</v>
      </c>
      <c r="W39" s="43" t="s">
        <v>399</v>
      </c>
      <c r="AB39" s="2">
        <v>3.21</v>
      </c>
      <c r="AC39" s="2">
        <v>7.39</v>
      </c>
      <c r="AD39" s="2">
        <v>0.28000000000000003</v>
      </c>
    </row>
    <row r="40" spans="1:30" x14ac:dyDescent="0.25">
      <c r="A40" s="25" t="s">
        <v>513</v>
      </c>
      <c r="B40" s="134" t="s">
        <v>514</v>
      </c>
      <c r="C40" s="1">
        <v>1</v>
      </c>
      <c r="D40" s="1">
        <v>2</v>
      </c>
      <c r="E40" s="1">
        <v>2</v>
      </c>
      <c r="F40" s="1" t="s">
        <v>515</v>
      </c>
      <c r="G40" s="1">
        <v>6173</v>
      </c>
      <c r="H40" s="1" t="s">
        <v>364</v>
      </c>
      <c r="I40" s="94">
        <v>155</v>
      </c>
      <c r="J40" s="2">
        <v>0.88</v>
      </c>
      <c r="L40" s="135">
        <v>46174</v>
      </c>
      <c r="M40" s="3" t="s">
        <v>396</v>
      </c>
      <c r="O40" s="1">
        <v>1</v>
      </c>
      <c r="P40" s="94">
        <v>2</v>
      </c>
      <c r="Q40" s="4">
        <v>0</v>
      </c>
      <c r="R40" s="2">
        <v>0</v>
      </c>
      <c r="S40" s="25" t="s">
        <v>516</v>
      </c>
      <c r="V40" s="41" t="s">
        <v>517</v>
      </c>
      <c r="W40" s="43" t="s">
        <v>415</v>
      </c>
      <c r="AB40" s="2">
        <v>3.99</v>
      </c>
      <c r="AC40" s="2">
        <v>13.8</v>
      </c>
      <c r="AD40" s="2">
        <v>0</v>
      </c>
    </row>
    <row r="41" spans="1:30" x14ac:dyDescent="0.25">
      <c r="A41" s="25" t="s">
        <v>518</v>
      </c>
      <c r="B41" s="134" t="s">
        <v>519</v>
      </c>
      <c r="C41" s="1">
        <v>1</v>
      </c>
      <c r="D41" s="1">
        <v>1</v>
      </c>
      <c r="E41" s="1">
        <v>1</v>
      </c>
      <c r="F41" s="1" t="s">
        <v>520</v>
      </c>
      <c r="G41" s="1">
        <v>4209</v>
      </c>
      <c r="H41" s="1" t="s">
        <v>364</v>
      </c>
      <c r="I41" s="94">
        <v>155</v>
      </c>
      <c r="J41" s="2">
        <v>0.49</v>
      </c>
      <c r="L41" s="135">
        <v>46174</v>
      </c>
      <c r="M41" s="3" t="s">
        <v>372</v>
      </c>
      <c r="O41" s="1">
        <v>1</v>
      </c>
      <c r="P41" s="94">
        <v>2</v>
      </c>
      <c r="Q41" s="4">
        <v>0</v>
      </c>
      <c r="R41" s="2">
        <v>0</v>
      </c>
      <c r="S41" s="25" t="s">
        <v>521</v>
      </c>
      <c r="V41" s="41" t="s">
        <v>522</v>
      </c>
      <c r="W41" s="43" t="s">
        <v>523</v>
      </c>
      <c r="AB41" s="2">
        <v>3.21</v>
      </c>
      <c r="AC41" s="2">
        <v>8.94</v>
      </c>
      <c r="AD41" s="2">
        <v>0.28000000000000003</v>
      </c>
    </row>
    <row r="42" spans="1:30" x14ac:dyDescent="0.25">
      <c r="A42" s="25" t="s">
        <v>524</v>
      </c>
      <c r="B42" s="134" t="s">
        <v>525</v>
      </c>
      <c r="C42" s="1">
        <v>1</v>
      </c>
      <c r="D42" s="1">
        <v>2</v>
      </c>
      <c r="E42" s="1">
        <v>2</v>
      </c>
      <c r="F42" s="1" t="s">
        <v>526</v>
      </c>
      <c r="G42" s="1">
        <v>4701</v>
      </c>
      <c r="H42" s="1" t="s">
        <v>364</v>
      </c>
      <c r="I42" s="94">
        <v>155</v>
      </c>
      <c r="J42" s="2">
        <v>0.98</v>
      </c>
      <c r="L42" s="135">
        <v>46174</v>
      </c>
      <c r="M42" s="3" t="s">
        <v>372</v>
      </c>
      <c r="O42" s="1">
        <v>1</v>
      </c>
      <c r="P42" s="94">
        <v>2</v>
      </c>
      <c r="Q42" s="4">
        <v>0</v>
      </c>
      <c r="R42" s="2">
        <v>0</v>
      </c>
      <c r="S42" s="25" t="s">
        <v>527</v>
      </c>
      <c r="V42" s="41" t="s">
        <v>528</v>
      </c>
      <c r="W42" s="43" t="s">
        <v>529</v>
      </c>
      <c r="AB42" s="2">
        <v>3.99</v>
      </c>
      <c r="AC42" s="2">
        <v>22.06</v>
      </c>
      <c r="AD42" s="2">
        <v>0.28000000000000003</v>
      </c>
    </row>
    <row r="43" spans="1:30" x14ac:dyDescent="0.25">
      <c r="A43" s="25" t="s">
        <v>530</v>
      </c>
      <c r="B43" s="134" t="s">
        <v>531</v>
      </c>
      <c r="C43" s="1">
        <v>1</v>
      </c>
      <c r="D43" s="1">
        <v>1</v>
      </c>
      <c r="E43" s="1">
        <v>1</v>
      </c>
      <c r="F43" s="1" t="s">
        <v>532</v>
      </c>
      <c r="G43" s="1">
        <v>2541</v>
      </c>
      <c r="H43" s="1" t="s">
        <v>364</v>
      </c>
      <c r="I43" s="94">
        <v>155</v>
      </c>
      <c r="J43" s="2">
        <v>0.21</v>
      </c>
      <c r="L43" s="135">
        <v>46174</v>
      </c>
      <c r="M43" s="3" t="s">
        <v>396</v>
      </c>
      <c r="O43" s="1">
        <v>1</v>
      </c>
      <c r="P43" s="94">
        <v>2</v>
      </c>
      <c r="Q43" s="4">
        <v>0</v>
      </c>
      <c r="R43" s="2">
        <v>0</v>
      </c>
      <c r="S43" s="25" t="s">
        <v>533</v>
      </c>
      <c r="V43" s="41" t="s">
        <v>380</v>
      </c>
      <c r="W43" s="43" t="s">
        <v>534</v>
      </c>
      <c r="AB43" s="2">
        <v>3.21</v>
      </c>
      <c r="AC43" s="2">
        <v>11.58</v>
      </c>
      <c r="AD43" s="2">
        <v>0</v>
      </c>
    </row>
    <row r="44" spans="1:30" x14ac:dyDescent="0.25">
      <c r="A44" s="25" t="s">
        <v>535</v>
      </c>
      <c r="B44" s="134" t="s">
        <v>536</v>
      </c>
      <c r="C44" s="1">
        <v>1</v>
      </c>
      <c r="D44" s="1">
        <v>4</v>
      </c>
      <c r="E44" s="1">
        <v>4</v>
      </c>
      <c r="F44" s="1" t="s">
        <v>537</v>
      </c>
      <c r="G44" s="1">
        <v>3183</v>
      </c>
      <c r="H44" s="1" t="s">
        <v>364</v>
      </c>
      <c r="I44" s="94">
        <v>155</v>
      </c>
      <c r="J44" s="2">
        <v>2</v>
      </c>
      <c r="L44" s="135">
        <v>46174</v>
      </c>
      <c r="M44" s="3" t="s">
        <v>538</v>
      </c>
      <c r="N44" s="1" t="s">
        <v>539</v>
      </c>
      <c r="O44" s="1">
        <v>1</v>
      </c>
      <c r="P44" s="94">
        <v>2</v>
      </c>
      <c r="Q44" s="4">
        <v>0</v>
      </c>
      <c r="R44" s="2">
        <v>0</v>
      </c>
      <c r="S44" s="25" t="s">
        <v>540</v>
      </c>
      <c r="V44" s="41" t="s">
        <v>541</v>
      </c>
      <c r="W44" s="43" t="s">
        <v>399</v>
      </c>
      <c r="AB44" s="2">
        <v>5.55</v>
      </c>
      <c r="AC44" s="2">
        <v>9.89</v>
      </c>
      <c r="AD44" s="2">
        <v>0.28000000000000003</v>
      </c>
    </row>
    <row r="45" spans="1:30" x14ac:dyDescent="0.25">
      <c r="A45" s="25" t="s">
        <v>542</v>
      </c>
      <c r="B45" s="134" t="s">
        <v>543</v>
      </c>
      <c r="C45" s="1">
        <v>1</v>
      </c>
      <c r="D45" s="1">
        <v>2</v>
      </c>
      <c r="E45" s="1">
        <v>2</v>
      </c>
      <c r="F45" s="1" t="s">
        <v>544</v>
      </c>
      <c r="G45" s="1">
        <v>6020</v>
      </c>
      <c r="H45" s="1" t="s">
        <v>364</v>
      </c>
      <c r="I45" s="94">
        <v>155</v>
      </c>
      <c r="J45" s="2">
        <v>0.36699999999999999</v>
      </c>
      <c r="L45" s="135">
        <v>46174</v>
      </c>
      <c r="M45" s="3" t="s">
        <v>372</v>
      </c>
      <c r="O45" s="1">
        <v>1</v>
      </c>
      <c r="P45" s="94">
        <v>2</v>
      </c>
      <c r="Q45" s="4">
        <v>0</v>
      </c>
      <c r="R45" s="2">
        <v>0</v>
      </c>
      <c r="S45" s="25" t="s">
        <v>545</v>
      </c>
      <c r="V45" s="41" t="s">
        <v>374</v>
      </c>
      <c r="W45" s="43" t="s">
        <v>415</v>
      </c>
      <c r="AB45" s="2">
        <v>3.99</v>
      </c>
      <c r="AC45" s="2">
        <v>8.7899999999999991</v>
      </c>
      <c r="AD45" s="2">
        <v>0.28000000000000003</v>
      </c>
    </row>
    <row r="46" spans="1:30" x14ac:dyDescent="0.25">
      <c r="A46" s="25" t="s">
        <v>546</v>
      </c>
      <c r="B46" s="134" t="s">
        <v>547</v>
      </c>
      <c r="C46" s="1">
        <v>1</v>
      </c>
      <c r="D46" s="1">
        <v>5</v>
      </c>
      <c r="E46" s="1">
        <v>6</v>
      </c>
      <c r="F46" s="1" t="s">
        <v>548</v>
      </c>
      <c r="G46" s="1">
        <v>2615</v>
      </c>
      <c r="H46" s="1" t="s">
        <v>364</v>
      </c>
      <c r="I46" s="94">
        <v>155</v>
      </c>
      <c r="J46" s="2">
        <v>2.9750000000000001</v>
      </c>
      <c r="L46" s="135">
        <v>46174</v>
      </c>
      <c r="M46" s="3" t="s">
        <v>396</v>
      </c>
      <c r="O46" s="1">
        <v>1</v>
      </c>
      <c r="P46" s="94">
        <v>2</v>
      </c>
      <c r="Q46" s="4">
        <v>0</v>
      </c>
      <c r="R46" s="2">
        <v>0</v>
      </c>
      <c r="S46" s="25" t="s">
        <v>549</v>
      </c>
      <c r="V46" s="41" t="s">
        <v>550</v>
      </c>
      <c r="W46" s="43" t="s">
        <v>502</v>
      </c>
      <c r="AB46" s="2">
        <v>6.8</v>
      </c>
      <c r="AC46" s="2">
        <v>9.61</v>
      </c>
      <c r="AD46" s="2">
        <v>0</v>
      </c>
    </row>
    <row r="47" spans="1:30" x14ac:dyDescent="0.25">
      <c r="A47" s="25" t="s">
        <v>551</v>
      </c>
      <c r="B47" s="134" t="s">
        <v>552</v>
      </c>
      <c r="C47" s="1">
        <v>1</v>
      </c>
      <c r="D47" s="1">
        <v>2</v>
      </c>
      <c r="E47" s="1">
        <v>2</v>
      </c>
      <c r="F47" s="1" t="s">
        <v>553</v>
      </c>
      <c r="G47" s="1">
        <v>7005</v>
      </c>
      <c r="H47" s="1" t="s">
        <v>364</v>
      </c>
      <c r="I47" s="94">
        <v>155</v>
      </c>
      <c r="J47" s="2">
        <v>0.36499999999999999</v>
      </c>
      <c r="L47" s="135">
        <v>46174</v>
      </c>
      <c r="M47" s="3" t="s">
        <v>372</v>
      </c>
      <c r="O47" s="1">
        <v>1</v>
      </c>
      <c r="P47" s="94">
        <v>2</v>
      </c>
      <c r="Q47" s="4">
        <v>0</v>
      </c>
      <c r="R47" s="2">
        <v>0</v>
      </c>
      <c r="S47" s="25" t="s">
        <v>554</v>
      </c>
      <c r="V47" s="41" t="s">
        <v>374</v>
      </c>
      <c r="W47" s="43" t="s">
        <v>375</v>
      </c>
      <c r="AB47" s="2">
        <v>3.99</v>
      </c>
      <c r="AC47" s="2">
        <v>9.31</v>
      </c>
      <c r="AD47" s="2">
        <v>0.28000000000000003</v>
      </c>
    </row>
    <row r="48" spans="1:30" x14ac:dyDescent="0.25">
      <c r="A48" s="25" t="s">
        <v>555</v>
      </c>
      <c r="B48" s="134" t="s">
        <v>556</v>
      </c>
      <c r="C48" s="1">
        <v>1</v>
      </c>
      <c r="D48" s="1">
        <v>1</v>
      </c>
      <c r="E48" s="1">
        <v>1</v>
      </c>
      <c r="F48" s="1" t="s">
        <v>557</v>
      </c>
      <c r="G48" s="1">
        <v>3129</v>
      </c>
      <c r="H48" s="1" t="s">
        <v>364</v>
      </c>
      <c r="I48" s="94">
        <v>155</v>
      </c>
      <c r="J48" s="2">
        <v>0.48199999999999998</v>
      </c>
      <c r="L48" s="135">
        <v>46174</v>
      </c>
      <c r="M48" s="3" t="s">
        <v>372</v>
      </c>
      <c r="O48" s="1">
        <v>1</v>
      </c>
      <c r="P48" s="94">
        <v>2</v>
      </c>
      <c r="Q48" s="4">
        <v>0</v>
      </c>
      <c r="R48" s="2">
        <v>0</v>
      </c>
      <c r="S48" s="25" t="s">
        <v>558</v>
      </c>
      <c r="V48" s="41" t="s">
        <v>559</v>
      </c>
      <c r="W48" s="43" t="s">
        <v>399</v>
      </c>
      <c r="AB48" s="2">
        <v>3.21</v>
      </c>
      <c r="AC48" s="2">
        <v>7.39</v>
      </c>
      <c r="AD48" s="2">
        <v>0.28000000000000003</v>
      </c>
    </row>
    <row r="49" spans="1:30" x14ac:dyDescent="0.25">
      <c r="A49" s="25" t="s">
        <v>560</v>
      </c>
      <c r="B49" s="134" t="s">
        <v>561</v>
      </c>
      <c r="C49" s="1">
        <v>1</v>
      </c>
      <c r="D49" s="1">
        <v>2</v>
      </c>
      <c r="E49" s="1">
        <v>2</v>
      </c>
      <c r="F49" s="1" t="s">
        <v>562</v>
      </c>
      <c r="G49" s="1">
        <v>3048</v>
      </c>
      <c r="H49" s="1" t="s">
        <v>364</v>
      </c>
      <c r="I49" s="94">
        <v>155</v>
      </c>
      <c r="J49" s="2">
        <v>1.0629999999999999</v>
      </c>
      <c r="L49" s="135">
        <v>46174</v>
      </c>
      <c r="M49" s="3" t="s">
        <v>365</v>
      </c>
      <c r="O49" s="1">
        <v>1</v>
      </c>
      <c r="P49" s="94">
        <v>2</v>
      </c>
      <c r="Q49" s="4">
        <v>0</v>
      </c>
      <c r="R49" s="2">
        <v>0</v>
      </c>
      <c r="S49" s="25" t="s">
        <v>563</v>
      </c>
      <c r="V49" s="41" t="s">
        <v>564</v>
      </c>
      <c r="W49" s="43" t="s">
        <v>399</v>
      </c>
      <c r="AB49" s="2">
        <v>3.99</v>
      </c>
      <c r="AC49" s="2">
        <v>9.89</v>
      </c>
      <c r="AD49" s="2">
        <v>0.28000000000000003</v>
      </c>
    </row>
    <row r="50" spans="1:30" x14ac:dyDescent="0.25">
      <c r="A50" s="25" t="s">
        <v>565</v>
      </c>
      <c r="B50" s="134" t="s">
        <v>566</v>
      </c>
      <c r="C50" s="1">
        <v>1</v>
      </c>
      <c r="D50" s="1">
        <v>1</v>
      </c>
      <c r="E50" s="1">
        <v>1</v>
      </c>
      <c r="F50" s="1" t="s">
        <v>567</v>
      </c>
      <c r="G50" s="1">
        <v>4378</v>
      </c>
      <c r="H50" s="1" t="s">
        <v>364</v>
      </c>
      <c r="I50" s="94">
        <v>155</v>
      </c>
      <c r="J50" s="2">
        <v>0.21</v>
      </c>
      <c r="L50" s="135">
        <v>46174</v>
      </c>
      <c r="M50" s="3" t="s">
        <v>372</v>
      </c>
      <c r="O50" s="1">
        <v>1</v>
      </c>
      <c r="P50" s="94">
        <v>2</v>
      </c>
      <c r="Q50" s="4">
        <v>0</v>
      </c>
      <c r="R50" s="2">
        <v>0</v>
      </c>
      <c r="S50" s="25" t="s">
        <v>568</v>
      </c>
      <c r="V50" s="41" t="s">
        <v>569</v>
      </c>
      <c r="W50" s="43" t="s">
        <v>570</v>
      </c>
      <c r="AB50" s="2">
        <v>3.21</v>
      </c>
      <c r="AC50" s="2">
        <v>12.35</v>
      </c>
      <c r="AD50" s="2">
        <v>0.28000000000000003</v>
      </c>
    </row>
    <row r="51" spans="1:30" x14ac:dyDescent="0.25">
      <c r="A51" s="25" t="s">
        <v>571</v>
      </c>
      <c r="B51" s="134" t="s">
        <v>572</v>
      </c>
      <c r="C51" s="1">
        <v>1</v>
      </c>
      <c r="D51" s="1">
        <v>5</v>
      </c>
      <c r="E51" s="1">
        <v>5</v>
      </c>
      <c r="F51" s="1" t="s">
        <v>573</v>
      </c>
      <c r="G51" s="1">
        <v>4740</v>
      </c>
      <c r="H51" s="1" t="s">
        <v>364</v>
      </c>
      <c r="I51" s="94">
        <v>155</v>
      </c>
      <c r="J51" s="2">
        <v>0.86</v>
      </c>
      <c r="L51" s="135">
        <v>46174</v>
      </c>
      <c r="M51" s="3" t="s">
        <v>538</v>
      </c>
      <c r="O51" s="1">
        <v>1</v>
      </c>
      <c r="P51" s="94">
        <v>2</v>
      </c>
      <c r="Q51" s="4">
        <v>0</v>
      </c>
      <c r="R51" s="2">
        <v>0</v>
      </c>
      <c r="S51" s="25" t="s">
        <v>574</v>
      </c>
      <c r="V51" s="41" t="s">
        <v>575</v>
      </c>
      <c r="W51" s="43" t="s">
        <v>529</v>
      </c>
      <c r="AB51" s="2">
        <v>6.33</v>
      </c>
      <c r="AC51" s="2">
        <v>22.06</v>
      </c>
      <c r="AD51" s="2">
        <v>0.28000000000000003</v>
      </c>
    </row>
    <row r="52" spans="1:30" x14ac:dyDescent="0.25">
      <c r="A52" s="25" t="s">
        <v>576</v>
      </c>
      <c r="B52" s="134" t="s">
        <v>577</v>
      </c>
      <c r="C52" s="1">
        <v>1</v>
      </c>
      <c r="D52" s="1">
        <v>1</v>
      </c>
      <c r="E52" s="1">
        <v>1</v>
      </c>
      <c r="F52" s="1" t="s">
        <v>578</v>
      </c>
      <c r="G52" s="1">
        <v>2291</v>
      </c>
      <c r="H52" s="1" t="s">
        <v>364</v>
      </c>
      <c r="I52" s="94">
        <v>155</v>
      </c>
      <c r="J52" s="2">
        <v>0.21</v>
      </c>
      <c r="L52" s="135">
        <v>46174</v>
      </c>
      <c r="M52" s="3" t="s">
        <v>372</v>
      </c>
      <c r="O52" s="1">
        <v>1</v>
      </c>
      <c r="P52" s="94">
        <v>2</v>
      </c>
      <c r="Q52" s="4">
        <v>0</v>
      </c>
      <c r="R52" s="2">
        <v>0</v>
      </c>
      <c r="S52" s="25" t="s">
        <v>579</v>
      </c>
      <c r="V52" s="41" t="s">
        <v>580</v>
      </c>
      <c r="W52" s="43" t="s">
        <v>368</v>
      </c>
      <c r="AB52" s="2">
        <v>3.21</v>
      </c>
      <c r="AC52" s="2">
        <v>7.71</v>
      </c>
      <c r="AD52" s="2">
        <v>0.28000000000000003</v>
      </c>
    </row>
    <row r="53" spans="1:30" x14ac:dyDescent="0.25">
      <c r="A53" s="25" t="s">
        <v>581</v>
      </c>
      <c r="B53" s="134" t="s">
        <v>582</v>
      </c>
      <c r="C53" s="1">
        <v>1</v>
      </c>
      <c r="D53" s="1">
        <v>1</v>
      </c>
      <c r="E53" s="1">
        <v>1</v>
      </c>
      <c r="F53" s="1" t="s">
        <v>583</v>
      </c>
      <c r="G53" s="1">
        <v>3044</v>
      </c>
      <c r="H53" s="1" t="s">
        <v>364</v>
      </c>
      <c r="I53" s="94">
        <v>155</v>
      </c>
      <c r="J53" s="2">
        <v>0.27</v>
      </c>
      <c r="L53" s="135">
        <v>46174</v>
      </c>
      <c r="M53" s="3" t="s">
        <v>372</v>
      </c>
      <c r="O53" s="1">
        <v>1</v>
      </c>
      <c r="P53" s="94">
        <v>2</v>
      </c>
      <c r="Q53" s="4">
        <v>0</v>
      </c>
      <c r="R53" s="2">
        <v>0</v>
      </c>
      <c r="S53" s="25" t="s">
        <v>584</v>
      </c>
      <c r="V53" s="41" t="s">
        <v>569</v>
      </c>
      <c r="W53" s="43" t="s">
        <v>399</v>
      </c>
      <c r="AB53" s="2">
        <v>3.21</v>
      </c>
      <c r="AC53" s="2">
        <v>7.39</v>
      </c>
      <c r="AD53" s="2">
        <v>0.28000000000000003</v>
      </c>
    </row>
    <row r="54" spans="1:30" x14ac:dyDescent="0.25">
      <c r="A54" s="25" t="s">
        <v>585</v>
      </c>
      <c r="B54" s="134" t="s">
        <v>586</v>
      </c>
      <c r="C54" s="1">
        <v>1</v>
      </c>
      <c r="D54" s="1">
        <v>1</v>
      </c>
      <c r="E54" s="1">
        <v>1</v>
      </c>
      <c r="F54" s="1" t="s">
        <v>587</v>
      </c>
      <c r="G54" s="1">
        <v>2101</v>
      </c>
      <c r="H54" s="1" t="s">
        <v>364</v>
      </c>
      <c r="I54" s="94">
        <v>155</v>
      </c>
      <c r="J54" s="2">
        <v>0.21</v>
      </c>
      <c r="L54" s="135">
        <v>46174</v>
      </c>
      <c r="M54" s="3" t="s">
        <v>396</v>
      </c>
      <c r="O54" s="1">
        <v>1</v>
      </c>
      <c r="P54" s="94">
        <v>2</v>
      </c>
      <c r="Q54" s="4">
        <v>0</v>
      </c>
      <c r="R54" s="2">
        <v>0</v>
      </c>
      <c r="S54" s="25" t="s">
        <v>588</v>
      </c>
      <c r="V54" s="41" t="s">
        <v>380</v>
      </c>
      <c r="W54" s="43" t="s">
        <v>392</v>
      </c>
      <c r="AB54" s="2">
        <v>3.21</v>
      </c>
      <c r="AC54" s="2">
        <v>5.87</v>
      </c>
      <c r="AD54" s="2">
        <v>0</v>
      </c>
    </row>
    <row r="55" spans="1:30" x14ac:dyDescent="0.25">
      <c r="A55" s="25" t="s">
        <v>589</v>
      </c>
      <c r="B55" s="134" t="s">
        <v>590</v>
      </c>
      <c r="C55" s="1">
        <v>1</v>
      </c>
      <c r="D55" s="1">
        <v>3</v>
      </c>
      <c r="E55" s="1">
        <v>3</v>
      </c>
      <c r="F55" s="1" t="s">
        <v>591</v>
      </c>
      <c r="G55" s="1">
        <v>2200</v>
      </c>
      <c r="H55" s="1" t="s">
        <v>364</v>
      </c>
      <c r="I55" s="94">
        <v>155</v>
      </c>
      <c r="J55" s="2">
        <v>1.5349999999999999</v>
      </c>
      <c r="L55" s="135">
        <v>46174</v>
      </c>
      <c r="M55" s="3" t="s">
        <v>396</v>
      </c>
      <c r="O55" s="1">
        <v>1</v>
      </c>
      <c r="P55" s="94">
        <v>2</v>
      </c>
      <c r="Q55" s="4">
        <v>0</v>
      </c>
      <c r="R55" s="2">
        <v>0</v>
      </c>
      <c r="S55" s="25" t="s">
        <v>592</v>
      </c>
      <c r="V55" s="41" t="s">
        <v>593</v>
      </c>
      <c r="W55" s="43" t="s">
        <v>392</v>
      </c>
      <c r="AB55" s="2">
        <v>4.7699999999999996</v>
      </c>
      <c r="AC55" s="2">
        <v>6.36</v>
      </c>
      <c r="AD55" s="2">
        <v>0</v>
      </c>
    </row>
    <row r="56" spans="1:30" x14ac:dyDescent="0.25">
      <c r="A56" s="25" t="s">
        <v>594</v>
      </c>
      <c r="B56" s="134" t="s">
        <v>595</v>
      </c>
      <c r="C56" s="1">
        <v>1</v>
      </c>
      <c r="D56" s="1">
        <v>2</v>
      </c>
      <c r="E56" s="1">
        <v>2</v>
      </c>
      <c r="F56" s="1" t="s">
        <v>596</v>
      </c>
      <c r="G56" s="1">
        <v>3461</v>
      </c>
      <c r="H56" s="1" t="s">
        <v>364</v>
      </c>
      <c r="I56" s="94">
        <v>155</v>
      </c>
      <c r="J56" s="2">
        <v>0.42899999999999999</v>
      </c>
      <c r="L56" s="135">
        <v>46174</v>
      </c>
      <c r="M56" s="3" t="s">
        <v>372</v>
      </c>
      <c r="O56" s="1">
        <v>1</v>
      </c>
      <c r="P56" s="94">
        <v>2</v>
      </c>
      <c r="Q56" s="4">
        <v>0</v>
      </c>
      <c r="R56" s="2">
        <v>0</v>
      </c>
      <c r="S56" s="25" t="s">
        <v>597</v>
      </c>
      <c r="V56" s="41" t="s">
        <v>598</v>
      </c>
      <c r="W56" s="43" t="s">
        <v>381</v>
      </c>
      <c r="AB56" s="2">
        <v>3.99</v>
      </c>
      <c r="AC56" s="2">
        <v>12.35</v>
      </c>
      <c r="AD56" s="2">
        <v>0.28000000000000003</v>
      </c>
    </row>
    <row r="57" spans="1:30" x14ac:dyDescent="0.25">
      <c r="A57" s="25" t="s">
        <v>599</v>
      </c>
      <c r="B57" s="134" t="s">
        <v>600</v>
      </c>
      <c r="C57" s="1">
        <v>1</v>
      </c>
      <c r="D57" s="1">
        <v>3</v>
      </c>
      <c r="E57" s="1">
        <v>6</v>
      </c>
      <c r="F57" s="1" t="s">
        <v>601</v>
      </c>
      <c r="G57" s="1">
        <v>2097</v>
      </c>
      <c r="H57" s="1" t="s">
        <v>364</v>
      </c>
      <c r="I57" s="94">
        <v>155</v>
      </c>
      <c r="J57" s="2">
        <v>0.92200000000000004</v>
      </c>
      <c r="L57" s="135">
        <v>46174</v>
      </c>
      <c r="M57" s="3" t="s">
        <v>365</v>
      </c>
      <c r="O57" s="1">
        <v>1</v>
      </c>
      <c r="P57" s="94">
        <v>2</v>
      </c>
      <c r="Q57" s="4">
        <v>0</v>
      </c>
      <c r="R57" s="2">
        <v>0</v>
      </c>
      <c r="S57" s="25" t="s">
        <v>602</v>
      </c>
      <c r="V57" s="41" t="s">
        <v>603</v>
      </c>
      <c r="W57" s="43" t="s">
        <v>392</v>
      </c>
      <c r="AB57" s="2">
        <v>6.18</v>
      </c>
      <c r="AC57" s="2">
        <v>6.36</v>
      </c>
      <c r="AD57" s="2">
        <v>0.28000000000000003</v>
      </c>
    </row>
    <row r="58" spans="1:30" x14ac:dyDescent="0.25">
      <c r="A58" s="25" t="s">
        <v>604</v>
      </c>
      <c r="B58" s="134" t="s">
        <v>605</v>
      </c>
      <c r="C58" s="1">
        <v>1</v>
      </c>
      <c r="D58" s="1">
        <v>2</v>
      </c>
      <c r="E58" s="1">
        <v>2</v>
      </c>
      <c r="F58" s="1" t="s">
        <v>606</v>
      </c>
      <c r="G58" s="1">
        <v>4115</v>
      </c>
      <c r="H58" s="1" t="s">
        <v>364</v>
      </c>
      <c r="I58" s="94">
        <v>155</v>
      </c>
      <c r="J58" s="2">
        <v>0.36599999999999999</v>
      </c>
      <c r="L58" s="135">
        <v>46174</v>
      </c>
      <c r="M58" s="3" t="s">
        <v>372</v>
      </c>
      <c r="O58" s="1">
        <v>1</v>
      </c>
      <c r="P58" s="94">
        <v>2</v>
      </c>
      <c r="Q58" s="4">
        <v>0</v>
      </c>
      <c r="R58" s="2">
        <v>0</v>
      </c>
      <c r="S58" s="25" t="s">
        <v>607</v>
      </c>
      <c r="V58" s="41" t="s">
        <v>608</v>
      </c>
      <c r="W58" s="43" t="s">
        <v>448</v>
      </c>
      <c r="AB58" s="2">
        <v>3.99</v>
      </c>
      <c r="AC58" s="2">
        <v>7.39</v>
      </c>
      <c r="AD58" s="2">
        <v>0.28000000000000003</v>
      </c>
    </row>
    <row r="59" spans="1:30" x14ac:dyDescent="0.25">
      <c r="A59" s="25" t="s">
        <v>609</v>
      </c>
      <c r="B59" s="134" t="s">
        <v>610</v>
      </c>
      <c r="C59" s="1">
        <v>1</v>
      </c>
      <c r="D59" s="1">
        <v>2</v>
      </c>
      <c r="E59" s="1">
        <v>2</v>
      </c>
      <c r="F59" s="1" t="s">
        <v>611</v>
      </c>
      <c r="G59" s="1">
        <v>2223</v>
      </c>
      <c r="H59" s="1" t="s">
        <v>364</v>
      </c>
      <c r="I59" s="94">
        <v>155</v>
      </c>
      <c r="J59" s="2">
        <v>0.85</v>
      </c>
      <c r="L59" s="135">
        <v>46174</v>
      </c>
      <c r="M59" s="3" t="s">
        <v>396</v>
      </c>
      <c r="O59" s="1">
        <v>1</v>
      </c>
      <c r="P59" s="94">
        <v>2</v>
      </c>
      <c r="Q59" s="4">
        <v>0</v>
      </c>
      <c r="R59" s="2">
        <v>0</v>
      </c>
      <c r="S59" s="25" t="s">
        <v>612</v>
      </c>
      <c r="V59" s="41" t="s">
        <v>613</v>
      </c>
      <c r="W59" s="43" t="s">
        <v>392</v>
      </c>
      <c r="AB59" s="2">
        <v>3.99</v>
      </c>
      <c r="AC59" s="2">
        <v>6.36</v>
      </c>
      <c r="AD59" s="2">
        <v>0</v>
      </c>
    </row>
    <row r="60" spans="1:30" x14ac:dyDescent="0.25">
      <c r="A60" s="25" t="s">
        <v>614</v>
      </c>
      <c r="B60" s="134" t="s">
        <v>615</v>
      </c>
      <c r="C60" s="1">
        <v>1</v>
      </c>
      <c r="D60" s="1">
        <v>6</v>
      </c>
      <c r="E60" s="1">
        <v>6</v>
      </c>
      <c r="F60" s="1" t="s">
        <v>616</v>
      </c>
      <c r="G60" s="1">
        <v>3757</v>
      </c>
      <c r="H60" s="1" t="s">
        <v>364</v>
      </c>
      <c r="I60" s="94">
        <v>155</v>
      </c>
      <c r="J60" s="2">
        <v>3.0049999999999999</v>
      </c>
      <c r="L60" s="135">
        <v>46174</v>
      </c>
      <c r="M60" s="3" t="s">
        <v>538</v>
      </c>
      <c r="O60" s="1">
        <v>1</v>
      </c>
      <c r="P60" s="94">
        <v>2</v>
      </c>
      <c r="Q60" s="4">
        <v>0</v>
      </c>
      <c r="R60" s="2">
        <v>0</v>
      </c>
      <c r="S60" s="25" t="s">
        <v>617</v>
      </c>
      <c r="V60" s="41" t="s">
        <v>618</v>
      </c>
      <c r="W60" s="43" t="s">
        <v>619</v>
      </c>
      <c r="AB60" s="2">
        <v>7.11</v>
      </c>
      <c r="AC60" s="2">
        <v>13.83</v>
      </c>
      <c r="AD60" s="2">
        <v>0.28000000000000003</v>
      </c>
    </row>
    <row r="61" spans="1:30" x14ac:dyDescent="0.25">
      <c r="A61" s="25" t="s">
        <v>620</v>
      </c>
      <c r="B61" s="134" t="s">
        <v>621</v>
      </c>
      <c r="C61" s="1">
        <v>1</v>
      </c>
      <c r="D61" s="1">
        <v>1</v>
      </c>
      <c r="E61" s="1">
        <v>1</v>
      </c>
      <c r="F61" s="1" t="s">
        <v>622</v>
      </c>
      <c r="G61" s="1">
        <v>4120</v>
      </c>
      <c r="H61" s="1" t="s">
        <v>364</v>
      </c>
      <c r="I61" s="94">
        <v>155</v>
      </c>
      <c r="J61" s="2">
        <v>0.27100000000000002</v>
      </c>
      <c r="L61" s="135">
        <v>46174</v>
      </c>
      <c r="M61" s="3" t="s">
        <v>372</v>
      </c>
      <c r="O61" s="1">
        <v>1</v>
      </c>
      <c r="P61" s="94">
        <v>2</v>
      </c>
      <c r="Q61" s="4">
        <v>0</v>
      </c>
      <c r="R61" s="2">
        <v>0</v>
      </c>
      <c r="S61" s="25" t="s">
        <v>623</v>
      </c>
      <c r="V61" s="41" t="s">
        <v>569</v>
      </c>
      <c r="W61" s="43" t="s">
        <v>448</v>
      </c>
      <c r="AB61" s="2">
        <v>3.21</v>
      </c>
      <c r="AC61" s="2">
        <v>7.39</v>
      </c>
      <c r="AD61" s="2">
        <v>0.28000000000000003</v>
      </c>
    </row>
    <row r="62" spans="1:30" x14ac:dyDescent="0.25">
      <c r="A62" s="25" t="s">
        <v>624</v>
      </c>
      <c r="B62" s="134" t="s">
        <v>625</v>
      </c>
      <c r="C62" s="1">
        <v>1</v>
      </c>
      <c r="D62" s="1">
        <v>1</v>
      </c>
      <c r="E62" s="1">
        <v>2</v>
      </c>
      <c r="F62" s="1" t="s">
        <v>626</v>
      </c>
      <c r="G62" s="1">
        <v>3051</v>
      </c>
      <c r="H62" s="1" t="s">
        <v>364</v>
      </c>
      <c r="I62" s="94">
        <v>155</v>
      </c>
      <c r="J62" s="2">
        <v>1.0489999999999999</v>
      </c>
      <c r="L62" s="135">
        <v>46174</v>
      </c>
      <c r="M62" s="3" t="s">
        <v>365</v>
      </c>
      <c r="O62" s="1">
        <v>1</v>
      </c>
      <c r="P62" s="94">
        <v>2</v>
      </c>
      <c r="Q62" s="4">
        <v>0</v>
      </c>
      <c r="R62" s="2">
        <v>0</v>
      </c>
      <c r="S62" s="25" t="s">
        <v>627</v>
      </c>
      <c r="V62" s="41" t="s">
        <v>628</v>
      </c>
      <c r="W62" s="43" t="s">
        <v>399</v>
      </c>
      <c r="AB62" s="2">
        <v>3.68</v>
      </c>
      <c r="AC62" s="2">
        <v>9.89</v>
      </c>
      <c r="AD62" s="2">
        <v>0.28000000000000003</v>
      </c>
    </row>
    <row r="63" spans="1:30" x14ac:dyDescent="0.25">
      <c r="A63" s="25" t="s">
        <v>629</v>
      </c>
      <c r="B63" s="134" t="s">
        <v>630</v>
      </c>
      <c r="C63" s="1">
        <v>1</v>
      </c>
      <c r="D63" s="1">
        <v>1</v>
      </c>
      <c r="E63" s="1">
        <v>2</v>
      </c>
      <c r="F63" s="1" t="s">
        <v>631</v>
      </c>
      <c r="G63" s="1">
        <v>4102</v>
      </c>
      <c r="H63" s="1" t="s">
        <v>364</v>
      </c>
      <c r="I63" s="94">
        <v>155</v>
      </c>
      <c r="J63" s="2">
        <v>0.37</v>
      </c>
      <c r="L63" s="135">
        <v>46174</v>
      </c>
      <c r="M63" s="3" t="s">
        <v>372</v>
      </c>
      <c r="O63" s="1">
        <v>1</v>
      </c>
      <c r="P63" s="94">
        <v>2</v>
      </c>
      <c r="Q63" s="4">
        <v>0</v>
      </c>
      <c r="R63" s="2">
        <v>0</v>
      </c>
      <c r="S63" s="25" t="s">
        <v>632</v>
      </c>
      <c r="V63" s="41" t="s">
        <v>633</v>
      </c>
      <c r="W63" s="43" t="s">
        <v>448</v>
      </c>
      <c r="AB63" s="2">
        <v>3.68</v>
      </c>
      <c r="AC63" s="2">
        <v>7.39</v>
      </c>
      <c r="AD63" s="2">
        <v>0.28000000000000003</v>
      </c>
    </row>
    <row r="64" spans="1:30" x14ac:dyDescent="0.25">
      <c r="A64" s="25" t="s">
        <v>634</v>
      </c>
      <c r="B64" s="134" t="s">
        <v>635</v>
      </c>
      <c r="C64" s="1">
        <v>1</v>
      </c>
      <c r="D64" s="1">
        <v>2</v>
      </c>
      <c r="E64" s="1">
        <v>2</v>
      </c>
      <c r="F64" s="1" t="s">
        <v>636</v>
      </c>
      <c r="G64" s="1">
        <v>3809</v>
      </c>
      <c r="H64" s="1" t="s">
        <v>364</v>
      </c>
      <c r="I64" s="94">
        <v>155</v>
      </c>
      <c r="J64" s="2">
        <v>1.4490000000000001</v>
      </c>
      <c r="L64" s="135">
        <v>46174</v>
      </c>
      <c r="M64" s="3" t="s">
        <v>372</v>
      </c>
      <c r="O64" s="1">
        <v>1</v>
      </c>
      <c r="P64" s="94">
        <v>2</v>
      </c>
      <c r="Q64" s="4">
        <v>0</v>
      </c>
      <c r="R64" s="2">
        <v>0</v>
      </c>
      <c r="S64" s="25" t="s">
        <v>637</v>
      </c>
      <c r="V64" s="41" t="s">
        <v>638</v>
      </c>
      <c r="W64" s="43" t="s">
        <v>619</v>
      </c>
      <c r="AB64" s="2">
        <v>3.99</v>
      </c>
      <c r="AC64" s="2">
        <v>11.92</v>
      </c>
      <c r="AD64" s="2">
        <v>0.28000000000000003</v>
      </c>
    </row>
    <row r="65" spans="1:30" x14ac:dyDescent="0.25">
      <c r="A65" s="25" t="s">
        <v>639</v>
      </c>
      <c r="B65" s="134" t="s">
        <v>640</v>
      </c>
      <c r="C65" s="1">
        <v>1</v>
      </c>
      <c r="D65" s="1">
        <v>1</v>
      </c>
      <c r="E65" s="1">
        <v>1</v>
      </c>
      <c r="F65" s="1" t="s">
        <v>641</v>
      </c>
      <c r="G65" s="1">
        <v>2036</v>
      </c>
      <c r="H65" s="1" t="s">
        <v>364</v>
      </c>
      <c r="I65" s="94">
        <v>155</v>
      </c>
      <c r="J65" s="2">
        <v>0.21</v>
      </c>
      <c r="L65" s="135">
        <v>46174</v>
      </c>
      <c r="M65" s="3" t="s">
        <v>396</v>
      </c>
      <c r="O65" s="1">
        <v>1</v>
      </c>
      <c r="P65" s="94">
        <v>2</v>
      </c>
      <c r="Q65" s="4">
        <v>0</v>
      </c>
      <c r="R65" s="2">
        <v>0</v>
      </c>
      <c r="S65" s="25" t="s">
        <v>642</v>
      </c>
      <c r="V65" s="41" t="s">
        <v>380</v>
      </c>
      <c r="W65" s="43" t="s">
        <v>392</v>
      </c>
      <c r="AB65" s="2">
        <v>3.21</v>
      </c>
      <c r="AC65" s="2">
        <v>5.87</v>
      </c>
      <c r="AD65" s="2">
        <v>0</v>
      </c>
    </row>
    <row r="66" spans="1:30" x14ac:dyDescent="0.25">
      <c r="A66" s="25" t="s">
        <v>643</v>
      </c>
      <c r="B66" s="134" t="s">
        <v>644</v>
      </c>
      <c r="C66" s="1">
        <v>1</v>
      </c>
      <c r="D66" s="1">
        <v>4</v>
      </c>
      <c r="E66" s="1">
        <v>4</v>
      </c>
      <c r="F66" s="1" t="s">
        <v>645</v>
      </c>
      <c r="G66" s="1">
        <v>3101</v>
      </c>
      <c r="H66" s="1" t="s">
        <v>364</v>
      </c>
      <c r="I66" s="94">
        <v>155</v>
      </c>
      <c r="J66" s="2">
        <v>1.45</v>
      </c>
      <c r="L66" s="135">
        <v>46174</v>
      </c>
      <c r="M66" s="3" t="s">
        <v>538</v>
      </c>
      <c r="O66" s="1">
        <v>1</v>
      </c>
      <c r="P66" s="94">
        <v>2</v>
      </c>
      <c r="Q66" s="4">
        <v>0</v>
      </c>
      <c r="R66" s="2">
        <v>0</v>
      </c>
      <c r="S66" s="25" t="s">
        <v>646</v>
      </c>
      <c r="V66" s="41" t="s">
        <v>647</v>
      </c>
      <c r="W66" s="43" t="s">
        <v>399</v>
      </c>
      <c r="AB66" s="2">
        <v>5.55</v>
      </c>
      <c r="AC66" s="2">
        <v>9.89</v>
      </c>
      <c r="AD66" s="2">
        <v>0.28000000000000003</v>
      </c>
    </row>
    <row r="67" spans="1:30" x14ac:dyDescent="0.25">
      <c r="A67" s="25" t="s">
        <v>648</v>
      </c>
      <c r="B67" s="134" t="s">
        <v>649</v>
      </c>
      <c r="C67" s="1">
        <v>1</v>
      </c>
      <c r="D67" s="1">
        <v>2</v>
      </c>
      <c r="E67" s="1">
        <v>2</v>
      </c>
      <c r="F67" s="1" t="s">
        <v>650</v>
      </c>
      <c r="G67" s="1">
        <v>2140</v>
      </c>
      <c r="H67" s="1" t="s">
        <v>364</v>
      </c>
      <c r="I67" s="94">
        <v>155</v>
      </c>
      <c r="J67" s="2">
        <v>0.91</v>
      </c>
      <c r="L67" s="135">
        <v>46174</v>
      </c>
      <c r="M67" s="3" t="s">
        <v>396</v>
      </c>
      <c r="O67" s="1">
        <v>1</v>
      </c>
      <c r="P67" s="94">
        <v>2</v>
      </c>
      <c r="Q67" s="4">
        <v>0</v>
      </c>
      <c r="R67" s="2">
        <v>0</v>
      </c>
      <c r="S67" s="25" t="s">
        <v>651</v>
      </c>
      <c r="V67" s="41" t="s">
        <v>652</v>
      </c>
      <c r="W67" s="43" t="s">
        <v>392</v>
      </c>
      <c r="AB67" s="2">
        <v>3.99</v>
      </c>
      <c r="AC67" s="2">
        <v>6.36</v>
      </c>
      <c r="AD67" s="2">
        <v>0</v>
      </c>
    </row>
    <row r="68" spans="1:30" x14ac:dyDescent="0.25">
      <c r="A68" s="25" t="s">
        <v>653</v>
      </c>
      <c r="B68" s="134" t="s">
        <v>654</v>
      </c>
      <c r="C68" s="1">
        <v>1</v>
      </c>
      <c r="D68" s="1">
        <v>2</v>
      </c>
      <c r="E68" s="1">
        <v>2</v>
      </c>
      <c r="F68" s="1" t="s">
        <v>655</v>
      </c>
      <c r="G68" s="1">
        <v>3156</v>
      </c>
      <c r="H68" s="1" t="s">
        <v>364</v>
      </c>
      <c r="I68" s="94">
        <v>155</v>
      </c>
      <c r="J68" s="2">
        <v>0.36699999999999999</v>
      </c>
      <c r="L68" s="135">
        <v>46174</v>
      </c>
      <c r="M68" s="3" t="s">
        <v>372</v>
      </c>
      <c r="O68" s="1">
        <v>1</v>
      </c>
      <c r="P68" s="94">
        <v>2</v>
      </c>
      <c r="Q68" s="4">
        <v>0</v>
      </c>
      <c r="R68" s="2">
        <v>0</v>
      </c>
      <c r="S68" s="25" t="s">
        <v>656</v>
      </c>
      <c r="V68" s="41" t="s">
        <v>608</v>
      </c>
      <c r="W68" s="43" t="s">
        <v>399</v>
      </c>
      <c r="AB68" s="2">
        <v>3.99</v>
      </c>
      <c r="AC68" s="2">
        <v>7.39</v>
      </c>
      <c r="AD68" s="2">
        <v>0.28000000000000003</v>
      </c>
    </row>
    <row r="69" spans="1:30" x14ac:dyDescent="0.25">
      <c r="A69" s="25" t="s">
        <v>657</v>
      </c>
      <c r="B69" s="134" t="s">
        <v>658</v>
      </c>
      <c r="C69" s="1">
        <v>1</v>
      </c>
      <c r="D69" s="1">
        <v>1</v>
      </c>
      <c r="E69" s="1">
        <v>1</v>
      </c>
      <c r="F69" s="1" t="s">
        <v>659</v>
      </c>
      <c r="G69" s="1">
        <v>2026</v>
      </c>
      <c r="H69" s="1" t="s">
        <v>364</v>
      </c>
      <c r="I69" s="94">
        <v>155</v>
      </c>
      <c r="J69" s="2">
        <v>0.45800000000000002</v>
      </c>
      <c r="L69" s="135">
        <v>46174</v>
      </c>
      <c r="M69" s="3" t="s">
        <v>372</v>
      </c>
      <c r="O69" s="1">
        <v>1</v>
      </c>
      <c r="P69" s="94">
        <v>2</v>
      </c>
      <c r="Q69" s="4">
        <v>0</v>
      </c>
      <c r="R69" s="2">
        <v>0</v>
      </c>
      <c r="S69" s="25" t="s">
        <v>660</v>
      </c>
      <c r="V69" s="41" t="s">
        <v>473</v>
      </c>
      <c r="W69" s="43" t="s">
        <v>392</v>
      </c>
      <c r="AB69" s="2">
        <v>3.21</v>
      </c>
      <c r="AC69" s="2">
        <v>5.87</v>
      </c>
      <c r="AD69" s="2">
        <v>0.28000000000000003</v>
      </c>
    </row>
    <row r="70" spans="1:30" x14ac:dyDescent="0.25">
      <c r="A70" s="25" t="s">
        <v>661</v>
      </c>
      <c r="B70" s="134" t="s">
        <v>662</v>
      </c>
      <c r="C70" s="1">
        <v>1</v>
      </c>
      <c r="D70" s="1">
        <v>1</v>
      </c>
      <c r="E70" s="1">
        <v>1</v>
      </c>
      <c r="F70" s="1" t="s">
        <v>663</v>
      </c>
      <c r="G70" s="1">
        <v>4870</v>
      </c>
      <c r="H70" s="1" t="s">
        <v>364</v>
      </c>
      <c r="I70" s="94">
        <v>155</v>
      </c>
      <c r="J70" s="2">
        <v>0.21</v>
      </c>
      <c r="L70" s="135">
        <v>46174</v>
      </c>
      <c r="M70" s="3" t="s">
        <v>372</v>
      </c>
      <c r="O70" s="1">
        <v>1</v>
      </c>
      <c r="P70" s="94">
        <v>2</v>
      </c>
      <c r="Q70" s="4">
        <v>0</v>
      </c>
      <c r="R70" s="2">
        <v>0</v>
      </c>
      <c r="S70" s="25" t="s">
        <v>664</v>
      </c>
      <c r="V70" s="41" t="s">
        <v>665</v>
      </c>
      <c r="W70" s="43" t="s">
        <v>481</v>
      </c>
      <c r="AB70" s="2">
        <v>3.21</v>
      </c>
      <c r="AC70" s="2">
        <v>12.35</v>
      </c>
      <c r="AD70" s="2">
        <v>0.28000000000000003</v>
      </c>
    </row>
    <row r="71" spans="1:30" x14ac:dyDescent="0.25">
      <c r="A71" s="25" t="s">
        <v>666</v>
      </c>
      <c r="B71" s="134" t="s">
        <v>667</v>
      </c>
      <c r="C71" s="1">
        <v>1</v>
      </c>
      <c r="D71" s="1">
        <v>1</v>
      </c>
      <c r="E71" s="1">
        <v>1</v>
      </c>
      <c r="F71" s="1" t="s">
        <v>668</v>
      </c>
      <c r="G71" s="1">
        <v>2567</v>
      </c>
      <c r="H71" s="1" t="s">
        <v>364</v>
      </c>
      <c r="I71" s="94">
        <v>155</v>
      </c>
      <c r="J71" s="2">
        <v>0.55000000000000004</v>
      </c>
      <c r="L71" s="135">
        <v>46174</v>
      </c>
      <c r="M71" s="3" t="s">
        <v>372</v>
      </c>
      <c r="O71" s="1">
        <v>1</v>
      </c>
      <c r="P71" s="94">
        <v>2</v>
      </c>
      <c r="Q71" s="4">
        <v>0</v>
      </c>
      <c r="R71" s="2">
        <v>0</v>
      </c>
      <c r="S71" s="25" t="s">
        <v>669</v>
      </c>
      <c r="V71" s="41" t="s">
        <v>670</v>
      </c>
      <c r="W71" s="43" t="s">
        <v>392</v>
      </c>
      <c r="AB71" s="2">
        <v>3.21</v>
      </c>
      <c r="AC71" s="2">
        <v>6.36</v>
      </c>
      <c r="AD71" s="2">
        <v>0.28000000000000003</v>
      </c>
    </row>
    <row r="72" spans="1:30" x14ac:dyDescent="0.25">
      <c r="A72" s="25" t="s">
        <v>671</v>
      </c>
      <c r="B72" s="134" t="s">
        <v>672</v>
      </c>
      <c r="C72" s="1">
        <v>1</v>
      </c>
      <c r="D72" s="1">
        <v>5</v>
      </c>
      <c r="E72" s="1">
        <v>5</v>
      </c>
      <c r="F72" s="1" t="s">
        <v>673</v>
      </c>
      <c r="G72" s="1">
        <v>3085</v>
      </c>
      <c r="H72" s="1" t="s">
        <v>364</v>
      </c>
      <c r="I72" s="94">
        <v>155</v>
      </c>
      <c r="J72" s="2">
        <v>0.78400000000000003</v>
      </c>
      <c r="L72" s="135">
        <v>46174</v>
      </c>
      <c r="M72" s="3" t="s">
        <v>365</v>
      </c>
      <c r="O72" s="1">
        <v>1</v>
      </c>
      <c r="P72" s="94">
        <v>2</v>
      </c>
      <c r="Q72" s="4">
        <v>0</v>
      </c>
      <c r="R72" s="2">
        <v>0</v>
      </c>
      <c r="S72" s="25" t="s">
        <v>674</v>
      </c>
      <c r="V72" s="41" t="s">
        <v>675</v>
      </c>
      <c r="W72" s="43" t="s">
        <v>399</v>
      </c>
      <c r="AB72" s="2">
        <v>6.33</v>
      </c>
      <c r="AC72" s="2">
        <v>9.17</v>
      </c>
      <c r="AD72" s="2">
        <v>0.28000000000000003</v>
      </c>
    </row>
    <row r="73" spans="1:30" x14ac:dyDescent="0.25">
      <c r="A73" s="25" t="s">
        <v>676</v>
      </c>
      <c r="B73" s="134" t="s">
        <v>677</v>
      </c>
      <c r="C73" s="1">
        <v>1</v>
      </c>
      <c r="D73" s="1">
        <v>2</v>
      </c>
      <c r="E73" s="1">
        <v>2</v>
      </c>
      <c r="F73" s="1" t="s">
        <v>678</v>
      </c>
      <c r="G73" s="1">
        <v>4883</v>
      </c>
      <c r="H73" s="1" t="s">
        <v>364</v>
      </c>
      <c r="I73" s="94">
        <v>155</v>
      </c>
      <c r="J73" s="2">
        <v>0.309</v>
      </c>
      <c r="L73" s="135">
        <v>46174</v>
      </c>
      <c r="M73" s="3" t="s">
        <v>372</v>
      </c>
      <c r="O73" s="1">
        <v>1</v>
      </c>
      <c r="P73" s="94">
        <v>2</v>
      </c>
      <c r="Q73" s="4">
        <v>0</v>
      </c>
      <c r="R73" s="2">
        <v>0</v>
      </c>
      <c r="S73" s="25" t="s">
        <v>679</v>
      </c>
      <c r="V73" s="41" t="s">
        <v>680</v>
      </c>
      <c r="W73" s="43" t="s">
        <v>481</v>
      </c>
      <c r="AB73" s="2">
        <v>3.99</v>
      </c>
      <c r="AC73" s="2">
        <v>12.35</v>
      </c>
      <c r="AD73" s="2">
        <v>0.28000000000000003</v>
      </c>
    </row>
    <row r="74" spans="1:30" x14ac:dyDescent="0.25">
      <c r="A74" s="25" t="s">
        <v>681</v>
      </c>
      <c r="B74" s="134" t="s">
        <v>682</v>
      </c>
      <c r="C74" s="1">
        <v>1</v>
      </c>
      <c r="D74" s="1">
        <v>4</v>
      </c>
      <c r="E74" s="1">
        <v>4</v>
      </c>
      <c r="F74" s="1" t="s">
        <v>683</v>
      </c>
      <c r="G74" s="1">
        <v>4115</v>
      </c>
      <c r="H74" s="1" t="s">
        <v>364</v>
      </c>
      <c r="I74" s="94">
        <v>155</v>
      </c>
      <c r="J74" s="2">
        <v>1.24</v>
      </c>
      <c r="L74" s="135">
        <v>46174</v>
      </c>
      <c r="M74" s="3" t="s">
        <v>365</v>
      </c>
      <c r="O74" s="1">
        <v>1</v>
      </c>
      <c r="P74" s="94">
        <v>2</v>
      </c>
      <c r="Q74" s="4">
        <v>0</v>
      </c>
      <c r="R74" s="2">
        <v>0</v>
      </c>
      <c r="S74" s="25" t="s">
        <v>684</v>
      </c>
      <c r="V74" s="41" t="s">
        <v>685</v>
      </c>
      <c r="W74" s="43" t="s">
        <v>448</v>
      </c>
      <c r="AB74" s="2">
        <v>5.55</v>
      </c>
      <c r="AC74" s="2">
        <v>9.89</v>
      </c>
      <c r="AD74" s="2">
        <v>0.28000000000000003</v>
      </c>
    </row>
    <row r="75" spans="1:30" x14ac:dyDescent="0.25">
      <c r="A75" s="25" t="s">
        <v>686</v>
      </c>
      <c r="B75" s="134" t="s">
        <v>687</v>
      </c>
      <c r="C75" s="1">
        <v>1</v>
      </c>
      <c r="D75" s="1">
        <v>1</v>
      </c>
      <c r="E75" s="1">
        <v>1</v>
      </c>
      <c r="F75" s="1" t="s">
        <v>688</v>
      </c>
      <c r="G75" s="1">
        <v>5291</v>
      </c>
      <c r="H75" s="1" t="s">
        <v>364</v>
      </c>
      <c r="I75" s="94">
        <v>155</v>
      </c>
      <c r="J75" s="2">
        <v>0.21</v>
      </c>
      <c r="L75" s="135">
        <v>46174</v>
      </c>
      <c r="M75" s="3" t="s">
        <v>372</v>
      </c>
      <c r="O75" s="1">
        <v>1</v>
      </c>
      <c r="P75" s="94">
        <v>2</v>
      </c>
      <c r="Q75" s="4">
        <v>0</v>
      </c>
      <c r="R75" s="2">
        <v>0</v>
      </c>
      <c r="S75" s="25" t="s">
        <v>689</v>
      </c>
      <c r="V75" s="41" t="s">
        <v>690</v>
      </c>
      <c r="W75" s="43" t="s">
        <v>474</v>
      </c>
      <c r="AB75" s="2">
        <v>3.21</v>
      </c>
      <c r="AC75" s="2">
        <v>12.35</v>
      </c>
      <c r="AD75" s="2">
        <v>0.28000000000000003</v>
      </c>
    </row>
    <row r="76" spans="1:30" x14ac:dyDescent="0.25">
      <c r="A76" s="25" t="s">
        <v>691</v>
      </c>
      <c r="B76" s="134" t="s">
        <v>692</v>
      </c>
      <c r="C76" s="1">
        <v>1</v>
      </c>
      <c r="D76" s="1">
        <v>1</v>
      </c>
      <c r="E76" s="1">
        <v>1</v>
      </c>
      <c r="F76" s="1" t="s">
        <v>693</v>
      </c>
      <c r="G76" s="1">
        <v>3196</v>
      </c>
      <c r="H76" s="1" t="s">
        <v>364</v>
      </c>
      <c r="I76" s="94">
        <v>154</v>
      </c>
      <c r="J76" s="2">
        <v>0.46800000000000003</v>
      </c>
      <c r="L76" s="135">
        <v>46174</v>
      </c>
      <c r="M76" s="3" t="s">
        <v>372</v>
      </c>
      <c r="O76" s="1">
        <v>1</v>
      </c>
      <c r="P76" s="94">
        <v>2</v>
      </c>
      <c r="Q76" s="4">
        <v>0</v>
      </c>
      <c r="R76" s="2">
        <v>0</v>
      </c>
      <c r="S76" s="25" t="s">
        <v>694</v>
      </c>
      <c r="V76" s="41" t="s">
        <v>512</v>
      </c>
      <c r="W76" s="43" t="s">
        <v>399</v>
      </c>
      <c r="AB76" s="2">
        <v>3.21</v>
      </c>
      <c r="AC76" s="2">
        <v>11.63</v>
      </c>
      <c r="AD76" s="2">
        <v>0.28000000000000003</v>
      </c>
    </row>
    <row r="77" spans="1:30" x14ac:dyDescent="0.25">
      <c r="A77" s="25" t="s">
        <v>695</v>
      </c>
      <c r="B77" s="134" t="s">
        <v>696</v>
      </c>
      <c r="C77" s="1">
        <v>1</v>
      </c>
      <c r="D77" s="1">
        <v>1</v>
      </c>
      <c r="E77" s="1">
        <v>1</v>
      </c>
      <c r="F77" s="1" t="s">
        <v>697</v>
      </c>
      <c r="G77" s="1">
        <v>5008</v>
      </c>
      <c r="H77" s="1" t="s">
        <v>364</v>
      </c>
      <c r="I77" s="94">
        <v>155</v>
      </c>
      <c r="J77" s="2">
        <v>3.0089999999999999</v>
      </c>
      <c r="L77" s="135">
        <v>46174</v>
      </c>
      <c r="M77" s="3" t="s">
        <v>698</v>
      </c>
      <c r="O77" s="1">
        <v>1</v>
      </c>
      <c r="P77" s="94">
        <v>2</v>
      </c>
      <c r="Q77" s="4">
        <v>0</v>
      </c>
      <c r="R77" s="2">
        <v>0</v>
      </c>
      <c r="S77" s="25" t="s">
        <v>699</v>
      </c>
      <c r="V77" s="41" t="s">
        <v>700</v>
      </c>
      <c r="W77" s="43" t="s">
        <v>442</v>
      </c>
      <c r="AB77" s="2">
        <v>3.21</v>
      </c>
      <c r="AC77" s="2">
        <v>12.66</v>
      </c>
    </row>
    <row r="78" spans="1:30" x14ac:dyDescent="0.25">
      <c r="A78" s="25" t="s">
        <v>701</v>
      </c>
      <c r="B78" s="134" t="s">
        <v>702</v>
      </c>
      <c r="C78" s="1">
        <v>1</v>
      </c>
      <c r="D78" s="1">
        <v>4</v>
      </c>
      <c r="E78" s="1">
        <v>4</v>
      </c>
      <c r="F78" s="1" t="s">
        <v>703</v>
      </c>
      <c r="G78" s="1">
        <v>2010</v>
      </c>
      <c r="H78" s="1" t="s">
        <v>364</v>
      </c>
      <c r="I78" s="94">
        <v>155</v>
      </c>
      <c r="J78" s="2">
        <v>1.696</v>
      </c>
      <c r="L78" s="135">
        <v>46174</v>
      </c>
      <c r="M78" s="3" t="s">
        <v>365</v>
      </c>
      <c r="O78" s="1">
        <v>1</v>
      </c>
      <c r="P78" s="94">
        <v>2</v>
      </c>
      <c r="Q78" s="4">
        <v>0</v>
      </c>
      <c r="R78" s="2">
        <v>0</v>
      </c>
      <c r="S78" s="25" t="s">
        <v>704</v>
      </c>
      <c r="V78" s="41" t="s">
        <v>705</v>
      </c>
      <c r="W78" s="43" t="s">
        <v>392</v>
      </c>
      <c r="AB78" s="2">
        <v>5.55</v>
      </c>
      <c r="AC78" s="2">
        <v>6.36</v>
      </c>
      <c r="AD78" s="2">
        <v>0.28000000000000003</v>
      </c>
    </row>
    <row r="79" spans="1:30" x14ac:dyDescent="0.25">
      <c r="A79" s="25" t="s">
        <v>706</v>
      </c>
      <c r="B79" s="134" t="s">
        <v>707</v>
      </c>
      <c r="C79" s="1">
        <v>1</v>
      </c>
      <c r="D79" s="1">
        <v>1</v>
      </c>
      <c r="E79" s="1">
        <v>1</v>
      </c>
      <c r="F79" s="1" t="s">
        <v>708</v>
      </c>
      <c r="G79" s="1">
        <v>3931</v>
      </c>
      <c r="H79" s="1" t="s">
        <v>364</v>
      </c>
      <c r="I79" s="94">
        <v>155</v>
      </c>
      <c r="J79" s="2">
        <v>0.46</v>
      </c>
      <c r="L79" s="135">
        <v>46174</v>
      </c>
      <c r="M79" s="3" t="s">
        <v>372</v>
      </c>
      <c r="O79" s="1">
        <v>1</v>
      </c>
      <c r="P79" s="94">
        <v>2</v>
      </c>
      <c r="Q79" s="4">
        <v>0</v>
      </c>
      <c r="R79" s="2">
        <v>0</v>
      </c>
      <c r="S79" s="25" t="s">
        <v>709</v>
      </c>
      <c r="V79" s="41" t="s">
        <v>710</v>
      </c>
      <c r="W79" s="43" t="s">
        <v>619</v>
      </c>
      <c r="AB79" s="2">
        <v>3.21</v>
      </c>
      <c r="AC79" s="2">
        <v>8.94</v>
      </c>
      <c r="AD79" s="2">
        <v>0.28000000000000003</v>
      </c>
    </row>
    <row r="80" spans="1:30" x14ac:dyDescent="0.25">
      <c r="A80" s="25" t="s">
        <v>711</v>
      </c>
      <c r="B80" s="134" t="s">
        <v>712</v>
      </c>
      <c r="C80" s="1">
        <v>1</v>
      </c>
      <c r="D80" s="1">
        <v>1</v>
      </c>
      <c r="E80" s="1">
        <v>1</v>
      </c>
      <c r="F80" s="1" t="s">
        <v>713</v>
      </c>
      <c r="G80" s="1">
        <v>2137</v>
      </c>
      <c r="H80" s="1" t="s">
        <v>364</v>
      </c>
      <c r="I80" s="94">
        <v>155</v>
      </c>
      <c r="J80" s="2">
        <v>0.54</v>
      </c>
      <c r="L80" s="135">
        <v>46174</v>
      </c>
      <c r="M80" s="3" t="s">
        <v>372</v>
      </c>
      <c r="O80" s="1">
        <v>1</v>
      </c>
      <c r="P80" s="94">
        <v>2</v>
      </c>
      <c r="Q80" s="4">
        <v>0</v>
      </c>
      <c r="R80" s="2">
        <v>0</v>
      </c>
      <c r="S80" s="25" t="s">
        <v>714</v>
      </c>
      <c r="V80" s="41" t="s">
        <v>715</v>
      </c>
      <c r="W80" s="43" t="s">
        <v>392</v>
      </c>
      <c r="AB80" s="2">
        <v>3.21</v>
      </c>
      <c r="AC80" s="2">
        <v>6.36</v>
      </c>
      <c r="AD80" s="2">
        <v>0.28000000000000003</v>
      </c>
    </row>
    <row r="81" spans="1:30" x14ac:dyDescent="0.25">
      <c r="A81" s="25" t="s">
        <v>716</v>
      </c>
      <c r="B81" s="134" t="s">
        <v>717</v>
      </c>
      <c r="C81" s="1">
        <v>1</v>
      </c>
      <c r="D81" s="1">
        <v>1</v>
      </c>
      <c r="E81" s="1">
        <v>1</v>
      </c>
      <c r="F81" s="1" t="s">
        <v>697</v>
      </c>
      <c r="G81" s="1">
        <v>5008</v>
      </c>
      <c r="H81" s="1" t="s">
        <v>364</v>
      </c>
      <c r="I81" s="94">
        <v>155</v>
      </c>
      <c r="J81" s="2">
        <v>0.55000000000000004</v>
      </c>
      <c r="L81" s="135">
        <v>46174</v>
      </c>
      <c r="M81" s="3" t="s">
        <v>372</v>
      </c>
      <c r="O81" s="1">
        <v>1</v>
      </c>
      <c r="P81" s="94">
        <v>2</v>
      </c>
      <c r="Q81" s="4">
        <v>0</v>
      </c>
      <c r="R81" s="2">
        <v>0</v>
      </c>
      <c r="S81" s="25" t="s">
        <v>718</v>
      </c>
      <c r="V81" s="41" t="s">
        <v>719</v>
      </c>
      <c r="W81" s="43" t="s">
        <v>442</v>
      </c>
      <c r="AB81" s="2">
        <v>3.21</v>
      </c>
      <c r="AC81" s="2">
        <v>9.59</v>
      </c>
      <c r="AD81" s="2">
        <v>0.28000000000000003</v>
      </c>
    </row>
    <row r="82" spans="1:30" x14ac:dyDescent="0.25">
      <c r="A82" s="25" t="s">
        <v>720</v>
      </c>
      <c r="B82" s="134" t="s">
        <v>721</v>
      </c>
      <c r="C82" s="1">
        <v>1</v>
      </c>
      <c r="D82" s="1">
        <v>1</v>
      </c>
      <c r="E82" s="1">
        <v>1</v>
      </c>
      <c r="F82" s="1" t="s">
        <v>722</v>
      </c>
      <c r="G82" s="1">
        <v>2250</v>
      </c>
      <c r="H82" s="1" t="s">
        <v>364</v>
      </c>
      <c r="I82" s="94">
        <v>155</v>
      </c>
      <c r="J82" s="2">
        <v>0.45100000000000001</v>
      </c>
      <c r="L82" s="135">
        <v>46174</v>
      </c>
      <c r="M82" s="3" t="s">
        <v>372</v>
      </c>
      <c r="O82" s="1">
        <v>1</v>
      </c>
      <c r="P82" s="94">
        <v>2</v>
      </c>
      <c r="Q82" s="4">
        <v>0</v>
      </c>
      <c r="R82" s="2">
        <v>0</v>
      </c>
      <c r="S82" s="25" t="s">
        <v>723</v>
      </c>
      <c r="V82" s="41" t="s">
        <v>710</v>
      </c>
      <c r="W82" s="43" t="s">
        <v>724</v>
      </c>
      <c r="AB82" s="2">
        <v>3.21</v>
      </c>
      <c r="AC82" s="2">
        <v>7.71</v>
      </c>
      <c r="AD82" s="2">
        <v>0.28000000000000003</v>
      </c>
    </row>
    <row r="83" spans="1:30" x14ac:dyDescent="0.25">
      <c r="A83" s="25" t="s">
        <v>725</v>
      </c>
      <c r="B83" s="134" t="s">
        <v>726</v>
      </c>
      <c r="C83" s="1">
        <v>1</v>
      </c>
      <c r="D83" s="1">
        <v>1</v>
      </c>
      <c r="E83" s="1">
        <v>1</v>
      </c>
      <c r="F83" s="1" t="s">
        <v>727</v>
      </c>
      <c r="G83" s="1">
        <v>3073</v>
      </c>
      <c r="H83" s="1" t="s">
        <v>364</v>
      </c>
      <c r="I83" s="94">
        <v>155</v>
      </c>
      <c r="J83" s="2">
        <v>0.55000000000000004</v>
      </c>
      <c r="L83" s="135">
        <v>46174</v>
      </c>
      <c r="M83" s="3" t="s">
        <v>372</v>
      </c>
      <c r="O83" s="1">
        <v>1</v>
      </c>
      <c r="P83" s="94">
        <v>2</v>
      </c>
      <c r="Q83" s="4">
        <v>0</v>
      </c>
      <c r="R83" s="2">
        <v>0</v>
      </c>
      <c r="S83" s="25" t="s">
        <v>728</v>
      </c>
      <c r="V83" s="41" t="s">
        <v>670</v>
      </c>
      <c r="W83" s="43" t="s">
        <v>399</v>
      </c>
      <c r="AB83" s="2">
        <v>3.21</v>
      </c>
      <c r="AC83" s="2">
        <v>9.17</v>
      </c>
      <c r="AD83" s="2">
        <v>0.28000000000000003</v>
      </c>
    </row>
    <row r="84" spans="1:30" x14ac:dyDescent="0.25">
      <c r="A84" s="25" t="s">
        <v>729</v>
      </c>
      <c r="B84" s="134" t="s">
        <v>730</v>
      </c>
      <c r="C84" s="1">
        <v>1</v>
      </c>
      <c r="D84" s="1">
        <v>2</v>
      </c>
      <c r="E84" s="1">
        <v>2</v>
      </c>
      <c r="F84" s="1" t="s">
        <v>731</v>
      </c>
      <c r="G84" s="1">
        <v>2705</v>
      </c>
      <c r="H84" s="1" t="s">
        <v>364</v>
      </c>
      <c r="I84" s="94">
        <v>155</v>
      </c>
      <c r="J84" s="2">
        <v>0.36599999999999999</v>
      </c>
      <c r="L84" s="135">
        <v>46174</v>
      </c>
      <c r="M84" s="3" t="s">
        <v>372</v>
      </c>
      <c r="O84" s="1">
        <v>1</v>
      </c>
      <c r="P84" s="94">
        <v>2</v>
      </c>
      <c r="Q84" s="4">
        <v>0</v>
      </c>
      <c r="R84" s="2">
        <v>0</v>
      </c>
      <c r="S84" s="25" t="s">
        <v>732</v>
      </c>
      <c r="V84" s="41" t="s">
        <v>733</v>
      </c>
      <c r="W84" s="43" t="s">
        <v>534</v>
      </c>
      <c r="AB84" s="2">
        <v>3.99</v>
      </c>
      <c r="AC84" s="2">
        <v>11.58</v>
      </c>
      <c r="AD84" s="2">
        <v>0.28000000000000003</v>
      </c>
    </row>
    <row r="85" spans="1:30" x14ac:dyDescent="0.25">
      <c r="A85" s="25" t="s">
        <v>734</v>
      </c>
      <c r="B85" s="134" t="s">
        <v>735</v>
      </c>
      <c r="C85" s="1">
        <v>1</v>
      </c>
      <c r="D85" s="1">
        <v>1</v>
      </c>
      <c r="E85" s="1">
        <v>2</v>
      </c>
      <c r="F85" s="1" t="s">
        <v>505</v>
      </c>
      <c r="G85" s="1">
        <v>6009</v>
      </c>
      <c r="H85" s="1" t="s">
        <v>364</v>
      </c>
      <c r="I85" s="94">
        <v>155</v>
      </c>
      <c r="J85" s="2">
        <v>0.871</v>
      </c>
      <c r="L85" s="135">
        <v>46174</v>
      </c>
      <c r="M85" s="3" t="s">
        <v>372</v>
      </c>
      <c r="O85" s="1">
        <v>1</v>
      </c>
      <c r="P85" s="94">
        <v>2</v>
      </c>
      <c r="Q85" s="4">
        <v>0</v>
      </c>
      <c r="R85" s="2">
        <v>0</v>
      </c>
      <c r="S85" s="25" t="s">
        <v>736</v>
      </c>
      <c r="V85" s="41" t="s">
        <v>737</v>
      </c>
      <c r="W85" s="43" t="s">
        <v>415</v>
      </c>
      <c r="AB85" s="2">
        <v>3.68</v>
      </c>
      <c r="AC85" s="2">
        <v>13.8</v>
      </c>
      <c r="AD85" s="2">
        <v>0.28000000000000003</v>
      </c>
    </row>
    <row r="86" spans="1:30" x14ac:dyDescent="0.25">
      <c r="A86" s="25" t="s">
        <v>738</v>
      </c>
      <c r="B86" s="134" t="s">
        <v>739</v>
      </c>
      <c r="C86" s="1">
        <v>1</v>
      </c>
      <c r="D86" s="1">
        <v>2</v>
      </c>
      <c r="E86" s="1">
        <v>2</v>
      </c>
      <c r="F86" s="1" t="s">
        <v>740</v>
      </c>
      <c r="G86" s="1">
        <v>2115</v>
      </c>
      <c r="H86" s="1" t="s">
        <v>364</v>
      </c>
      <c r="I86" s="94">
        <v>155</v>
      </c>
      <c r="J86" s="2">
        <v>0.36799999999999999</v>
      </c>
      <c r="L86" s="135">
        <v>46174</v>
      </c>
      <c r="M86" s="3" t="s">
        <v>372</v>
      </c>
      <c r="O86" s="1">
        <v>1</v>
      </c>
      <c r="P86" s="94">
        <v>2</v>
      </c>
      <c r="Q86" s="4">
        <v>0</v>
      </c>
      <c r="R86" s="2">
        <v>0</v>
      </c>
      <c r="S86" s="25" t="s">
        <v>741</v>
      </c>
      <c r="V86" s="41" t="s">
        <v>742</v>
      </c>
      <c r="W86" s="43" t="s">
        <v>392</v>
      </c>
      <c r="AB86" s="2">
        <v>3.99</v>
      </c>
      <c r="AC86" s="2">
        <v>5.87</v>
      </c>
      <c r="AD86" s="2">
        <v>0.28000000000000003</v>
      </c>
    </row>
    <row r="87" spans="1:30" x14ac:dyDescent="0.25">
      <c r="A87" s="25" t="s">
        <v>743</v>
      </c>
      <c r="B87" s="134" t="s">
        <v>744</v>
      </c>
      <c r="C87" s="1">
        <v>1</v>
      </c>
      <c r="D87" s="1">
        <v>3</v>
      </c>
      <c r="E87" s="1">
        <v>3</v>
      </c>
      <c r="F87" s="1" t="s">
        <v>745</v>
      </c>
      <c r="G87" s="1">
        <v>3094</v>
      </c>
      <c r="H87" s="1" t="s">
        <v>364</v>
      </c>
      <c r="I87" s="94">
        <v>155</v>
      </c>
      <c r="J87" s="2">
        <v>1.4019999999999999</v>
      </c>
      <c r="L87" s="135">
        <v>46174</v>
      </c>
      <c r="M87" s="3" t="s">
        <v>365</v>
      </c>
      <c r="O87" s="1">
        <v>1</v>
      </c>
      <c r="P87" s="94">
        <v>2</v>
      </c>
      <c r="Q87" s="4">
        <v>0</v>
      </c>
      <c r="R87" s="2">
        <v>0</v>
      </c>
      <c r="S87" s="25" t="s">
        <v>746</v>
      </c>
      <c r="V87" s="41" t="s">
        <v>747</v>
      </c>
      <c r="W87" s="43" t="s">
        <v>399</v>
      </c>
      <c r="AB87" s="2">
        <v>4.7699999999999996</v>
      </c>
      <c r="AC87" s="2">
        <v>9.89</v>
      </c>
      <c r="AD87" s="2">
        <v>0.28000000000000003</v>
      </c>
    </row>
    <row r="88" spans="1:30" x14ac:dyDescent="0.25">
      <c r="A88" s="25" t="s">
        <v>748</v>
      </c>
      <c r="B88" s="134" t="s">
        <v>749</v>
      </c>
      <c r="C88" s="1">
        <v>1</v>
      </c>
      <c r="D88" s="1">
        <v>4</v>
      </c>
      <c r="E88" s="1">
        <v>4</v>
      </c>
      <c r="F88" s="1" t="s">
        <v>750</v>
      </c>
      <c r="G88" s="1">
        <v>3043</v>
      </c>
      <c r="H88" s="1" t="s">
        <v>364</v>
      </c>
      <c r="I88" s="94">
        <v>155</v>
      </c>
      <c r="J88" s="2">
        <v>1.7</v>
      </c>
      <c r="L88" s="135">
        <v>46174</v>
      </c>
      <c r="M88" s="3" t="s">
        <v>396</v>
      </c>
      <c r="O88" s="1">
        <v>1</v>
      </c>
      <c r="P88" s="94">
        <v>2</v>
      </c>
      <c r="Q88" s="4">
        <v>0</v>
      </c>
      <c r="R88" s="2">
        <v>0</v>
      </c>
      <c r="S88" s="25" t="s">
        <v>751</v>
      </c>
      <c r="V88" s="41" t="s">
        <v>705</v>
      </c>
      <c r="W88" s="43" t="s">
        <v>399</v>
      </c>
      <c r="AB88" s="2">
        <v>5.55</v>
      </c>
      <c r="AC88" s="2">
        <v>9.89</v>
      </c>
      <c r="AD88" s="2">
        <v>0</v>
      </c>
    </row>
    <row r="89" spans="1:30" x14ac:dyDescent="0.25">
      <c r="A89" s="25" t="s">
        <v>752</v>
      </c>
      <c r="B89" s="134" t="s">
        <v>753</v>
      </c>
      <c r="C89" s="1">
        <v>1</v>
      </c>
      <c r="D89" s="1">
        <v>2</v>
      </c>
      <c r="E89" s="1">
        <v>2</v>
      </c>
      <c r="F89" s="1" t="s">
        <v>754</v>
      </c>
      <c r="G89" s="1">
        <v>3196</v>
      </c>
      <c r="H89" s="1" t="s">
        <v>364</v>
      </c>
      <c r="I89" s="94">
        <v>155</v>
      </c>
      <c r="J89" s="2">
        <v>1.048</v>
      </c>
      <c r="L89" s="135">
        <v>46174</v>
      </c>
      <c r="M89" s="3" t="s">
        <v>365</v>
      </c>
      <c r="O89" s="1">
        <v>1</v>
      </c>
      <c r="P89" s="94">
        <v>2</v>
      </c>
      <c r="Q89" s="4">
        <v>0</v>
      </c>
      <c r="R89" s="2">
        <v>0</v>
      </c>
      <c r="S89" s="25" t="s">
        <v>755</v>
      </c>
      <c r="V89" s="41" t="s">
        <v>756</v>
      </c>
      <c r="W89" s="43" t="s">
        <v>399</v>
      </c>
      <c r="AB89" s="2">
        <v>3.99</v>
      </c>
      <c r="AC89" s="2">
        <v>9.89</v>
      </c>
      <c r="AD89" s="2">
        <v>0.28000000000000003</v>
      </c>
    </row>
    <row r="90" spans="1:30" x14ac:dyDescent="0.25">
      <c r="A90" s="25" t="s">
        <v>757</v>
      </c>
      <c r="B90" s="134" t="s">
        <v>758</v>
      </c>
      <c r="C90" s="1">
        <v>1</v>
      </c>
      <c r="D90" s="1">
        <v>4</v>
      </c>
      <c r="E90" s="1">
        <v>4</v>
      </c>
      <c r="F90" s="1" t="s">
        <v>759</v>
      </c>
      <c r="G90" s="1">
        <v>3188</v>
      </c>
      <c r="H90" s="1" t="s">
        <v>364</v>
      </c>
      <c r="I90" s="94">
        <v>155</v>
      </c>
      <c r="J90" s="2">
        <v>1.69</v>
      </c>
      <c r="L90" s="135">
        <v>46174</v>
      </c>
      <c r="M90" s="3" t="s">
        <v>396</v>
      </c>
      <c r="O90" s="1">
        <v>1</v>
      </c>
      <c r="P90" s="94">
        <v>2</v>
      </c>
      <c r="Q90" s="4">
        <v>0</v>
      </c>
      <c r="R90" s="2">
        <v>0</v>
      </c>
      <c r="S90" s="25" t="s">
        <v>760</v>
      </c>
      <c r="V90" s="41" t="s">
        <v>705</v>
      </c>
      <c r="W90" s="43" t="s">
        <v>399</v>
      </c>
      <c r="AB90" s="2">
        <v>5.55</v>
      </c>
      <c r="AC90" s="2">
        <v>9.89</v>
      </c>
      <c r="AD90" s="2">
        <v>0</v>
      </c>
    </row>
    <row r="91" spans="1:30" x14ac:dyDescent="0.25">
      <c r="A91" s="25" t="s">
        <v>761</v>
      </c>
      <c r="B91" s="134" t="s">
        <v>762</v>
      </c>
      <c r="C91" s="1">
        <v>1</v>
      </c>
      <c r="D91" s="1">
        <v>3</v>
      </c>
      <c r="E91" s="1">
        <v>3</v>
      </c>
      <c r="F91" s="1" t="s">
        <v>763</v>
      </c>
      <c r="G91" s="1">
        <v>6171</v>
      </c>
      <c r="H91" s="1" t="s">
        <v>364</v>
      </c>
      <c r="I91" s="94">
        <v>155</v>
      </c>
      <c r="J91" s="2">
        <v>1.19</v>
      </c>
      <c r="L91" s="135">
        <v>46174</v>
      </c>
      <c r="M91" s="3" t="s">
        <v>372</v>
      </c>
      <c r="O91" s="1">
        <v>1</v>
      </c>
      <c r="P91" s="94">
        <v>2</v>
      </c>
      <c r="Q91" s="4">
        <v>0</v>
      </c>
      <c r="R91" s="2">
        <v>0</v>
      </c>
      <c r="S91" s="25" t="s">
        <v>764</v>
      </c>
      <c r="V91" s="41" t="s">
        <v>765</v>
      </c>
      <c r="W91" s="43" t="s">
        <v>415</v>
      </c>
      <c r="AB91" s="2">
        <v>4.7699999999999996</v>
      </c>
      <c r="AC91" s="2">
        <v>16.559999999999999</v>
      </c>
      <c r="AD91" s="2">
        <v>0.28000000000000003</v>
      </c>
    </row>
    <row r="92" spans="1:30" x14ac:dyDescent="0.25">
      <c r="A92" s="25" t="s">
        <v>766</v>
      </c>
      <c r="B92" s="134" t="s">
        <v>767</v>
      </c>
      <c r="C92" s="1">
        <v>1</v>
      </c>
      <c r="D92" s="1">
        <v>1</v>
      </c>
      <c r="E92" s="1">
        <v>1</v>
      </c>
      <c r="F92" s="1" t="s">
        <v>768</v>
      </c>
      <c r="G92" s="1">
        <v>810</v>
      </c>
      <c r="H92" s="1" t="s">
        <v>364</v>
      </c>
      <c r="I92" s="94">
        <v>154</v>
      </c>
      <c r="J92" s="2">
        <v>0.45300000000000001</v>
      </c>
      <c r="L92" s="135">
        <v>46174</v>
      </c>
      <c r="M92" s="3" t="s">
        <v>372</v>
      </c>
      <c r="O92" s="1">
        <v>1</v>
      </c>
      <c r="P92" s="94">
        <v>2</v>
      </c>
      <c r="Q92" s="4">
        <v>0</v>
      </c>
      <c r="R92" s="2">
        <v>0</v>
      </c>
      <c r="S92" s="25" t="s">
        <v>769</v>
      </c>
      <c r="V92" s="41" t="s">
        <v>710</v>
      </c>
      <c r="W92" s="43" t="s">
        <v>770</v>
      </c>
      <c r="AB92" s="2">
        <v>3.21</v>
      </c>
      <c r="AC92" s="2">
        <v>21.12</v>
      </c>
      <c r="AD92" s="2">
        <v>0.28000000000000003</v>
      </c>
    </row>
    <row r="93" spans="1:30" x14ac:dyDescent="0.25">
      <c r="A93" s="25" t="s">
        <v>771</v>
      </c>
      <c r="B93" s="134" t="s">
        <v>772</v>
      </c>
      <c r="C93" s="1">
        <v>1</v>
      </c>
      <c r="D93" s="1">
        <v>4</v>
      </c>
      <c r="E93" s="1">
        <v>4</v>
      </c>
      <c r="F93" s="1" t="s">
        <v>773</v>
      </c>
      <c r="G93" s="1">
        <v>2000</v>
      </c>
      <c r="H93" s="1" t="s">
        <v>364</v>
      </c>
      <c r="I93" s="94">
        <v>155</v>
      </c>
      <c r="J93" s="2">
        <v>2.0259999999999998</v>
      </c>
      <c r="L93" s="135">
        <v>46174</v>
      </c>
      <c r="M93" s="3" t="s">
        <v>365</v>
      </c>
      <c r="O93" s="1">
        <v>1</v>
      </c>
      <c r="P93" s="94">
        <v>2</v>
      </c>
      <c r="Q93" s="4">
        <v>0</v>
      </c>
      <c r="R93" s="2">
        <v>0</v>
      </c>
      <c r="S93" s="25" t="s">
        <v>774</v>
      </c>
      <c r="V93" s="41" t="s">
        <v>775</v>
      </c>
      <c r="W93" s="43" t="s">
        <v>392</v>
      </c>
      <c r="AB93" s="2">
        <v>5.55</v>
      </c>
      <c r="AC93" s="2">
        <v>6.41</v>
      </c>
      <c r="AD93" s="2">
        <v>0.28000000000000003</v>
      </c>
    </row>
    <row r="94" spans="1:30" x14ac:dyDescent="0.25">
      <c r="A94" s="25" t="s">
        <v>776</v>
      </c>
      <c r="B94" s="134" t="s">
        <v>777</v>
      </c>
      <c r="C94" s="1">
        <v>1</v>
      </c>
      <c r="D94" s="1">
        <v>5</v>
      </c>
      <c r="E94" s="1">
        <v>5</v>
      </c>
      <c r="F94" s="1" t="s">
        <v>778</v>
      </c>
      <c r="G94" s="1">
        <v>4812</v>
      </c>
      <c r="H94" s="1" t="s">
        <v>364</v>
      </c>
      <c r="I94" s="94">
        <v>155</v>
      </c>
      <c r="J94" s="2">
        <v>2.2240000000000002</v>
      </c>
      <c r="L94" s="135">
        <v>46174</v>
      </c>
      <c r="M94" s="3" t="s">
        <v>365</v>
      </c>
      <c r="O94" s="1">
        <v>1</v>
      </c>
      <c r="P94" s="94">
        <v>2</v>
      </c>
      <c r="Q94" s="4">
        <v>0</v>
      </c>
      <c r="R94" s="2">
        <v>0</v>
      </c>
      <c r="S94" s="25" t="s">
        <v>779</v>
      </c>
      <c r="V94" s="41" t="s">
        <v>780</v>
      </c>
      <c r="W94" s="43" t="s">
        <v>481</v>
      </c>
      <c r="AB94" s="2">
        <v>6.33</v>
      </c>
      <c r="AC94" s="2">
        <v>29.75</v>
      </c>
      <c r="AD94" s="2">
        <v>0.28000000000000003</v>
      </c>
    </row>
    <row r="95" spans="1:30" x14ac:dyDescent="0.25">
      <c r="A95" s="25" t="s">
        <v>781</v>
      </c>
      <c r="B95" s="134" t="s">
        <v>782</v>
      </c>
      <c r="C95" s="1">
        <v>1</v>
      </c>
      <c r="D95" s="1">
        <v>1</v>
      </c>
      <c r="E95" s="1">
        <v>1</v>
      </c>
      <c r="F95" s="1" t="s">
        <v>783</v>
      </c>
      <c r="G95" s="1">
        <v>4065</v>
      </c>
      <c r="H95" s="1" t="s">
        <v>364</v>
      </c>
      <c r="I95" s="94">
        <v>155</v>
      </c>
      <c r="J95" s="2">
        <v>2</v>
      </c>
      <c r="L95" s="135">
        <v>46174</v>
      </c>
      <c r="M95" s="3" t="s">
        <v>698</v>
      </c>
      <c r="O95" s="1">
        <v>1</v>
      </c>
      <c r="P95" s="94">
        <v>2</v>
      </c>
      <c r="Q95" s="4">
        <v>0</v>
      </c>
      <c r="R95" s="2">
        <v>0</v>
      </c>
      <c r="S95" s="25" t="s">
        <v>784</v>
      </c>
      <c r="V95" s="41" t="s">
        <v>785</v>
      </c>
      <c r="W95" s="43" t="s">
        <v>448</v>
      </c>
      <c r="AB95" s="2">
        <v>3.21</v>
      </c>
      <c r="AC95" s="2">
        <v>9.89</v>
      </c>
      <c r="AD95" s="2">
        <v>0</v>
      </c>
    </row>
    <row r="96" spans="1:30" x14ac:dyDescent="0.25">
      <c r="A96" s="25" t="s">
        <v>786</v>
      </c>
      <c r="B96" s="134" t="s">
        <v>787</v>
      </c>
      <c r="C96" s="1">
        <v>1</v>
      </c>
      <c r="D96" s="1">
        <v>1</v>
      </c>
      <c r="E96" s="1">
        <v>1</v>
      </c>
      <c r="F96" s="1" t="s">
        <v>788</v>
      </c>
      <c r="G96" s="1">
        <v>7011</v>
      </c>
      <c r="H96" s="1" t="s">
        <v>364</v>
      </c>
      <c r="I96" s="94">
        <v>155</v>
      </c>
      <c r="J96" s="2">
        <v>0.47</v>
      </c>
      <c r="L96" s="135">
        <v>46174</v>
      </c>
      <c r="M96" s="3" t="s">
        <v>372</v>
      </c>
      <c r="O96" s="1">
        <v>1</v>
      </c>
      <c r="P96" s="94">
        <v>2</v>
      </c>
      <c r="Q96" s="4">
        <v>0</v>
      </c>
      <c r="R96" s="2">
        <v>0</v>
      </c>
      <c r="S96" s="25" t="s">
        <v>789</v>
      </c>
      <c r="V96" s="41" t="s">
        <v>491</v>
      </c>
      <c r="W96" s="43" t="s">
        <v>375</v>
      </c>
      <c r="AB96" s="2">
        <v>3.21</v>
      </c>
      <c r="AC96" s="2">
        <v>9.31</v>
      </c>
      <c r="AD96" s="2">
        <v>0.28000000000000003</v>
      </c>
    </row>
    <row r="97" spans="1:30" x14ac:dyDescent="0.25">
      <c r="A97" s="25" t="s">
        <v>790</v>
      </c>
      <c r="B97" s="134" t="s">
        <v>791</v>
      </c>
      <c r="C97" s="1">
        <v>1</v>
      </c>
      <c r="D97" s="1">
        <v>1</v>
      </c>
      <c r="E97" s="1">
        <v>1</v>
      </c>
      <c r="F97" s="1" t="s">
        <v>792</v>
      </c>
      <c r="G97" s="1">
        <v>3030</v>
      </c>
      <c r="H97" s="1" t="s">
        <v>364</v>
      </c>
      <c r="I97" s="94">
        <v>155</v>
      </c>
      <c r="J97" s="2">
        <v>0.21</v>
      </c>
      <c r="L97" s="135">
        <v>46174</v>
      </c>
      <c r="M97" s="3" t="s">
        <v>372</v>
      </c>
      <c r="O97" s="1">
        <v>1</v>
      </c>
      <c r="P97" s="94">
        <v>2</v>
      </c>
      <c r="Q97" s="4">
        <v>0</v>
      </c>
      <c r="R97" s="2">
        <v>0</v>
      </c>
      <c r="S97" s="25" t="s">
        <v>793</v>
      </c>
      <c r="V97" s="41" t="s">
        <v>794</v>
      </c>
      <c r="W97" s="43" t="s">
        <v>399</v>
      </c>
      <c r="AB97" s="2">
        <v>3.21</v>
      </c>
      <c r="AC97" s="2">
        <v>7.39</v>
      </c>
      <c r="AD97" s="2">
        <v>0.28000000000000003</v>
      </c>
    </row>
    <row r="98" spans="1:30" x14ac:dyDescent="0.25">
      <c r="A98" s="25" t="s">
        <v>795</v>
      </c>
      <c r="B98" s="134" t="s">
        <v>796</v>
      </c>
      <c r="C98" s="1">
        <v>1</v>
      </c>
      <c r="D98" s="1">
        <v>1</v>
      </c>
      <c r="E98" s="1">
        <v>2</v>
      </c>
      <c r="F98" s="1" t="s">
        <v>797</v>
      </c>
      <c r="G98" s="1">
        <v>6112</v>
      </c>
      <c r="H98" s="1" t="s">
        <v>364</v>
      </c>
      <c r="I98" s="94">
        <v>155</v>
      </c>
      <c r="J98" s="2">
        <v>0.48599999999999999</v>
      </c>
      <c r="L98" s="135">
        <v>46174</v>
      </c>
      <c r="M98" s="3" t="s">
        <v>372</v>
      </c>
      <c r="O98" s="1">
        <v>1</v>
      </c>
      <c r="P98" s="94">
        <v>2</v>
      </c>
      <c r="Q98" s="4">
        <v>0</v>
      </c>
      <c r="R98" s="2">
        <v>0</v>
      </c>
      <c r="S98" s="25" t="s">
        <v>798</v>
      </c>
      <c r="V98" s="41" t="s">
        <v>799</v>
      </c>
      <c r="W98" s="43" t="s">
        <v>415</v>
      </c>
      <c r="AB98" s="2">
        <v>3.68</v>
      </c>
      <c r="AC98" s="2">
        <v>8.7899999999999991</v>
      </c>
      <c r="AD98" s="2">
        <v>0.28000000000000003</v>
      </c>
    </row>
    <row r="99" spans="1:30" x14ac:dyDescent="0.25">
      <c r="A99" s="25" t="s">
        <v>800</v>
      </c>
      <c r="B99" s="134" t="s">
        <v>801</v>
      </c>
      <c r="C99" s="1">
        <v>1</v>
      </c>
      <c r="D99" s="1">
        <v>1</v>
      </c>
      <c r="E99" s="1">
        <v>1</v>
      </c>
      <c r="F99" s="1" t="s">
        <v>802</v>
      </c>
      <c r="G99" s="1">
        <v>5000</v>
      </c>
      <c r="H99" s="1" t="s">
        <v>364</v>
      </c>
      <c r="I99" s="94">
        <v>155</v>
      </c>
      <c r="J99" s="2">
        <v>0.21</v>
      </c>
      <c r="L99" s="135">
        <v>46174</v>
      </c>
      <c r="M99" s="3" t="s">
        <v>372</v>
      </c>
      <c r="O99" s="1">
        <v>1</v>
      </c>
      <c r="P99" s="94">
        <v>2</v>
      </c>
      <c r="Q99" s="4">
        <v>0</v>
      </c>
      <c r="R99" s="2">
        <v>0</v>
      </c>
      <c r="S99" s="25" t="s">
        <v>803</v>
      </c>
      <c r="V99" s="41" t="s">
        <v>690</v>
      </c>
      <c r="W99" s="43" t="s">
        <v>442</v>
      </c>
      <c r="AB99" s="2">
        <v>3.21</v>
      </c>
      <c r="AC99" s="2">
        <v>7.62</v>
      </c>
      <c r="AD99" s="2">
        <v>0.28000000000000003</v>
      </c>
    </row>
    <row r="100" spans="1:30" x14ac:dyDescent="0.25">
      <c r="A100" s="25" t="s">
        <v>804</v>
      </c>
      <c r="B100" s="134" t="s">
        <v>805</v>
      </c>
      <c r="C100" s="1">
        <v>1</v>
      </c>
      <c r="D100" s="1">
        <v>1</v>
      </c>
      <c r="E100" s="1">
        <v>1</v>
      </c>
      <c r="F100" s="1" t="s">
        <v>806</v>
      </c>
      <c r="G100" s="1">
        <v>2747</v>
      </c>
      <c r="H100" s="1" t="s">
        <v>364</v>
      </c>
      <c r="I100" s="94">
        <v>155</v>
      </c>
      <c r="J100" s="2">
        <v>0.57599999999999996</v>
      </c>
      <c r="L100" s="135">
        <v>46174</v>
      </c>
      <c r="M100" s="3" t="s">
        <v>372</v>
      </c>
      <c r="O100" s="1">
        <v>1</v>
      </c>
      <c r="P100" s="94">
        <v>2</v>
      </c>
      <c r="Q100" s="4">
        <v>0</v>
      </c>
      <c r="R100" s="2">
        <v>0</v>
      </c>
      <c r="S100" s="25" t="s">
        <v>807</v>
      </c>
      <c r="V100" s="41" t="s">
        <v>808</v>
      </c>
      <c r="W100" s="43" t="s">
        <v>392</v>
      </c>
      <c r="AB100" s="2">
        <v>3.21</v>
      </c>
      <c r="AC100" s="2">
        <v>6.36</v>
      </c>
      <c r="AD100" s="2">
        <v>0.28000000000000003</v>
      </c>
    </row>
    <row r="101" spans="1:30" x14ac:dyDescent="0.25">
      <c r="A101" s="25" t="s">
        <v>809</v>
      </c>
      <c r="B101" s="134" t="s">
        <v>810</v>
      </c>
      <c r="C101" s="1">
        <v>1</v>
      </c>
      <c r="D101" s="1">
        <v>2</v>
      </c>
      <c r="E101" s="1">
        <v>3</v>
      </c>
      <c r="F101" s="1" t="s">
        <v>811</v>
      </c>
      <c r="G101" s="1">
        <v>3079</v>
      </c>
      <c r="H101" s="1" t="s">
        <v>364</v>
      </c>
      <c r="I101" s="94">
        <v>155</v>
      </c>
      <c r="J101" s="2">
        <v>1.3109999999999999</v>
      </c>
      <c r="L101" s="135">
        <v>46174</v>
      </c>
      <c r="M101" s="3" t="s">
        <v>365</v>
      </c>
      <c r="O101" s="1">
        <v>1</v>
      </c>
      <c r="P101" s="94">
        <v>2</v>
      </c>
      <c r="Q101" s="4">
        <v>0</v>
      </c>
      <c r="R101" s="2">
        <v>0</v>
      </c>
      <c r="S101" s="25" t="s">
        <v>812</v>
      </c>
      <c r="V101" s="41" t="s">
        <v>813</v>
      </c>
      <c r="W101" s="43" t="s">
        <v>399</v>
      </c>
      <c r="AB101" s="2">
        <v>4.46</v>
      </c>
      <c r="AC101" s="2">
        <v>9.89</v>
      </c>
      <c r="AD101" s="2">
        <v>0.28000000000000003</v>
      </c>
    </row>
    <row r="102" spans="1:30" x14ac:dyDescent="0.25">
      <c r="A102" s="25" t="s">
        <v>814</v>
      </c>
      <c r="B102" s="134" t="s">
        <v>815</v>
      </c>
      <c r="C102" s="1">
        <v>1</v>
      </c>
      <c r="D102" s="1">
        <v>1</v>
      </c>
      <c r="E102" s="1">
        <v>1</v>
      </c>
      <c r="F102" s="1" t="s">
        <v>816</v>
      </c>
      <c r="G102" s="1">
        <v>2233</v>
      </c>
      <c r="H102" s="1" t="s">
        <v>364</v>
      </c>
      <c r="I102" s="94">
        <v>155</v>
      </c>
      <c r="J102" s="2">
        <v>0.48</v>
      </c>
      <c r="L102" s="135">
        <v>46174</v>
      </c>
      <c r="M102" s="3" t="s">
        <v>372</v>
      </c>
      <c r="O102" s="1">
        <v>1</v>
      </c>
      <c r="P102" s="94">
        <v>2</v>
      </c>
      <c r="Q102" s="4">
        <v>0</v>
      </c>
      <c r="R102" s="2">
        <v>0</v>
      </c>
      <c r="S102" s="25" t="s">
        <v>817</v>
      </c>
      <c r="V102" s="41" t="s">
        <v>818</v>
      </c>
      <c r="W102" s="43" t="s">
        <v>392</v>
      </c>
      <c r="AB102" s="2">
        <v>3.21</v>
      </c>
      <c r="AC102" s="2">
        <v>5.87</v>
      </c>
      <c r="AD102" s="2">
        <v>0.28000000000000003</v>
      </c>
    </row>
    <row r="103" spans="1:30" x14ac:dyDescent="0.25">
      <c r="A103" s="25" t="s">
        <v>819</v>
      </c>
      <c r="B103" s="134" t="s">
        <v>820</v>
      </c>
      <c r="C103" s="1">
        <v>1</v>
      </c>
      <c r="D103" s="1">
        <v>2</v>
      </c>
      <c r="E103" s="1">
        <v>2</v>
      </c>
      <c r="F103" s="1" t="s">
        <v>821</v>
      </c>
      <c r="G103" s="1">
        <v>3205</v>
      </c>
      <c r="H103" s="1" t="s">
        <v>364</v>
      </c>
      <c r="I103" s="94">
        <v>155</v>
      </c>
      <c r="J103" s="2">
        <v>0.45100000000000001</v>
      </c>
      <c r="L103" s="135">
        <v>46174</v>
      </c>
      <c r="M103" s="3" t="s">
        <v>365</v>
      </c>
      <c r="O103" s="1">
        <v>1</v>
      </c>
      <c r="P103" s="94">
        <v>2</v>
      </c>
      <c r="Q103" s="4">
        <v>0</v>
      </c>
      <c r="R103" s="2">
        <v>0</v>
      </c>
      <c r="S103" s="25" t="s">
        <v>822</v>
      </c>
      <c r="V103" s="41" t="s">
        <v>823</v>
      </c>
      <c r="W103" s="43" t="s">
        <v>399</v>
      </c>
      <c r="AB103" s="2">
        <v>3.99</v>
      </c>
      <c r="AC103" s="2">
        <v>7.39</v>
      </c>
      <c r="AD103" s="2">
        <v>0.28000000000000003</v>
      </c>
    </row>
    <row r="104" spans="1:30" x14ac:dyDescent="0.25">
      <c r="A104" s="25" t="s">
        <v>824</v>
      </c>
      <c r="B104" s="134" t="s">
        <v>825</v>
      </c>
      <c r="C104" s="1">
        <v>1</v>
      </c>
      <c r="D104" s="1">
        <v>2</v>
      </c>
      <c r="E104" s="1">
        <v>2</v>
      </c>
      <c r="F104" s="1" t="s">
        <v>826</v>
      </c>
      <c r="G104" s="1">
        <v>2320</v>
      </c>
      <c r="H104" s="1" t="s">
        <v>364</v>
      </c>
      <c r="I104" s="94">
        <v>155</v>
      </c>
      <c r="J104" s="2">
        <v>0.90100000000000002</v>
      </c>
      <c r="L104" s="135">
        <v>46174</v>
      </c>
      <c r="M104" s="3" t="s">
        <v>365</v>
      </c>
      <c r="O104" s="1">
        <v>1</v>
      </c>
      <c r="P104" s="94">
        <v>2</v>
      </c>
      <c r="Q104" s="4">
        <v>0</v>
      </c>
      <c r="R104" s="2">
        <v>0</v>
      </c>
      <c r="S104" s="25" t="s">
        <v>827</v>
      </c>
      <c r="V104" s="41" t="s">
        <v>828</v>
      </c>
      <c r="W104" s="43" t="s">
        <v>534</v>
      </c>
      <c r="AB104" s="2">
        <v>3.99</v>
      </c>
      <c r="AC104" s="2">
        <v>14.69</v>
      </c>
      <c r="AD104" s="2">
        <v>0.28000000000000003</v>
      </c>
    </row>
    <row r="105" spans="1:30" x14ac:dyDescent="0.25">
      <c r="A105" s="25" t="s">
        <v>829</v>
      </c>
      <c r="B105" s="134" t="s">
        <v>830</v>
      </c>
      <c r="C105" s="1">
        <v>1</v>
      </c>
      <c r="D105" s="1">
        <v>3</v>
      </c>
      <c r="E105" s="1">
        <v>3</v>
      </c>
      <c r="F105" s="1" t="s">
        <v>831</v>
      </c>
      <c r="G105" s="1">
        <v>2539</v>
      </c>
      <c r="H105" s="1" t="s">
        <v>364</v>
      </c>
      <c r="I105" s="94">
        <v>155</v>
      </c>
      <c r="J105" s="2">
        <v>1.3</v>
      </c>
      <c r="L105" s="135">
        <v>46174</v>
      </c>
      <c r="M105" s="3" t="s">
        <v>365</v>
      </c>
      <c r="O105" s="1">
        <v>1</v>
      </c>
      <c r="P105" s="94">
        <v>2</v>
      </c>
      <c r="Q105" s="4">
        <v>0</v>
      </c>
      <c r="R105" s="2">
        <v>0</v>
      </c>
      <c r="S105" s="25" t="s">
        <v>832</v>
      </c>
      <c r="V105" s="41" t="s">
        <v>833</v>
      </c>
      <c r="W105" s="43" t="s">
        <v>534</v>
      </c>
      <c r="AB105" s="2">
        <v>4.7699999999999996</v>
      </c>
      <c r="AC105" s="2">
        <v>16.25</v>
      </c>
      <c r="AD105" s="2">
        <v>0.28000000000000003</v>
      </c>
    </row>
    <row r="106" spans="1:30" x14ac:dyDescent="0.25">
      <c r="A106" s="25" t="s">
        <v>834</v>
      </c>
      <c r="B106" s="134" t="s">
        <v>835</v>
      </c>
      <c r="C106" s="1">
        <v>1</v>
      </c>
      <c r="D106" s="1">
        <v>1</v>
      </c>
      <c r="E106" s="1">
        <v>1</v>
      </c>
      <c r="F106" s="1" t="s">
        <v>836</v>
      </c>
      <c r="G106" s="1">
        <v>3335</v>
      </c>
      <c r="H106" s="1" t="s">
        <v>364</v>
      </c>
      <c r="I106" s="94">
        <v>155</v>
      </c>
      <c r="J106" s="2">
        <v>0.5</v>
      </c>
      <c r="L106" s="135">
        <v>46174</v>
      </c>
      <c r="M106" s="3" t="s">
        <v>365</v>
      </c>
      <c r="N106" s="1" t="s">
        <v>539</v>
      </c>
      <c r="O106" s="1">
        <v>1</v>
      </c>
      <c r="P106" s="94">
        <v>2</v>
      </c>
      <c r="Q106" s="4">
        <v>0</v>
      </c>
      <c r="R106" s="2">
        <v>0</v>
      </c>
      <c r="S106" s="25" t="s">
        <v>837</v>
      </c>
      <c r="V106" s="41" t="s">
        <v>559</v>
      </c>
      <c r="W106" s="43" t="s">
        <v>619</v>
      </c>
      <c r="AB106" s="2">
        <v>3.21</v>
      </c>
      <c r="AC106" s="2">
        <v>8.94</v>
      </c>
      <c r="AD106" s="2">
        <v>0.28000000000000003</v>
      </c>
    </row>
    <row r="107" spans="1:30" x14ac:dyDescent="0.25">
      <c r="A107" s="25" t="s">
        <v>838</v>
      </c>
      <c r="B107" s="134" t="s">
        <v>839</v>
      </c>
      <c r="C107" s="1">
        <v>1</v>
      </c>
      <c r="D107" s="1">
        <v>2</v>
      </c>
      <c r="E107" s="1">
        <v>2</v>
      </c>
      <c r="F107" s="1" t="s">
        <v>840</v>
      </c>
      <c r="G107" s="1">
        <v>2114</v>
      </c>
      <c r="H107" s="1" t="s">
        <v>364</v>
      </c>
      <c r="I107" s="94">
        <v>155</v>
      </c>
      <c r="J107" s="2">
        <v>0.88</v>
      </c>
      <c r="L107" s="135">
        <v>46174</v>
      </c>
      <c r="M107" s="3" t="s">
        <v>365</v>
      </c>
      <c r="O107" s="1">
        <v>1</v>
      </c>
      <c r="P107" s="94">
        <v>2</v>
      </c>
      <c r="Q107" s="4">
        <v>0</v>
      </c>
      <c r="R107" s="2">
        <v>0</v>
      </c>
      <c r="S107" s="25" t="s">
        <v>841</v>
      </c>
      <c r="V107" s="41" t="s">
        <v>842</v>
      </c>
      <c r="W107" s="43" t="s">
        <v>392</v>
      </c>
      <c r="AB107" s="2">
        <v>3.99</v>
      </c>
      <c r="AC107" s="2">
        <v>6.36</v>
      </c>
      <c r="AD107" s="2">
        <v>0.28000000000000003</v>
      </c>
    </row>
    <row r="108" spans="1:30" x14ac:dyDescent="0.25">
      <c r="A108" s="25" t="s">
        <v>843</v>
      </c>
      <c r="B108" s="134" t="s">
        <v>844</v>
      </c>
      <c r="C108" s="1">
        <v>1</v>
      </c>
      <c r="D108" s="1">
        <v>1</v>
      </c>
      <c r="E108" s="1">
        <v>1</v>
      </c>
      <c r="F108" s="1" t="s">
        <v>845</v>
      </c>
      <c r="G108" s="1">
        <v>3161</v>
      </c>
      <c r="H108" s="1" t="s">
        <v>364</v>
      </c>
      <c r="I108" s="94">
        <v>155</v>
      </c>
      <c r="J108" s="2">
        <v>0.52</v>
      </c>
      <c r="L108" s="135">
        <v>46174</v>
      </c>
      <c r="M108" s="3" t="s">
        <v>372</v>
      </c>
      <c r="O108" s="1">
        <v>1</v>
      </c>
      <c r="P108" s="94">
        <v>2</v>
      </c>
      <c r="Q108" s="4">
        <v>0</v>
      </c>
      <c r="R108" s="2">
        <v>0</v>
      </c>
      <c r="S108" s="25" t="s">
        <v>846</v>
      </c>
      <c r="V108" s="41" t="s">
        <v>847</v>
      </c>
      <c r="W108" s="43" t="s">
        <v>399</v>
      </c>
      <c r="AB108" s="2">
        <v>3.21</v>
      </c>
      <c r="AC108" s="2">
        <v>9.17</v>
      </c>
      <c r="AD108" s="2">
        <v>0.28000000000000003</v>
      </c>
    </row>
    <row r="109" spans="1:30" x14ac:dyDescent="0.25">
      <c r="A109" s="25" t="s">
        <v>848</v>
      </c>
      <c r="B109" s="134" t="s">
        <v>849</v>
      </c>
      <c r="C109" s="1">
        <v>1</v>
      </c>
      <c r="D109" s="1">
        <v>4</v>
      </c>
      <c r="E109" s="1">
        <v>4</v>
      </c>
      <c r="F109" s="1" t="s">
        <v>850</v>
      </c>
      <c r="G109" s="1">
        <v>6020</v>
      </c>
      <c r="H109" s="1" t="s">
        <v>364</v>
      </c>
      <c r="I109" s="94">
        <v>155</v>
      </c>
      <c r="J109" s="2">
        <v>1.7</v>
      </c>
      <c r="L109" s="135">
        <v>46174</v>
      </c>
      <c r="M109" s="3" t="s">
        <v>365</v>
      </c>
      <c r="O109" s="1">
        <v>1</v>
      </c>
      <c r="P109" s="94">
        <v>2</v>
      </c>
      <c r="Q109" s="4">
        <v>0</v>
      </c>
      <c r="R109" s="2">
        <v>0</v>
      </c>
      <c r="S109" s="25" t="s">
        <v>851</v>
      </c>
      <c r="V109" s="41" t="s">
        <v>705</v>
      </c>
      <c r="W109" s="43" t="s">
        <v>415</v>
      </c>
      <c r="AB109" s="2">
        <v>5.55</v>
      </c>
      <c r="AC109" s="2">
        <v>16.559999999999999</v>
      </c>
      <c r="AD109" s="2">
        <v>0.28000000000000003</v>
      </c>
    </row>
    <row r="110" spans="1:30" x14ac:dyDescent="0.25">
      <c r="A110" s="25" t="s">
        <v>852</v>
      </c>
      <c r="B110" s="134" t="s">
        <v>853</v>
      </c>
      <c r="C110" s="1">
        <v>1</v>
      </c>
      <c r="D110" s="1">
        <v>1</v>
      </c>
      <c r="E110" s="1">
        <v>1</v>
      </c>
      <c r="F110" s="1" t="s">
        <v>854</v>
      </c>
      <c r="G110" s="1">
        <v>4575</v>
      </c>
      <c r="H110" s="1" t="s">
        <v>364</v>
      </c>
      <c r="I110" s="94">
        <v>154</v>
      </c>
      <c r="J110" s="2">
        <v>0.52</v>
      </c>
      <c r="L110" s="135">
        <v>46174</v>
      </c>
      <c r="M110" s="3" t="s">
        <v>372</v>
      </c>
      <c r="O110" s="1">
        <v>1</v>
      </c>
      <c r="P110" s="94">
        <v>2</v>
      </c>
      <c r="Q110" s="4">
        <v>0</v>
      </c>
      <c r="R110" s="2">
        <v>0</v>
      </c>
      <c r="S110" s="25" t="s">
        <v>855</v>
      </c>
      <c r="V110" s="41" t="s">
        <v>856</v>
      </c>
      <c r="W110" s="43" t="s">
        <v>487</v>
      </c>
      <c r="AB110" s="2">
        <v>3.21</v>
      </c>
      <c r="AC110" s="2">
        <v>16.37</v>
      </c>
      <c r="AD110" s="2">
        <v>0.28000000000000003</v>
      </c>
    </row>
    <row r="111" spans="1:30" x14ac:dyDescent="0.25">
      <c r="A111" s="25" t="s">
        <v>857</v>
      </c>
      <c r="B111" s="134" t="s">
        <v>858</v>
      </c>
      <c r="C111" s="1">
        <v>1</v>
      </c>
      <c r="D111" s="1">
        <v>7</v>
      </c>
      <c r="E111" s="1">
        <v>7</v>
      </c>
      <c r="F111" s="1" t="s">
        <v>859</v>
      </c>
      <c r="G111" s="1">
        <v>6073</v>
      </c>
      <c r="H111" s="1" t="s">
        <v>364</v>
      </c>
      <c r="I111" s="94">
        <v>155</v>
      </c>
      <c r="J111" s="2">
        <v>1.1000000000000001</v>
      </c>
      <c r="L111" s="135">
        <v>46174</v>
      </c>
      <c r="M111" s="3" t="s">
        <v>365</v>
      </c>
      <c r="O111" s="1">
        <v>1</v>
      </c>
      <c r="P111" s="94">
        <v>2</v>
      </c>
      <c r="Q111" s="4">
        <v>0</v>
      </c>
      <c r="R111" s="2">
        <v>0</v>
      </c>
      <c r="S111" s="25" t="s">
        <v>860</v>
      </c>
      <c r="V111" s="41" t="s">
        <v>861</v>
      </c>
      <c r="W111" s="43" t="s">
        <v>426</v>
      </c>
      <c r="AB111" s="2">
        <v>7.89</v>
      </c>
      <c r="AC111" s="2">
        <v>16.899999999999999</v>
      </c>
      <c r="AD111" s="2">
        <v>0.28000000000000003</v>
      </c>
    </row>
    <row r="112" spans="1:30" x14ac:dyDescent="0.25">
      <c r="A112" s="25" t="s">
        <v>862</v>
      </c>
      <c r="B112" s="134" t="s">
        <v>863</v>
      </c>
      <c r="C112" s="1">
        <v>1</v>
      </c>
      <c r="D112" s="1">
        <v>1</v>
      </c>
      <c r="E112" s="1">
        <v>1</v>
      </c>
      <c r="F112" s="1" t="s">
        <v>864</v>
      </c>
      <c r="G112" s="1">
        <v>828</v>
      </c>
      <c r="H112" s="1" t="s">
        <v>364</v>
      </c>
      <c r="I112" s="94">
        <v>155</v>
      </c>
      <c r="J112" s="2">
        <v>0.46</v>
      </c>
      <c r="L112" s="135">
        <v>46174</v>
      </c>
      <c r="M112" s="3" t="s">
        <v>372</v>
      </c>
      <c r="O112" s="1">
        <v>1</v>
      </c>
      <c r="P112" s="94">
        <v>2</v>
      </c>
      <c r="Q112" s="4">
        <v>0</v>
      </c>
      <c r="R112" s="2">
        <v>0</v>
      </c>
      <c r="S112" s="25" t="s">
        <v>865</v>
      </c>
      <c r="V112" s="41" t="s">
        <v>866</v>
      </c>
      <c r="W112" s="43" t="s">
        <v>770</v>
      </c>
      <c r="AB112" s="2">
        <v>3.21</v>
      </c>
      <c r="AC112" s="2">
        <v>12.46</v>
      </c>
      <c r="AD112" s="2">
        <v>0.28000000000000003</v>
      </c>
    </row>
    <row r="113" spans="1:30" x14ac:dyDescent="0.25">
      <c r="A113" s="25" t="s">
        <v>867</v>
      </c>
      <c r="B113" s="134" t="s">
        <v>868</v>
      </c>
      <c r="C113" s="1">
        <v>1</v>
      </c>
      <c r="D113" s="1">
        <v>1</v>
      </c>
      <c r="E113" s="1">
        <v>1</v>
      </c>
      <c r="F113" s="1" t="s">
        <v>869</v>
      </c>
      <c r="G113" s="1">
        <v>6005</v>
      </c>
      <c r="H113" s="1" t="s">
        <v>364</v>
      </c>
      <c r="I113" s="94">
        <v>155</v>
      </c>
      <c r="J113" s="2">
        <v>0.55000000000000004</v>
      </c>
      <c r="L113" s="135">
        <v>46174</v>
      </c>
      <c r="M113" s="3" t="s">
        <v>372</v>
      </c>
      <c r="O113" s="1">
        <v>1</v>
      </c>
      <c r="P113" s="94">
        <v>2</v>
      </c>
      <c r="Q113" s="4">
        <v>0</v>
      </c>
      <c r="R113" s="2">
        <v>0</v>
      </c>
      <c r="S113" s="25" t="s">
        <v>870</v>
      </c>
      <c r="V113" s="41" t="s">
        <v>871</v>
      </c>
      <c r="W113" s="43" t="s">
        <v>415</v>
      </c>
      <c r="AB113" s="2">
        <v>3.21</v>
      </c>
      <c r="AC113" s="2">
        <v>13.8</v>
      </c>
      <c r="AD113" s="2">
        <v>0.28000000000000003</v>
      </c>
    </row>
    <row r="114" spans="1:30" x14ac:dyDescent="0.25">
      <c r="A114" s="25" t="s">
        <v>872</v>
      </c>
      <c r="B114" s="134" t="s">
        <v>873</v>
      </c>
      <c r="C114" s="1">
        <v>1</v>
      </c>
      <c r="D114" s="1">
        <v>2</v>
      </c>
      <c r="E114" s="1">
        <v>2</v>
      </c>
      <c r="F114" s="1" t="s">
        <v>874</v>
      </c>
      <c r="G114" s="1">
        <v>6105</v>
      </c>
      <c r="H114" s="1" t="s">
        <v>364</v>
      </c>
      <c r="I114" s="94">
        <v>154</v>
      </c>
      <c r="J114" s="2">
        <v>0.7</v>
      </c>
      <c r="L114" s="135">
        <v>46174</v>
      </c>
      <c r="M114" s="3" t="s">
        <v>365</v>
      </c>
      <c r="O114" s="1">
        <v>1</v>
      </c>
      <c r="P114" s="94">
        <v>2</v>
      </c>
      <c r="Q114" s="4">
        <v>0</v>
      </c>
      <c r="R114" s="2">
        <v>0</v>
      </c>
      <c r="S114" s="25" t="s">
        <v>875</v>
      </c>
      <c r="V114" s="41" t="s">
        <v>876</v>
      </c>
      <c r="W114" s="43" t="s">
        <v>415</v>
      </c>
      <c r="AB114" s="2">
        <v>3.99</v>
      </c>
      <c r="AC114" s="2">
        <v>17.07</v>
      </c>
      <c r="AD114" s="2">
        <v>0.28000000000000003</v>
      </c>
    </row>
    <row r="115" spans="1:30" x14ac:dyDescent="0.25">
      <c r="A115" s="25" t="s">
        <v>877</v>
      </c>
      <c r="B115" s="134" t="s">
        <v>878</v>
      </c>
      <c r="C115" s="1">
        <v>1</v>
      </c>
      <c r="D115" s="1">
        <v>4</v>
      </c>
      <c r="E115" s="1">
        <v>4</v>
      </c>
      <c r="F115" s="1" t="s">
        <v>879</v>
      </c>
      <c r="G115" s="1">
        <v>3021</v>
      </c>
      <c r="H115" s="1" t="s">
        <v>364</v>
      </c>
      <c r="I115" s="94">
        <v>155</v>
      </c>
      <c r="J115" s="2">
        <v>2.093</v>
      </c>
      <c r="L115" s="135">
        <v>46174</v>
      </c>
      <c r="M115" s="3" t="s">
        <v>538</v>
      </c>
      <c r="O115" s="1">
        <v>1</v>
      </c>
      <c r="P115" s="94">
        <v>2</v>
      </c>
      <c r="Q115" s="4">
        <v>0</v>
      </c>
      <c r="R115" s="2">
        <v>0</v>
      </c>
      <c r="S115" s="25" t="s">
        <v>880</v>
      </c>
      <c r="V115" s="41" t="s">
        <v>881</v>
      </c>
      <c r="W115" s="43" t="s">
        <v>399</v>
      </c>
      <c r="AB115" s="2">
        <v>5.55</v>
      </c>
      <c r="AC115" s="2">
        <v>10.64</v>
      </c>
      <c r="AD115" s="2">
        <v>0.28000000000000003</v>
      </c>
    </row>
    <row r="116" spans="1:30" x14ac:dyDescent="0.25">
      <c r="A116" s="25" t="s">
        <v>882</v>
      </c>
      <c r="B116" s="134" t="s">
        <v>883</v>
      </c>
      <c r="C116" s="1">
        <v>1</v>
      </c>
      <c r="D116" s="1">
        <v>1</v>
      </c>
      <c r="E116" s="1">
        <v>1</v>
      </c>
      <c r="F116" s="1" t="s">
        <v>884</v>
      </c>
      <c r="G116" s="1">
        <v>2017</v>
      </c>
      <c r="H116" s="1" t="s">
        <v>364</v>
      </c>
      <c r="I116" s="94">
        <v>155</v>
      </c>
      <c r="J116" s="2">
        <v>0.46500000000000002</v>
      </c>
      <c r="L116" s="135">
        <v>46174</v>
      </c>
      <c r="M116" s="3" t="s">
        <v>365</v>
      </c>
      <c r="O116" s="1">
        <v>1</v>
      </c>
      <c r="P116" s="94">
        <v>2</v>
      </c>
      <c r="Q116" s="4">
        <v>0</v>
      </c>
      <c r="R116" s="2">
        <v>0</v>
      </c>
      <c r="S116" s="25" t="s">
        <v>885</v>
      </c>
      <c r="V116" s="41" t="s">
        <v>886</v>
      </c>
      <c r="W116" s="43" t="s">
        <v>392</v>
      </c>
      <c r="AB116" s="2">
        <v>3.21</v>
      </c>
      <c r="AC116" s="2">
        <v>5.87</v>
      </c>
      <c r="AD116" s="2">
        <v>0.28000000000000003</v>
      </c>
    </row>
    <row r="117" spans="1:30" x14ac:dyDescent="0.25">
      <c r="A117" s="25" t="s">
        <v>887</v>
      </c>
      <c r="B117" s="134" t="s">
        <v>888</v>
      </c>
      <c r="C117" s="1">
        <v>1</v>
      </c>
      <c r="D117" s="1">
        <v>2</v>
      </c>
      <c r="E117" s="1">
        <v>2</v>
      </c>
      <c r="F117" s="1" t="s">
        <v>889</v>
      </c>
      <c r="G117" s="1">
        <v>3034</v>
      </c>
      <c r="H117" s="1" t="s">
        <v>364</v>
      </c>
      <c r="I117" s="94">
        <v>155</v>
      </c>
      <c r="J117" s="2">
        <v>1.06</v>
      </c>
      <c r="L117" s="135">
        <v>46174</v>
      </c>
      <c r="M117" s="3" t="s">
        <v>365</v>
      </c>
      <c r="O117" s="1">
        <v>1</v>
      </c>
      <c r="P117" s="94">
        <v>2</v>
      </c>
      <c r="Q117" s="4">
        <v>0</v>
      </c>
      <c r="R117" s="2">
        <v>0</v>
      </c>
      <c r="S117" s="25" t="s">
        <v>890</v>
      </c>
      <c r="V117" s="41" t="s">
        <v>891</v>
      </c>
      <c r="W117" s="43" t="s">
        <v>399</v>
      </c>
      <c r="AB117" s="2">
        <v>3.99</v>
      </c>
      <c r="AC117" s="2">
        <v>9.89</v>
      </c>
      <c r="AD117" s="2">
        <v>0.28000000000000003</v>
      </c>
    </row>
    <row r="118" spans="1:30" x14ac:dyDescent="0.25">
      <c r="A118" s="25" t="s">
        <v>892</v>
      </c>
      <c r="B118" s="134" t="s">
        <v>893</v>
      </c>
      <c r="C118" s="1">
        <v>1</v>
      </c>
      <c r="D118" s="1">
        <v>1</v>
      </c>
      <c r="E118" s="1">
        <v>1</v>
      </c>
      <c r="F118" s="1" t="s">
        <v>894</v>
      </c>
      <c r="G118" s="1">
        <v>2221</v>
      </c>
      <c r="H118" s="1" t="s">
        <v>364</v>
      </c>
      <c r="I118" s="94">
        <v>155</v>
      </c>
      <c r="J118" s="2">
        <v>0.55200000000000005</v>
      </c>
      <c r="L118" s="135">
        <v>46174</v>
      </c>
      <c r="M118" s="3" t="s">
        <v>372</v>
      </c>
      <c r="O118" s="1">
        <v>1</v>
      </c>
      <c r="P118" s="94">
        <v>2</v>
      </c>
      <c r="Q118" s="4">
        <v>0</v>
      </c>
      <c r="R118" s="2">
        <v>0</v>
      </c>
      <c r="S118" s="25" t="s">
        <v>895</v>
      </c>
      <c r="V118" s="41" t="s">
        <v>896</v>
      </c>
      <c r="W118" s="43" t="s">
        <v>392</v>
      </c>
      <c r="AB118" s="2">
        <v>3.21</v>
      </c>
      <c r="AC118" s="2">
        <v>6.36</v>
      </c>
      <c r="AD118" s="2">
        <v>0.28000000000000003</v>
      </c>
    </row>
    <row r="119" spans="1:30" x14ac:dyDescent="0.25">
      <c r="A119" s="25" t="s">
        <v>897</v>
      </c>
      <c r="B119" s="134" t="s">
        <v>898</v>
      </c>
      <c r="C119" s="1">
        <v>1</v>
      </c>
      <c r="D119" s="1">
        <v>3</v>
      </c>
      <c r="E119" s="1">
        <v>3</v>
      </c>
      <c r="F119" s="1" t="s">
        <v>899</v>
      </c>
      <c r="G119" s="1">
        <v>2261</v>
      </c>
      <c r="H119" s="1" t="s">
        <v>364</v>
      </c>
      <c r="I119" s="94">
        <v>154</v>
      </c>
      <c r="J119" s="2">
        <v>1.0249999999999999</v>
      </c>
      <c r="L119" s="135">
        <v>46174</v>
      </c>
      <c r="M119" s="3" t="s">
        <v>365</v>
      </c>
      <c r="O119" s="1">
        <v>1</v>
      </c>
      <c r="P119" s="94">
        <v>2</v>
      </c>
      <c r="Q119" s="4">
        <v>0</v>
      </c>
      <c r="R119" s="2">
        <v>0</v>
      </c>
      <c r="S119" s="25" t="s">
        <v>900</v>
      </c>
      <c r="V119" s="41" t="s">
        <v>901</v>
      </c>
      <c r="W119" s="43" t="s">
        <v>724</v>
      </c>
      <c r="AB119" s="2">
        <v>4.7699999999999996</v>
      </c>
      <c r="AC119" s="2">
        <v>15.94</v>
      </c>
      <c r="AD119" s="2">
        <v>0.28000000000000003</v>
      </c>
    </row>
    <row r="120" spans="1:30" x14ac:dyDescent="0.25">
      <c r="A120" s="25" t="s">
        <v>902</v>
      </c>
      <c r="B120" s="134" t="s">
        <v>903</v>
      </c>
      <c r="C120" s="1">
        <v>1</v>
      </c>
      <c r="D120" s="1">
        <v>2</v>
      </c>
      <c r="E120" s="1">
        <v>2</v>
      </c>
      <c r="F120" s="1" t="s">
        <v>659</v>
      </c>
      <c r="G120" s="1">
        <v>2026</v>
      </c>
      <c r="H120" s="1" t="s">
        <v>364</v>
      </c>
      <c r="I120" s="94">
        <v>155</v>
      </c>
      <c r="J120" s="2">
        <v>0.871</v>
      </c>
      <c r="L120" s="135">
        <v>46174</v>
      </c>
      <c r="M120" s="3" t="s">
        <v>365</v>
      </c>
      <c r="O120" s="1">
        <v>1</v>
      </c>
      <c r="P120" s="94">
        <v>2</v>
      </c>
      <c r="Q120" s="4">
        <v>0</v>
      </c>
      <c r="R120" s="2">
        <v>0</v>
      </c>
      <c r="S120" s="25" t="s">
        <v>904</v>
      </c>
      <c r="V120" s="41" t="s">
        <v>613</v>
      </c>
      <c r="W120" s="43" t="s">
        <v>392</v>
      </c>
      <c r="AB120" s="2">
        <v>3.99</v>
      </c>
      <c r="AC120" s="2">
        <v>6.36</v>
      </c>
      <c r="AD120" s="2">
        <v>0.28000000000000003</v>
      </c>
    </row>
    <row r="121" spans="1:30" x14ac:dyDescent="0.25">
      <c r="A121" s="25" t="s">
        <v>905</v>
      </c>
      <c r="B121" s="134" t="s">
        <v>906</v>
      </c>
      <c r="C121" s="1">
        <v>1</v>
      </c>
      <c r="D121" s="1">
        <v>4</v>
      </c>
      <c r="E121" s="1">
        <v>4</v>
      </c>
      <c r="F121" s="1" t="s">
        <v>907</v>
      </c>
      <c r="G121" s="1">
        <v>6157</v>
      </c>
      <c r="H121" s="1" t="s">
        <v>364</v>
      </c>
      <c r="I121" s="94">
        <v>155</v>
      </c>
      <c r="J121" s="2">
        <v>1.7010000000000001</v>
      </c>
      <c r="L121" s="135">
        <v>46175</v>
      </c>
      <c r="M121" s="3" t="s">
        <v>365</v>
      </c>
      <c r="O121" s="1">
        <v>1</v>
      </c>
      <c r="P121" s="94">
        <v>2</v>
      </c>
      <c r="Q121" s="4">
        <v>0</v>
      </c>
      <c r="R121" s="2">
        <v>0</v>
      </c>
      <c r="S121" s="25" t="s">
        <v>908</v>
      </c>
      <c r="V121" s="41" t="s">
        <v>909</v>
      </c>
      <c r="W121" s="43" t="s">
        <v>415</v>
      </c>
      <c r="AB121" s="2">
        <v>5.55</v>
      </c>
      <c r="AC121" s="2">
        <v>16.559999999999999</v>
      </c>
      <c r="AD121" s="2">
        <v>0.28000000000000003</v>
      </c>
    </row>
    <row r="122" spans="1:30" x14ac:dyDescent="0.25">
      <c r="A122" s="25" t="s">
        <v>910</v>
      </c>
      <c r="B122" s="134" t="s">
        <v>911</v>
      </c>
      <c r="C122" s="1">
        <v>1</v>
      </c>
      <c r="D122" s="1">
        <v>2</v>
      </c>
      <c r="E122" s="1">
        <v>2</v>
      </c>
      <c r="F122" s="1" t="s">
        <v>912</v>
      </c>
      <c r="G122" s="1">
        <v>3054</v>
      </c>
      <c r="H122" s="1" t="s">
        <v>364</v>
      </c>
      <c r="I122" s="94">
        <v>155</v>
      </c>
      <c r="J122" s="2">
        <v>0.92500000000000004</v>
      </c>
      <c r="L122" s="135">
        <v>46175</v>
      </c>
      <c r="M122" s="3" t="s">
        <v>365</v>
      </c>
      <c r="O122" s="1">
        <v>1</v>
      </c>
      <c r="P122" s="94">
        <v>2</v>
      </c>
      <c r="Q122" s="4">
        <v>0</v>
      </c>
      <c r="R122" s="2">
        <v>0</v>
      </c>
      <c r="S122" s="25" t="s">
        <v>913</v>
      </c>
      <c r="V122" s="41" t="s">
        <v>914</v>
      </c>
      <c r="W122" s="43" t="s">
        <v>399</v>
      </c>
      <c r="AB122" s="2">
        <v>3.99</v>
      </c>
      <c r="AC122" s="2">
        <v>9.17</v>
      </c>
      <c r="AD122" s="2">
        <v>0.28000000000000003</v>
      </c>
    </row>
    <row r="123" spans="1:30" x14ac:dyDescent="0.25">
      <c r="A123" s="25" t="s">
        <v>915</v>
      </c>
      <c r="B123" s="134" t="s">
        <v>916</v>
      </c>
      <c r="C123" s="1">
        <v>1</v>
      </c>
      <c r="D123" s="1">
        <v>1</v>
      </c>
      <c r="E123" s="1">
        <v>1</v>
      </c>
      <c r="F123" s="1" t="s">
        <v>917</v>
      </c>
      <c r="G123" s="1">
        <v>6038</v>
      </c>
      <c r="H123" s="1" t="s">
        <v>364</v>
      </c>
      <c r="I123" s="94">
        <v>155</v>
      </c>
      <c r="J123" s="2">
        <v>0.47</v>
      </c>
      <c r="L123" s="135">
        <v>46175</v>
      </c>
      <c r="M123" s="3" t="s">
        <v>372</v>
      </c>
      <c r="O123" s="1">
        <v>1</v>
      </c>
      <c r="P123" s="94">
        <v>2</v>
      </c>
      <c r="Q123" s="4">
        <v>0</v>
      </c>
      <c r="R123" s="2">
        <v>0</v>
      </c>
      <c r="S123" s="25" t="s">
        <v>918</v>
      </c>
      <c r="V123" s="41" t="s">
        <v>919</v>
      </c>
      <c r="W123" s="43" t="s">
        <v>426</v>
      </c>
      <c r="AB123" s="2">
        <v>3.21</v>
      </c>
      <c r="AC123" s="2">
        <v>9.31</v>
      </c>
      <c r="AD123" s="2">
        <v>0.28000000000000003</v>
      </c>
    </row>
    <row r="124" spans="1:30" x14ac:dyDescent="0.25">
      <c r="A124" s="25" t="s">
        <v>920</v>
      </c>
      <c r="B124" s="134" t="s">
        <v>921</v>
      </c>
      <c r="C124" s="1">
        <v>1</v>
      </c>
      <c r="D124" s="1">
        <v>4</v>
      </c>
      <c r="E124" s="1">
        <v>4</v>
      </c>
      <c r="F124" s="1" t="s">
        <v>922</v>
      </c>
      <c r="G124" s="1">
        <v>5291</v>
      </c>
      <c r="H124" s="1" t="s">
        <v>364</v>
      </c>
      <c r="I124" s="94">
        <v>155</v>
      </c>
      <c r="J124" s="2">
        <v>0.63900000000000001</v>
      </c>
      <c r="L124" s="135">
        <v>46175</v>
      </c>
      <c r="M124" s="3" t="s">
        <v>365</v>
      </c>
      <c r="O124" s="1">
        <v>1</v>
      </c>
      <c r="P124" s="94">
        <v>2</v>
      </c>
      <c r="Q124" s="4">
        <v>0</v>
      </c>
      <c r="R124" s="2">
        <v>0</v>
      </c>
      <c r="S124" s="25" t="s">
        <v>923</v>
      </c>
      <c r="V124" s="41" t="s">
        <v>924</v>
      </c>
      <c r="W124" s="43" t="s">
        <v>474</v>
      </c>
      <c r="AB124" s="2">
        <v>5.55</v>
      </c>
      <c r="AC124" s="2">
        <v>21.72</v>
      </c>
      <c r="AD124" s="2">
        <v>0.28000000000000003</v>
      </c>
    </row>
    <row r="125" spans="1:30" x14ac:dyDescent="0.25">
      <c r="A125" s="25" t="s">
        <v>925</v>
      </c>
      <c r="B125" s="134" t="s">
        <v>926</v>
      </c>
      <c r="C125" s="1">
        <v>1</v>
      </c>
      <c r="D125" s="1">
        <v>1</v>
      </c>
      <c r="E125" s="1">
        <v>2</v>
      </c>
      <c r="F125" s="1" t="s">
        <v>927</v>
      </c>
      <c r="G125" s="1">
        <v>2646</v>
      </c>
      <c r="H125" s="1" t="s">
        <v>364</v>
      </c>
      <c r="I125" s="94">
        <v>155</v>
      </c>
      <c r="J125" s="2">
        <v>0.876</v>
      </c>
      <c r="L125" s="135">
        <v>46175</v>
      </c>
      <c r="M125" s="3" t="s">
        <v>365</v>
      </c>
      <c r="O125" s="1">
        <v>1</v>
      </c>
      <c r="P125" s="94">
        <v>2</v>
      </c>
      <c r="Q125" s="4">
        <v>0</v>
      </c>
      <c r="R125" s="2">
        <v>0</v>
      </c>
      <c r="S125" s="25" t="s">
        <v>928</v>
      </c>
      <c r="V125" s="41" t="s">
        <v>929</v>
      </c>
      <c r="W125" s="43" t="s">
        <v>534</v>
      </c>
      <c r="AB125" s="2">
        <v>3.68</v>
      </c>
      <c r="AC125" s="2">
        <v>14.69</v>
      </c>
      <c r="AD125" s="2">
        <v>0.28000000000000003</v>
      </c>
    </row>
    <row r="126" spans="1:30" x14ac:dyDescent="0.25">
      <c r="A126" s="25" t="s">
        <v>930</v>
      </c>
      <c r="B126" s="134" t="s">
        <v>931</v>
      </c>
      <c r="C126" s="1">
        <v>1</v>
      </c>
      <c r="D126" s="1">
        <v>1</v>
      </c>
      <c r="E126" s="1">
        <v>1</v>
      </c>
      <c r="F126" s="1" t="s">
        <v>932</v>
      </c>
      <c r="G126" s="1">
        <v>2282</v>
      </c>
      <c r="H126" s="1" t="s">
        <v>364</v>
      </c>
      <c r="I126" s="94">
        <v>155</v>
      </c>
      <c r="J126" s="2">
        <v>1.625</v>
      </c>
      <c r="L126" s="135">
        <v>46175</v>
      </c>
      <c r="M126" s="3" t="s">
        <v>365</v>
      </c>
      <c r="O126" s="1">
        <v>1</v>
      </c>
      <c r="P126" s="94">
        <v>2</v>
      </c>
      <c r="Q126" s="4">
        <v>0</v>
      </c>
      <c r="R126" s="2">
        <v>0</v>
      </c>
      <c r="S126" s="25" t="s">
        <v>933</v>
      </c>
      <c r="V126" s="41" t="s">
        <v>934</v>
      </c>
      <c r="W126" s="43" t="s">
        <v>368</v>
      </c>
      <c r="AB126" s="2">
        <v>3.21</v>
      </c>
      <c r="AC126" s="2">
        <v>9.08</v>
      </c>
      <c r="AD126" s="2">
        <v>0.28000000000000003</v>
      </c>
    </row>
    <row r="127" spans="1:30" x14ac:dyDescent="0.25">
      <c r="A127" s="25" t="s">
        <v>935</v>
      </c>
      <c r="B127" s="134" t="s">
        <v>936</v>
      </c>
      <c r="C127" s="1">
        <v>1</v>
      </c>
      <c r="D127" s="1">
        <v>4</v>
      </c>
      <c r="E127" s="1">
        <v>4</v>
      </c>
      <c r="F127" s="1" t="s">
        <v>937</v>
      </c>
      <c r="G127" s="1">
        <v>5019</v>
      </c>
      <c r="H127" s="1" t="s">
        <v>364</v>
      </c>
      <c r="I127" s="94">
        <v>155</v>
      </c>
      <c r="J127" s="2">
        <v>1.7</v>
      </c>
      <c r="L127" s="135">
        <v>46175</v>
      </c>
      <c r="M127" s="3" t="s">
        <v>538</v>
      </c>
      <c r="O127" s="1">
        <v>1</v>
      </c>
      <c r="P127" s="94">
        <v>2</v>
      </c>
      <c r="Q127" s="4">
        <v>0</v>
      </c>
      <c r="R127" s="2">
        <v>0</v>
      </c>
      <c r="S127" s="25" t="s">
        <v>938</v>
      </c>
      <c r="V127" s="41" t="s">
        <v>939</v>
      </c>
      <c r="W127" s="43" t="s">
        <v>442</v>
      </c>
      <c r="AB127" s="2">
        <v>5.55</v>
      </c>
      <c r="AC127" s="2">
        <v>10.52</v>
      </c>
      <c r="AD127" s="2">
        <v>0.28000000000000003</v>
      </c>
    </row>
    <row r="128" spans="1:30" x14ac:dyDescent="0.25">
      <c r="A128" s="25" t="s">
        <v>940</v>
      </c>
      <c r="B128" s="134" t="s">
        <v>941</v>
      </c>
      <c r="C128" s="1">
        <v>1</v>
      </c>
      <c r="D128" s="1">
        <v>1</v>
      </c>
      <c r="E128" s="1">
        <v>1</v>
      </c>
      <c r="F128" s="1" t="s">
        <v>641</v>
      </c>
      <c r="G128" s="1">
        <v>2036</v>
      </c>
      <c r="H128" s="1" t="s">
        <v>364</v>
      </c>
      <c r="I128" s="94">
        <v>155</v>
      </c>
      <c r="J128" s="2">
        <v>0.47</v>
      </c>
      <c r="L128" s="135">
        <v>46175</v>
      </c>
      <c r="M128" s="3" t="s">
        <v>372</v>
      </c>
      <c r="O128" s="1">
        <v>1</v>
      </c>
      <c r="P128" s="94">
        <v>2</v>
      </c>
      <c r="Q128" s="4">
        <v>0</v>
      </c>
      <c r="R128" s="2">
        <v>0</v>
      </c>
      <c r="S128" s="25" t="s">
        <v>942</v>
      </c>
      <c r="V128" s="41" t="s">
        <v>409</v>
      </c>
      <c r="W128" s="43" t="s">
        <v>392</v>
      </c>
      <c r="AB128" s="2">
        <v>3.21</v>
      </c>
      <c r="AC128" s="2">
        <v>5.87</v>
      </c>
      <c r="AD128" s="2">
        <v>0.28000000000000003</v>
      </c>
    </row>
    <row r="129" spans="1:30" x14ac:dyDescent="0.25">
      <c r="A129" s="25" t="s">
        <v>943</v>
      </c>
      <c r="B129" s="134" t="s">
        <v>944</v>
      </c>
      <c r="C129" s="1">
        <v>1</v>
      </c>
      <c r="D129" s="1">
        <v>1</v>
      </c>
      <c r="E129" s="1">
        <v>2</v>
      </c>
      <c r="F129" s="1" t="s">
        <v>945</v>
      </c>
      <c r="G129" s="1">
        <v>3427</v>
      </c>
      <c r="H129" s="1" t="s">
        <v>364</v>
      </c>
      <c r="I129" s="94">
        <v>155</v>
      </c>
      <c r="J129" s="2">
        <v>0.49399999999999999</v>
      </c>
      <c r="L129" s="135">
        <v>46175</v>
      </c>
      <c r="M129" s="3" t="s">
        <v>372</v>
      </c>
      <c r="O129" s="1">
        <v>1</v>
      </c>
      <c r="P129" s="94">
        <v>2</v>
      </c>
      <c r="Q129" s="4">
        <v>0</v>
      </c>
      <c r="R129" s="2">
        <v>0</v>
      </c>
      <c r="S129" s="25" t="s">
        <v>946</v>
      </c>
      <c r="V129" s="41" t="s">
        <v>799</v>
      </c>
      <c r="W129" s="43" t="s">
        <v>619</v>
      </c>
      <c r="AB129" s="2">
        <v>3.68</v>
      </c>
      <c r="AC129" s="2">
        <v>8.94</v>
      </c>
      <c r="AD129" s="2">
        <v>0.28000000000000003</v>
      </c>
    </row>
    <row r="130" spans="1:30" x14ac:dyDescent="0.25">
      <c r="A130" s="25" t="s">
        <v>947</v>
      </c>
      <c r="B130" s="134" t="s">
        <v>948</v>
      </c>
      <c r="C130" s="1">
        <v>1</v>
      </c>
      <c r="D130" s="1">
        <v>1</v>
      </c>
      <c r="E130" s="1">
        <v>1</v>
      </c>
      <c r="F130" s="1" t="s">
        <v>949</v>
      </c>
      <c r="G130" s="1">
        <v>6163</v>
      </c>
      <c r="H130" s="1" t="s">
        <v>364</v>
      </c>
      <c r="I130" s="94">
        <v>155</v>
      </c>
      <c r="J130" s="2">
        <v>0.45500000000000002</v>
      </c>
      <c r="L130" s="135">
        <v>46175</v>
      </c>
      <c r="M130" s="3" t="s">
        <v>372</v>
      </c>
      <c r="O130" s="1">
        <v>1</v>
      </c>
      <c r="P130" s="94">
        <v>2</v>
      </c>
      <c r="Q130" s="4">
        <v>0</v>
      </c>
      <c r="R130" s="2">
        <v>0</v>
      </c>
      <c r="S130" s="25" t="s">
        <v>950</v>
      </c>
      <c r="V130" s="41" t="s">
        <v>473</v>
      </c>
      <c r="W130" s="43" t="s">
        <v>415</v>
      </c>
      <c r="AB130" s="2">
        <v>3.21</v>
      </c>
      <c r="AC130" s="2">
        <v>8.7899999999999991</v>
      </c>
      <c r="AD130" s="2">
        <v>0.28000000000000003</v>
      </c>
    </row>
    <row r="131" spans="1:30" x14ac:dyDescent="0.25">
      <c r="A131" s="25" t="s">
        <v>951</v>
      </c>
      <c r="B131" s="134" t="s">
        <v>952</v>
      </c>
      <c r="C131" s="1">
        <v>1</v>
      </c>
      <c r="D131" s="1">
        <v>2</v>
      </c>
      <c r="E131" s="1">
        <v>2</v>
      </c>
      <c r="F131" s="1" t="s">
        <v>953</v>
      </c>
      <c r="G131" s="1">
        <v>2506</v>
      </c>
      <c r="H131" s="1" t="s">
        <v>364</v>
      </c>
      <c r="I131" s="94">
        <v>155</v>
      </c>
      <c r="J131" s="2">
        <v>0.88700000000000001</v>
      </c>
      <c r="L131" s="135">
        <v>46175</v>
      </c>
      <c r="M131" s="3" t="s">
        <v>365</v>
      </c>
      <c r="O131" s="1">
        <v>1</v>
      </c>
      <c r="P131" s="94">
        <v>2</v>
      </c>
      <c r="Q131" s="4">
        <v>0</v>
      </c>
      <c r="R131" s="2">
        <v>0</v>
      </c>
      <c r="S131" s="25" t="s">
        <v>954</v>
      </c>
      <c r="V131" s="41" t="s">
        <v>955</v>
      </c>
      <c r="W131" s="43" t="s">
        <v>956</v>
      </c>
      <c r="AB131" s="2">
        <v>3.99</v>
      </c>
      <c r="AC131" s="2">
        <v>8.6199999999999992</v>
      </c>
      <c r="AD131" s="2">
        <v>0.28000000000000003</v>
      </c>
    </row>
    <row r="132" spans="1:30" x14ac:dyDescent="0.25">
      <c r="A132" s="25" t="s">
        <v>957</v>
      </c>
      <c r="B132" s="134" t="s">
        <v>958</v>
      </c>
      <c r="C132" s="1">
        <v>1</v>
      </c>
      <c r="D132" s="1">
        <v>1</v>
      </c>
      <c r="E132" s="1">
        <v>1</v>
      </c>
      <c r="F132" s="1" t="s">
        <v>959</v>
      </c>
      <c r="G132" s="1">
        <v>6081</v>
      </c>
      <c r="H132" s="1" t="s">
        <v>364</v>
      </c>
      <c r="I132" s="94">
        <v>155</v>
      </c>
      <c r="J132" s="2">
        <v>0.45</v>
      </c>
      <c r="L132" s="135">
        <v>46175</v>
      </c>
      <c r="M132" s="3" t="s">
        <v>372</v>
      </c>
      <c r="O132" s="1">
        <v>1</v>
      </c>
      <c r="P132" s="94">
        <v>2</v>
      </c>
      <c r="Q132" s="4">
        <v>0</v>
      </c>
      <c r="R132" s="2">
        <v>0</v>
      </c>
      <c r="S132" s="25" t="s">
        <v>960</v>
      </c>
      <c r="V132" s="41" t="s">
        <v>473</v>
      </c>
      <c r="W132" s="43" t="s">
        <v>426</v>
      </c>
      <c r="AB132" s="2">
        <v>3.21</v>
      </c>
      <c r="AC132" s="2">
        <v>9.31</v>
      </c>
      <c r="AD132" s="2">
        <v>0.28000000000000003</v>
      </c>
    </row>
    <row r="133" spans="1:30" x14ac:dyDescent="0.25">
      <c r="A133" s="25" t="s">
        <v>961</v>
      </c>
      <c r="B133" s="134" t="s">
        <v>962</v>
      </c>
      <c r="C133" s="1">
        <v>1</v>
      </c>
      <c r="D133" s="1">
        <v>1</v>
      </c>
      <c r="E133" s="1">
        <v>1</v>
      </c>
      <c r="F133" s="1" t="s">
        <v>963</v>
      </c>
      <c r="G133" s="1">
        <v>2611</v>
      </c>
      <c r="H133" s="1" t="s">
        <v>364</v>
      </c>
      <c r="I133" s="94">
        <v>155</v>
      </c>
      <c r="J133" s="2">
        <v>0.54</v>
      </c>
      <c r="L133" s="135">
        <v>46175</v>
      </c>
      <c r="M133" s="3" t="s">
        <v>372</v>
      </c>
      <c r="O133" s="1">
        <v>1</v>
      </c>
      <c r="P133" s="94">
        <v>2</v>
      </c>
      <c r="Q133" s="4">
        <v>0</v>
      </c>
      <c r="R133" s="2">
        <v>0</v>
      </c>
      <c r="S133" s="25" t="s">
        <v>964</v>
      </c>
      <c r="V133" s="41" t="s">
        <v>965</v>
      </c>
      <c r="W133" s="43" t="s">
        <v>502</v>
      </c>
      <c r="AB133" s="2">
        <v>3.21</v>
      </c>
      <c r="AC133" s="2">
        <v>8.6199999999999992</v>
      </c>
      <c r="AD133" s="2">
        <v>0.28000000000000003</v>
      </c>
    </row>
    <row r="134" spans="1:30" x14ac:dyDescent="0.25">
      <c r="A134" s="25" t="s">
        <v>966</v>
      </c>
      <c r="B134" s="134" t="s">
        <v>967</v>
      </c>
      <c r="C134" s="1">
        <v>1</v>
      </c>
      <c r="D134" s="1">
        <v>2</v>
      </c>
      <c r="E134" s="1">
        <v>2</v>
      </c>
      <c r="F134" s="1" t="s">
        <v>434</v>
      </c>
      <c r="G134" s="1">
        <v>3056</v>
      </c>
      <c r="H134" s="1" t="s">
        <v>364</v>
      </c>
      <c r="I134" s="94">
        <v>155</v>
      </c>
      <c r="J134" s="2">
        <v>0.33200000000000002</v>
      </c>
      <c r="L134" s="135">
        <v>46175</v>
      </c>
      <c r="M134" s="3" t="s">
        <v>372</v>
      </c>
      <c r="O134" s="1">
        <v>1</v>
      </c>
      <c r="P134" s="94">
        <v>2</v>
      </c>
      <c r="Q134" s="4">
        <v>0</v>
      </c>
      <c r="R134" s="2">
        <v>0</v>
      </c>
      <c r="S134" s="25" t="s">
        <v>968</v>
      </c>
      <c r="V134" s="41" t="s">
        <v>969</v>
      </c>
      <c r="W134" s="43" t="s">
        <v>399</v>
      </c>
      <c r="AB134" s="2">
        <v>3.99</v>
      </c>
      <c r="AC134" s="2">
        <v>7.39</v>
      </c>
      <c r="AD134" s="2">
        <v>0.28000000000000003</v>
      </c>
    </row>
    <row r="135" spans="1:30" x14ac:dyDescent="0.25">
      <c r="A135" s="25" t="s">
        <v>970</v>
      </c>
      <c r="B135" s="134" t="s">
        <v>971</v>
      </c>
      <c r="C135" s="1">
        <v>1</v>
      </c>
      <c r="D135" s="1">
        <v>1</v>
      </c>
      <c r="E135" s="1">
        <v>1</v>
      </c>
      <c r="F135" s="1" t="s">
        <v>972</v>
      </c>
      <c r="G135" s="1">
        <v>2576</v>
      </c>
      <c r="H135" s="1" t="s">
        <v>364</v>
      </c>
      <c r="I135" s="94">
        <v>155</v>
      </c>
      <c r="J135" s="2">
        <v>0.46</v>
      </c>
      <c r="L135" s="135">
        <v>46175</v>
      </c>
      <c r="M135" s="3" t="s">
        <v>372</v>
      </c>
      <c r="O135" s="1">
        <v>1</v>
      </c>
      <c r="P135" s="94">
        <v>2</v>
      </c>
      <c r="Q135" s="4">
        <v>0</v>
      </c>
      <c r="R135" s="2">
        <v>0</v>
      </c>
      <c r="S135" s="25" t="s">
        <v>973</v>
      </c>
      <c r="V135" s="41" t="s">
        <v>473</v>
      </c>
      <c r="W135" s="43" t="s">
        <v>534</v>
      </c>
      <c r="AB135" s="2">
        <v>3.21</v>
      </c>
      <c r="AC135" s="2">
        <v>11.58</v>
      </c>
      <c r="AD135" s="2">
        <v>0.28000000000000003</v>
      </c>
    </row>
    <row r="136" spans="1:30" x14ac:dyDescent="0.25">
      <c r="A136" s="25" t="s">
        <v>974</v>
      </c>
      <c r="B136" s="134" t="s">
        <v>975</v>
      </c>
      <c r="C136" s="1">
        <v>1</v>
      </c>
      <c r="D136" s="1">
        <v>2</v>
      </c>
      <c r="E136" s="1">
        <v>2</v>
      </c>
      <c r="F136" s="1" t="s">
        <v>976</v>
      </c>
      <c r="G136" s="1">
        <v>3350</v>
      </c>
      <c r="H136" s="1" t="s">
        <v>364</v>
      </c>
      <c r="I136" s="94">
        <v>155</v>
      </c>
      <c r="J136" s="2">
        <v>0.879</v>
      </c>
      <c r="L136" s="135">
        <v>46175</v>
      </c>
      <c r="M136" s="3" t="s">
        <v>372</v>
      </c>
      <c r="N136" s="1" t="s">
        <v>539</v>
      </c>
      <c r="O136" s="1">
        <v>1</v>
      </c>
      <c r="P136" s="94">
        <v>2</v>
      </c>
      <c r="Q136" s="4">
        <v>0</v>
      </c>
      <c r="R136" s="2">
        <v>0</v>
      </c>
      <c r="S136" s="25" t="s">
        <v>977</v>
      </c>
      <c r="V136" s="41" t="s">
        <v>978</v>
      </c>
      <c r="W136" s="43" t="s">
        <v>979</v>
      </c>
      <c r="AB136" s="2">
        <v>3.99</v>
      </c>
      <c r="AC136" s="2">
        <v>15.31</v>
      </c>
      <c r="AD136" s="2">
        <v>0.28000000000000003</v>
      </c>
    </row>
    <row r="137" spans="1:30" x14ac:dyDescent="0.25">
      <c r="A137" s="25" t="s">
        <v>980</v>
      </c>
      <c r="B137" s="134" t="s">
        <v>981</v>
      </c>
      <c r="C137" s="1">
        <v>1</v>
      </c>
      <c r="D137" s="1">
        <v>2</v>
      </c>
      <c r="E137" s="1">
        <v>2</v>
      </c>
      <c r="F137" s="1" t="s">
        <v>982</v>
      </c>
      <c r="G137" s="1">
        <v>2620</v>
      </c>
      <c r="H137" s="1" t="s">
        <v>364</v>
      </c>
      <c r="I137" s="94">
        <v>155</v>
      </c>
      <c r="J137" s="2">
        <v>0.36499999999999999</v>
      </c>
      <c r="L137" s="135">
        <v>46175</v>
      </c>
      <c r="M137" s="3" t="s">
        <v>372</v>
      </c>
      <c r="O137" s="1">
        <v>1</v>
      </c>
      <c r="P137" s="94">
        <v>2</v>
      </c>
      <c r="Q137" s="4">
        <v>0</v>
      </c>
      <c r="R137" s="2">
        <v>0</v>
      </c>
      <c r="S137" s="25" t="s">
        <v>983</v>
      </c>
      <c r="V137" s="41" t="s">
        <v>984</v>
      </c>
      <c r="W137" s="43" t="s">
        <v>502</v>
      </c>
      <c r="AB137" s="2">
        <v>3.99</v>
      </c>
      <c r="AC137" s="2">
        <v>7.71</v>
      </c>
      <c r="AD137" s="2">
        <v>0.28000000000000003</v>
      </c>
    </row>
    <row r="138" spans="1:30" x14ac:dyDescent="0.25">
      <c r="A138" s="25" t="s">
        <v>985</v>
      </c>
      <c r="B138" s="134" t="s">
        <v>986</v>
      </c>
      <c r="C138" s="1">
        <v>1</v>
      </c>
      <c r="D138" s="1">
        <v>1</v>
      </c>
      <c r="E138" s="1">
        <v>1</v>
      </c>
      <c r="F138" s="1" t="s">
        <v>434</v>
      </c>
      <c r="G138" s="1">
        <v>3056</v>
      </c>
      <c r="H138" s="1" t="s">
        <v>364</v>
      </c>
      <c r="I138" s="94">
        <v>154</v>
      </c>
      <c r="J138" s="2">
        <v>0.27200000000000002</v>
      </c>
      <c r="L138" s="135">
        <v>46175</v>
      </c>
      <c r="M138" s="3" t="s">
        <v>372</v>
      </c>
      <c r="O138" s="1">
        <v>1</v>
      </c>
      <c r="P138" s="94">
        <v>2</v>
      </c>
      <c r="Q138" s="4">
        <v>0</v>
      </c>
      <c r="R138" s="2">
        <v>0</v>
      </c>
      <c r="S138" s="25" t="s">
        <v>987</v>
      </c>
      <c r="V138" s="41" t="s">
        <v>569</v>
      </c>
      <c r="W138" s="43" t="s">
        <v>399</v>
      </c>
      <c r="AB138" s="2">
        <v>3.21</v>
      </c>
      <c r="AC138" s="2">
        <v>11.63</v>
      </c>
      <c r="AD138" s="2">
        <v>0.28000000000000003</v>
      </c>
    </row>
    <row r="139" spans="1:30" x14ac:dyDescent="0.25">
      <c r="A139" s="25" t="s">
        <v>988</v>
      </c>
      <c r="B139" s="134" t="s">
        <v>989</v>
      </c>
      <c r="C139" s="1">
        <v>1</v>
      </c>
      <c r="D139" s="1">
        <v>2</v>
      </c>
      <c r="E139" s="1">
        <v>2</v>
      </c>
      <c r="F139" s="1" t="s">
        <v>990</v>
      </c>
      <c r="G139" s="1">
        <v>2602</v>
      </c>
      <c r="H139" s="1" t="s">
        <v>364</v>
      </c>
      <c r="I139" s="94">
        <v>155</v>
      </c>
      <c r="J139" s="2">
        <v>1.089</v>
      </c>
      <c r="L139" s="135">
        <v>46175</v>
      </c>
      <c r="M139" s="3" t="s">
        <v>365</v>
      </c>
      <c r="O139" s="1">
        <v>1</v>
      </c>
      <c r="P139" s="94">
        <v>2</v>
      </c>
      <c r="Q139" s="4">
        <v>0</v>
      </c>
      <c r="R139" s="2">
        <v>0</v>
      </c>
      <c r="S139" s="25" t="s">
        <v>991</v>
      </c>
      <c r="V139" s="41" t="s">
        <v>992</v>
      </c>
      <c r="W139" s="43" t="s">
        <v>502</v>
      </c>
      <c r="AB139" s="2">
        <v>3.99</v>
      </c>
      <c r="AC139" s="2">
        <v>9.08</v>
      </c>
      <c r="AD139" s="2">
        <v>0.28000000000000003</v>
      </c>
    </row>
    <row r="140" spans="1:30" x14ac:dyDescent="0.25">
      <c r="A140" s="25" t="s">
        <v>993</v>
      </c>
      <c r="B140" s="134" t="s">
        <v>994</v>
      </c>
      <c r="C140" s="1">
        <v>1</v>
      </c>
      <c r="D140" s="1">
        <v>1</v>
      </c>
      <c r="E140" s="1">
        <v>1</v>
      </c>
      <c r="F140" s="1" t="s">
        <v>995</v>
      </c>
      <c r="G140" s="1">
        <v>2155</v>
      </c>
      <c r="H140" s="1" t="s">
        <v>364</v>
      </c>
      <c r="I140" s="94">
        <v>155</v>
      </c>
      <c r="J140" s="2">
        <v>0.21099999999999999</v>
      </c>
      <c r="L140" s="135">
        <v>46175</v>
      </c>
      <c r="M140" s="3" t="s">
        <v>372</v>
      </c>
      <c r="O140" s="1">
        <v>1</v>
      </c>
      <c r="P140" s="94">
        <v>2</v>
      </c>
      <c r="Q140" s="4">
        <v>0</v>
      </c>
      <c r="R140" s="2">
        <v>0</v>
      </c>
      <c r="S140" s="25" t="s">
        <v>996</v>
      </c>
      <c r="V140" s="41" t="s">
        <v>690</v>
      </c>
      <c r="W140" s="43" t="s">
        <v>392</v>
      </c>
      <c r="AB140" s="2">
        <v>3.21</v>
      </c>
      <c r="AC140" s="2">
        <v>5.87</v>
      </c>
      <c r="AD140" s="2">
        <v>0.28000000000000003</v>
      </c>
    </row>
    <row r="141" spans="1:30" x14ac:dyDescent="0.25">
      <c r="A141" s="25" t="s">
        <v>997</v>
      </c>
      <c r="B141" s="134" t="s">
        <v>998</v>
      </c>
      <c r="C141" s="1">
        <v>1</v>
      </c>
      <c r="D141" s="1">
        <v>1</v>
      </c>
      <c r="E141" s="1">
        <v>1</v>
      </c>
      <c r="F141" s="1" t="s">
        <v>999</v>
      </c>
      <c r="G141" s="1">
        <v>3875</v>
      </c>
      <c r="H141" s="1" t="s">
        <v>364</v>
      </c>
      <c r="I141" s="94">
        <v>155</v>
      </c>
      <c r="J141" s="2">
        <v>0.749</v>
      </c>
      <c r="L141" s="135">
        <v>46175</v>
      </c>
      <c r="M141" s="3" t="s">
        <v>538</v>
      </c>
      <c r="O141" s="1">
        <v>1</v>
      </c>
      <c r="P141" s="94">
        <v>2</v>
      </c>
      <c r="Q141" s="4">
        <v>0</v>
      </c>
      <c r="R141" s="2">
        <v>0</v>
      </c>
      <c r="S141" s="25" t="s">
        <v>1000</v>
      </c>
      <c r="V141" s="41" t="s">
        <v>1001</v>
      </c>
      <c r="W141" s="43" t="s">
        <v>381</v>
      </c>
      <c r="AB141" s="2">
        <v>3.21</v>
      </c>
      <c r="AC141" s="2">
        <v>20.54</v>
      </c>
      <c r="AD141" s="2">
        <v>0.28000000000000003</v>
      </c>
    </row>
    <row r="142" spans="1:30" x14ac:dyDescent="0.25">
      <c r="A142" s="25" t="s">
        <v>1002</v>
      </c>
      <c r="B142" s="134" t="s">
        <v>1003</v>
      </c>
      <c r="C142" s="1">
        <v>1</v>
      </c>
      <c r="D142" s="1">
        <v>1</v>
      </c>
      <c r="E142" s="1">
        <v>1</v>
      </c>
      <c r="F142" s="1" t="s">
        <v>587</v>
      </c>
      <c r="G142" s="1">
        <v>2101</v>
      </c>
      <c r="H142" s="1" t="s">
        <v>364</v>
      </c>
      <c r="I142" s="94">
        <v>154</v>
      </c>
      <c r="J142" s="2">
        <v>0.48599999999999999</v>
      </c>
      <c r="L142" s="135">
        <v>46175</v>
      </c>
      <c r="M142" s="3" t="s">
        <v>372</v>
      </c>
      <c r="O142" s="1">
        <v>1</v>
      </c>
      <c r="P142" s="94">
        <v>2</v>
      </c>
      <c r="Q142" s="4">
        <v>0</v>
      </c>
      <c r="R142" s="2">
        <v>0</v>
      </c>
      <c r="S142" s="25" t="s">
        <v>1004</v>
      </c>
      <c r="V142" s="41" t="s">
        <v>818</v>
      </c>
      <c r="W142" s="43" t="s">
        <v>392</v>
      </c>
      <c r="AB142" s="2">
        <v>3.21</v>
      </c>
      <c r="AC142" s="2">
        <v>8.0399999999999991</v>
      </c>
      <c r="AD142" s="2">
        <v>0.28000000000000003</v>
      </c>
    </row>
    <row r="143" spans="1:30" x14ac:dyDescent="0.25">
      <c r="A143" s="25" t="s">
        <v>1005</v>
      </c>
      <c r="B143" s="134" t="s">
        <v>1006</v>
      </c>
      <c r="C143" s="1">
        <v>1</v>
      </c>
      <c r="D143" s="1">
        <v>1</v>
      </c>
      <c r="E143" s="1">
        <v>1</v>
      </c>
      <c r="F143" s="1" t="s">
        <v>434</v>
      </c>
      <c r="G143" s="1">
        <v>3056</v>
      </c>
      <c r="H143" s="1" t="s">
        <v>364</v>
      </c>
      <c r="I143" s="94">
        <v>155</v>
      </c>
      <c r="J143" s="2">
        <v>0.20899999999999999</v>
      </c>
      <c r="L143" s="135">
        <v>46175</v>
      </c>
      <c r="M143" s="3" t="s">
        <v>372</v>
      </c>
      <c r="O143" s="1">
        <v>1</v>
      </c>
      <c r="P143" s="94">
        <v>2</v>
      </c>
      <c r="Q143" s="4">
        <v>0</v>
      </c>
      <c r="R143" s="2">
        <v>0</v>
      </c>
      <c r="S143" s="25" t="s">
        <v>1007</v>
      </c>
      <c r="V143" s="41" t="s">
        <v>380</v>
      </c>
      <c r="W143" s="43" t="s">
        <v>399</v>
      </c>
      <c r="AB143" s="2">
        <v>3.21</v>
      </c>
      <c r="AC143" s="2">
        <v>7.39</v>
      </c>
      <c r="AD143" s="2">
        <v>0.28000000000000003</v>
      </c>
    </row>
    <row r="144" spans="1:30" x14ac:dyDescent="0.25">
      <c r="A144" s="25" t="s">
        <v>1008</v>
      </c>
      <c r="B144" s="134" t="s">
        <v>1009</v>
      </c>
      <c r="C144" s="1">
        <v>1</v>
      </c>
      <c r="D144" s="1">
        <v>3</v>
      </c>
      <c r="E144" s="1">
        <v>6</v>
      </c>
      <c r="F144" s="1" t="s">
        <v>1010</v>
      </c>
      <c r="G144" s="1">
        <v>3185</v>
      </c>
      <c r="H144" s="1" t="s">
        <v>364</v>
      </c>
      <c r="I144" s="94">
        <v>155</v>
      </c>
      <c r="J144" s="2">
        <v>0.92200000000000004</v>
      </c>
      <c r="L144" s="135">
        <v>46175</v>
      </c>
      <c r="M144" s="3" t="s">
        <v>365</v>
      </c>
      <c r="O144" s="1">
        <v>1</v>
      </c>
      <c r="P144" s="94">
        <v>2</v>
      </c>
      <c r="Q144" s="4">
        <v>0</v>
      </c>
      <c r="R144" s="2">
        <v>0</v>
      </c>
      <c r="S144" s="25" t="s">
        <v>1011</v>
      </c>
      <c r="V144" s="41" t="s">
        <v>603</v>
      </c>
      <c r="W144" s="43" t="s">
        <v>399</v>
      </c>
      <c r="AB144" s="2">
        <v>6.18</v>
      </c>
      <c r="AC144" s="2">
        <v>9.17</v>
      </c>
      <c r="AD144" s="2">
        <v>0.28000000000000003</v>
      </c>
    </row>
    <row r="145" spans="1:30" x14ac:dyDescent="0.25">
      <c r="A145" s="25" t="s">
        <v>1012</v>
      </c>
      <c r="B145" s="134" t="s">
        <v>1013</v>
      </c>
      <c r="C145" s="1">
        <v>1</v>
      </c>
      <c r="D145" s="1">
        <v>4</v>
      </c>
      <c r="E145" s="1">
        <v>4</v>
      </c>
      <c r="F145" s="1" t="s">
        <v>788</v>
      </c>
      <c r="G145" s="1">
        <v>7011</v>
      </c>
      <c r="H145" s="1" t="s">
        <v>364</v>
      </c>
      <c r="I145" s="94">
        <v>155</v>
      </c>
      <c r="J145" s="2">
        <v>1.7230000000000001</v>
      </c>
      <c r="L145" s="135">
        <v>46176</v>
      </c>
      <c r="M145" s="3" t="s">
        <v>538</v>
      </c>
      <c r="O145" s="1">
        <v>1</v>
      </c>
      <c r="P145" s="94">
        <v>2</v>
      </c>
      <c r="Q145" s="4">
        <v>0</v>
      </c>
      <c r="R145" s="2">
        <v>0</v>
      </c>
      <c r="S145" s="25" t="s">
        <v>1014</v>
      </c>
      <c r="V145" s="41" t="s">
        <v>1015</v>
      </c>
      <c r="W145" s="43" t="s">
        <v>375</v>
      </c>
      <c r="AB145" s="2">
        <v>5.55</v>
      </c>
      <c r="AC145" s="2">
        <v>16.079999999999998</v>
      </c>
      <c r="AD145" s="2">
        <v>0.28000000000000003</v>
      </c>
    </row>
    <row r="146" spans="1:30" x14ac:dyDescent="0.25">
      <c r="A146" s="25" t="s">
        <v>1016</v>
      </c>
      <c r="B146" s="134" t="s">
        <v>1017</v>
      </c>
      <c r="C146" s="1">
        <v>1</v>
      </c>
      <c r="D146" s="1">
        <v>1</v>
      </c>
      <c r="E146" s="1">
        <v>1</v>
      </c>
      <c r="F146" s="1" t="s">
        <v>1018</v>
      </c>
      <c r="G146" s="1">
        <v>4575</v>
      </c>
      <c r="H146" s="1" t="s">
        <v>364</v>
      </c>
      <c r="I146" s="94">
        <v>155</v>
      </c>
      <c r="J146" s="2">
        <v>0.67600000000000005</v>
      </c>
      <c r="L146" s="135">
        <v>46175</v>
      </c>
      <c r="M146" s="3" t="s">
        <v>365</v>
      </c>
      <c r="O146" s="1">
        <v>1</v>
      </c>
      <c r="P146" s="94">
        <v>2</v>
      </c>
      <c r="Q146" s="4">
        <v>0</v>
      </c>
      <c r="R146" s="2">
        <v>0</v>
      </c>
      <c r="S146" s="25" t="s">
        <v>1019</v>
      </c>
      <c r="V146" s="41" t="s">
        <v>1020</v>
      </c>
      <c r="W146" s="43" t="s">
        <v>487</v>
      </c>
      <c r="AB146" s="2">
        <v>3.21</v>
      </c>
      <c r="AC146" s="2">
        <v>13.59</v>
      </c>
      <c r="AD146" s="2">
        <v>0.28000000000000003</v>
      </c>
    </row>
    <row r="147" spans="1:30" x14ac:dyDescent="0.25">
      <c r="A147" s="25" t="s">
        <v>1021</v>
      </c>
      <c r="B147" s="134" t="s">
        <v>1022</v>
      </c>
      <c r="C147" s="1">
        <v>1</v>
      </c>
      <c r="D147" s="1">
        <v>3</v>
      </c>
      <c r="E147" s="1">
        <v>3</v>
      </c>
      <c r="F147" s="1" t="s">
        <v>1023</v>
      </c>
      <c r="G147" s="1">
        <v>2103</v>
      </c>
      <c r="H147" s="1" t="s">
        <v>364</v>
      </c>
      <c r="I147" s="94">
        <v>155</v>
      </c>
      <c r="J147" s="2">
        <v>1.3839999999999999</v>
      </c>
      <c r="L147" s="135">
        <v>46175</v>
      </c>
      <c r="M147" s="3" t="s">
        <v>365</v>
      </c>
      <c r="O147" s="1">
        <v>1</v>
      </c>
      <c r="P147" s="94">
        <v>2</v>
      </c>
      <c r="Q147" s="4">
        <v>0</v>
      </c>
      <c r="R147" s="2">
        <v>0</v>
      </c>
      <c r="S147" s="25" t="s">
        <v>1024</v>
      </c>
      <c r="V147" s="41" t="s">
        <v>1025</v>
      </c>
      <c r="W147" s="43" t="s">
        <v>392</v>
      </c>
      <c r="AB147" s="2">
        <v>4.7699999999999996</v>
      </c>
      <c r="AC147" s="2">
        <v>6.36</v>
      </c>
      <c r="AD147" s="2">
        <v>0.28000000000000003</v>
      </c>
    </row>
    <row r="148" spans="1:30" x14ac:dyDescent="0.25">
      <c r="A148" s="25" t="s">
        <v>1026</v>
      </c>
      <c r="B148" s="134" t="s">
        <v>1027</v>
      </c>
      <c r="C148" s="1">
        <v>1</v>
      </c>
      <c r="D148" s="1">
        <v>1</v>
      </c>
      <c r="E148" s="1">
        <v>1</v>
      </c>
      <c r="F148" s="1" t="s">
        <v>1028</v>
      </c>
      <c r="G148" s="1">
        <v>3184</v>
      </c>
      <c r="H148" s="1" t="s">
        <v>364</v>
      </c>
      <c r="I148" s="94">
        <v>154</v>
      </c>
      <c r="J148" s="2">
        <v>0.45</v>
      </c>
      <c r="L148" s="135">
        <v>46175</v>
      </c>
      <c r="M148" s="3" t="s">
        <v>372</v>
      </c>
      <c r="O148" s="1">
        <v>1</v>
      </c>
      <c r="P148" s="94">
        <v>2</v>
      </c>
      <c r="Q148" s="4">
        <v>0</v>
      </c>
      <c r="R148" s="2">
        <v>0</v>
      </c>
      <c r="S148" s="25" t="s">
        <v>1029</v>
      </c>
      <c r="V148" s="41" t="s">
        <v>1030</v>
      </c>
      <c r="W148" s="43" t="s">
        <v>399</v>
      </c>
      <c r="AB148" s="2">
        <v>3.21</v>
      </c>
      <c r="AC148" s="2">
        <v>11.63</v>
      </c>
      <c r="AD148" s="2">
        <v>0.28000000000000003</v>
      </c>
    </row>
    <row r="149" spans="1:30" x14ac:dyDescent="0.25">
      <c r="A149" s="25" t="s">
        <v>1031</v>
      </c>
      <c r="B149" s="134" t="s">
        <v>1032</v>
      </c>
      <c r="C149" s="1">
        <v>1</v>
      </c>
      <c r="D149" s="1">
        <v>4</v>
      </c>
      <c r="E149" s="1">
        <v>4</v>
      </c>
      <c r="F149" s="1" t="s">
        <v>1033</v>
      </c>
      <c r="G149" s="1">
        <v>6743</v>
      </c>
      <c r="H149" s="1" t="s">
        <v>364</v>
      </c>
      <c r="I149" s="94">
        <v>155</v>
      </c>
      <c r="J149" s="2">
        <v>1.175</v>
      </c>
      <c r="L149" s="135">
        <v>46175</v>
      </c>
      <c r="M149" s="3" t="s">
        <v>538</v>
      </c>
      <c r="O149" s="1">
        <v>1</v>
      </c>
      <c r="P149" s="94">
        <v>2</v>
      </c>
      <c r="Q149" s="4">
        <v>0</v>
      </c>
      <c r="R149" s="2">
        <v>0</v>
      </c>
      <c r="S149" s="25" t="s">
        <v>1034</v>
      </c>
      <c r="V149" s="41" t="s">
        <v>1035</v>
      </c>
      <c r="W149" s="43" t="s">
        <v>1036</v>
      </c>
      <c r="AB149" s="2">
        <v>5.55</v>
      </c>
      <c r="AC149" s="2">
        <v>31.53</v>
      </c>
      <c r="AD149" s="2">
        <v>0.28000000000000003</v>
      </c>
    </row>
    <row r="150" spans="1:30" x14ac:dyDescent="0.25">
      <c r="A150" s="25" t="s">
        <v>1037</v>
      </c>
      <c r="B150" s="134" t="s">
        <v>1038</v>
      </c>
      <c r="C150" s="1">
        <v>1</v>
      </c>
      <c r="D150" s="1">
        <v>3</v>
      </c>
      <c r="E150" s="1">
        <v>3</v>
      </c>
      <c r="F150" s="1" t="s">
        <v>1039</v>
      </c>
      <c r="G150" s="1">
        <v>5067</v>
      </c>
      <c r="H150" s="1" t="s">
        <v>364</v>
      </c>
      <c r="I150" s="94">
        <v>155</v>
      </c>
      <c r="J150" s="2">
        <v>1.097</v>
      </c>
      <c r="L150" s="135">
        <v>46175</v>
      </c>
      <c r="M150" s="3" t="s">
        <v>365</v>
      </c>
      <c r="O150" s="1">
        <v>1</v>
      </c>
      <c r="P150" s="94">
        <v>2</v>
      </c>
      <c r="Q150" s="4">
        <v>0</v>
      </c>
      <c r="R150" s="2">
        <v>0</v>
      </c>
      <c r="S150" s="25" t="s">
        <v>1040</v>
      </c>
      <c r="V150" s="41" t="s">
        <v>1041</v>
      </c>
      <c r="W150" s="43" t="s">
        <v>442</v>
      </c>
      <c r="AB150" s="2">
        <v>4.7699999999999996</v>
      </c>
      <c r="AC150" s="2">
        <v>10.52</v>
      </c>
      <c r="AD150" s="2">
        <v>0.28000000000000003</v>
      </c>
    </row>
    <row r="151" spans="1:30" x14ac:dyDescent="0.25">
      <c r="A151" s="25" t="s">
        <v>1042</v>
      </c>
      <c r="B151" s="134" t="s">
        <v>1043</v>
      </c>
      <c r="C151" s="1">
        <v>1</v>
      </c>
      <c r="D151" s="1">
        <v>1</v>
      </c>
      <c r="E151" s="1">
        <v>1</v>
      </c>
      <c r="F151" s="1" t="s">
        <v>1044</v>
      </c>
      <c r="G151" s="1">
        <v>3042</v>
      </c>
      <c r="H151" s="1" t="s">
        <v>364</v>
      </c>
      <c r="I151" s="94">
        <v>155</v>
      </c>
      <c r="J151" s="2">
        <v>0.20499999999999999</v>
      </c>
      <c r="L151" s="135">
        <v>46175</v>
      </c>
      <c r="M151" s="3" t="s">
        <v>372</v>
      </c>
      <c r="O151" s="1">
        <v>1</v>
      </c>
      <c r="P151" s="94">
        <v>2</v>
      </c>
      <c r="Q151" s="4">
        <v>0</v>
      </c>
      <c r="R151" s="2">
        <v>0</v>
      </c>
      <c r="S151" s="25" t="s">
        <v>1045</v>
      </c>
      <c r="V151" s="41" t="s">
        <v>1046</v>
      </c>
      <c r="W151" s="43" t="s">
        <v>399</v>
      </c>
      <c r="AB151" s="2">
        <v>3.21</v>
      </c>
      <c r="AC151" s="2">
        <v>7.39</v>
      </c>
      <c r="AD151" s="2">
        <v>0.28000000000000003</v>
      </c>
    </row>
    <row r="152" spans="1:30" x14ac:dyDescent="0.25">
      <c r="A152" s="25" t="s">
        <v>1047</v>
      </c>
      <c r="B152" s="134" t="s">
        <v>1048</v>
      </c>
      <c r="C152" s="1">
        <v>1</v>
      </c>
      <c r="D152" s="1">
        <v>1</v>
      </c>
      <c r="E152" s="1">
        <v>1</v>
      </c>
      <c r="F152" s="1" t="s">
        <v>1049</v>
      </c>
      <c r="G152" s="1">
        <v>2028</v>
      </c>
      <c r="H152" s="1" t="s">
        <v>364</v>
      </c>
      <c r="I152" s="94">
        <v>155</v>
      </c>
      <c r="J152" s="2">
        <v>3.0209999999999999</v>
      </c>
      <c r="L152" s="135">
        <v>46175</v>
      </c>
      <c r="M152" s="3" t="s">
        <v>698</v>
      </c>
      <c r="O152" s="1">
        <v>1</v>
      </c>
      <c r="P152" s="94">
        <v>2</v>
      </c>
      <c r="Q152" s="4">
        <v>0</v>
      </c>
      <c r="R152" s="2">
        <v>0</v>
      </c>
      <c r="S152" s="25" t="s">
        <v>1050</v>
      </c>
      <c r="V152" s="41" t="s">
        <v>700</v>
      </c>
      <c r="W152" s="43" t="s">
        <v>392</v>
      </c>
      <c r="AB152" s="2">
        <v>3.21</v>
      </c>
      <c r="AC152" s="2">
        <v>6.73</v>
      </c>
      <c r="AD152" s="2">
        <v>0</v>
      </c>
    </row>
    <row r="153" spans="1:30" x14ac:dyDescent="0.25">
      <c r="A153" s="25" t="s">
        <v>1051</v>
      </c>
      <c r="B153" s="134" t="s">
        <v>1052</v>
      </c>
      <c r="C153" s="1">
        <v>1</v>
      </c>
      <c r="D153" s="1">
        <v>1</v>
      </c>
      <c r="E153" s="1">
        <v>1</v>
      </c>
      <c r="F153" s="1" t="s">
        <v>1053</v>
      </c>
      <c r="G153" s="1">
        <v>2155</v>
      </c>
      <c r="H153" s="1" t="s">
        <v>364</v>
      </c>
      <c r="I153" s="94">
        <v>155</v>
      </c>
      <c r="J153" s="2">
        <v>0.53800000000000003</v>
      </c>
      <c r="L153" s="135">
        <v>46175</v>
      </c>
      <c r="M153" s="3" t="s">
        <v>372</v>
      </c>
      <c r="O153" s="1">
        <v>1</v>
      </c>
      <c r="P153" s="94">
        <v>2</v>
      </c>
      <c r="Q153" s="4">
        <v>0</v>
      </c>
      <c r="R153" s="2">
        <v>0</v>
      </c>
      <c r="S153" s="25" t="s">
        <v>1054</v>
      </c>
      <c r="V153" s="41" t="s">
        <v>1055</v>
      </c>
      <c r="W153" s="43" t="s">
        <v>392</v>
      </c>
      <c r="AB153" s="2">
        <v>3.21</v>
      </c>
      <c r="AC153" s="2">
        <v>6.36</v>
      </c>
      <c r="AD153" s="2">
        <v>0.28000000000000003</v>
      </c>
    </row>
    <row r="154" spans="1:30" x14ac:dyDescent="0.25">
      <c r="A154" s="25" t="s">
        <v>1056</v>
      </c>
      <c r="B154" s="134" t="s">
        <v>1057</v>
      </c>
      <c r="C154" s="1">
        <v>1</v>
      </c>
      <c r="D154" s="1">
        <v>1</v>
      </c>
      <c r="E154" s="1">
        <v>1</v>
      </c>
      <c r="F154" s="1" t="s">
        <v>1058</v>
      </c>
      <c r="G154" s="1">
        <v>6210</v>
      </c>
      <c r="H154" s="1" t="s">
        <v>364</v>
      </c>
      <c r="I154" s="94">
        <v>155</v>
      </c>
      <c r="J154" s="2">
        <v>3.028</v>
      </c>
      <c r="L154" s="135">
        <v>46175</v>
      </c>
      <c r="M154" s="3" t="s">
        <v>698</v>
      </c>
      <c r="O154" s="1">
        <v>1</v>
      </c>
      <c r="P154" s="94">
        <v>2</v>
      </c>
      <c r="Q154" s="4">
        <v>0</v>
      </c>
      <c r="R154" s="2">
        <v>0</v>
      </c>
      <c r="S154" s="25" t="s">
        <v>1059</v>
      </c>
      <c r="V154" s="41" t="s">
        <v>700</v>
      </c>
      <c r="W154" s="43" t="s">
        <v>415</v>
      </c>
      <c r="AB154" s="2">
        <v>3.21</v>
      </c>
      <c r="AC154" s="2">
        <v>21.86</v>
      </c>
      <c r="AD154" s="2">
        <v>0</v>
      </c>
    </row>
    <row r="155" spans="1:30" x14ac:dyDescent="0.25">
      <c r="A155" s="25" t="s">
        <v>1060</v>
      </c>
      <c r="B155" s="134" t="s">
        <v>1061</v>
      </c>
      <c r="C155" s="1">
        <v>1</v>
      </c>
      <c r="D155" s="1">
        <v>3</v>
      </c>
      <c r="E155" s="1">
        <v>3</v>
      </c>
      <c r="F155" s="1" t="s">
        <v>1062</v>
      </c>
      <c r="G155" s="1">
        <v>6148</v>
      </c>
      <c r="H155" s="1" t="s">
        <v>364</v>
      </c>
      <c r="I155" s="94">
        <v>155</v>
      </c>
      <c r="J155" s="2">
        <v>0.55600000000000005</v>
      </c>
      <c r="L155" s="135">
        <v>46175</v>
      </c>
      <c r="M155" s="3" t="s">
        <v>365</v>
      </c>
      <c r="O155" s="1">
        <v>1</v>
      </c>
      <c r="P155" s="94">
        <v>2</v>
      </c>
      <c r="Q155" s="4">
        <v>0</v>
      </c>
      <c r="R155" s="2">
        <v>0</v>
      </c>
      <c r="S155" s="25" t="s">
        <v>1063</v>
      </c>
      <c r="V155" s="41" t="s">
        <v>1064</v>
      </c>
      <c r="W155" s="43" t="s">
        <v>415</v>
      </c>
      <c r="AB155" s="2">
        <v>4.7699999999999996</v>
      </c>
      <c r="AC155" s="2">
        <v>13.8</v>
      </c>
      <c r="AD155" s="2">
        <v>0.28000000000000003</v>
      </c>
    </row>
    <row r="156" spans="1:30" x14ac:dyDescent="0.25">
      <c r="A156" s="25" t="s">
        <v>1065</v>
      </c>
      <c r="B156" s="134" t="s">
        <v>1066</v>
      </c>
      <c r="C156" s="1">
        <v>1</v>
      </c>
      <c r="D156" s="1">
        <v>2</v>
      </c>
      <c r="E156" s="1">
        <v>2</v>
      </c>
      <c r="F156" s="1" t="s">
        <v>1067</v>
      </c>
      <c r="G156" s="1">
        <v>3930</v>
      </c>
      <c r="H156" s="1" t="s">
        <v>364</v>
      </c>
      <c r="I156" s="94">
        <v>155</v>
      </c>
      <c r="J156" s="2">
        <v>0.41499999999999998</v>
      </c>
      <c r="L156" s="135">
        <v>46175</v>
      </c>
      <c r="M156" s="3" t="s">
        <v>372</v>
      </c>
      <c r="O156" s="1">
        <v>1</v>
      </c>
      <c r="P156" s="94">
        <v>2</v>
      </c>
      <c r="Q156" s="4">
        <v>0</v>
      </c>
      <c r="R156" s="2">
        <v>0</v>
      </c>
      <c r="S156" s="25" t="s">
        <v>1068</v>
      </c>
      <c r="V156" s="41" t="s">
        <v>1069</v>
      </c>
      <c r="W156" s="43" t="s">
        <v>619</v>
      </c>
      <c r="AB156" s="2">
        <v>3.99</v>
      </c>
      <c r="AC156" s="2">
        <v>8.94</v>
      </c>
      <c r="AD156" s="2">
        <v>0.28000000000000003</v>
      </c>
    </row>
    <row r="157" spans="1:30" x14ac:dyDescent="0.25">
      <c r="A157" s="25" t="s">
        <v>1070</v>
      </c>
      <c r="B157" s="134" t="s">
        <v>1071</v>
      </c>
      <c r="C157" s="1">
        <v>1</v>
      </c>
      <c r="D157" s="1">
        <v>1</v>
      </c>
      <c r="E157" s="1">
        <v>1</v>
      </c>
      <c r="F157" s="1" t="s">
        <v>1072</v>
      </c>
      <c r="G157" s="1">
        <v>3226</v>
      </c>
      <c r="H157" s="1" t="s">
        <v>364</v>
      </c>
      <c r="I157" s="94">
        <v>154</v>
      </c>
      <c r="J157" s="2">
        <v>0.45300000000000001</v>
      </c>
      <c r="L157" s="135">
        <v>46175</v>
      </c>
      <c r="M157" s="3" t="s">
        <v>372</v>
      </c>
      <c r="O157" s="1">
        <v>1</v>
      </c>
      <c r="P157" s="94">
        <v>2</v>
      </c>
      <c r="Q157" s="4">
        <v>0</v>
      </c>
      <c r="R157" s="2">
        <v>0</v>
      </c>
      <c r="S157" s="25" t="s">
        <v>1073</v>
      </c>
      <c r="V157" s="41" t="s">
        <v>512</v>
      </c>
      <c r="W157" s="43" t="s">
        <v>381</v>
      </c>
      <c r="AB157" s="2">
        <v>3.21</v>
      </c>
      <c r="AC157" s="2">
        <v>20.22</v>
      </c>
      <c r="AD157" s="2">
        <v>0.28000000000000003</v>
      </c>
    </row>
    <row r="158" spans="1:30" x14ac:dyDescent="0.25">
      <c r="A158" s="25" t="s">
        <v>1074</v>
      </c>
      <c r="B158" s="134" t="s">
        <v>1075</v>
      </c>
      <c r="C158" s="1">
        <v>1</v>
      </c>
      <c r="D158" s="1">
        <v>2</v>
      </c>
      <c r="E158" s="1">
        <v>2</v>
      </c>
      <c r="F158" s="1" t="s">
        <v>1076</v>
      </c>
      <c r="G158" s="1">
        <v>3364</v>
      </c>
      <c r="H158" s="1" t="s">
        <v>364</v>
      </c>
      <c r="I158" s="94">
        <v>155</v>
      </c>
      <c r="J158" s="2">
        <v>0.94499999999999995</v>
      </c>
      <c r="L158" s="135">
        <v>46175</v>
      </c>
      <c r="M158" s="3" t="s">
        <v>365</v>
      </c>
      <c r="O158" s="1">
        <v>1</v>
      </c>
      <c r="P158" s="94">
        <v>2</v>
      </c>
      <c r="Q158" s="4">
        <v>0</v>
      </c>
      <c r="R158" s="2">
        <v>0</v>
      </c>
      <c r="S158" s="25" t="s">
        <v>1077</v>
      </c>
      <c r="V158" s="41" t="s">
        <v>1078</v>
      </c>
      <c r="W158" s="43" t="s">
        <v>381</v>
      </c>
      <c r="AB158" s="2">
        <v>3.99</v>
      </c>
      <c r="AC158" s="2">
        <v>20.54</v>
      </c>
      <c r="AD158" s="2">
        <v>0.28000000000000003</v>
      </c>
    </row>
    <row r="159" spans="1:30" x14ac:dyDescent="0.25">
      <c r="A159" s="25" t="s">
        <v>1079</v>
      </c>
      <c r="B159" s="134" t="s">
        <v>1080</v>
      </c>
      <c r="C159" s="1">
        <v>1</v>
      </c>
      <c r="D159" s="1">
        <v>3</v>
      </c>
      <c r="E159" s="1">
        <v>3</v>
      </c>
      <c r="F159" s="1" t="s">
        <v>1081</v>
      </c>
      <c r="G159" s="1">
        <v>2210</v>
      </c>
      <c r="H159" s="1" t="s">
        <v>364</v>
      </c>
      <c r="I159" s="94">
        <v>155</v>
      </c>
      <c r="J159" s="2">
        <v>3.0779999999999998</v>
      </c>
      <c r="L159" s="135">
        <v>46175</v>
      </c>
      <c r="M159" s="3" t="s">
        <v>538</v>
      </c>
      <c r="O159" s="1">
        <v>1</v>
      </c>
      <c r="P159" s="94">
        <v>2</v>
      </c>
      <c r="Q159" s="4">
        <v>0</v>
      </c>
      <c r="R159" s="2">
        <v>0</v>
      </c>
      <c r="S159" s="25" t="s">
        <v>1082</v>
      </c>
      <c r="V159" s="41" t="s">
        <v>1083</v>
      </c>
      <c r="W159" s="43" t="s">
        <v>392</v>
      </c>
      <c r="AB159" s="2">
        <v>4.7699999999999996</v>
      </c>
      <c r="AC159" s="2">
        <v>6.73</v>
      </c>
      <c r="AD159" s="2">
        <v>0.28000000000000003</v>
      </c>
    </row>
    <row r="160" spans="1:30" x14ac:dyDescent="0.25">
      <c r="A160" s="25" t="s">
        <v>1084</v>
      </c>
      <c r="B160" s="134" t="s">
        <v>1085</v>
      </c>
      <c r="C160" s="1">
        <v>1</v>
      </c>
      <c r="D160" s="1">
        <v>5</v>
      </c>
      <c r="E160" s="1">
        <v>6</v>
      </c>
      <c r="F160" s="1" t="s">
        <v>1086</v>
      </c>
      <c r="G160" s="1">
        <v>2095</v>
      </c>
      <c r="H160" s="1" t="s">
        <v>364</v>
      </c>
      <c r="I160" s="94">
        <v>155</v>
      </c>
      <c r="J160" s="2">
        <v>1.0269999999999999</v>
      </c>
      <c r="L160" s="135">
        <v>46175</v>
      </c>
      <c r="M160" s="3" t="s">
        <v>365</v>
      </c>
      <c r="O160" s="1">
        <v>1</v>
      </c>
      <c r="P160" s="94">
        <v>2</v>
      </c>
      <c r="Q160" s="4">
        <v>0</v>
      </c>
      <c r="R160" s="2">
        <v>0</v>
      </c>
      <c r="S160" s="25" t="s">
        <v>1087</v>
      </c>
      <c r="V160" s="41" t="s">
        <v>1088</v>
      </c>
      <c r="W160" s="43" t="s">
        <v>392</v>
      </c>
      <c r="AB160" s="2">
        <v>6.8</v>
      </c>
      <c r="AC160" s="2">
        <v>6.36</v>
      </c>
      <c r="AD160" s="2">
        <v>0.28000000000000003</v>
      </c>
    </row>
    <row r="161" spans="1:30" x14ac:dyDescent="0.25">
      <c r="A161" s="25" t="s">
        <v>1089</v>
      </c>
      <c r="B161" s="134" t="s">
        <v>1090</v>
      </c>
      <c r="C161" s="1">
        <v>1</v>
      </c>
      <c r="D161" s="1">
        <v>1</v>
      </c>
      <c r="E161" s="1">
        <v>1</v>
      </c>
      <c r="F161" s="1" t="s">
        <v>1091</v>
      </c>
      <c r="G161" s="1">
        <v>3095</v>
      </c>
      <c r="H161" s="1" t="s">
        <v>364</v>
      </c>
      <c r="I161" s="94">
        <v>155</v>
      </c>
      <c r="J161" s="2">
        <v>0.432</v>
      </c>
      <c r="L161" s="135">
        <v>46175</v>
      </c>
      <c r="M161" s="3" t="s">
        <v>372</v>
      </c>
      <c r="O161" s="1">
        <v>1</v>
      </c>
      <c r="P161" s="94">
        <v>2</v>
      </c>
      <c r="Q161" s="4">
        <v>0</v>
      </c>
      <c r="R161" s="2">
        <v>0</v>
      </c>
      <c r="S161" s="25" t="s">
        <v>1092</v>
      </c>
      <c r="V161" s="41" t="s">
        <v>1093</v>
      </c>
      <c r="W161" s="43" t="s">
        <v>399</v>
      </c>
      <c r="AB161" s="2">
        <v>3.21</v>
      </c>
      <c r="AC161" s="2">
        <v>7.39</v>
      </c>
      <c r="AD161" s="2">
        <v>0.28000000000000003</v>
      </c>
    </row>
    <row r="162" spans="1:30" x14ac:dyDescent="0.25">
      <c r="A162" s="25" t="s">
        <v>1094</v>
      </c>
      <c r="B162" s="134" t="s">
        <v>1095</v>
      </c>
      <c r="C162" s="1">
        <v>1</v>
      </c>
      <c r="D162" s="1">
        <v>3</v>
      </c>
      <c r="E162" s="1">
        <v>3</v>
      </c>
      <c r="F162" s="1" t="s">
        <v>1096</v>
      </c>
      <c r="G162" s="1">
        <v>2209</v>
      </c>
      <c r="H162" s="1" t="s">
        <v>364</v>
      </c>
      <c r="I162" s="94">
        <v>155</v>
      </c>
      <c r="J162" s="2">
        <v>1.07</v>
      </c>
      <c r="L162" s="135">
        <v>46175</v>
      </c>
      <c r="M162" s="3" t="s">
        <v>365</v>
      </c>
      <c r="O162" s="1">
        <v>1</v>
      </c>
      <c r="P162" s="94">
        <v>2</v>
      </c>
      <c r="Q162" s="4">
        <v>0</v>
      </c>
      <c r="R162" s="2">
        <v>0</v>
      </c>
      <c r="S162" s="25" t="s">
        <v>1097</v>
      </c>
      <c r="V162" s="41" t="s">
        <v>1098</v>
      </c>
      <c r="W162" s="43" t="s">
        <v>392</v>
      </c>
      <c r="AB162" s="2">
        <v>4.7699999999999996</v>
      </c>
      <c r="AC162" s="2">
        <v>6.36</v>
      </c>
      <c r="AD162" s="2">
        <v>0.28000000000000003</v>
      </c>
    </row>
    <row r="163" spans="1:30" x14ac:dyDescent="0.25">
      <c r="A163" s="25" t="s">
        <v>1099</v>
      </c>
      <c r="B163" s="134" t="s">
        <v>1100</v>
      </c>
      <c r="C163" s="1">
        <v>1</v>
      </c>
      <c r="D163" s="1">
        <v>4</v>
      </c>
      <c r="E163" s="1">
        <v>4</v>
      </c>
      <c r="F163" s="1" t="s">
        <v>1101</v>
      </c>
      <c r="G163" s="1">
        <v>4566</v>
      </c>
      <c r="H163" s="1" t="s">
        <v>364</v>
      </c>
      <c r="I163" s="94">
        <v>155</v>
      </c>
      <c r="J163" s="2">
        <v>2.0859999999999999</v>
      </c>
      <c r="L163" s="135">
        <v>46175</v>
      </c>
      <c r="M163" s="3" t="s">
        <v>365</v>
      </c>
      <c r="O163" s="1">
        <v>1</v>
      </c>
      <c r="P163" s="94">
        <v>2</v>
      </c>
      <c r="Q163" s="4">
        <v>0</v>
      </c>
      <c r="R163" s="2">
        <v>0</v>
      </c>
      <c r="S163" s="25" t="s">
        <v>1102</v>
      </c>
      <c r="V163" s="41" t="s">
        <v>1103</v>
      </c>
      <c r="W163" s="43" t="s">
        <v>487</v>
      </c>
      <c r="AB163" s="2">
        <v>5.55</v>
      </c>
      <c r="AC163" s="2">
        <v>16.809999999999999</v>
      </c>
      <c r="AD163" s="2">
        <v>0.28000000000000003</v>
      </c>
    </row>
    <row r="164" spans="1:30" x14ac:dyDescent="0.25">
      <c r="A164" s="25" t="s">
        <v>1104</v>
      </c>
      <c r="B164" s="134" t="s">
        <v>1105</v>
      </c>
      <c r="C164" s="1">
        <v>1</v>
      </c>
      <c r="D164" s="1">
        <v>4</v>
      </c>
      <c r="E164" s="1">
        <v>4</v>
      </c>
      <c r="F164" s="1" t="s">
        <v>1106</v>
      </c>
      <c r="G164" s="1">
        <v>4215</v>
      </c>
      <c r="H164" s="1" t="s">
        <v>364</v>
      </c>
      <c r="I164" s="94">
        <v>155</v>
      </c>
      <c r="J164" s="2">
        <v>1.298</v>
      </c>
      <c r="L164" s="135">
        <v>46176</v>
      </c>
      <c r="M164" s="3" t="s">
        <v>365</v>
      </c>
      <c r="O164" s="1">
        <v>1</v>
      </c>
      <c r="P164" s="94">
        <v>2</v>
      </c>
      <c r="Q164" s="4">
        <v>0</v>
      </c>
      <c r="R164" s="2">
        <v>0</v>
      </c>
      <c r="S164" s="25" t="s">
        <v>1107</v>
      </c>
      <c r="V164" s="41" t="s">
        <v>1108</v>
      </c>
      <c r="W164" s="43" t="s">
        <v>1109</v>
      </c>
      <c r="AB164" s="2">
        <v>5.55</v>
      </c>
      <c r="AC164" s="2">
        <v>12.85</v>
      </c>
      <c r="AD164" s="2">
        <v>0.28000000000000003</v>
      </c>
    </row>
    <row r="165" spans="1:30" x14ac:dyDescent="0.25">
      <c r="A165" s="25" t="s">
        <v>1110</v>
      </c>
      <c r="B165" s="134" t="s">
        <v>1111</v>
      </c>
      <c r="C165" s="1">
        <v>1</v>
      </c>
      <c r="D165" s="1">
        <v>1</v>
      </c>
      <c r="E165" s="1">
        <v>1</v>
      </c>
      <c r="F165" s="1" t="s">
        <v>1112</v>
      </c>
      <c r="G165" s="1">
        <v>2093</v>
      </c>
      <c r="H165" s="1" t="s">
        <v>364</v>
      </c>
      <c r="I165" s="94">
        <v>155</v>
      </c>
      <c r="J165" s="2">
        <v>0.45200000000000001</v>
      </c>
      <c r="L165" s="135">
        <v>46176</v>
      </c>
      <c r="M165" s="3" t="s">
        <v>372</v>
      </c>
      <c r="O165" s="1">
        <v>1</v>
      </c>
      <c r="P165" s="94">
        <v>2</v>
      </c>
      <c r="Q165" s="4">
        <v>0</v>
      </c>
      <c r="R165" s="2">
        <v>0</v>
      </c>
      <c r="S165" s="25" t="s">
        <v>1113</v>
      </c>
      <c r="V165" s="41" t="s">
        <v>512</v>
      </c>
      <c r="W165" s="43" t="s">
        <v>392</v>
      </c>
      <c r="AB165" s="2">
        <v>3.21</v>
      </c>
      <c r="AC165" s="2">
        <v>5.87</v>
      </c>
      <c r="AD165" s="2">
        <v>0.28000000000000003</v>
      </c>
    </row>
    <row r="166" spans="1:30" x14ac:dyDescent="0.25">
      <c r="A166" s="25" t="s">
        <v>1114</v>
      </c>
      <c r="B166" s="134" t="s">
        <v>1115</v>
      </c>
      <c r="C166" s="1">
        <v>1</v>
      </c>
      <c r="D166" s="1">
        <v>1</v>
      </c>
      <c r="E166" s="1">
        <v>2</v>
      </c>
      <c r="F166" s="1" t="s">
        <v>1116</v>
      </c>
      <c r="G166" s="1">
        <v>2179</v>
      </c>
      <c r="H166" s="1" t="s">
        <v>364</v>
      </c>
      <c r="I166" s="94">
        <v>155</v>
      </c>
      <c r="J166" s="2">
        <v>0.86</v>
      </c>
      <c r="L166" s="135">
        <v>46176</v>
      </c>
      <c r="M166" s="3" t="s">
        <v>372</v>
      </c>
      <c r="O166" s="1">
        <v>1</v>
      </c>
      <c r="P166" s="94">
        <v>2</v>
      </c>
      <c r="Q166" s="4">
        <v>0</v>
      </c>
      <c r="R166" s="2">
        <v>0</v>
      </c>
      <c r="S166" s="25" t="s">
        <v>1117</v>
      </c>
      <c r="V166" s="41" t="s">
        <v>1118</v>
      </c>
      <c r="W166" s="43" t="s">
        <v>392</v>
      </c>
      <c r="AB166" s="2">
        <v>3.68</v>
      </c>
      <c r="AC166" s="2">
        <v>6.36</v>
      </c>
      <c r="AD166" s="2">
        <v>0.28000000000000003</v>
      </c>
    </row>
    <row r="167" spans="1:30" x14ac:dyDescent="0.25">
      <c r="A167" s="25" t="s">
        <v>1119</v>
      </c>
      <c r="B167" s="134" t="s">
        <v>1120</v>
      </c>
      <c r="C167" s="1">
        <v>1</v>
      </c>
      <c r="D167" s="1">
        <v>4</v>
      </c>
      <c r="E167" s="1">
        <v>31</v>
      </c>
      <c r="F167" s="1" t="s">
        <v>1121</v>
      </c>
      <c r="G167" s="1">
        <v>4680</v>
      </c>
      <c r="H167" s="1" t="s">
        <v>364</v>
      </c>
      <c r="I167" s="94">
        <v>154</v>
      </c>
      <c r="J167" s="2">
        <v>3.4670000000000001</v>
      </c>
      <c r="L167" s="135">
        <v>46176</v>
      </c>
      <c r="M167" s="3" t="s">
        <v>478</v>
      </c>
      <c r="O167" s="1">
        <v>1</v>
      </c>
      <c r="P167" s="94">
        <v>2</v>
      </c>
      <c r="Q167" s="4">
        <v>0</v>
      </c>
      <c r="R167" s="2">
        <v>0</v>
      </c>
      <c r="S167" s="25" t="s">
        <v>1122</v>
      </c>
      <c r="V167" s="41" t="s">
        <v>1123</v>
      </c>
      <c r="W167" s="43" t="s">
        <v>570</v>
      </c>
      <c r="AB167" s="2">
        <v>18.239999999999998</v>
      </c>
      <c r="AC167" s="2">
        <v>39.24</v>
      </c>
      <c r="AD167" s="2">
        <v>1.04</v>
      </c>
    </row>
    <row r="168" spans="1:30" x14ac:dyDescent="0.25">
      <c r="A168" s="25" t="s">
        <v>1124</v>
      </c>
      <c r="B168" s="134" t="s">
        <v>1125</v>
      </c>
      <c r="C168" s="1">
        <v>1</v>
      </c>
      <c r="D168" s="1">
        <v>2</v>
      </c>
      <c r="E168" s="1">
        <v>2</v>
      </c>
      <c r="F168" s="1" t="s">
        <v>1126</v>
      </c>
      <c r="G168" s="1">
        <v>3186</v>
      </c>
      <c r="H168" s="1" t="s">
        <v>364</v>
      </c>
      <c r="I168" s="94">
        <v>155</v>
      </c>
      <c r="J168" s="2">
        <v>0.86199999999999999</v>
      </c>
      <c r="L168" s="135">
        <v>46176</v>
      </c>
      <c r="M168" s="3" t="s">
        <v>372</v>
      </c>
      <c r="O168" s="1">
        <v>1</v>
      </c>
      <c r="P168" s="94">
        <v>2</v>
      </c>
      <c r="Q168" s="4">
        <v>0</v>
      </c>
      <c r="R168" s="2">
        <v>0</v>
      </c>
      <c r="S168" s="25" t="s">
        <v>1127</v>
      </c>
      <c r="V168" s="41" t="s">
        <v>978</v>
      </c>
      <c r="W168" s="43" t="s">
        <v>399</v>
      </c>
      <c r="AB168" s="2">
        <v>3.99</v>
      </c>
      <c r="AC168" s="2">
        <v>9.17</v>
      </c>
      <c r="AD168" s="2">
        <v>0.28000000000000003</v>
      </c>
    </row>
    <row r="169" spans="1:30" x14ac:dyDescent="0.25">
      <c r="A169" s="25" t="s">
        <v>1128</v>
      </c>
      <c r="B169" s="134" t="s">
        <v>1129</v>
      </c>
      <c r="C169" s="1">
        <v>1</v>
      </c>
      <c r="D169" s="1">
        <v>1</v>
      </c>
      <c r="E169" s="1">
        <v>1</v>
      </c>
      <c r="F169" s="1" t="s">
        <v>1130</v>
      </c>
      <c r="G169" s="1">
        <v>4061</v>
      </c>
      <c r="H169" s="1" t="s">
        <v>364</v>
      </c>
      <c r="I169" s="94">
        <v>155</v>
      </c>
      <c r="J169" s="2">
        <v>0.55200000000000005</v>
      </c>
      <c r="L169" s="135">
        <v>46176</v>
      </c>
      <c r="M169" s="3" t="s">
        <v>372</v>
      </c>
      <c r="O169" s="1">
        <v>1</v>
      </c>
      <c r="P169" s="94">
        <v>2</v>
      </c>
      <c r="Q169" s="4">
        <v>0</v>
      </c>
      <c r="R169" s="2">
        <v>0</v>
      </c>
      <c r="S169" s="25" t="s">
        <v>1131</v>
      </c>
      <c r="V169" s="41" t="s">
        <v>896</v>
      </c>
      <c r="W169" s="43" t="s">
        <v>448</v>
      </c>
      <c r="AB169" s="2">
        <v>3.21</v>
      </c>
      <c r="AC169" s="2">
        <v>9.17</v>
      </c>
      <c r="AD169" s="2">
        <v>0.28000000000000003</v>
      </c>
    </row>
    <row r="170" spans="1:30" x14ac:dyDescent="0.25">
      <c r="A170" s="25" t="s">
        <v>1132</v>
      </c>
      <c r="B170" s="134" t="s">
        <v>1133</v>
      </c>
      <c r="C170" s="1">
        <v>1</v>
      </c>
      <c r="D170" s="1">
        <v>3</v>
      </c>
      <c r="E170" s="1">
        <v>3</v>
      </c>
      <c r="F170" s="1" t="s">
        <v>1134</v>
      </c>
      <c r="G170" s="1">
        <v>2533</v>
      </c>
      <c r="H170" s="1" t="s">
        <v>364</v>
      </c>
      <c r="I170" s="94">
        <v>155</v>
      </c>
      <c r="J170" s="2">
        <v>0.59499999999999997</v>
      </c>
      <c r="L170" s="135">
        <v>46176</v>
      </c>
      <c r="M170" s="3" t="s">
        <v>365</v>
      </c>
      <c r="O170" s="1">
        <v>1</v>
      </c>
      <c r="P170" s="94">
        <v>2</v>
      </c>
      <c r="Q170" s="4">
        <v>0</v>
      </c>
      <c r="R170" s="2">
        <v>0</v>
      </c>
      <c r="S170" s="25" t="s">
        <v>1135</v>
      </c>
      <c r="V170" s="41" t="s">
        <v>1136</v>
      </c>
      <c r="W170" s="43" t="s">
        <v>534</v>
      </c>
      <c r="AB170" s="2">
        <v>4.7699999999999996</v>
      </c>
      <c r="AC170" s="2">
        <v>14.69</v>
      </c>
      <c r="AD170" s="2">
        <v>0.28000000000000003</v>
      </c>
    </row>
    <row r="171" spans="1:30" x14ac:dyDescent="0.25">
      <c r="A171" s="25" t="s">
        <v>1137</v>
      </c>
      <c r="B171" s="134" t="s">
        <v>1138</v>
      </c>
      <c r="C171" s="1">
        <v>1</v>
      </c>
      <c r="D171" s="1">
        <v>1</v>
      </c>
      <c r="E171" s="1">
        <v>1</v>
      </c>
      <c r="F171" s="1" t="s">
        <v>1139</v>
      </c>
      <c r="G171" s="1">
        <v>2068</v>
      </c>
      <c r="H171" s="1" t="s">
        <v>364</v>
      </c>
      <c r="I171" s="94">
        <v>155</v>
      </c>
      <c r="J171" s="2">
        <v>0.46300000000000002</v>
      </c>
      <c r="L171" s="135">
        <v>46176</v>
      </c>
      <c r="M171" s="3" t="s">
        <v>372</v>
      </c>
      <c r="O171" s="1">
        <v>1</v>
      </c>
      <c r="P171" s="94">
        <v>2</v>
      </c>
      <c r="Q171" s="4">
        <v>0</v>
      </c>
      <c r="R171" s="2">
        <v>0</v>
      </c>
      <c r="S171" s="25" t="s">
        <v>1140</v>
      </c>
      <c r="V171" s="41" t="s">
        <v>886</v>
      </c>
      <c r="W171" s="43" t="s">
        <v>392</v>
      </c>
      <c r="AB171" s="2">
        <v>3.21</v>
      </c>
      <c r="AC171" s="2">
        <v>5.87</v>
      </c>
      <c r="AD171" s="2">
        <v>0.28000000000000003</v>
      </c>
    </row>
    <row r="172" spans="1:30" x14ac:dyDescent="0.25">
      <c r="A172" s="25" t="s">
        <v>1141</v>
      </c>
      <c r="B172" s="134" t="s">
        <v>1142</v>
      </c>
      <c r="C172" s="1">
        <v>1</v>
      </c>
      <c r="D172" s="1">
        <v>1</v>
      </c>
      <c r="E172" s="1">
        <v>1</v>
      </c>
      <c r="F172" s="1" t="s">
        <v>1143</v>
      </c>
      <c r="G172" s="1">
        <v>6076</v>
      </c>
      <c r="H172" s="1" t="s">
        <v>364</v>
      </c>
      <c r="I172" s="94">
        <v>155</v>
      </c>
      <c r="J172" s="2">
        <v>0.54</v>
      </c>
      <c r="L172" s="135">
        <v>46176</v>
      </c>
      <c r="M172" s="3" t="s">
        <v>372</v>
      </c>
      <c r="O172" s="1">
        <v>1</v>
      </c>
      <c r="P172" s="94">
        <v>2</v>
      </c>
      <c r="Q172" s="4">
        <v>0</v>
      </c>
      <c r="R172" s="2">
        <v>0</v>
      </c>
      <c r="S172" s="25" t="s">
        <v>1144</v>
      </c>
      <c r="V172" s="41" t="s">
        <v>1145</v>
      </c>
      <c r="W172" s="43" t="s">
        <v>415</v>
      </c>
      <c r="AB172" s="2">
        <v>3.21</v>
      </c>
      <c r="AC172" s="2">
        <v>13.8</v>
      </c>
      <c r="AD172" s="2">
        <v>0.28000000000000003</v>
      </c>
    </row>
    <row r="173" spans="1:30" x14ac:dyDescent="0.25">
      <c r="A173" s="25" t="s">
        <v>1146</v>
      </c>
      <c r="B173" s="134" t="s">
        <v>1147</v>
      </c>
      <c r="C173" s="1">
        <v>1</v>
      </c>
      <c r="D173" s="1">
        <v>1</v>
      </c>
      <c r="E173" s="1">
        <v>1</v>
      </c>
      <c r="F173" s="1" t="s">
        <v>1148</v>
      </c>
      <c r="G173" s="1">
        <v>2515</v>
      </c>
      <c r="H173" s="1" t="s">
        <v>364</v>
      </c>
      <c r="I173" s="94">
        <v>155</v>
      </c>
      <c r="J173" s="2">
        <v>0.29799999999999999</v>
      </c>
      <c r="L173" s="135">
        <v>46176</v>
      </c>
      <c r="M173" s="3" t="s">
        <v>365</v>
      </c>
      <c r="O173" s="1">
        <v>1</v>
      </c>
      <c r="P173" s="94">
        <v>2</v>
      </c>
      <c r="Q173" s="4">
        <v>0</v>
      </c>
      <c r="R173" s="2">
        <v>0</v>
      </c>
      <c r="S173" s="25" t="s">
        <v>1149</v>
      </c>
      <c r="V173" s="41" t="s">
        <v>569</v>
      </c>
      <c r="W173" s="43" t="s">
        <v>956</v>
      </c>
      <c r="AB173" s="2">
        <v>3.21</v>
      </c>
      <c r="AC173" s="2">
        <v>7.71</v>
      </c>
      <c r="AD173" s="2">
        <v>0.28000000000000003</v>
      </c>
    </row>
    <row r="174" spans="1:30" x14ac:dyDescent="0.25">
      <c r="A174" s="25" t="s">
        <v>1150</v>
      </c>
      <c r="B174" s="134" t="s">
        <v>1151</v>
      </c>
      <c r="C174" s="1">
        <v>1</v>
      </c>
      <c r="D174" s="1">
        <v>1</v>
      </c>
      <c r="E174" s="1">
        <v>1</v>
      </c>
      <c r="F174" s="1" t="s">
        <v>1152</v>
      </c>
      <c r="G174" s="1">
        <v>5064</v>
      </c>
      <c r="H174" s="1" t="s">
        <v>364</v>
      </c>
      <c r="I174" s="94">
        <v>155</v>
      </c>
      <c r="J174" s="2">
        <v>0.45400000000000001</v>
      </c>
      <c r="L174" s="135">
        <v>46176</v>
      </c>
      <c r="M174" s="3" t="s">
        <v>372</v>
      </c>
      <c r="O174" s="1">
        <v>1</v>
      </c>
      <c r="P174" s="94">
        <v>2</v>
      </c>
      <c r="Q174" s="4">
        <v>0</v>
      </c>
      <c r="R174" s="2">
        <v>0</v>
      </c>
      <c r="S174" s="25" t="s">
        <v>1153</v>
      </c>
      <c r="V174" s="41" t="s">
        <v>1154</v>
      </c>
      <c r="W174" s="43" t="s">
        <v>442</v>
      </c>
      <c r="AB174" s="2">
        <v>3.21</v>
      </c>
      <c r="AC174" s="2">
        <v>7.62</v>
      </c>
      <c r="AD174" s="2">
        <v>0.28000000000000003</v>
      </c>
    </row>
    <row r="175" spans="1:30" x14ac:dyDescent="0.25">
      <c r="A175" s="25" t="s">
        <v>1155</v>
      </c>
      <c r="B175" s="134" t="s">
        <v>1156</v>
      </c>
      <c r="C175" s="1">
        <v>1</v>
      </c>
      <c r="D175" s="1">
        <v>1</v>
      </c>
      <c r="E175" s="1">
        <v>1</v>
      </c>
      <c r="F175" s="1" t="s">
        <v>1157</v>
      </c>
      <c r="G175" s="1">
        <v>2074</v>
      </c>
      <c r="H175" s="1" t="s">
        <v>364</v>
      </c>
      <c r="I175" s="94">
        <v>155</v>
      </c>
      <c r="J175" s="2">
        <v>0.45100000000000001</v>
      </c>
      <c r="L175" s="135">
        <v>46176</v>
      </c>
      <c r="M175" s="3" t="s">
        <v>372</v>
      </c>
      <c r="O175" s="1">
        <v>1</v>
      </c>
      <c r="P175" s="94">
        <v>2</v>
      </c>
      <c r="Q175" s="4">
        <v>0</v>
      </c>
      <c r="R175" s="2">
        <v>0</v>
      </c>
      <c r="S175" s="25" t="s">
        <v>1158</v>
      </c>
      <c r="V175" s="41" t="s">
        <v>1030</v>
      </c>
      <c r="W175" s="43" t="s">
        <v>392</v>
      </c>
      <c r="AB175" s="2">
        <v>3.21</v>
      </c>
      <c r="AC175" s="2">
        <v>5.87</v>
      </c>
      <c r="AD175" s="2">
        <v>0.28000000000000003</v>
      </c>
    </row>
    <row r="176" spans="1:30" x14ac:dyDescent="0.25">
      <c r="A176" s="25" t="s">
        <v>1159</v>
      </c>
      <c r="B176" s="134" t="s">
        <v>1160</v>
      </c>
      <c r="C176" s="1">
        <v>1</v>
      </c>
      <c r="D176" s="1">
        <v>2</v>
      </c>
      <c r="E176" s="1">
        <v>2</v>
      </c>
      <c r="F176" s="1" t="s">
        <v>1161</v>
      </c>
      <c r="G176" s="1">
        <v>3802</v>
      </c>
      <c r="H176" s="1" t="s">
        <v>364</v>
      </c>
      <c r="I176" s="94">
        <v>155</v>
      </c>
      <c r="J176" s="2">
        <v>0.87</v>
      </c>
      <c r="L176" s="135">
        <v>46176</v>
      </c>
      <c r="M176" s="3" t="s">
        <v>365</v>
      </c>
      <c r="O176" s="1">
        <v>1</v>
      </c>
      <c r="P176" s="94">
        <v>2</v>
      </c>
      <c r="Q176" s="4">
        <v>0</v>
      </c>
      <c r="R176" s="2">
        <v>0</v>
      </c>
      <c r="S176" s="25" t="s">
        <v>1162</v>
      </c>
      <c r="V176" s="41" t="s">
        <v>1163</v>
      </c>
      <c r="W176" s="43" t="s">
        <v>619</v>
      </c>
      <c r="AB176" s="2">
        <v>3.99</v>
      </c>
      <c r="AC176" s="2">
        <v>11.07</v>
      </c>
      <c r="AD176" s="2">
        <v>0.28000000000000003</v>
      </c>
    </row>
    <row r="177" spans="1:30" x14ac:dyDescent="0.25">
      <c r="A177" s="25" t="s">
        <v>1164</v>
      </c>
      <c r="B177" s="134" t="s">
        <v>1165</v>
      </c>
      <c r="C177" s="1">
        <v>1</v>
      </c>
      <c r="D177" s="1">
        <v>4</v>
      </c>
      <c r="E177" s="1">
        <v>4</v>
      </c>
      <c r="F177" s="1" t="s">
        <v>1166</v>
      </c>
      <c r="G177" s="1">
        <v>6210</v>
      </c>
      <c r="H177" s="1" t="s">
        <v>364</v>
      </c>
      <c r="I177" s="94">
        <v>155</v>
      </c>
      <c r="J177" s="2">
        <v>2.1269999999999998</v>
      </c>
      <c r="L177" s="135">
        <v>46176</v>
      </c>
      <c r="M177" s="3" t="s">
        <v>365</v>
      </c>
      <c r="O177" s="1">
        <v>1</v>
      </c>
      <c r="P177" s="94">
        <v>2</v>
      </c>
      <c r="Q177" s="4">
        <v>0</v>
      </c>
      <c r="R177" s="2">
        <v>0</v>
      </c>
      <c r="S177" s="25" t="s">
        <v>1167</v>
      </c>
      <c r="V177" s="41" t="s">
        <v>1168</v>
      </c>
      <c r="W177" s="43" t="s">
        <v>415</v>
      </c>
      <c r="AB177" s="2">
        <v>5.55</v>
      </c>
      <c r="AC177" s="2">
        <v>18.87</v>
      </c>
      <c r="AD177" s="2">
        <v>0.28000000000000003</v>
      </c>
    </row>
    <row r="178" spans="1:30" x14ac:dyDescent="0.25">
      <c r="A178" s="25" t="s">
        <v>1169</v>
      </c>
      <c r="B178" s="134" t="s">
        <v>1170</v>
      </c>
      <c r="C178" s="1">
        <v>1</v>
      </c>
      <c r="D178" s="1">
        <v>1</v>
      </c>
      <c r="E178" s="1">
        <v>1</v>
      </c>
      <c r="F178" s="1" t="s">
        <v>1171</v>
      </c>
      <c r="G178" s="1">
        <v>3752</v>
      </c>
      <c r="H178" s="1" t="s">
        <v>364</v>
      </c>
      <c r="I178" s="94">
        <v>155</v>
      </c>
      <c r="J178" s="2">
        <v>0.44600000000000001</v>
      </c>
      <c r="L178" s="135">
        <v>46176</v>
      </c>
      <c r="M178" s="3" t="s">
        <v>372</v>
      </c>
      <c r="O178" s="1">
        <v>1</v>
      </c>
      <c r="P178" s="94">
        <v>2</v>
      </c>
      <c r="Q178" s="4">
        <v>0</v>
      </c>
      <c r="R178" s="2">
        <v>0</v>
      </c>
      <c r="S178" s="25" t="s">
        <v>1172</v>
      </c>
      <c r="V178" s="41" t="s">
        <v>1173</v>
      </c>
      <c r="W178" s="43" t="s">
        <v>619</v>
      </c>
      <c r="AB178" s="2">
        <v>3.21</v>
      </c>
      <c r="AC178" s="2">
        <v>8.94</v>
      </c>
      <c r="AD178" s="2">
        <v>0.28000000000000003</v>
      </c>
    </row>
    <row r="179" spans="1:30" x14ac:dyDescent="0.25">
      <c r="A179" s="25" t="s">
        <v>1174</v>
      </c>
      <c r="B179" s="134" t="s">
        <v>1175</v>
      </c>
      <c r="C179" s="1">
        <v>1</v>
      </c>
      <c r="D179" s="1">
        <v>2</v>
      </c>
      <c r="E179" s="1">
        <v>3</v>
      </c>
      <c r="F179" s="1" t="s">
        <v>1130</v>
      </c>
      <c r="G179" s="1">
        <v>4061</v>
      </c>
      <c r="H179" s="1" t="s">
        <v>364</v>
      </c>
      <c r="I179" s="94">
        <v>155</v>
      </c>
      <c r="J179" s="2">
        <v>0.45900000000000002</v>
      </c>
      <c r="L179" s="135">
        <v>46176</v>
      </c>
      <c r="M179" s="3" t="s">
        <v>372</v>
      </c>
      <c r="O179" s="1">
        <v>1</v>
      </c>
      <c r="P179" s="94">
        <v>2</v>
      </c>
      <c r="Q179" s="4">
        <v>0</v>
      </c>
      <c r="R179" s="2">
        <v>0</v>
      </c>
      <c r="S179" s="25" t="s">
        <v>1176</v>
      </c>
      <c r="V179" s="41" t="s">
        <v>1177</v>
      </c>
      <c r="W179" s="43" t="s">
        <v>448</v>
      </c>
      <c r="AB179" s="2">
        <v>4.46</v>
      </c>
      <c r="AC179" s="2">
        <v>7.39</v>
      </c>
      <c r="AD179" s="2">
        <v>0.28000000000000003</v>
      </c>
    </row>
    <row r="180" spans="1:30" x14ac:dyDescent="0.25">
      <c r="A180" s="25" t="s">
        <v>1178</v>
      </c>
      <c r="B180" s="134" t="s">
        <v>1179</v>
      </c>
      <c r="C180" s="1">
        <v>1</v>
      </c>
      <c r="D180" s="1">
        <v>1</v>
      </c>
      <c r="E180" s="1">
        <v>1</v>
      </c>
      <c r="F180" s="1" t="s">
        <v>1180</v>
      </c>
      <c r="G180" s="1">
        <v>3342</v>
      </c>
      <c r="H180" s="1" t="s">
        <v>364</v>
      </c>
      <c r="I180" s="94">
        <v>155</v>
      </c>
      <c r="J180" s="2">
        <v>0.20599999999999999</v>
      </c>
      <c r="L180" s="135">
        <v>46176</v>
      </c>
      <c r="M180" s="3" t="s">
        <v>372</v>
      </c>
      <c r="O180" s="1">
        <v>1</v>
      </c>
      <c r="P180" s="94">
        <v>2</v>
      </c>
      <c r="Q180" s="4">
        <v>0</v>
      </c>
      <c r="R180" s="2">
        <v>0</v>
      </c>
      <c r="S180" s="25" t="s">
        <v>1181</v>
      </c>
      <c r="V180" s="41" t="s">
        <v>1182</v>
      </c>
      <c r="W180" s="43" t="s">
        <v>381</v>
      </c>
      <c r="AB180" s="2">
        <v>3.21</v>
      </c>
      <c r="AC180" s="2">
        <v>12.35</v>
      </c>
      <c r="AD180" s="2">
        <v>0.28000000000000003</v>
      </c>
    </row>
    <row r="181" spans="1:30" x14ac:dyDescent="0.25">
      <c r="A181" s="25" t="s">
        <v>1183</v>
      </c>
      <c r="B181" s="134" t="s">
        <v>1184</v>
      </c>
      <c r="C181" s="1">
        <v>1</v>
      </c>
      <c r="D181" s="1">
        <v>2</v>
      </c>
      <c r="E181" s="1">
        <v>2</v>
      </c>
      <c r="F181" s="1" t="s">
        <v>1185</v>
      </c>
      <c r="G181" s="1">
        <v>3090</v>
      </c>
      <c r="H181" s="1" t="s">
        <v>364</v>
      </c>
      <c r="I181" s="94">
        <v>155</v>
      </c>
      <c r="J181" s="2">
        <v>1.0409999999999999</v>
      </c>
      <c r="L181" s="135">
        <v>46176</v>
      </c>
      <c r="M181" s="3" t="s">
        <v>372</v>
      </c>
      <c r="O181" s="1">
        <v>1</v>
      </c>
      <c r="P181" s="94">
        <v>2</v>
      </c>
      <c r="Q181" s="4">
        <v>0</v>
      </c>
      <c r="R181" s="2">
        <v>0</v>
      </c>
      <c r="S181" s="25" t="s">
        <v>1186</v>
      </c>
      <c r="V181" s="41" t="s">
        <v>1187</v>
      </c>
      <c r="W181" s="43" t="s">
        <v>399</v>
      </c>
      <c r="AB181" s="2">
        <v>3.99</v>
      </c>
      <c r="AC181" s="2">
        <v>9.89</v>
      </c>
      <c r="AD181" s="2">
        <v>0.28000000000000003</v>
      </c>
    </row>
    <row r="182" spans="1:30" x14ac:dyDescent="0.25">
      <c r="A182" s="25" t="s">
        <v>1188</v>
      </c>
      <c r="B182" s="134" t="s">
        <v>1189</v>
      </c>
      <c r="C182" s="1">
        <v>1</v>
      </c>
      <c r="D182" s="1">
        <v>1</v>
      </c>
      <c r="E182" s="1">
        <v>1</v>
      </c>
      <c r="F182" s="1" t="s">
        <v>1190</v>
      </c>
      <c r="G182" s="1">
        <v>3156</v>
      </c>
      <c r="H182" s="1" t="s">
        <v>364</v>
      </c>
      <c r="I182" s="94">
        <v>154</v>
      </c>
      <c r="J182" s="2">
        <v>0.44</v>
      </c>
      <c r="L182" s="135">
        <v>46176</v>
      </c>
      <c r="M182" s="3" t="s">
        <v>372</v>
      </c>
      <c r="O182" s="1">
        <v>1</v>
      </c>
      <c r="P182" s="94">
        <v>2</v>
      </c>
      <c r="Q182" s="4">
        <v>0</v>
      </c>
      <c r="R182" s="2">
        <v>0</v>
      </c>
      <c r="S182" s="25" t="s">
        <v>1191</v>
      </c>
      <c r="V182" s="41" t="s">
        <v>1173</v>
      </c>
      <c r="W182" s="43" t="s">
        <v>399</v>
      </c>
      <c r="AB182" s="2">
        <v>3.21</v>
      </c>
      <c r="AC182" s="2">
        <v>11.63</v>
      </c>
      <c r="AD182" s="2">
        <v>0.28000000000000003</v>
      </c>
    </row>
    <row r="183" spans="1:30" x14ac:dyDescent="0.25">
      <c r="A183" s="25" t="s">
        <v>1192</v>
      </c>
      <c r="B183" s="134" t="s">
        <v>1193</v>
      </c>
      <c r="C183" s="1">
        <v>1</v>
      </c>
      <c r="D183" s="1">
        <v>2</v>
      </c>
      <c r="E183" s="1">
        <v>2</v>
      </c>
      <c r="F183" s="1" t="s">
        <v>821</v>
      </c>
      <c r="G183" s="1">
        <v>3205</v>
      </c>
      <c r="H183" s="1" t="s">
        <v>364</v>
      </c>
      <c r="I183" s="94">
        <v>155</v>
      </c>
      <c r="J183" s="2">
        <v>0.33100000000000002</v>
      </c>
      <c r="L183" s="135">
        <v>46176</v>
      </c>
      <c r="M183" s="3" t="s">
        <v>372</v>
      </c>
      <c r="O183" s="1">
        <v>1</v>
      </c>
      <c r="P183" s="94">
        <v>2</v>
      </c>
      <c r="Q183" s="4">
        <v>0</v>
      </c>
      <c r="R183" s="2">
        <v>0</v>
      </c>
      <c r="S183" s="25" t="s">
        <v>1194</v>
      </c>
      <c r="V183" s="41" t="s">
        <v>1195</v>
      </c>
      <c r="W183" s="43" t="s">
        <v>399</v>
      </c>
      <c r="AB183" s="2">
        <v>3.99</v>
      </c>
      <c r="AC183" s="2">
        <v>7.39</v>
      </c>
      <c r="AD183" s="2">
        <v>0.28000000000000003</v>
      </c>
    </row>
    <row r="184" spans="1:30" x14ac:dyDescent="0.25">
      <c r="A184" s="25" t="s">
        <v>1196</v>
      </c>
      <c r="B184" s="134" t="s">
        <v>1197</v>
      </c>
      <c r="C184" s="1">
        <v>1</v>
      </c>
      <c r="D184" s="1">
        <v>1</v>
      </c>
      <c r="E184" s="1">
        <v>1</v>
      </c>
      <c r="F184" s="1" t="s">
        <v>461</v>
      </c>
      <c r="G184" s="1">
        <v>3194</v>
      </c>
      <c r="H184" s="1" t="s">
        <v>364</v>
      </c>
      <c r="I184" s="94">
        <v>155</v>
      </c>
      <c r="J184" s="2">
        <v>0.44</v>
      </c>
      <c r="L184" s="135">
        <v>46176</v>
      </c>
      <c r="M184" s="3" t="s">
        <v>372</v>
      </c>
      <c r="O184" s="1">
        <v>1</v>
      </c>
      <c r="P184" s="94">
        <v>2</v>
      </c>
      <c r="Q184" s="4">
        <v>0</v>
      </c>
      <c r="R184" s="2">
        <v>0</v>
      </c>
      <c r="S184" s="25" t="s">
        <v>1198</v>
      </c>
      <c r="V184" s="41" t="s">
        <v>710</v>
      </c>
      <c r="W184" s="43" t="s">
        <v>399</v>
      </c>
      <c r="AB184" s="2">
        <v>3.21</v>
      </c>
      <c r="AC184" s="2">
        <v>7.39</v>
      </c>
      <c r="AD184" s="2">
        <v>0.28000000000000003</v>
      </c>
    </row>
    <row r="185" spans="1:30" x14ac:dyDescent="0.25">
      <c r="A185" s="25" t="s">
        <v>1199</v>
      </c>
      <c r="B185" s="134" t="s">
        <v>1200</v>
      </c>
      <c r="C185" s="1">
        <v>1</v>
      </c>
      <c r="D185" s="1">
        <v>1</v>
      </c>
      <c r="E185" s="1">
        <v>1</v>
      </c>
      <c r="F185" s="1" t="s">
        <v>1201</v>
      </c>
      <c r="G185" s="1">
        <v>3810</v>
      </c>
      <c r="H185" s="1" t="s">
        <v>364</v>
      </c>
      <c r="I185" s="94">
        <v>155</v>
      </c>
      <c r="J185" s="2">
        <v>0.46400000000000002</v>
      </c>
      <c r="L185" s="135">
        <v>46176</v>
      </c>
      <c r="M185" s="3" t="s">
        <v>372</v>
      </c>
      <c r="O185" s="1">
        <v>1</v>
      </c>
      <c r="P185" s="94">
        <v>2</v>
      </c>
      <c r="Q185" s="4">
        <v>0</v>
      </c>
      <c r="R185" s="2">
        <v>0</v>
      </c>
      <c r="S185" s="25" t="s">
        <v>1202</v>
      </c>
      <c r="V185" s="41" t="s">
        <v>710</v>
      </c>
      <c r="W185" s="43" t="s">
        <v>619</v>
      </c>
      <c r="AB185" s="2">
        <v>3.21</v>
      </c>
      <c r="AC185" s="2">
        <v>8.94</v>
      </c>
      <c r="AD185" s="2">
        <v>0.28000000000000003</v>
      </c>
    </row>
    <row r="186" spans="1:30" x14ac:dyDescent="0.25">
      <c r="A186" s="25" t="s">
        <v>1203</v>
      </c>
      <c r="B186" s="134" t="s">
        <v>1204</v>
      </c>
      <c r="C186" s="1">
        <v>1</v>
      </c>
      <c r="D186" s="1">
        <v>1</v>
      </c>
      <c r="E186" s="1">
        <v>1</v>
      </c>
      <c r="F186" s="1" t="s">
        <v>1205</v>
      </c>
      <c r="G186" s="1">
        <v>5037</v>
      </c>
      <c r="H186" s="1" t="s">
        <v>364</v>
      </c>
      <c r="I186" s="94">
        <v>155</v>
      </c>
      <c r="J186" s="2">
        <v>0.46300000000000002</v>
      </c>
      <c r="L186" s="135">
        <v>46176</v>
      </c>
      <c r="M186" s="3" t="s">
        <v>372</v>
      </c>
      <c r="O186" s="1">
        <v>1</v>
      </c>
      <c r="P186" s="94">
        <v>2</v>
      </c>
      <c r="Q186" s="4">
        <v>0</v>
      </c>
      <c r="R186" s="2">
        <v>0</v>
      </c>
      <c r="S186" s="25" t="s">
        <v>1206</v>
      </c>
      <c r="V186" s="41" t="s">
        <v>710</v>
      </c>
      <c r="W186" s="43" t="s">
        <v>442</v>
      </c>
      <c r="AB186" s="2">
        <v>3.21</v>
      </c>
      <c r="AC186" s="2">
        <v>7.62</v>
      </c>
      <c r="AD186" s="2">
        <v>0.28000000000000003</v>
      </c>
    </row>
    <row r="187" spans="1:30" x14ac:dyDescent="0.25">
      <c r="A187" s="25" t="s">
        <v>1207</v>
      </c>
      <c r="B187" s="134" t="s">
        <v>1208</v>
      </c>
      <c r="C187" s="1">
        <v>1</v>
      </c>
      <c r="D187" s="1">
        <v>1</v>
      </c>
      <c r="E187" s="1">
        <v>1</v>
      </c>
      <c r="F187" s="1" t="s">
        <v>407</v>
      </c>
      <c r="G187" s="1">
        <v>3173</v>
      </c>
      <c r="H187" s="1" t="s">
        <v>364</v>
      </c>
      <c r="I187" s="94">
        <v>155</v>
      </c>
      <c r="J187" s="2">
        <v>0.46400000000000002</v>
      </c>
      <c r="L187" s="135">
        <v>46176</v>
      </c>
      <c r="M187" s="3" t="s">
        <v>372</v>
      </c>
      <c r="O187" s="1">
        <v>1</v>
      </c>
      <c r="P187" s="94">
        <v>2</v>
      </c>
      <c r="Q187" s="4">
        <v>0</v>
      </c>
      <c r="R187" s="2">
        <v>0</v>
      </c>
      <c r="S187" s="25" t="s">
        <v>1209</v>
      </c>
      <c r="V187" s="41" t="s">
        <v>919</v>
      </c>
      <c r="W187" s="43" t="s">
        <v>399</v>
      </c>
      <c r="AB187" s="2">
        <v>3.21</v>
      </c>
      <c r="AC187" s="2">
        <v>7.39</v>
      </c>
      <c r="AD187" s="2">
        <v>0.28000000000000003</v>
      </c>
    </row>
    <row r="188" spans="1:30" x14ac:dyDescent="0.25">
      <c r="A188" s="25" t="s">
        <v>1210</v>
      </c>
      <c r="B188" s="134" t="s">
        <v>1211</v>
      </c>
      <c r="C188" s="1">
        <v>1</v>
      </c>
      <c r="D188" s="1">
        <v>1</v>
      </c>
      <c r="E188" s="1">
        <v>1</v>
      </c>
      <c r="F188" s="1" t="s">
        <v>1212</v>
      </c>
      <c r="G188" s="1">
        <v>6065</v>
      </c>
      <c r="H188" s="1" t="s">
        <v>364</v>
      </c>
      <c r="I188" s="94">
        <v>155</v>
      </c>
      <c r="J188" s="2">
        <v>0.45200000000000001</v>
      </c>
      <c r="L188" s="135">
        <v>46176</v>
      </c>
      <c r="M188" s="3" t="s">
        <v>372</v>
      </c>
      <c r="O188" s="1">
        <v>1</v>
      </c>
      <c r="P188" s="94">
        <v>2</v>
      </c>
      <c r="Q188" s="4">
        <v>0</v>
      </c>
      <c r="R188" s="2">
        <v>0</v>
      </c>
      <c r="S188" s="25" t="s">
        <v>1213</v>
      </c>
      <c r="V188" s="41" t="s">
        <v>710</v>
      </c>
      <c r="W188" s="43" t="s">
        <v>415</v>
      </c>
      <c r="AB188" s="2">
        <v>3.21</v>
      </c>
      <c r="AC188" s="2">
        <v>8.7899999999999991</v>
      </c>
      <c r="AD188" s="2">
        <v>0.28000000000000003</v>
      </c>
    </row>
    <row r="189" spans="1:30" x14ac:dyDescent="0.25">
      <c r="A189" s="25" t="s">
        <v>1214</v>
      </c>
      <c r="B189" s="134" t="s">
        <v>1215</v>
      </c>
      <c r="C189" s="1">
        <v>1</v>
      </c>
      <c r="D189" s="1">
        <v>1</v>
      </c>
      <c r="E189" s="1">
        <v>1</v>
      </c>
      <c r="F189" s="1" t="s">
        <v>1216</v>
      </c>
      <c r="G189" s="1">
        <v>4217</v>
      </c>
      <c r="H189" s="1" t="s">
        <v>364</v>
      </c>
      <c r="I189" s="94">
        <v>155</v>
      </c>
      <c r="J189" s="2">
        <v>0.53</v>
      </c>
      <c r="L189" s="135">
        <v>46176</v>
      </c>
      <c r="M189" s="3" t="s">
        <v>372</v>
      </c>
      <c r="O189" s="1">
        <v>1</v>
      </c>
      <c r="P189" s="94">
        <v>2</v>
      </c>
      <c r="Q189" s="4">
        <v>0</v>
      </c>
      <c r="R189" s="2">
        <v>0</v>
      </c>
      <c r="S189" s="25" t="s">
        <v>1217</v>
      </c>
      <c r="V189" s="41" t="s">
        <v>1055</v>
      </c>
      <c r="W189" s="43" t="s">
        <v>1109</v>
      </c>
      <c r="AB189" s="2">
        <v>3.21</v>
      </c>
      <c r="AC189" s="2">
        <v>11.55</v>
      </c>
      <c r="AD189" s="2">
        <v>0.28000000000000003</v>
      </c>
    </row>
    <row r="190" spans="1:30" x14ac:dyDescent="0.25">
      <c r="A190" s="25" t="s">
        <v>1218</v>
      </c>
      <c r="B190" s="134" t="s">
        <v>1219</v>
      </c>
      <c r="C190" s="1">
        <v>1</v>
      </c>
      <c r="D190" s="1">
        <v>3</v>
      </c>
      <c r="E190" s="1">
        <v>3</v>
      </c>
      <c r="F190" s="1" t="s">
        <v>1220</v>
      </c>
      <c r="G190" s="1">
        <v>2040</v>
      </c>
      <c r="H190" s="1" t="s">
        <v>364</v>
      </c>
      <c r="I190" s="94">
        <v>155</v>
      </c>
      <c r="J190" s="2">
        <v>1.5649999999999999</v>
      </c>
      <c r="L190" s="135">
        <v>46176</v>
      </c>
      <c r="M190" s="3" t="s">
        <v>365</v>
      </c>
      <c r="O190" s="1">
        <v>1</v>
      </c>
      <c r="P190" s="94">
        <v>2</v>
      </c>
      <c r="Q190" s="4">
        <v>0</v>
      </c>
      <c r="R190" s="2">
        <v>0</v>
      </c>
      <c r="S190" s="25" t="s">
        <v>1221</v>
      </c>
      <c r="V190" s="41" t="s">
        <v>1222</v>
      </c>
      <c r="W190" s="43" t="s">
        <v>392</v>
      </c>
      <c r="AB190" s="2">
        <v>4.7699999999999996</v>
      </c>
      <c r="AC190" s="2">
        <v>6.36</v>
      </c>
      <c r="AD190" s="2">
        <v>0.28000000000000003</v>
      </c>
    </row>
    <row r="191" spans="1:30" x14ac:dyDescent="0.25">
      <c r="A191" s="25" t="s">
        <v>1223</v>
      </c>
      <c r="B191" s="134" t="s">
        <v>1224</v>
      </c>
      <c r="C191" s="1">
        <v>1</v>
      </c>
      <c r="D191" s="1">
        <v>2</v>
      </c>
      <c r="E191" s="1">
        <v>2</v>
      </c>
      <c r="F191" s="1" t="s">
        <v>1225</v>
      </c>
      <c r="G191" s="1">
        <v>6025</v>
      </c>
      <c r="H191" s="1" t="s">
        <v>364</v>
      </c>
      <c r="I191" s="94">
        <v>155</v>
      </c>
      <c r="J191" s="2">
        <v>0.35</v>
      </c>
      <c r="L191" s="135">
        <v>46176</v>
      </c>
      <c r="M191" s="3" t="s">
        <v>372</v>
      </c>
      <c r="O191" s="1">
        <v>1</v>
      </c>
      <c r="P191" s="94">
        <v>2</v>
      </c>
      <c r="Q191" s="4">
        <v>0</v>
      </c>
      <c r="R191" s="2">
        <v>0</v>
      </c>
      <c r="S191" s="25" t="s">
        <v>1226</v>
      </c>
      <c r="V191" s="41" t="s">
        <v>1227</v>
      </c>
      <c r="W191" s="43" t="s">
        <v>415</v>
      </c>
      <c r="AB191" s="2">
        <v>3.99</v>
      </c>
      <c r="AC191" s="2">
        <v>8.7899999999999991</v>
      </c>
      <c r="AD191" s="2">
        <v>0.28000000000000003</v>
      </c>
    </row>
    <row r="192" spans="1:30" x14ac:dyDescent="0.25">
      <c r="A192" s="25" t="s">
        <v>1228</v>
      </c>
      <c r="B192" s="134" t="s">
        <v>1229</v>
      </c>
      <c r="C192" s="1">
        <v>1</v>
      </c>
      <c r="D192" s="1">
        <v>2</v>
      </c>
      <c r="E192" s="1">
        <v>2</v>
      </c>
      <c r="F192" s="1" t="s">
        <v>1230</v>
      </c>
      <c r="G192" s="1">
        <v>2040</v>
      </c>
      <c r="H192" s="1" t="s">
        <v>364</v>
      </c>
      <c r="I192" s="94">
        <v>155</v>
      </c>
      <c r="J192" s="2">
        <v>0.875</v>
      </c>
      <c r="L192" s="135">
        <v>46176</v>
      </c>
      <c r="M192" s="3" t="s">
        <v>365</v>
      </c>
      <c r="O192" s="1">
        <v>1</v>
      </c>
      <c r="P192" s="94">
        <v>2</v>
      </c>
      <c r="Q192" s="4">
        <v>0</v>
      </c>
      <c r="R192" s="2">
        <v>0</v>
      </c>
      <c r="S192" s="25" t="s">
        <v>1231</v>
      </c>
      <c r="V192" s="41" t="s">
        <v>1232</v>
      </c>
      <c r="W192" s="43" t="s">
        <v>392</v>
      </c>
      <c r="AB192" s="2">
        <v>3.99</v>
      </c>
      <c r="AC192" s="2">
        <v>6.36</v>
      </c>
      <c r="AD192" s="2">
        <v>0.28000000000000003</v>
      </c>
    </row>
    <row r="193" spans="1:30" x14ac:dyDescent="0.25">
      <c r="A193" s="25" t="s">
        <v>1233</v>
      </c>
      <c r="B193" s="134" t="s">
        <v>1234</v>
      </c>
      <c r="C193" s="1">
        <v>1</v>
      </c>
      <c r="D193" s="1">
        <v>2</v>
      </c>
      <c r="E193" s="1">
        <v>2</v>
      </c>
      <c r="F193" s="1" t="s">
        <v>1235</v>
      </c>
      <c r="G193" s="1">
        <v>3747</v>
      </c>
      <c r="H193" s="1" t="s">
        <v>364</v>
      </c>
      <c r="I193" s="94">
        <v>155</v>
      </c>
      <c r="J193" s="2">
        <v>0.42699999999999999</v>
      </c>
      <c r="L193" s="135">
        <v>46176</v>
      </c>
      <c r="M193" s="3" t="s">
        <v>372</v>
      </c>
      <c r="O193" s="1">
        <v>1</v>
      </c>
      <c r="P193" s="94">
        <v>2</v>
      </c>
      <c r="Q193" s="4">
        <v>0</v>
      </c>
      <c r="R193" s="2">
        <v>0</v>
      </c>
      <c r="S193" s="25" t="s">
        <v>1236</v>
      </c>
      <c r="V193" s="41" t="s">
        <v>1237</v>
      </c>
      <c r="W193" s="43" t="s">
        <v>381</v>
      </c>
      <c r="AB193" s="2">
        <v>3.99</v>
      </c>
      <c r="AC193" s="2">
        <v>12.35</v>
      </c>
      <c r="AD193" s="2">
        <v>0.28000000000000003</v>
      </c>
    </row>
    <row r="194" spans="1:30" x14ac:dyDescent="0.25">
      <c r="A194" s="25" t="s">
        <v>1238</v>
      </c>
      <c r="B194" s="134" t="s">
        <v>1239</v>
      </c>
      <c r="C194" s="1">
        <v>1</v>
      </c>
      <c r="D194" s="1">
        <v>1</v>
      </c>
      <c r="E194" s="1">
        <v>1</v>
      </c>
      <c r="F194" s="1" t="s">
        <v>1240</v>
      </c>
      <c r="G194" s="1">
        <v>2515</v>
      </c>
      <c r="H194" s="1" t="s">
        <v>364</v>
      </c>
      <c r="I194" s="94">
        <v>155</v>
      </c>
      <c r="J194" s="2">
        <v>0.215</v>
      </c>
      <c r="L194" s="135">
        <v>46176</v>
      </c>
      <c r="M194" s="3" t="s">
        <v>372</v>
      </c>
      <c r="O194" s="1">
        <v>1</v>
      </c>
      <c r="P194" s="94">
        <v>2</v>
      </c>
      <c r="Q194" s="4">
        <v>0</v>
      </c>
      <c r="R194" s="2">
        <v>0</v>
      </c>
      <c r="S194" s="25" t="s">
        <v>1241</v>
      </c>
      <c r="V194" s="41" t="s">
        <v>1242</v>
      </c>
      <c r="W194" s="43" t="s">
        <v>956</v>
      </c>
      <c r="AB194" s="2">
        <v>3.21</v>
      </c>
      <c r="AC194" s="2">
        <v>7.71</v>
      </c>
      <c r="AD194" s="2">
        <v>0.28000000000000003</v>
      </c>
    </row>
    <row r="195" spans="1:30" x14ac:dyDescent="0.25">
      <c r="A195" s="25" t="s">
        <v>1243</v>
      </c>
      <c r="B195" s="134" t="s">
        <v>1244</v>
      </c>
      <c r="C195" s="1">
        <v>1</v>
      </c>
      <c r="D195" s="1">
        <v>1</v>
      </c>
      <c r="E195" s="1">
        <v>1</v>
      </c>
      <c r="F195" s="1" t="s">
        <v>1245</v>
      </c>
      <c r="G195" s="1">
        <v>5159</v>
      </c>
      <c r="H195" s="1" t="s">
        <v>364</v>
      </c>
      <c r="I195" s="94">
        <v>155</v>
      </c>
      <c r="J195" s="2">
        <v>0.318</v>
      </c>
      <c r="L195" s="135">
        <v>46176</v>
      </c>
      <c r="M195" s="3" t="s">
        <v>372</v>
      </c>
      <c r="O195" s="1">
        <v>1</v>
      </c>
      <c r="P195" s="94">
        <v>2</v>
      </c>
      <c r="Q195" s="4">
        <v>0</v>
      </c>
      <c r="R195" s="2">
        <v>0</v>
      </c>
      <c r="S195" s="25" t="s">
        <v>1246</v>
      </c>
      <c r="V195" s="41" t="s">
        <v>1247</v>
      </c>
      <c r="W195" s="43" t="s">
        <v>442</v>
      </c>
      <c r="AB195" s="2">
        <v>3.21</v>
      </c>
      <c r="AC195" s="2">
        <v>7.62</v>
      </c>
      <c r="AD195" s="2">
        <v>0.28000000000000003</v>
      </c>
    </row>
    <row r="196" spans="1:30" x14ac:dyDescent="0.25">
      <c r="A196" s="25" t="s">
        <v>1248</v>
      </c>
      <c r="B196" s="134" t="s">
        <v>1249</v>
      </c>
      <c r="C196" s="1">
        <v>1</v>
      </c>
      <c r="D196" s="1">
        <v>5</v>
      </c>
      <c r="E196" s="1">
        <v>5</v>
      </c>
      <c r="F196" s="1" t="s">
        <v>1250</v>
      </c>
      <c r="G196" s="1">
        <v>6154</v>
      </c>
      <c r="H196" s="1" t="s">
        <v>364</v>
      </c>
      <c r="I196" s="94">
        <v>155</v>
      </c>
      <c r="J196" s="2">
        <v>0.77500000000000002</v>
      </c>
      <c r="L196" s="135">
        <v>46176</v>
      </c>
      <c r="M196" s="3" t="s">
        <v>365</v>
      </c>
      <c r="O196" s="1">
        <v>1</v>
      </c>
      <c r="P196" s="94">
        <v>2</v>
      </c>
      <c r="Q196" s="4">
        <v>0</v>
      </c>
      <c r="R196" s="2">
        <v>0</v>
      </c>
      <c r="S196" s="25" t="s">
        <v>1251</v>
      </c>
      <c r="V196" s="41" t="s">
        <v>1252</v>
      </c>
      <c r="W196" s="43" t="s">
        <v>415</v>
      </c>
      <c r="AB196" s="2">
        <v>6.33</v>
      </c>
      <c r="AC196" s="2">
        <v>13.8</v>
      </c>
      <c r="AD196" s="2">
        <v>0.28000000000000003</v>
      </c>
    </row>
    <row r="197" spans="1:30" x14ac:dyDescent="0.25">
      <c r="A197" s="25" t="s">
        <v>1253</v>
      </c>
      <c r="B197" s="134" t="s">
        <v>1254</v>
      </c>
      <c r="C197" s="1">
        <v>1</v>
      </c>
      <c r="D197" s="1">
        <v>4</v>
      </c>
      <c r="E197" s="1">
        <v>4</v>
      </c>
      <c r="F197" s="1" t="s">
        <v>1255</v>
      </c>
      <c r="G197" s="1">
        <v>3850</v>
      </c>
      <c r="H197" s="1" t="s">
        <v>364</v>
      </c>
      <c r="I197" s="94">
        <v>155</v>
      </c>
      <c r="J197" s="2">
        <v>2.0609999999999999</v>
      </c>
      <c r="L197" s="135">
        <v>46176</v>
      </c>
      <c r="M197" s="3" t="s">
        <v>365</v>
      </c>
      <c r="O197" s="1">
        <v>1</v>
      </c>
      <c r="P197" s="94">
        <v>2</v>
      </c>
      <c r="Q197" s="4">
        <v>0</v>
      </c>
      <c r="R197" s="2">
        <v>0</v>
      </c>
      <c r="S197" s="25" t="s">
        <v>1256</v>
      </c>
      <c r="V197" s="41" t="s">
        <v>1257</v>
      </c>
      <c r="W197" s="43" t="s">
        <v>381</v>
      </c>
      <c r="AB197" s="2">
        <v>5.55</v>
      </c>
      <c r="AC197" s="2">
        <v>23.8</v>
      </c>
      <c r="AD197" s="2">
        <v>0.28000000000000003</v>
      </c>
    </row>
    <row r="198" spans="1:30" x14ac:dyDescent="0.25">
      <c r="A198" s="25" t="s">
        <v>1258</v>
      </c>
      <c r="B198" s="134" t="s">
        <v>1259</v>
      </c>
      <c r="C198" s="1">
        <v>1</v>
      </c>
      <c r="D198" s="1">
        <v>1</v>
      </c>
      <c r="E198" s="1">
        <v>1</v>
      </c>
      <c r="F198" s="1" t="s">
        <v>1260</v>
      </c>
      <c r="G198" s="1">
        <v>4350</v>
      </c>
      <c r="H198" s="1" t="s">
        <v>364</v>
      </c>
      <c r="I198" s="94">
        <v>155</v>
      </c>
      <c r="J198" s="2">
        <v>0.2</v>
      </c>
      <c r="L198" s="135">
        <v>46176</v>
      </c>
      <c r="M198" s="3" t="s">
        <v>372</v>
      </c>
      <c r="O198" s="1">
        <v>1</v>
      </c>
      <c r="P198" s="94">
        <v>2</v>
      </c>
      <c r="Q198" s="4">
        <v>0</v>
      </c>
      <c r="R198" s="2">
        <v>0</v>
      </c>
      <c r="S198" s="25" t="s">
        <v>1261</v>
      </c>
      <c r="V198" s="41" t="s">
        <v>1262</v>
      </c>
      <c r="W198" s="43" t="s">
        <v>570</v>
      </c>
      <c r="AB198" s="2">
        <v>3.21</v>
      </c>
      <c r="AC198" s="2">
        <v>12.35</v>
      </c>
      <c r="AD198" s="2">
        <v>0.28000000000000003</v>
      </c>
    </row>
    <row r="199" spans="1:30" x14ac:dyDescent="0.25">
      <c r="A199" s="25" t="s">
        <v>1263</v>
      </c>
      <c r="B199" s="134" t="s">
        <v>1264</v>
      </c>
      <c r="C199" s="1">
        <v>1</v>
      </c>
      <c r="D199" s="1">
        <v>4</v>
      </c>
      <c r="E199" s="1">
        <v>4</v>
      </c>
      <c r="F199" s="1" t="s">
        <v>1265</v>
      </c>
      <c r="G199" s="1">
        <v>3041</v>
      </c>
      <c r="H199" s="1" t="s">
        <v>364</v>
      </c>
      <c r="I199" s="94">
        <v>155</v>
      </c>
      <c r="J199" s="2">
        <v>1.66</v>
      </c>
      <c r="L199" s="135">
        <v>46177</v>
      </c>
      <c r="M199" s="3" t="s">
        <v>538</v>
      </c>
      <c r="O199" s="1">
        <v>1</v>
      </c>
      <c r="P199" s="94">
        <v>2</v>
      </c>
      <c r="Q199" s="4">
        <v>0</v>
      </c>
      <c r="R199" s="2">
        <v>0</v>
      </c>
      <c r="S199" s="25" t="s">
        <v>1266</v>
      </c>
      <c r="V199" s="41" t="s">
        <v>1267</v>
      </c>
      <c r="W199" s="43" t="s">
        <v>399</v>
      </c>
      <c r="AB199" s="2">
        <v>5.55</v>
      </c>
      <c r="AC199" s="2">
        <v>9.89</v>
      </c>
      <c r="AD199" s="2">
        <v>0.28000000000000003</v>
      </c>
    </row>
    <row r="200" spans="1:30" x14ac:dyDescent="0.25">
      <c r="A200" s="25" t="s">
        <v>1268</v>
      </c>
      <c r="B200" s="134" t="s">
        <v>1269</v>
      </c>
      <c r="C200" s="1">
        <v>1</v>
      </c>
      <c r="D200" s="1">
        <v>1</v>
      </c>
      <c r="E200" s="1">
        <v>1</v>
      </c>
      <c r="F200" s="1" t="s">
        <v>1270</v>
      </c>
      <c r="G200" s="1">
        <v>4030</v>
      </c>
      <c r="H200" s="1" t="s">
        <v>364</v>
      </c>
      <c r="I200" s="94">
        <v>155</v>
      </c>
      <c r="J200" s="2">
        <v>0.185</v>
      </c>
      <c r="L200" s="135">
        <v>46177</v>
      </c>
      <c r="M200" s="3" t="s">
        <v>372</v>
      </c>
      <c r="O200" s="1">
        <v>1</v>
      </c>
      <c r="P200" s="94">
        <v>2</v>
      </c>
      <c r="Q200" s="4">
        <v>0</v>
      </c>
      <c r="R200" s="2">
        <v>0</v>
      </c>
      <c r="S200" s="25" t="s">
        <v>1271</v>
      </c>
      <c r="V200" s="41" t="s">
        <v>1272</v>
      </c>
      <c r="W200" s="43" t="s">
        <v>448</v>
      </c>
      <c r="AB200" s="2">
        <v>3.21</v>
      </c>
      <c r="AC200" s="2">
        <v>7.39</v>
      </c>
      <c r="AD200" s="2">
        <v>0.28000000000000003</v>
      </c>
    </row>
    <row r="201" spans="1:30" x14ac:dyDescent="0.25">
      <c r="A201" s="25" t="s">
        <v>1273</v>
      </c>
      <c r="B201" s="134" t="s">
        <v>1274</v>
      </c>
      <c r="C201" s="1">
        <v>1</v>
      </c>
      <c r="D201" s="1">
        <v>2</v>
      </c>
      <c r="E201" s="1">
        <v>2</v>
      </c>
      <c r="F201" s="1" t="s">
        <v>1275</v>
      </c>
      <c r="G201" s="1">
        <v>2280</v>
      </c>
      <c r="H201" s="1" t="s">
        <v>364</v>
      </c>
      <c r="I201" s="94">
        <v>155</v>
      </c>
      <c r="J201" s="2">
        <v>0.9</v>
      </c>
      <c r="L201" s="135">
        <v>46177</v>
      </c>
      <c r="M201" s="3" t="s">
        <v>365</v>
      </c>
      <c r="O201" s="1">
        <v>1</v>
      </c>
      <c r="P201" s="94">
        <v>2</v>
      </c>
      <c r="Q201" s="4">
        <v>0</v>
      </c>
      <c r="R201" s="2">
        <v>0</v>
      </c>
      <c r="S201" s="25" t="s">
        <v>1276</v>
      </c>
      <c r="V201" s="41" t="s">
        <v>978</v>
      </c>
      <c r="W201" s="43" t="s">
        <v>534</v>
      </c>
      <c r="AB201" s="2">
        <v>3.99</v>
      </c>
      <c r="AC201" s="2">
        <v>14.69</v>
      </c>
      <c r="AD201" s="2">
        <v>0.28000000000000003</v>
      </c>
    </row>
    <row r="202" spans="1:30" x14ac:dyDescent="0.25">
      <c r="A202" s="25" t="s">
        <v>1277</v>
      </c>
      <c r="B202" s="134" t="s">
        <v>1278</v>
      </c>
      <c r="C202" s="1">
        <v>1</v>
      </c>
      <c r="D202" s="1">
        <v>2</v>
      </c>
      <c r="E202" s="1">
        <v>2</v>
      </c>
      <c r="F202" s="1" t="s">
        <v>1279</v>
      </c>
      <c r="G202" s="1">
        <v>2230</v>
      </c>
      <c r="H202" s="1" t="s">
        <v>364</v>
      </c>
      <c r="I202" s="94">
        <v>155</v>
      </c>
      <c r="J202" s="2">
        <v>0.43</v>
      </c>
      <c r="L202" s="135">
        <v>46177</v>
      </c>
      <c r="M202" s="3" t="s">
        <v>372</v>
      </c>
      <c r="O202" s="1">
        <v>1</v>
      </c>
      <c r="P202" s="94">
        <v>2</v>
      </c>
      <c r="Q202" s="4">
        <v>0</v>
      </c>
      <c r="R202" s="2">
        <v>0</v>
      </c>
      <c r="S202" s="25" t="s">
        <v>1280</v>
      </c>
      <c r="V202" s="41" t="s">
        <v>1281</v>
      </c>
      <c r="W202" s="43" t="s">
        <v>1282</v>
      </c>
      <c r="AB202" s="2">
        <v>3.99</v>
      </c>
      <c r="AC202" s="2">
        <v>7.71</v>
      </c>
      <c r="AD202" s="2">
        <v>0.28000000000000003</v>
      </c>
    </row>
    <row r="203" spans="1:30" x14ac:dyDescent="0.25">
      <c r="A203" s="25" t="s">
        <v>1283</v>
      </c>
      <c r="B203" s="134" t="s">
        <v>1284</v>
      </c>
      <c r="C203" s="1">
        <v>1</v>
      </c>
      <c r="D203" s="1">
        <v>2</v>
      </c>
      <c r="E203" s="1">
        <v>2</v>
      </c>
      <c r="F203" s="1" t="s">
        <v>1285</v>
      </c>
      <c r="G203" s="1">
        <v>4207</v>
      </c>
      <c r="H203" s="1" t="s">
        <v>364</v>
      </c>
      <c r="I203" s="94">
        <v>155</v>
      </c>
      <c r="J203" s="2">
        <v>0.4</v>
      </c>
      <c r="L203" s="135">
        <v>46177</v>
      </c>
      <c r="M203" s="3" t="s">
        <v>372</v>
      </c>
      <c r="O203" s="1">
        <v>1</v>
      </c>
      <c r="P203" s="94">
        <v>2</v>
      </c>
      <c r="Q203" s="4">
        <v>0</v>
      </c>
      <c r="R203" s="2">
        <v>0</v>
      </c>
      <c r="S203" s="25" t="s">
        <v>1286</v>
      </c>
      <c r="V203" s="41" t="s">
        <v>1287</v>
      </c>
      <c r="W203" s="43" t="s">
        <v>523</v>
      </c>
      <c r="AB203" s="2">
        <v>3.99</v>
      </c>
      <c r="AC203" s="2">
        <v>8.94</v>
      </c>
      <c r="AD203" s="2">
        <v>0.28000000000000003</v>
      </c>
    </row>
    <row r="204" spans="1:30" x14ac:dyDescent="0.25">
      <c r="A204" s="25" t="s">
        <v>1288</v>
      </c>
      <c r="B204" s="134" t="s">
        <v>1289</v>
      </c>
      <c r="C204" s="1">
        <v>1</v>
      </c>
      <c r="D204" s="1">
        <v>1</v>
      </c>
      <c r="E204" s="1">
        <v>1</v>
      </c>
      <c r="F204" s="1" t="s">
        <v>1290</v>
      </c>
      <c r="G204" s="1">
        <v>7015</v>
      </c>
      <c r="H204" s="1" t="s">
        <v>364</v>
      </c>
      <c r="I204" s="94">
        <v>155</v>
      </c>
      <c r="J204" s="2">
        <v>0.46</v>
      </c>
      <c r="L204" s="135">
        <v>46177</v>
      </c>
      <c r="M204" s="3" t="s">
        <v>372</v>
      </c>
      <c r="O204" s="1">
        <v>1</v>
      </c>
      <c r="P204" s="94">
        <v>2</v>
      </c>
      <c r="Q204" s="4">
        <v>0</v>
      </c>
      <c r="R204" s="2">
        <v>0</v>
      </c>
      <c r="S204" s="25" t="s">
        <v>1291</v>
      </c>
      <c r="V204" s="41" t="s">
        <v>409</v>
      </c>
      <c r="W204" s="43" t="s">
        <v>375</v>
      </c>
      <c r="AB204" s="2">
        <v>3.21</v>
      </c>
      <c r="AC204" s="2">
        <v>9.31</v>
      </c>
      <c r="AD204" s="2">
        <v>0.28000000000000003</v>
      </c>
    </row>
    <row r="205" spans="1:30" x14ac:dyDescent="0.25">
      <c r="A205" s="25" t="s">
        <v>1292</v>
      </c>
      <c r="B205" s="134" t="s">
        <v>1293</v>
      </c>
      <c r="C205" s="1">
        <v>1</v>
      </c>
      <c r="D205" s="1">
        <v>1</v>
      </c>
      <c r="E205" s="1">
        <v>2</v>
      </c>
      <c r="F205" s="1" t="s">
        <v>1294</v>
      </c>
      <c r="G205" s="1">
        <v>2486</v>
      </c>
      <c r="H205" s="1" t="s">
        <v>364</v>
      </c>
      <c r="I205" s="94">
        <v>155</v>
      </c>
      <c r="J205" s="2">
        <v>0.36499999999999999</v>
      </c>
      <c r="L205" s="135">
        <v>46177</v>
      </c>
      <c r="M205" s="3" t="s">
        <v>372</v>
      </c>
      <c r="O205" s="1">
        <v>1</v>
      </c>
      <c r="P205" s="94">
        <v>2</v>
      </c>
      <c r="Q205" s="4">
        <v>0</v>
      </c>
      <c r="R205" s="2">
        <v>0</v>
      </c>
      <c r="S205" s="25" t="s">
        <v>1295</v>
      </c>
      <c r="V205" s="41" t="s">
        <v>1296</v>
      </c>
      <c r="W205" s="43" t="s">
        <v>1297</v>
      </c>
      <c r="AB205" s="2">
        <v>3.68</v>
      </c>
      <c r="AC205" s="2">
        <v>7.71</v>
      </c>
      <c r="AD205" s="2">
        <v>0.28000000000000003</v>
      </c>
    </row>
    <row r="206" spans="1:30" x14ac:dyDescent="0.25">
      <c r="A206" s="25" t="s">
        <v>1298</v>
      </c>
      <c r="B206" s="134" t="s">
        <v>1299</v>
      </c>
      <c r="C206" s="1">
        <v>1</v>
      </c>
      <c r="D206" s="1">
        <v>2</v>
      </c>
      <c r="E206" s="1">
        <v>2</v>
      </c>
      <c r="F206" s="1" t="s">
        <v>1300</v>
      </c>
      <c r="G206" s="1">
        <v>3805</v>
      </c>
      <c r="H206" s="1" t="s">
        <v>364</v>
      </c>
      <c r="I206" s="94">
        <v>155</v>
      </c>
      <c r="J206" s="2">
        <v>0.9</v>
      </c>
      <c r="L206" s="135">
        <v>46177</v>
      </c>
      <c r="M206" s="3" t="s">
        <v>372</v>
      </c>
      <c r="O206" s="1">
        <v>1</v>
      </c>
      <c r="P206" s="94">
        <v>2</v>
      </c>
      <c r="Q206" s="4">
        <v>0</v>
      </c>
      <c r="R206" s="2">
        <v>0</v>
      </c>
      <c r="S206" s="25" t="s">
        <v>1301</v>
      </c>
      <c r="V206" s="41" t="s">
        <v>1302</v>
      </c>
      <c r="W206" s="43" t="s">
        <v>619</v>
      </c>
      <c r="AB206" s="2">
        <v>3.99</v>
      </c>
      <c r="AC206" s="2">
        <v>11.07</v>
      </c>
      <c r="AD206" s="2">
        <v>0.28000000000000003</v>
      </c>
    </row>
    <row r="207" spans="1:30" x14ac:dyDescent="0.25">
      <c r="A207" s="25" t="s">
        <v>1303</v>
      </c>
      <c r="B207" s="134" t="s">
        <v>1304</v>
      </c>
      <c r="C207" s="1">
        <v>1</v>
      </c>
      <c r="D207" s="1">
        <v>2</v>
      </c>
      <c r="E207" s="1">
        <v>2</v>
      </c>
      <c r="F207" s="1" t="s">
        <v>1305</v>
      </c>
      <c r="G207" s="1">
        <v>2261</v>
      </c>
      <c r="H207" s="1" t="s">
        <v>364</v>
      </c>
      <c r="I207" s="94">
        <v>155</v>
      </c>
      <c r="J207" s="2">
        <v>0.68</v>
      </c>
      <c r="L207" s="135">
        <v>46177</v>
      </c>
      <c r="M207" s="3" t="s">
        <v>365</v>
      </c>
      <c r="O207" s="1">
        <v>1</v>
      </c>
      <c r="P207" s="94">
        <v>2</v>
      </c>
      <c r="Q207" s="4">
        <v>0</v>
      </c>
      <c r="R207" s="2">
        <v>0</v>
      </c>
      <c r="S207" s="25" t="s">
        <v>1306</v>
      </c>
      <c r="V207" s="41" t="s">
        <v>1307</v>
      </c>
      <c r="W207" s="43" t="s">
        <v>724</v>
      </c>
      <c r="AB207" s="2">
        <v>3.99</v>
      </c>
      <c r="AC207" s="2">
        <v>8.6199999999999992</v>
      </c>
      <c r="AD207" s="2">
        <v>0.28000000000000003</v>
      </c>
    </row>
    <row r="208" spans="1:30" x14ac:dyDescent="0.25">
      <c r="A208" s="25" t="s">
        <v>1308</v>
      </c>
      <c r="B208" s="134" t="s">
        <v>1309</v>
      </c>
      <c r="C208" s="1">
        <v>1</v>
      </c>
      <c r="D208" s="1">
        <v>1</v>
      </c>
      <c r="E208" s="1">
        <v>1</v>
      </c>
      <c r="F208" s="1" t="s">
        <v>1310</v>
      </c>
      <c r="G208" s="1">
        <v>6230</v>
      </c>
      <c r="H208" s="1" t="s">
        <v>364</v>
      </c>
      <c r="I208" s="94">
        <v>155</v>
      </c>
      <c r="J208" s="2">
        <v>0.56999999999999995</v>
      </c>
      <c r="L208" s="135">
        <v>46177</v>
      </c>
      <c r="M208" s="3" t="s">
        <v>372</v>
      </c>
      <c r="O208" s="1">
        <v>1</v>
      </c>
      <c r="P208" s="94">
        <v>2</v>
      </c>
      <c r="Q208" s="4">
        <v>0</v>
      </c>
      <c r="R208" s="2">
        <v>0</v>
      </c>
      <c r="S208" s="25" t="s">
        <v>1311</v>
      </c>
      <c r="V208" s="41" t="s">
        <v>1312</v>
      </c>
      <c r="W208" s="43" t="s">
        <v>1313</v>
      </c>
      <c r="AB208" s="2">
        <v>3.21</v>
      </c>
      <c r="AC208" s="2">
        <v>25.11</v>
      </c>
      <c r="AD208" s="2">
        <v>0.28000000000000003</v>
      </c>
    </row>
    <row r="209" spans="1:30" x14ac:dyDescent="0.25">
      <c r="A209" s="25" t="s">
        <v>1314</v>
      </c>
      <c r="B209" s="134" t="s">
        <v>1315</v>
      </c>
      <c r="C209" s="1">
        <v>1</v>
      </c>
      <c r="D209" s="1">
        <v>1</v>
      </c>
      <c r="E209" s="1">
        <v>1</v>
      </c>
      <c r="F209" s="1" t="s">
        <v>1316</v>
      </c>
      <c r="G209" s="1">
        <v>3067</v>
      </c>
      <c r="H209" s="1" t="s">
        <v>364</v>
      </c>
      <c r="I209" s="94">
        <v>155</v>
      </c>
      <c r="J209" s="2">
        <v>0.47</v>
      </c>
      <c r="L209" s="135">
        <v>46177</v>
      </c>
      <c r="M209" s="3" t="s">
        <v>372</v>
      </c>
      <c r="O209" s="1">
        <v>1</v>
      </c>
      <c r="P209" s="94">
        <v>2</v>
      </c>
      <c r="Q209" s="4">
        <v>0</v>
      </c>
      <c r="R209" s="2">
        <v>0</v>
      </c>
      <c r="S209" s="25" t="s">
        <v>1317</v>
      </c>
      <c r="V209" s="41" t="s">
        <v>431</v>
      </c>
      <c r="W209" s="43" t="s">
        <v>399</v>
      </c>
      <c r="AB209" s="2">
        <v>3.21</v>
      </c>
      <c r="AC209" s="2">
        <v>7.39</v>
      </c>
      <c r="AD209" s="2">
        <v>0.28000000000000003</v>
      </c>
    </row>
    <row r="210" spans="1:30" x14ac:dyDescent="0.25">
      <c r="A210" s="25" t="s">
        <v>1318</v>
      </c>
      <c r="B210" s="134" t="s">
        <v>1319</v>
      </c>
      <c r="C210" s="1">
        <v>1</v>
      </c>
      <c r="D210" s="1">
        <v>1</v>
      </c>
      <c r="E210" s="1">
        <v>1</v>
      </c>
      <c r="F210" s="1" t="s">
        <v>1320</v>
      </c>
      <c r="G210" s="1">
        <v>3136</v>
      </c>
      <c r="H210" s="1" t="s">
        <v>364</v>
      </c>
      <c r="I210" s="94">
        <v>155</v>
      </c>
      <c r="J210" s="2">
        <v>0.56999999999999995</v>
      </c>
      <c r="L210" s="135">
        <v>46177</v>
      </c>
      <c r="M210" s="3" t="s">
        <v>365</v>
      </c>
      <c r="O210" s="1">
        <v>1</v>
      </c>
      <c r="P210" s="94">
        <v>2</v>
      </c>
      <c r="Q210" s="4">
        <v>0</v>
      </c>
      <c r="R210" s="2">
        <v>0</v>
      </c>
      <c r="S210" s="25" t="s">
        <v>1321</v>
      </c>
      <c r="V210" s="41" t="s">
        <v>896</v>
      </c>
      <c r="W210" s="43" t="s">
        <v>399</v>
      </c>
      <c r="AB210" s="2">
        <v>3.21</v>
      </c>
      <c r="AC210" s="2">
        <v>9.17</v>
      </c>
      <c r="AD210" s="2">
        <v>0.28000000000000003</v>
      </c>
    </row>
    <row r="211" spans="1:30" x14ac:dyDescent="0.25">
      <c r="A211" s="25" t="s">
        <v>1322</v>
      </c>
      <c r="B211" s="134" t="s">
        <v>1323</v>
      </c>
      <c r="C211" s="1">
        <v>1</v>
      </c>
      <c r="D211" s="1">
        <v>2</v>
      </c>
      <c r="E211" s="1">
        <v>2</v>
      </c>
      <c r="F211" s="1" t="s">
        <v>1324</v>
      </c>
      <c r="G211" s="1">
        <v>4169</v>
      </c>
      <c r="H211" s="1" t="s">
        <v>364</v>
      </c>
      <c r="I211" s="94">
        <v>155</v>
      </c>
      <c r="J211" s="2">
        <v>0.9</v>
      </c>
      <c r="L211" s="135">
        <v>46177</v>
      </c>
      <c r="M211" s="3" t="s">
        <v>538</v>
      </c>
      <c r="O211" s="1">
        <v>1</v>
      </c>
      <c r="P211" s="94">
        <v>2</v>
      </c>
      <c r="Q211" s="4">
        <v>0</v>
      </c>
      <c r="R211" s="2">
        <v>0</v>
      </c>
      <c r="S211" s="25" t="s">
        <v>1325</v>
      </c>
      <c r="V211" s="41" t="s">
        <v>1326</v>
      </c>
      <c r="W211" s="43" t="s">
        <v>448</v>
      </c>
      <c r="AB211" s="2">
        <v>3.99</v>
      </c>
      <c r="AC211" s="2">
        <v>9.17</v>
      </c>
      <c r="AD211" s="2">
        <v>0.28000000000000003</v>
      </c>
    </row>
    <row r="212" spans="1:30" x14ac:dyDescent="0.25">
      <c r="A212" s="25" t="s">
        <v>1327</v>
      </c>
      <c r="B212" s="134" t="s">
        <v>1328</v>
      </c>
      <c r="C212" s="1">
        <v>1</v>
      </c>
      <c r="D212" s="1">
        <v>1</v>
      </c>
      <c r="E212" s="1">
        <v>1</v>
      </c>
      <c r="F212" s="1" t="s">
        <v>1329</v>
      </c>
      <c r="G212" s="1">
        <v>3095</v>
      </c>
      <c r="H212" s="1" t="s">
        <v>364</v>
      </c>
      <c r="I212" s="94">
        <v>155</v>
      </c>
      <c r="J212" s="2">
        <v>0.44</v>
      </c>
      <c r="L212" s="135">
        <v>46177</v>
      </c>
      <c r="M212" s="3" t="s">
        <v>372</v>
      </c>
      <c r="O212" s="1">
        <v>1</v>
      </c>
      <c r="P212" s="94">
        <v>2</v>
      </c>
      <c r="Q212" s="4">
        <v>0</v>
      </c>
      <c r="R212" s="2">
        <v>0</v>
      </c>
      <c r="S212" s="25" t="s">
        <v>1330</v>
      </c>
      <c r="V212" s="41" t="s">
        <v>1173</v>
      </c>
      <c r="W212" s="43" t="s">
        <v>399</v>
      </c>
      <c r="AB212" s="2">
        <v>3.21</v>
      </c>
      <c r="AC212" s="2">
        <v>7.39</v>
      </c>
      <c r="AD212" s="2">
        <v>0.28000000000000003</v>
      </c>
    </row>
    <row r="213" spans="1:30" x14ac:dyDescent="0.25">
      <c r="A213" s="25" t="s">
        <v>1331</v>
      </c>
      <c r="B213" s="134" t="s">
        <v>1332</v>
      </c>
      <c r="C213" s="1">
        <v>1</v>
      </c>
      <c r="D213" s="1">
        <v>4</v>
      </c>
      <c r="E213" s="1">
        <v>4</v>
      </c>
      <c r="F213" s="1" t="s">
        <v>792</v>
      </c>
      <c r="G213" s="1">
        <v>3030</v>
      </c>
      <c r="H213" s="1" t="s">
        <v>364</v>
      </c>
      <c r="I213" s="94">
        <v>155</v>
      </c>
      <c r="J213" s="2">
        <v>2.11</v>
      </c>
      <c r="L213" s="135">
        <v>46177</v>
      </c>
      <c r="M213" s="3" t="s">
        <v>538</v>
      </c>
      <c r="O213" s="1">
        <v>1</v>
      </c>
      <c r="P213" s="94">
        <v>2</v>
      </c>
      <c r="Q213" s="4">
        <v>0</v>
      </c>
      <c r="R213" s="2">
        <v>0</v>
      </c>
      <c r="S213" s="25" t="s">
        <v>1333</v>
      </c>
      <c r="V213" s="41" t="s">
        <v>1334</v>
      </c>
      <c r="W213" s="43" t="s">
        <v>399</v>
      </c>
      <c r="AB213" s="2">
        <v>5.55</v>
      </c>
      <c r="AC213" s="2">
        <v>10.64</v>
      </c>
      <c r="AD213" s="2">
        <v>0.28000000000000003</v>
      </c>
    </row>
    <row r="214" spans="1:30" x14ac:dyDescent="0.25">
      <c r="A214" s="25" t="s">
        <v>1335</v>
      </c>
      <c r="B214" s="134" t="s">
        <v>1336</v>
      </c>
      <c r="C214" s="1">
        <v>1</v>
      </c>
      <c r="D214" s="1">
        <v>1</v>
      </c>
      <c r="E214" s="1">
        <v>1</v>
      </c>
      <c r="F214" s="1" t="s">
        <v>1337</v>
      </c>
      <c r="G214" s="1">
        <v>4101</v>
      </c>
      <c r="H214" s="1" t="s">
        <v>364</v>
      </c>
      <c r="I214" s="94">
        <v>155</v>
      </c>
      <c r="J214" s="2">
        <v>0.58799999999999997</v>
      </c>
      <c r="L214" s="135">
        <v>46177</v>
      </c>
      <c r="M214" s="3" t="s">
        <v>372</v>
      </c>
      <c r="O214" s="1">
        <v>1</v>
      </c>
      <c r="P214" s="94">
        <v>2</v>
      </c>
      <c r="Q214" s="4">
        <v>0</v>
      </c>
      <c r="R214" s="2">
        <v>0</v>
      </c>
      <c r="S214" s="25" t="s">
        <v>1338</v>
      </c>
      <c r="V214" s="41" t="s">
        <v>1339</v>
      </c>
      <c r="W214" s="43" t="s">
        <v>448</v>
      </c>
      <c r="AB214" s="2">
        <v>3.21</v>
      </c>
      <c r="AC214" s="2">
        <v>9.17</v>
      </c>
      <c r="AD214" s="2">
        <v>0.28000000000000003</v>
      </c>
    </row>
    <row r="215" spans="1:30" x14ac:dyDescent="0.25">
      <c r="A215" s="25" t="s">
        <v>1340</v>
      </c>
      <c r="B215" s="134" t="s">
        <v>1341</v>
      </c>
      <c r="C215" s="1">
        <v>1</v>
      </c>
      <c r="D215" s="1">
        <v>7</v>
      </c>
      <c r="E215" s="1">
        <v>9</v>
      </c>
      <c r="F215" s="1" t="s">
        <v>1342</v>
      </c>
      <c r="G215" s="1">
        <v>4753</v>
      </c>
      <c r="H215" s="1" t="s">
        <v>364</v>
      </c>
      <c r="I215" s="94">
        <v>155</v>
      </c>
      <c r="J215" s="2">
        <v>1.377</v>
      </c>
      <c r="L215" s="135">
        <v>46177</v>
      </c>
      <c r="M215" s="3" t="s">
        <v>538</v>
      </c>
      <c r="O215" s="1">
        <v>1</v>
      </c>
      <c r="P215" s="94">
        <v>2</v>
      </c>
      <c r="Q215" s="4">
        <v>0</v>
      </c>
      <c r="R215" s="2">
        <v>0</v>
      </c>
      <c r="S215" s="25" t="s">
        <v>1343</v>
      </c>
      <c r="V215" s="41" t="s">
        <v>1344</v>
      </c>
      <c r="W215" s="43" t="s">
        <v>529</v>
      </c>
      <c r="AB215" s="2">
        <v>8.83</v>
      </c>
      <c r="AC215" s="2">
        <v>25.22</v>
      </c>
      <c r="AD215" s="2">
        <v>0.28000000000000003</v>
      </c>
    </row>
    <row r="216" spans="1:30" x14ac:dyDescent="0.25">
      <c r="A216" s="25" t="s">
        <v>1345</v>
      </c>
      <c r="B216" s="134" t="s">
        <v>1346</v>
      </c>
      <c r="C216" s="1">
        <v>1</v>
      </c>
      <c r="D216" s="1">
        <v>1</v>
      </c>
      <c r="E216" s="1">
        <v>1</v>
      </c>
      <c r="F216" s="1" t="s">
        <v>1347</v>
      </c>
      <c r="G216" s="1">
        <v>4005</v>
      </c>
      <c r="H216" s="1" t="s">
        <v>364</v>
      </c>
      <c r="I216" s="94">
        <v>155</v>
      </c>
      <c r="J216" s="2">
        <v>0.21099999999999999</v>
      </c>
      <c r="L216" s="135">
        <v>46177</v>
      </c>
      <c r="M216" s="3" t="s">
        <v>372</v>
      </c>
      <c r="O216" s="1">
        <v>1</v>
      </c>
      <c r="P216" s="94">
        <v>2</v>
      </c>
      <c r="Q216" s="4">
        <v>0</v>
      </c>
      <c r="R216" s="2">
        <v>0</v>
      </c>
      <c r="S216" s="25" t="s">
        <v>1348</v>
      </c>
      <c r="V216" s="41" t="s">
        <v>1242</v>
      </c>
      <c r="W216" s="43" t="s">
        <v>448</v>
      </c>
      <c r="AB216" s="2">
        <v>3.21</v>
      </c>
      <c r="AC216" s="2">
        <v>7.39</v>
      </c>
      <c r="AD216" s="2">
        <v>0.28000000000000003</v>
      </c>
    </row>
    <row r="217" spans="1:30" x14ac:dyDescent="0.25">
      <c r="A217" s="25" t="s">
        <v>1349</v>
      </c>
      <c r="B217" s="134" t="s">
        <v>1350</v>
      </c>
      <c r="C217" s="1">
        <v>1</v>
      </c>
      <c r="D217" s="1">
        <v>1</v>
      </c>
      <c r="E217" s="1">
        <v>1</v>
      </c>
      <c r="F217" s="1" t="s">
        <v>1275</v>
      </c>
      <c r="G217" s="1">
        <v>2280</v>
      </c>
      <c r="H217" s="1" t="s">
        <v>364</v>
      </c>
      <c r="I217" s="94">
        <v>155</v>
      </c>
      <c r="J217" s="2">
        <v>0.21</v>
      </c>
      <c r="L217" s="135">
        <v>46177</v>
      </c>
      <c r="M217" s="3" t="s">
        <v>372</v>
      </c>
      <c r="O217" s="1">
        <v>1</v>
      </c>
      <c r="P217" s="94">
        <v>2</v>
      </c>
      <c r="Q217" s="4">
        <v>0</v>
      </c>
      <c r="R217" s="2">
        <v>0</v>
      </c>
      <c r="S217" s="25" t="s">
        <v>1351</v>
      </c>
      <c r="V217" s="41" t="s">
        <v>1352</v>
      </c>
      <c r="W217" s="43" t="s">
        <v>534</v>
      </c>
      <c r="AB217" s="2">
        <v>3.21</v>
      </c>
      <c r="AC217" s="2">
        <v>11.58</v>
      </c>
      <c r="AD217" s="2">
        <v>0.28000000000000003</v>
      </c>
    </row>
    <row r="218" spans="1:30" x14ac:dyDescent="0.25">
      <c r="A218" s="25" t="s">
        <v>1353</v>
      </c>
      <c r="B218" s="134" t="s">
        <v>1354</v>
      </c>
      <c r="C218" s="1">
        <v>1</v>
      </c>
      <c r="D218" s="1">
        <v>2</v>
      </c>
      <c r="E218" s="1">
        <v>2</v>
      </c>
      <c r="F218" s="1" t="s">
        <v>1355</v>
      </c>
      <c r="G218" s="1">
        <v>3033</v>
      </c>
      <c r="H218" s="1" t="s">
        <v>364</v>
      </c>
      <c r="I218" s="94">
        <v>155</v>
      </c>
      <c r="J218" s="2">
        <v>1.07</v>
      </c>
      <c r="L218" s="135">
        <v>46177</v>
      </c>
      <c r="M218" s="3" t="s">
        <v>365</v>
      </c>
      <c r="O218" s="1">
        <v>1</v>
      </c>
      <c r="P218" s="94">
        <v>2</v>
      </c>
      <c r="Q218" s="4">
        <v>0</v>
      </c>
      <c r="R218" s="2">
        <v>0</v>
      </c>
      <c r="S218" s="25" t="s">
        <v>1356</v>
      </c>
      <c r="V218" s="41" t="s">
        <v>1357</v>
      </c>
      <c r="W218" s="43" t="s">
        <v>399</v>
      </c>
      <c r="AB218" s="2">
        <v>3.99</v>
      </c>
      <c r="AC218" s="2">
        <v>9.89</v>
      </c>
      <c r="AD218" s="2">
        <v>0.28000000000000003</v>
      </c>
    </row>
    <row r="219" spans="1:30" x14ac:dyDescent="0.25">
      <c r="A219" s="25" t="s">
        <v>1358</v>
      </c>
      <c r="B219" s="134" t="s">
        <v>1359</v>
      </c>
      <c r="C219" s="1">
        <v>1</v>
      </c>
      <c r="D219" s="1">
        <v>3</v>
      </c>
      <c r="E219" s="1">
        <v>3</v>
      </c>
      <c r="F219" s="1" t="s">
        <v>1360</v>
      </c>
      <c r="G219" s="1">
        <v>4066</v>
      </c>
      <c r="H219" s="1" t="s">
        <v>364</v>
      </c>
      <c r="I219" s="94">
        <v>155</v>
      </c>
      <c r="J219" s="2">
        <v>1.0900000000000001</v>
      </c>
      <c r="L219" s="135">
        <v>46177</v>
      </c>
      <c r="M219" s="3" t="s">
        <v>365</v>
      </c>
      <c r="O219" s="1">
        <v>1</v>
      </c>
      <c r="P219" s="94">
        <v>2</v>
      </c>
      <c r="Q219" s="4">
        <v>0</v>
      </c>
      <c r="R219" s="2">
        <v>0</v>
      </c>
      <c r="S219" s="25" t="s">
        <v>1361</v>
      </c>
      <c r="V219" s="41" t="s">
        <v>1362</v>
      </c>
      <c r="W219" s="43" t="s">
        <v>448</v>
      </c>
      <c r="AB219" s="2">
        <v>4.7699999999999996</v>
      </c>
      <c r="AC219" s="2">
        <v>9.89</v>
      </c>
      <c r="AD219" s="2">
        <v>0.28000000000000003</v>
      </c>
    </row>
    <row r="220" spans="1:30" x14ac:dyDescent="0.25">
      <c r="A220" s="25" t="s">
        <v>1363</v>
      </c>
      <c r="B220" s="134" t="s">
        <v>1364</v>
      </c>
      <c r="C220" s="1">
        <v>1</v>
      </c>
      <c r="D220" s="1">
        <v>1</v>
      </c>
      <c r="E220" s="1">
        <v>1</v>
      </c>
      <c r="F220" s="1" t="s">
        <v>1365</v>
      </c>
      <c r="G220" s="1">
        <v>2519</v>
      </c>
      <c r="H220" s="1" t="s">
        <v>364</v>
      </c>
      <c r="I220" s="94">
        <v>155</v>
      </c>
      <c r="J220" s="2">
        <v>0.42</v>
      </c>
      <c r="L220" s="135">
        <v>46177</v>
      </c>
      <c r="M220" s="3" t="s">
        <v>372</v>
      </c>
      <c r="O220" s="1">
        <v>1</v>
      </c>
      <c r="P220" s="94">
        <v>2</v>
      </c>
      <c r="Q220" s="4">
        <v>0</v>
      </c>
      <c r="R220" s="2">
        <v>0</v>
      </c>
      <c r="S220" s="25" t="s">
        <v>1366</v>
      </c>
      <c r="V220" s="41" t="s">
        <v>1367</v>
      </c>
      <c r="W220" s="43" t="s">
        <v>956</v>
      </c>
      <c r="AB220" s="2">
        <v>3.21</v>
      </c>
      <c r="AC220" s="2">
        <v>7.71</v>
      </c>
      <c r="AD220" s="2">
        <v>0.28000000000000003</v>
      </c>
    </row>
    <row r="221" spans="1:30" x14ac:dyDescent="0.25">
      <c r="A221" s="25" t="s">
        <v>1368</v>
      </c>
      <c r="B221" s="134" t="s">
        <v>1369</v>
      </c>
      <c r="C221" s="1">
        <v>1</v>
      </c>
      <c r="D221" s="1">
        <v>1</v>
      </c>
      <c r="E221" s="1">
        <v>1</v>
      </c>
      <c r="F221" s="1" t="s">
        <v>1370</v>
      </c>
      <c r="G221" s="1">
        <v>3089</v>
      </c>
      <c r="H221" s="1" t="s">
        <v>364</v>
      </c>
      <c r="I221" s="94">
        <v>155</v>
      </c>
      <c r="J221" s="2">
        <v>0.439</v>
      </c>
      <c r="L221" s="135">
        <v>46177</v>
      </c>
      <c r="M221" s="3" t="s">
        <v>372</v>
      </c>
      <c r="O221" s="1">
        <v>1</v>
      </c>
      <c r="P221" s="94">
        <v>2</v>
      </c>
      <c r="Q221" s="4">
        <v>0</v>
      </c>
      <c r="R221" s="2">
        <v>0</v>
      </c>
      <c r="S221" s="25" t="s">
        <v>1371</v>
      </c>
      <c r="V221" s="41" t="s">
        <v>1173</v>
      </c>
      <c r="W221" s="43" t="s">
        <v>399</v>
      </c>
      <c r="AB221" s="2">
        <v>3.21</v>
      </c>
      <c r="AC221" s="2">
        <v>7.39</v>
      </c>
      <c r="AD221" s="2">
        <v>0.28000000000000003</v>
      </c>
    </row>
    <row r="222" spans="1:30" x14ac:dyDescent="0.25">
      <c r="A222" s="25" t="s">
        <v>1372</v>
      </c>
      <c r="B222" s="134" t="s">
        <v>1373</v>
      </c>
      <c r="C222" s="1">
        <v>1</v>
      </c>
      <c r="D222" s="1">
        <v>1</v>
      </c>
      <c r="E222" s="1">
        <v>1</v>
      </c>
      <c r="F222" s="1" t="s">
        <v>1374</v>
      </c>
      <c r="G222" s="1">
        <v>2777</v>
      </c>
      <c r="H222" s="1" t="s">
        <v>364</v>
      </c>
      <c r="I222" s="94">
        <v>155</v>
      </c>
      <c r="J222" s="2">
        <v>0.27500000000000002</v>
      </c>
      <c r="L222" s="135">
        <v>46177</v>
      </c>
      <c r="M222" s="3" t="s">
        <v>372</v>
      </c>
      <c r="O222" s="1">
        <v>1</v>
      </c>
      <c r="P222" s="94">
        <v>2</v>
      </c>
      <c r="Q222" s="4">
        <v>0</v>
      </c>
      <c r="R222" s="2">
        <v>0</v>
      </c>
      <c r="S222" s="25" t="s">
        <v>1375</v>
      </c>
      <c r="V222" s="41" t="s">
        <v>569</v>
      </c>
      <c r="W222" s="43" t="s">
        <v>392</v>
      </c>
      <c r="AB222" s="2">
        <v>3.21</v>
      </c>
      <c r="AC222" s="2">
        <v>5.87</v>
      </c>
      <c r="AD222" s="2">
        <v>0.28000000000000003</v>
      </c>
    </row>
    <row r="223" spans="1:30" x14ac:dyDescent="0.25">
      <c r="A223" s="25" t="s">
        <v>1376</v>
      </c>
      <c r="B223" s="134" t="s">
        <v>1377</v>
      </c>
      <c r="C223" s="1">
        <v>1</v>
      </c>
      <c r="D223" s="1">
        <v>1</v>
      </c>
      <c r="E223" s="1">
        <v>1</v>
      </c>
      <c r="F223" s="1" t="s">
        <v>1378</v>
      </c>
      <c r="G223" s="1">
        <v>3325</v>
      </c>
      <c r="H223" s="1" t="s">
        <v>364</v>
      </c>
      <c r="I223" s="94">
        <v>155</v>
      </c>
      <c r="J223" s="2">
        <v>0.27500000000000002</v>
      </c>
      <c r="L223" s="135">
        <v>46177</v>
      </c>
      <c r="M223" s="3" t="s">
        <v>372</v>
      </c>
      <c r="O223" s="1">
        <v>1</v>
      </c>
      <c r="P223" s="94">
        <v>2</v>
      </c>
      <c r="Q223" s="4">
        <v>0</v>
      </c>
      <c r="R223" s="2">
        <v>0</v>
      </c>
      <c r="S223" s="25" t="s">
        <v>1379</v>
      </c>
      <c r="V223" s="41" t="s">
        <v>569</v>
      </c>
      <c r="W223" s="43" t="s">
        <v>381</v>
      </c>
      <c r="AB223" s="2">
        <v>3.21</v>
      </c>
      <c r="AC223" s="2">
        <v>12.35</v>
      </c>
      <c r="AD223" s="2">
        <v>0.28000000000000003</v>
      </c>
    </row>
    <row r="224" spans="1:30" x14ac:dyDescent="0.25">
      <c r="A224" s="25" t="s">
        <v>1380</v>
      </c>
      <c r="B224" s="134" t="s">
        <v>1381</v>
      </c>
      <c r="C224" s="1">
        <v>1</v>
      </c>
      <c r="D224" s="1">
        <v>1</v>
      </c>
      <c r="E224" s="1">
        <v>1</v>
      </c>
      <c r="F224" s="1" t="s">
        <v>1382</v>
      </c>
      <c r="G224" s="1">
        <v>3170</v>
      </c>
      <c r="H224" s="1" t="s">
        <v>364</v>
      </c>
      <c r="I224" s="94">
        <v>155</v>
      </c>
      <c r="J224" s="2">
        <v>0.49299999999999999</v>
      </c>
      <c r="L224" s="135">
        <v>46177</v>
      </c>
      <c r="M224" s="3" t="s">
        <v>372</v>
      </c>
      <c r="O224" s="1">
        <v>1</v>
      </c>
      <c r="P224" s="94">
        <v>2</v>
      </c>
      <c r="Q224" s="4">
        <v>0</v>
      </c>
      <c r="R224" s="2">
        <v>0</v>
      </c>
      <c r="S224" s="25" t="s">
        <v>1383</v>
      </c>
      <c r="V224" s="41" t="s">
        <v>1384</v>
      </c>
      <c r="W224" s="43" t="s">
        <v>399</v>
      </c>
      <c r="AB224" s="2">
        <v>3.21</v>
      </c>
      <c r="AC224" s="2">
        <v>7.39</v>
      </c>
      <c r="AD224" s="2">
        <v>0.28000000000000003</v>
      </c>
    </row>
    <row r="225" spans="1:30" x14ac:dyDescent="0.25">
      <c r="A225" s="25" t="s">
        <v>1385</v>
      </c>
      <c r="B225" s="134" t="s">
        <v>1386</v>
      </c>
      <c r="C225" s="1">
        <v>1</v>
      </c>
      <c r="D225" s="1">
        <v>2</v>
      </c>
      <c r="E225" s="1">
        <v>2</v>
      </c>
      <c r="F225" s="1" t="s">
        <v>1387</v>
      </c>
      <c r="G225" s="1">
        <v>3038</v>
      </c>
      <c r="H225" s="1" t="s">
        <v>364</v>
      </c>
      <c r="I225" s="94">
        <v>155</v>
      </c>
      <c r="J225" s="2">
        <v>0.92300000000000004</v>
      </c>
      <c r="L225" s="135">
        <v>46178</v>
      </c>
      <c r="M225" s="3" t="s">
        <v>538</v>
      </c>
      <c r="O225" s="1">
        <v>1</v>
      </c>
      <c r="P225" s="94">
        <v>2</v>
      </c>
      <c r="Q225" s="4">
        <v>0</v>
      </c>
      <c r="R225" s="2">
        <v>0</v>
      </c>
      <c r="S225" s="25" t="s">
        <v>1388</v>
      </c>
      <c r="V225" s="41" t="s">
        <v>1389</v>
      </c>
      <c r="W225" s="43" t="s">
        <v>399</v>
      </c>
      <c r="AB225" s="2">
        <v>3.99</v>
      </c>
      <c r="AC225" s="2">
        <v>9.17</v>
      </c>
      <c r="AD225" s="2">
        <v>0.28000000000000003</v>
      </c>
    </row>
    <row r="226" spans="1:30" x14ac:dyDescent="0.25">
      <c r="A226" s="25" t="s">
        <v>1390</v>
      </c>
      <c r="B226" s="134" t="s">
        <v>1391</v>
      </c>
      <c r="C226" s="1">
        <v>1</v>
      </c>
      <c r="D226" s="1">
        <v>1</v>
      </c>
      <c r="E226" s="1">
        <v>1</v>
      </c>
      <c r="F226" s="1" t="s">
        <v>1392</v>
      </c>
      <c r="G226" s="1">
        <v>2430</v>
      </c>
      <c r="H226" s="1" t="s">
        <v>364</v>
      </c>
      <c r="I226" s="94">
        <v>155</v>
      </c>
      <c r="J226" s="2">
        <v>0.52500000000000002</v>
      </c>
      <c r="L226" s="135">
        <v>46178</v>
      </c>
      <c r="M226" s="3" t="s">
        <v>372</v>
      </c>
      <c r="O226" s="1">
        <v>1</v>
      </c>
      <c r="P226" s="94">
        <v>2</v>
      </c>
      <c r="Q226" s="4">
        <v>0</v>
      </c>
      <c r="R226" s="2">
        <v>0</v>
      </c>
      <c r="S226" s="25" t="s">
        <v>1393</v>
      </c>
      <c r="V226" s="41" t="s">
        <v>1394</v>
      </c>
      <c r="W226" s="43" t="s">
        <v>534</v>
      </c>
      <c r="AB226" s="2">
        <v>3.21</v>
      </c>
      <c r="AC226" s="2">
        <v>14.69</v>
      </c>
      <c r="AD226" s="2">
        <v>0.28000000000000003</v>
      </c>
    </row>
    <row r="227" spans="1:30" x14ac:dyDescent="0.25">
      <c r="A227" s="25" t="s">
        <v>1395</v>
      </c>
      <c r="B227" s="134" t="s">
        <v>1396</v>
      </c>
      <c r="C227" s="1">
        <v>1</v>
      </c>
      <c r="D227" s="1">
        <v>5</v>
      </c>
      <c r="E227" s="1">
        <v>5</v>
      </c>
      <c r="F227" s="1" t="s">
        <v>1397</v>
      </c>
      <c r="G227" s="1">
        <v>3190</v>
      </c>
      <c r="H227" s="1" t="s">
        <v>364</v>
      </c>
      <c r="I227" s="94">
        <v>155</v>
      </c>
      <c r="J227" s="2">
        <v>2.544</v>
      </c>
      <c r="L227" s="135">
        <v>46178</v>
      </c>
      <c r="M227" s="3" t="s">
        <v>538</v>
      </c>
      <c r="O227" s="1">
        <v>1</v>
      </c>
      <c r="P227" s="94">
        <v>2</v>
      </c>
      <c r="Q227" s="4">
        <v>0</v>
      </c>
      <c r="R227" s="2">
        <v>0</v>
      </c>
      <c r="S227" s="25" t="s">
        <v>1398</v>
      </c>
      <c r="V227" s="41" t="s">
        <v>1399</v>
      </c>
      <c r="W227" s="43" t="s">
        <v>399</v>
      </c>
      <c r="AB227" s="2">
        <v>6.33</v>
      </c>
      <c r="AC227" s="2">
        <v>10.64</v>
      </c>
      <c r="AD227" s="2">
        <v>0.28000000000000003</v>
      </c>
    </row>
    <row r="228" spans="1:30" x14ac:dyDescent="0.25">
      <c r="A228" s="25" t="s">
        <v>1400</v>
      </c>
      <c r="B228" s="134" t="s">
        <v>1401</v>
      </c>
      <c r="C228" s="1">
        <v>1</v>
      </c>
      <c r="D228" s="1">
        <v>1</v>
      </c>
      <c r="E228" s="1">
        <v>1</v>
      </c>
      <c r="F228" s="1" t="s">
        <v>1402</v>
      </c>
      <c r="G228" s="1">
        <v>5034</v>
      </c>
      <c r="H228" s="1" t="s">
        <v>364</v>
      </c>
      <c r="I228" s="94">
        <v>155</v>
      </c>
      <c r="J228" s="2">
        <v>0.27</v>
      </c>
      <c r="L228" s="135">
        <v>46178</v>
      </c>
      <c r="M228" s="3" t="s">
        <v>372</v>
      </c>
      <c r="O228" s="1">
        <v>1</v>
      </c>
      <c r="P228" s="94">
        <v>2</v>
      </c>
      <c r="Q228" s="4">
        <v>0</v>
      </c>
      <c r="R228" s="2">
        <v>0</v>
      </c>
      <c r="S228" s="25" t="s">
        <v>1403</v>
      </c>
      <c r="V228" s="41" t="s">
        <v>569</v>
      </c>
      <c r="W228" s="43" t="s">
        <v>442</v>
      </c>
      <c r="AB228" s="2">
        <v>3.21</v>
      </c>
      <c r="AC228" s="2">
        <v>7.62</v>
      </c>
      <c r="AD228" s="2">
        <v>0.28000000000000003</v>
      </c>
    </row>
    <row r="229" spans="1:30" x14ac:dyDescent="0.25">
      <c r="A229" s="25" t="s">
        <v>1404</v>
      </c>
      <c r="B229" s="134" t="s">
        <v>1405</v>
      </c>
      <c r="C229" s="1">
        <v>1</v>
      </c>
      <c r="D229" s="1">
        <v>2</v>
      </c>
      <c r="E229" s="1">
        <v>2</v>
      </c>
      <c r="F229" s="1" t="s">
        <v>1406</v>
      </c>
      <c r="G229" s="1">
        <v>2176</v>
      </c>
      <c r="H229" s="1" t="s">
        <v>364</v>
      </c>
      <c r="I229" s="94">
        <v>155</v>
      </c>
      <c r="J229" s="2">
        <v>1.081</v>
      </c>
      <c r="L229" s="135">
        <v>46178</v>
      </c>
      <c r="M229" s="3" t="s">
        <v>365</v>
      </c>
      <c r="O229" s="1">
        <v>1</v>
      </c>
      <c r="P229" s="94">
        <v>2</v>
      </c>
      <c r="Q229" s="4">
        <v>0</v>
      </c>
      <c r="R229" s="2">
        <v>0</v>
      </c>
      <c r="S229" s="25" t="s">
        <v>1407</v>
      </c>
      <c r="V229" s="41" t="s">
        <v>1408</v>
      </c>
      <c r="W229" s="43" t="s">
        <v>392</v>
      </c>
      <c r="AB229" s="2">
        <v>3.99</v>
      </c>
      <c r="AC229" s="2">
        <v>6.36</v>
      </c>
      <c r="AD229" s="2">
        <v>0.28000000000000003</v>
      </c>
    </row>
    <row r="230" spans="1:30" x14ac:dyDescent="0.25">
      <c r="A230" s="25" t="s">
        <v>1409</v>
      </c>
      <c r="B230" s="134" t="s">
        <v>1410</v>
      </c>
      <c r="C230" s="1">
        <v>1</v>
      </c>
      <c r="D230" s="1">
        <v>1</v>
      </c>
      <c r="E230" s="1">
        <v>1</v>
      </c>
      <c r="F230" s="1" t="s">
        <v>1411</v>
      </c>
      <c r="G230" s="1">
        <v>2284</v>
      </c>
      <c r="H230" s="1" t="s">
        <v>364</v>
      </c>
      <c r="I230" s="94">
        <v>154</v>
      </c>
      <c r="J230" s="2">
        <v>0.505</v>
      </c>
      <c r="L230" s="135">
        <v>46178</v>
      </c>
      <c r="M230" s="3" t="s">
        <v>365</v>
      </c>
      <c r="O230" s="1">
        <v>1</v>
      </c>
      <c r="P230" s="94">
        <v>2</v>
      </c>
      <c r="Q230" s="4">
        <v>0</v>
      </c>
      <c r="R230" s="2">
        <v>0</v>
      </c>
      <c r="S230" s="25" t="s">
        <v>1412</v>
      </c>
      <c r="V230" s="41" t="s">
        <v>847</v>
      </c>
      <c r="W230" s="43" t="s">
        <v>368</v>
      </c>
      <c r="AB230" s="2">
        <v>3.21</v>
      </c>
      <c r="AC230" s="2">
        <v>13.76</v>
      </c>
      <c r="AD230" s="2">
        <v>0.28000000000000003</v>
      </c>
    </row>
    <row r="231" spans="1:30" x14ac:dyDescent="0.25">
      <c r="A231" s="25" t="s">
        <v>1413</v>
      </c>
      <c r="B231" s="134" t="s">
        <v>1414</v>
      </c>
      <c r="C231" s="1">
        <v>1</v>
      </c>
      <c r="D231" s="1">
        <v>3</v>
      </c>
      <c r="E231" s="1">
        <v>3</v>
      </c>
      <c r="F231" s="1" t="s">
        <v>1415</v>
      </c>
      <c r="G231" s="1">
        <v>5012</v>
      </c>
      <c r="H231" s="1" t="s">
        <v>364</v>
      </c>
      <c r="I231" s="94">
        <v>154</v>
      </c>
      <c r="J231" s="2">
        <v>1.5660000000000001</v>
      </c>
      <c r="L231" s="135">
        <v>46178</v>
      </c>
      <c r="M231" s="3" t="s">
        <v>365</v>
      </c>
      <c r="O231" s="1">
        <v>1</v>
      </c>
      <c r="P231" s="94">
        <v>2</v>
      </c>
      <c r="Q231" s="4">
        <v>0</v>
      </c>
      <c r="R231" s="2">
        <v>0</v>
      </c>
      <c r="S231" s="25" t="s">
        <v>1416</v>
      </c>
      <c r="V231" s="41" t="s">
        <v>1417</v>
      </c>
      <c r="W231" s="43" t="s">
        <v>442</v>
      </c>
      <c r="AB231" s="2">
        <v>4.7699999999999996</v>
      </c>
      <c r="AC231" s="2">
        <v>17.21</v>
      </c>
      <c r="AD231" s="2">
        <v>0.28000000000000003</v>
      </c>
    </row>
    <row r="232" spans="1:30" x14ac:dyDescent="0.25">
      <c r="A232" s="25" t="s">
        <v>1418</v>
      </c>
      <c r="B232" s="134" t="s">
        <v>1419</v>
      </c>
      <c r="C232" s="1">
        <v>1</v>
      </c>
      <c r="D232" s="1">
        <v>2</v>
      </c>
      <c r="E232" s="1">
        <v>2</v>
      </c>
      <c r="F232" s="1" t="s">
        <v>1420</v>
      </c>
      <c r="G232" s="1">
        <v>3020</v>
      </c>
      <c r="H232" s="1" t="s">
        <v>364</v>
      </c>
      <c r="I232" s="94">
        <v>155</v>
      </c>
      <c r="J232" s="2">
        <v>1.075</v>
      </c>
      <c r="L232" s="135">
        <v>46178</v>
      </c>
      <c r="M232" s="3" t="s">
        <v>365</v>
      </c>
      <c r="O232" s="1">
        <v>1</v>
      </c>
      <c r="P232" s="94">
        <v>2</v>
      </c>
      <c r="Q232" s="4">
        <v>0</v>
      </c>
      <c r="R232" s="2">
        <v>0</v>
      </c>
      <c r="S232" s="25" t="s">
        <v>1421</v>
      </c>
      <c r="V232" s="41" t="s">
        <v>1422</v>
      </c>
      <c r="W232" s="43" t="s">
        <v>399</v>
      </c>
      <c r="AB232" s="2">
        <v>3.99</v>
      </c>
      <c r="AC232" s="2">
        <v>9.89</v>
      </c>
      <c r="AD232" s="2">
        <v>0.28000000000000003</v>
      </c>
    </row>
    <row r="233" spans="1:30" x14ac:dyDescent="0.25">
      <c r="A233" s="25" t="s">
        <v>1423</v>
      </c>
      <c r="B233" s="134" t="s">
        <v>1424</v>
      </c>
      <c r="C233" s="1">
        <v>1</v>
      </c>
      <c r="D233" s="1">
        <v>4</v>
      </c>
      <c r="E233" s="1">
        <v>4</v>
      </c>
      <c r="F233" s="1" t="s">
        <v>1425</v>
      </c>
      <c r="G233" s="1">
        <v>2034</v>
      </c>
      <c r="H233" s="1" t="s">
        <v>364</v>
      </c>
      <c r="I233" s="94">
        <v>155</v>
      </c>
      <c r="J233" s="2">
        <v>1.7749999999999999</v>
      </c>
      <c r="L233" s="135">
        <v>46178</v>
      </c>
      <c r="M233" s="3" t="s">
        <v>538</v>
      </c>
      <c r="O233" s="1">
        <v>1</v>
      </c>
      <c r="P233" s="94">
        <v>2</v>
      </c>
      <c r="Q233" s="4">
        <v>0</v>
      </c>
      <c r="R233" s="2">
        <v>0</v>
      </c>
      <c r="S233" s="25" t="s">
        <v>1426</v>
      </c>
      <c r="V233" s="41" t="s">
        <v>1427</v>
      </c>
      <c r="W233" s="43" t="s">
        <v>392</v>
      </c>
      <c r="AB233" s="2">
        <v>5.55</v>
      </c>
      <c r="AC233" s="2">
        <v>6.36</v>
      </c>
      <c r="AD233" s="2">
        <v>0.28000000000000003</v>
      </c>
    </row>
    <row r="234" spans="1:30" x14ac:dyDescent="0.25">
      <c r="A234" s="25" t="s">
        <v>1428</v>
      </c>
      <c r="B234" s="134" t="s">
        <v>1429</v>
      </c>
      <c r="C234" s="1">
        <v>1</v>
      </c>
      <c r="D234" s="1">
        <v>3</v>
      </c>
      <c r="E234" s="1">
        <v>4</v>
      </c>
      <c r="F234" s="1" t="s">
        <v>1430</v>
      </c>
      <c r="G234" s="1">
        <v>2594</v>
      </c>
      <c r="H234" s="1" t="s">
        <v>364</v>
      </c>
      <c r="I234" s="94">
        <v>155</v>
      </c>
      <c r="J234" s="2">
        <v>1.71</v>
      </c>
      <c r="L234" s="135">
        <v>46178</v>
      </c>
      <c r="M234" s="3" t="s">
        <v>365</v>
      </c>
      <c r="O234" s="1">
        <v>1</v>
      </c>
      <c r="P234" s="94">
        <v>2</v>
      </c>
      <c r="Q234" s="4">
        <v>0</v>
      </c>
      <c r="R234" s="2">
        <v>0</v>
      </c>
      <c r="S234" s="25" t="s">
        <v>1431</v>
      </c>
      <c r="V234" s="41" t="s">
        <v>1432</v>
      </c>
      <c r="W234" s="43" t="s">
        <v>534</v>
      </c>
      <c r="AB234" s="2">
        <v>5.24</v>
      </c>
      <c r="AC234" s="2">
        <v>16.25</v>
      </c>
      <c r="AD234" s="2">
        <v>0.28000000000000003</v>
      </c>
    </row>
    <row r="235" spans="1:30" x14ac:dyDescent="0.25">
      <c r="A235" s="25" t="s">
        <v>1433</v>
      </c>
      <c r="B235" s="134" t="s">
        <v>1434</v>
      </c>
      <c r="C235" s="1">
        <v>1</v>
      </c>
      <c r="D235" s="1">
        <v>2</v>
      </c>
      <c r="E235" s="1">
        <v>2</v>
      </c>
      <c r="F235" s="1" t="s">
        <v>1435</v>
      </c>
      <c r="G235" s="1">
        <v>2773</v>
      </c>
      <c r="H235" s="1" t="s">
        <v>364</v>
      </c>
      <c r="I235" s="94">
        <v>155</v>
      </c>
      <c r="J235" s="2">
        <v>0.87</v>
      </c>
      <c r="L235" s="135">
        <v>46178</v>
      </c>
      <c r="M235" s="3" t="s">
        <v>365</v>
      </c>
      <c r="O235" s="1">
        <v>1</v>
      </c>
      <c r="P235" s="94">
        <v>2</v>
      </c>
      <c r="Q235" s="4">
        <v>0</v>
      </c>
      <c r="R235" s="2">
        <v>0</v>
      </c>
      <c r="S235" s="25" t="s">
        <v>1436</v>
      </c>
      <c r="V235" s="41" t="s">
        <v>1437</v>
      </c>
      <c r="W235" s="43" t="s">
        <v>392</v>
      </c>
      <c r="AB235" s="2">
        <v>3.99</v>
      </c>
      <c r="AC235" s="2">
        <v>6.36</v>
      </c>
      <c r="AD235" s="2">
        <v>0.28000000000000003</v>
      </c>
    </row>
    <row r="236" spans="1:30" x14ac:dyDescent="0.25">
      <c r="A236" s="25" t="s">
        <v>1438</v>
      </c>
      <c r="B236" s="134" t="s">
        <v>1439</v>
      </c>
      <c r="C236" s="1">
        <v>1</v>
      </c>
      <c r="D236" s="1">
        <v>1</v>
      </c>
      <c r="E236" s="1">
        <v>1</v>
      </c>
      <c r="F236" s="1" t="s">
        <v>937</v>
      </c>
      <c r="G236" s="1">
        <v>5019</v>
      </c>
      <c r="H236" s="1" t="s">
        <v>364</v>
      </c>
      <c r="I236" s="94">
        <v>155</v>
      </c>
      <c r="J236" s="2">
        <v>0.46</v>
      </c>
      <c r="L236" s="135">
        <v>46178</v>
      </c>
      <c r="M236" s="3" t="s">
        <v>372</v>
      </c>
      <c r="O236" s="1">
        <v>1</v>
      </c>
      <c r="P236" s="94">
        <v>2</v>
      </c>
      <c r="Q236" s="4">
        <v>0</v>
      </c>
      <c r="R236" s="2">
        <v>0</v>
      </c>
      <c r="S236" s="25" t="s">
        <v>1440</v>
      </c>
      <c r="V236" s="41" t="s">
        <v>1441</v>
      </c>
      <c r="W236" s="43" t="s">
        <v>442</v>
      </c>
      <c r="AB236" s="2">
        <v>3.21</v>
      </c>
      <c r="AC236" s="2">
        <v>7.62</v>
      </c>
      <c r="AD236" s="2">
        <v>0.28000000000000003</v>
      </c>
    </row>
    <row r="237" spans="1:30" x14ac:dyDescent="0.25">
      <c r="A237" s="25" t="s">
        <v>1442</v>
      </c>
      <c r="B237" s="134" t="s">
        <v>1443</v>
      </c>
      <c r="C237" s="1">
        <v>1</v>
      </c>
      <c r="D237" s="1">
        <v>8</v>
      </c>
      <c r="E237" s="1">
        <v>8</v>
      </c>
      <c r="F237" s="1" t="s">
        <v>1444</v>
      </c>
      <c r="G237" s="1">
        <v>4390</v>
      </c>
      <c r="H237" s="1" t="s">
        <v>364</v>
      </c>
      <c r="I237" s="94">
        <v>155</v>
      </c>
      <c r="J237" s="2">
        <v>1.329</v>
      </c>
      <c r="L237" s="135">
        <v>46178</v>
      </c>
      <c r="M237" s="3" t="s">
        <v>538</v>
      </c>
      <c r="O237" s="1">
        <v>1</v>
      </c>
      <c r="P237" s="94">
        <v>2</v>
      </c>
      <c r="Q237" s="4">
        <v>0</v>
      </c>
      <c r="R237" s="2">
        <v>0</v>
      </c>
      <c r="S237" s="25" t="s">
        <v>1445</v>
      </c>
      <c r="V237" s="41" t="s">
        <v>1446</v>
      </c>
      <c r="W237" s="43" t="s">
        <v>570</v>
      </c>
      <c r="AB237" s="2">
        <v>8.67</v>
      </c>
      <c r="AC237" s="2">
        <v>23.01</v>
      </c>
      <c r="AD237" s="2">
        <v>0.28000000000000003</v>
      </c>
    </row>
    <row r="238" spans="1:30" x14ac:dyDescent="0.25">
      <c r="A238" s="25" t="s">
        <v>1447</v>
      </c>
      <c r="B238" s="134" t="s">
        <v>1448</v>
      </c>
      <c r="C238" s="1">
        <v>1</v>
      </c>
      <c r="D238" s="1">
        <v>1</v>
      </c>
      <c r="E238" s="1">
        <v>1</v>
      </c>
      <c r="F238" s="1" t="s">
        <v>1449</v>
      </c>
      <c r="G238" s="1">
        <v>6023</v>
      </c>
      <c r="H238" s="1" t="s">
        <v>364</v>
      </c>
      <c r="I238" s="94">
        <v>155</v>
      </c>
      <c r="J238" s="2">
        <v>0.48499999999999999</v>
      </c>
      <c r="L238" s="135">
        <v>46178</v>
      </c>
      <c r="M238" s="3" t="s">
        <v>365</v>
      </c>
      <c r="O238" s="1">
        <v>1</v>
      </c>
      <c r="P238" s="94">
        <v>2</v>
      </c>
      <c r="Q238" s="4">
        <v>0</v>
      </c>
      <c r="R238" s="2">
        <v>0</v>
      </c>
      <c r="S238" s="25" t="s">
        <v>1450</v>
      </c>
      <c r="V238" s="41" t="s">
        <v>1451</v>
      </c>
      <c r="W238" s="43" t="s">
        <v>415</v>
      </c>
      <c r="AB238" s="2">
        <v>3.21</v>
      </c>
      <c r="AC238" s="2">
        <v>8.7899999999999991</v>
      </c>
      <c r="AD238" s="2">
        <v>0.28000000000000003</v>
      </c>
    </row>
    <row r="239" spans="1:30" x14ac:dyDescent="0.25">
      <c r="A239" s="25" t="s">
        <v>1452</v>
      </c>
      <c r="B239" s="134" t="s">
        <v>1453</v>
      </c>
      <c r="C239" s="1">
        <v>1</v>
      </c>
      <c r="D239" s="1">
        <v>6</v>
      </c>
      <c r="E239" s="1">
        <v>6</v>
      </c>
      <c r="F239" s="1" t="s">
        <v>1454</v>
      </c>
      <c r="G239" s="1">
        <v>3178</v>
      </c>
      <c r="H239" s="1" t="s">
        <v>364</v>
      </c>
      <c r="I239" s="94">
        <v>155</v>
      </c>
      <c r="J239" s="2">
        <v>3.0110000000000001</v>
      </c>
      <c r="L239" s="135">
        <v>46178</v>
      </c>
      <c r="M239" s="3" t="s">
        <v>538</v>
      </c>
      <c r="O239" s="1">
        <v>1</v>
      </c>
      <c r="P239" s="94">
        <v>2</v>
      </c>
      <c r="Q239" s="4">
        <v>0</v>
      </c>
      <c r="R239" s="2">
        <v>0</v>
      </c>
      <c r="S239" s="25" t="s">
        <v>1455</v>
      </c>
      <c r="V239" s="41" t="s">
        <v>1456</v>
      </c>
      <c r="W239" s="43" t="s">
        <v>399</v>
      </c>
      <c r="AB239" s="2">
        <v>7.11</v>
      </c>
      <c r="AC239" s="2">
        <v>11.62</v>
      </c>
      <c r="AD239" s="2">
        <v>0.28000000000000003</v>
      </c>
    </row>
    <row r="240" spans="1:30" x14ac:dyDescent="0.25">
      <c r="A240" s="25" t="s">
        <v>1457</v>
      </c>
      <c r="B240" s="134" t="s">
        <v>1458</v>
      </c>
      <c r="C240" s="1">
        <v>1</v>
      </c>
      <c r="D240" s="1">
        <v>2</v>
      </c>
      <c r="E240" s="1">
        <v>2</v>
      </c>
      <c r="F240" s="1" t="s">
        <v>1355</v>
      </c>
      <c r="G240" s="1">
        <v>3033</v>
      </c>
      <c r="H240" s="1" t="s">
        <v>364</v>
      </c>
      <c r="I240" s="94">
        <v>155</v>
      </c>
      <c r="J240" s="2">
        <v>1.0860000000000001</v>
      </c>
      <c r="L240" s="135">
        <v>46178</v>
      </c>
      <c r="M240" s="3" t="s">
        <v>365</v>
      </c>
      <c r="O240" s="1">
        <v>1</v>
      </c>
      <c r="P240" s="94">
        <v>2</v>
      </c>
      <c r="Q240" s="4">
        <v>0</v>
      </c>
      <c r="R240" s="2">
        <v>0</v>
      </c>
      <c r="S240" s="25" t="s">
        <v>1459</v>
      </c>
      <c r="V240" s="41" t="s">
        <v>1460</v>
      </c>
      <c r="W240" s="43" t="s">
        <v>399</v>
      </c>
      <c r="AB240" s="2">
        <v>3.99</v>
      </c>
      <c r="AC240" s="2">
        <v>9.89</v>
      </c>
      <c r="AD240" s="2">
        <v>0.28000000000000003</v>
      </c>
    </row>
    <row r="241" spans="1:30" x14ac:dyDescent="0.25">
      <c r="A241" s="25" t="s">
        <v>1461</v>
      </c>
      <c r="B241" s="134" t="s">
        <v>1462</v>
      </c>
      <c r="C241" s="1">
        <v>1</v>
      </c>
      <c r="D241" s="1">
        <v>1</v>
      </c>
      <c r="E241" s="1">
        <v>1</v>
      </c>
      <c r="F241" s="1" t="s">
        <v>1463</v>
      </c>
      <c r="G241" s="1">
        <v>3182</v>
      </c>
      <c r="H241" s="1" t="s">
        <v>364</v>
      </c>
      <c r="I241" s="94">
        <v>155</v>
      </c>
      <c r="J241" s="2">
        <v>0.53500000000000003</v>
      </c>
      <c r="L241" s="135">
        <v>46178</v>
      </c>
      <c r="M241" s="3" t="s">
        <v>372</v>
      </c>
      <c r="O241" s="1">
        <v>1</v>
      </c>
      <c r="P241" s="94">
        <v>2</v>
      </c>
      <c r="Q241" s="4">
        <v>0</v>
      </c>
      <c r="R241" s="2">
        <v>0</v>
      </c>
      <c r="S241" s="25" t="s">
        <v>1464</v>
      </c>
      <c r="V241" s="41" t="s">
        <v>1055</v>
      </c>
      <c r="W241" s="43" t="s">
        <v>399</v>
      </c>
      <c r="AB241" s="2">
        <v>3.21</v>
      </c>
      <c r="AC241" s="2">
        <v>9.17</v>
      </c>
      <c r="AD241" s="2">
        <v>0.28000000000000003</v>
      </c>
    </row>
    <row r="242" spans="1:30" x14ac:dyDescent="0.25">
      <c r="A242" s="25" t="s">
        <v>1465</v>
      </c>
      <c r="B242" s="134" t="s">
        <v>1466</v>
      </c>
      <c r="C242" s="1">
        <v>1</v>
      </c>
      <c r="D242" s="1">
        <v>6</v>
      </c>
      <c r="E242" s="1">
        <v>6</v>
      </c>
      <c r="F242" s="1" t="s">
        <v>1467</v>
      </c>
      <c r="G242" s="1">
        <v>3126</v>
      </c>
      <c r="H242" s="1" t="s">
        <v>364</v>
      </c>
      <c r="I242" s="94">
        <v>155</v>
      </c>
      <c r="J242" s="2">
        <v>3.0150000000000001</v>
      </c>
      <c r="L242" s="135">
        <v>46178</v>
      </c>
      <c r="M242" s="3" t="s">
        <v>538</v>
      </c>
      <c r="O242" s="1">
        <v>1</v>
      </c>
      <c r="P242" s="94">
        <v>2</v>
      </c>
      <c r="Q242" s="4">
        <v>0</v>
      </c>
      <c r="R242" s="2">
        <v>0</v>
      </c>
      <c r="S242" s="25" t="s">
        <v>1468</v>
      </c>
      <c r="V242" s="41" t="s">
        <v>1469</v>
      </c>
      <c r="W242" s="43" t="s">
        <v>399</v>
      </c>
      <c r="AB242" s="2">
        <v>7.11</v>
      </c>
      <c r="AC242" s="2">
        <v>11.62</v>
      </c>
      <c r="AD242" s="2">
        <v>0.28000000000000003</v>
      </c>
    </row>
    <row r="243" spans="1:30" x14ac:dyDescent="0.25">
      <c r="A243" s="25" t="s">
        <v>1470</v>
      </c>
      <c r="B243" s="134" t="s">
        <v>1471</v>
      </c>
      <c r="C243" s="1">
        <v>1</v>
      </c>
      <c r="D243" s="1">
        <v>2</v>
      </c>
      <c r="E243" s="1">
        <v>2</v>
      </c>
      <c r="F243" s="1" t="s">
        <v>1472</v>
      </c>
      <c r="G243" s="1">
        <v>4521</v>
      </c>
      <c r="H243" s="1" t="s">
        <v>364</v>
      </c>
      <c r="I243" s="94">
        <v>55</v>
      </c>
      <c r="J243" s="2">
        <v>1.073</v>
      </c>
      <c r="L243" s="135">
        <v>46178</v>
      </c>
      <c r="M243" s="3" t="s">
        <v>365</v>
      </c>
      <c r="O243" s="1">
        <v>1</v>
      </c>
      <c r="P243" s="94">
        <v>2</v>
      </c>
      <c r="Q243" s="4">
        <v>0</v>
      </c>
      <c r="R243" s="2">
        <v>0</v>
      </c>
      <c r="S243" s="25" t="s">
        <v>1473</v>
      </c>
      <c r="V243" s="41" t="s">
        <v>1474</v>
      </c>
      <c r="W243" s="43" t="s">
        <v>523</v>
      </c>
      <c r="AB243" s="2">
        <v>3.99</v>
      </c>
      <c r="AC243" s="2">
        <v>11.92</v>
      </c>
      <c r="AD243" s="2">
        <v>0.28000000000000003</v>
      </c>
    </row>
    <row r="244" spans="1:30" x14ac:dyDescent="0.25">
      <c r="A244" s="25" t="s">
        <v>1475</v>
      </c>
      <c r="B244" s="134" t="s">
        <v>1476</v>
      </c>
      <c r="C244" s="1">
        <v>1</v>
      </c>
      <c r="D244" s="1">
        <v>1</v>
      </c>
      <c r="E244" s="1">
        <v>1</v>
      </c>
      <c r="F244" s="1" t="s">
        <v>1477</v>
      </c>
      <c r="G244" s="1">
        <v>4113</v>
      </c>
      <c r="H244" s="1" t="s">
        <v>364</v>
      </c>
      <c r="I244" s="94">
        <v>154</v>
      </c>
      <c r="J244" s="2">
        <v>0.48599999999999999</v>
      </c>
      <c r="L244" s="135">
        <v>46178</v>
      </c>
      <c r="M244" s="3" t="s">
        <v>372</v>
      </c>
      <c r="O244" s="1">
        <v>1</v>
      </c>
      <c r="P244" s="94">
        <v>2</v>
      </c>
      <c r="Q244" s="4">
        <v>0</v>
      </c>
      <c r="R244" s="2">
        <v>0</v>
      </c>
      <c r="S244" s="25" t="s">
        <v>1478</v>
      </c>
      <c r="V244" s="41" t="s">
        <v>1451</v>
      </c>
      <c r="W244" s="43" t="s">
        <v>448</v>
      </c>
      <c r="AB244" s="2">
        <v>3.21</v>
      </c>
      <c r="AC244" s="2">
        <v>11.63</v>
      </c>
      <c r="AD244" s="2">
        <v>0.28000000000000003</v>
      </c>
    </row>
    <row r="245" spans="1:30" x14ac:dyDescent="0.25">
      <c r="A245" s="25" t="s">
        <v>1479</v>
      </c>
      <c r="B245" s="134" t="s">
        <v>1480</v>
      </c>
      <c r="C245" s="1">
        <v>1</v>
      </c>
      <c r="D245" s="1">
        <v>2</v>
      </c>
      <c r="E245" s="1">
        <v>2</v>
      </c>
      <c r="F245" s="1" t="s">
        <v>1481</v>
      </c>
      <c r="G245" s="1">
        <v>2208</v>
      </c>
      <c r="H245" s="1" t="s">
        <v>364</v>
      </c>
      <c r="I245" s="94">
        <v>155</v>
      </c>
      <c r="J245" s="2">
        <v>1.0349999999999999</v>
      </c>
      <c r="L245" s="135">
        <v>46178</v>
      </c>
      <c r="M245" s="3" t="s">
        <v>365</v>
      </c>
      <c r="O245" s="1">
        <v>1</v>
      </c>
      <c r="P245" s="94">
        <v>2</v>
      </c>
      <c r="Q245" s="4">
        <v>0</v>
      </c>
      <c r="R245" s="2">
        <v>0</v>
      </c>
      <c r="S245" s="25" t="s">
        <v>1482</v>
      </c>
      <c r="V245" s="41" t="s">
        <v>1483</v>
      </c>
      <c r="W245" s="43" t="s">
        <v>392</v>
      </c>
      <c r="AB245" s="2">
        <v>3.99</v>
      </c>
      <c r="AC245" s="2">
        <v>6.36</v>
      </c>
      <c r="AD245" s="2">
        <v>0.28000000000000003</v>
      </c>
    </row>
    <row r="246" spans="1:30" x14ac:dyDescent="0.25">
      <c r="A246" s="25" t="s">
        <v>1484</v>
      </c>
      <c r="B246" s="134" t="s">
        <v>1485</v>
      </c>
      <c r="C246" s="1">
        <v>1</v>
      </c>
      <c r="D246" s="1">
        <v>1</v>
      </c>
      <c r="E246" s="1">
        <v>1</v>
      </c>
      <c r="F246" s="1" t="s">
        <v>1486</v>
      </c>
      <c r="G246" s="1">
        <v>2765</v>
      </c>
      <c r="H246" s="1" t="s">
        <v>364</v>
      </c>
      <c r="I246" s="94">
        <v>155</v>
      </c>
      <c r="J246" s="2">
        <v>0.53</v>
      </c>
      <c r="L246" s="135">
        <v>46178</v>
      </c>
      <c r="M246" s="3" t="s">
        <v>372</v>
      </c>
      <c r="O246" s="1">
        <v>1</v>
      </c>
      <c r="P246" s="94">
        <v>2</v>
      </c>
      <c r="Q246" s="4">
        <v>0</v>
      </c>
      <c r="R246" s="2">
        <v>0</v>
      </c>
      <c r="S246" s="25" t="s">
        <v>1487</v>
      </c>
      <c r="V246" s="41" t="s">
        <v>670</v>
      </c>
      <c r="W246" s="43" t="s">
        <v>1282</v>
      </c>
      <c r="AB246" s="2">
        <v>3.21</v>
      </c>
      <c r="AC246" s="2">
        <v>8.6199999999999992</v>
      </c>
      <c r="AD246" s="2">
        <v>0.28000000000000003</v>
      </c>
    </row>
    <row r="247" spans="1:30" x14ac:dyDescent="0.25">
      <c r="A247" s="25" t="s">
        <v>1488</v>
      </c>
      <c r="B247" s="134" t="s">
        <v>1489</v>
      </c>
      <c r="C247" s="1">
        <v>1</v>
      </c>
      <c r="D247" s="1">
        <v>1</v>
      </c>
      <c r="E247" s="1">
        <v>1</v>
      </c>
      <c r="F247" s="1" t="s">
        <v>1490</v>
      </c>
      <c r="G247" s="1">
        <v>2153</v>
      </c>
      <c r="H247" s="1" t="s">
        <v>364</v>
      </c>
      <c r="I247" s="94">
        <v>155</v>
      </c>
      <c r="J247" s="2">
        <v>0.2</v>
      </c>
      <c r="L247" s="135">
        <v>46178</v>
      </c>
      <c r="M247" s="3" t="s">
        <v>365</v>
      </c>
      <c r="O247" s="1">
        <v>1</v>
      </c>
      <c r="P247" s="94">
        <v>2</v>
      </c>
      <c r="Q247" s="4">
        <v>0</v>
      </c>
      <c r="R247" s="2">
        <v>0</v>
      </c>
      <c r="S247" s="25" t="s">
        <v>1491</v>
      </c>
      <c r="V247" s="41" t="s">
        <v>580</v>
      </c>
      <c r="W247" s="43" t="s">
        <v>392</v>
      </c>
      <c r="AB247" s="2">
        <v>3.21</v>
      </c>
      <c r="AC247" s="2">
        <v>5.87</v>
      </c>
      <c r="AD247" s="2">
        <v>0.28000000000000003</v>
      </c>
    </row>
    <row r="248" spans="1:30" x14ac:dyDescent="0.25">
      <c r="A248" s="25" t="s">
        <v>1492</v>
      </c>
      <c r="B248" s="134" t="s">
        <v>1493</v>
      </c>
      <c r="C248" s="1">
        <v>1</v>
      </c>
      <c r="D248" s="1">
        <v>2</v>
      </c>
      <c r="E248" s="1">
        <v>2</v>
      </c>
      <c r="F248" s="1" t="s">
        <v>1494</v>
      </c>
      <c r="G248" s="1">
        <v>2614</v>
      </c>
      <c r="H248" s="1" t="s">
        <v>364</v>
      </c>
      <c r="I248" s="94">
        <v>155</v>
      </c>
      <c r="J248" s="2">
        <v>0.37</v>
      </c>
      <c r="L248" s="135">
        <v>46178</v>
      </c>
      <c r="M248" s="3" t="s">
        <v>372</v>
      </c>
      <c r="O248" s="1">
        <v>1</v>
      </c>
      <c r="P248" s="94">
        <v>2</v>
      </c>
      <c r="Q248" s="4">
        <v>0</v>
      </c>
      <c r="R248" s="2">
        <v>0</v>
      </c>
      <c r="S248" s="25" t="s">
        <v>1495</v>
      </c>
      <c r="V248" s="41" t="s">
        <v>1496</v>
      </c>
      <c r="W248" s="43" t="s">
        <v>502</v>
      </c>
      <c r="AB248" s="2">
        <v>3.99</v>
      </c>
      <c r="AC248" s="2">
        <v>7.71</v>
      </c>
      <c r="AD248" s="2">
        <v>0.28000000000000003</v>
      </c>
    </row>
    <row r="249" spans="1:30" x14ac:dyDescent="0.25">
      <c r="A249" s="25" t="s">
        <v>1497</v>
      </c>
      <c r="B249" s="134" t="s">
        <v>1498</v>
      </c>
      <c r="C249" s="1">
        <v>1</v>
      </c>
      <c r="D249" s="1">
        <v>4</v>
      </c>
      <c r="E249" s="1">
        <v>4</v>
      </c>
      <c r="F249" s="1" t="s">
        <v>1499</v>
      </c>
      <c r="G249" s="1">
        <v>3072</v>
      </c>
      <c r="H249" s="1" t="s">
        <v>364</v>
      </c>
      <c r="I249" s="94">
        <v>155</v>
      </c>
      <c r="J249" s="2">
        <v>1.855</v>
      </c>
      <c r="L249" s="135">
        <v>46178</v>
      </c>
      <c r="M249" s="3" t="s">
        <v>365</v>
      </c>
      <c r="O249" s="1">
        <v>1</v>
      </c>
      <c r="P249" s="94">
        <v>2</v>
      </c>
      <c r="Q249" s="4">
        <v>0</v>
      </c>
      <c r="R249" s="2">
        <v>0</v>
      </c>
      <c r="S249" s="25" t="s">
        <v>1500</v>
      </c>
      <c r="V249" s="41" t="s">
        <v>1501</v>
      </c>
      <c r="W249" s="43" t="s">
        <v>399</v>
      </c>
      <c r="AB249" s="2">
        <v>5.55</v>
      </c>
      <c r="AC249" s="2">
        <v>9.89</v>
      </c>
      <c r="AD249" s="2">
        <v>0.28000000000000003</v>
      </c>
    </row>
    <row r="250" spans="1:30" x14ac:dyDescent="0.25">
      <c r="A250" s="25" t="s">
        <v>1502</v>
      </c>
      <c r="B250" s="134" t="s">
        <v>1503</v>
      </c>
      <c r="C250" s="1">
        <v>1</v>
      </c>
      <c r="D250" s="1">
        <v>1</v>
      </c>
      <c r="E250" s="1">
        <v>1</v>
      </c>
      <c r="F250" s="1" t="s">
        <v>1504</v>
      </c>
      <c r="G250" s="1">
        <v>4814</v>
      </c>
      <c r="H250" s="1" t="s">
        <v>364</v>
      </c>
      <c r="I250" s="94">
        <v>155</v>
      </c>
      <c r="J250" s="2">
        <v>0.45400000000000001</v>
      </c>
      <c r="L250" s="135">
        <v>46178</v>
      </c>
      <c r="M250" s="3" t="s">
        <v>372</v>
      </c>
      <c r="O250" s="1">
        <v>1</v>
      </c>
      <c r="P250" s="94">
        <v>2</v>
      </c>
      <c r="Q250" s="4">
        <v>0</v>
      </c>
      <c r="R250" s="2">
        <v>0</v>
      </c>
      <c r="S250" s="25" t="s">
        <v>1505</v>
      </c>
      <c r="V250" s="41" t="s">
        <v>559</v>
      </c>
      <c r="W250" s="43" t="s">
        <v>481</v>
      </c>
      <c r="AB250" s="2">
        <v>3.21</v>
      </c>
      <c r="AC250" s="2">
        <v>12.35</v>
      </c>
      <c r="AD250" s="2">
        <v>0.28000000000000003</v>
      </c>
    </row>
    <row r="251" spans="1:30" x14ac:dyDescent="0.25">
      <c r="A251" s="25" t="s">
        <v>1506</v>
      </c>
      <c r="B251" s="134" t="s">
        <v>1507</v>
      </c>
      <c r="C251" s="1">
        <v>1</v>
      </c>
      <c r="D251" s="1">
        <v>4</v>
      </c>
      <c r="E251" s="1">
        <v>4</v>
      </c>
      <c r="F251" s="1" t="s">
        <v>894</v>
      </c>
      <c r="G251" s="1">
        <v>2221</v>
      </c>
      <c r="H251" s="1" t="s">
        <v>364</v>
      </c>
      <c r="I251" s="94">
        <v>155</v>
      </c>
      <c r="J251" s="2">
        <v>1.9910000000000001</v>
      </c>
      <c r="L251" s="135">
        <v>46178</v>
      </c>
      <c r="M251" s="3" t="s">
        <v>365</v>
      </c>
      <c r="O251" s="1">
        <v>1</v>
      </c>
      <c r="P251" s="94">
        <v>2</v>
      </c>
      <c r="Q251" s="4">
        <v>0</v>
      </c>
      <c r="R251" s="2">
        <v>0</v>
      </c>
      <c r="S251" s="25" t="s">
        <v>1508</v>
      </c>
      <c r="V251" s="41" t="s">
        <v>1509</v>
      </c>
      <c r="W251" s="43" t="s">
        <v>392</v>
      </c>
      <c r="AB251" s="2">
        <v>5.55</v>
      </c>
      <c r="AC251" s="2">
        <v>6.36</v>
      </c>
      <c r="AD251" s="2">
        <v>0.28000000000000003</v>
      </c>
    </row>
    <row r="252" spans="1:30" x14ac:dyDescent="0.25">
      <c r="A252" s="25" t="s">
        <v>1510</v>
      </c>
      <c r="B252" s="134" t="s">
        <v>1511</v>
      </c>
      <c r="C252" s="1">
        <v>1</v>
      </c>
      <c r="D252" s="1">
        <v>1</v>
      </c>
      <c r="E252" s="1">
        <v>1</v>
      </c>
      <c r="F252" s="1" t="s">
        <v>1512</v>
      </c>
      <c r="G252" s="1">
        <v>7307</v>
      </c>
      <c r="H252" s="1" t="s">
        <v>364</v>
      </c>
      <c r="I252" s="94">
        <v>155</v>
      </c>
      <c r="J252" s="2">
        <v>0.21199999999999999</v>
      </c>
      <c r="L252" s="135">
        <v>46178</v>
      </c>
      <c r="M252" s="3" t="s">
        <v>372</v>
      </c>
      <c r="O252" s="1">
        <v>1</v>
      </c>
      <c r="P252" s="94">
        <v>2</v>
      </c>
      <c r="Q252" s="4">
        <v>0</v>
      </c>
      <c r="R252" s="2">
        <v>0</v>
      </c>
      <c r="S252" s="25" t="s">
        <v>1513</v>
      </c>
      <c r="V252" s="41" t="s">
        <v>1242</v>
      </c>
      <c r="W252" s="43" t="s">
        <v>375</v>
      </c>
      <c r="AB252" s="2">
        <v>3.21</v>
      </c>
      <c r="AC252" s="2">
        <v>9.31</v>
      </c>
      <c r="AD252" s="2">
        <v>0.28000000000000003</v>
      </c>
    </row>
    <row r="253" spans="1:30" x14ac:dyDescent="0.25">
      <c r="A253" s="25" t="s">
        <v>1514</v>
      </c>
      <c r="B253" s="134" t="s">
        <v>1515</v>
      </c>
      <c r="C253" s="1">
        <v>1</v>
      </c>
      <c r="D253" s="1">
        <v>7</v>
      </c>
      <c r="E253" s="1">
        <v>7</v>
      </c>
      <c r="F253" s="1" t="s">
        <v>1130</v>
      </c>
      <c r="G253" s="1">
        <v>4061</v>
      </c>
      <c r="H253" s="1" t="s">
        <v>364</v>
      </c>
      <c r="I253" s="94">
        <v>155</v>
      </c>
      <c r="J253" s="2">
        <v>1.071</v>
      </c>
      <c r="L253" s="135">
        <v>46178</v>
      </c>
      <c r="M253" s="3" t="s">
        <v>538</v>
      </c>
      <c r="O253" s="1">
        <v>1</v>
      </c>
      <c r="P253" s="94">
        <v>2</v>
      </c>
      <c r="Q253" s="4">
        <v>0</v>
      </c>
      <c r="R253" s="2">
        <v>0</v>
      </c>
      <c r="S253" s="25" t="s">
        <v>1516</v>
      </c>
      <c r="V253" s="41" t="s">
        <v>1517</v>
      </c>
      <c r="W253" s="43" t="s">
        <v>448</v>
      </c>
      <c r="AB253" s="2">
        <v>7.89</v>
      </c>
      <c r="AC253" s="2">
        <v>9.89</v>
      </c>
      <c r="AD253" s="2">
        <v>0.28000000000000003</v>
      </c>
    </row>
    <row r="254" spans="1:30" x14ac:dyDescent="0.25">
      <c r="A254" s="25" t="s">
        <v>1518</v>
      </c>
      <c r="B254" s="134" t="s">
        <v>1519</v>
      </c>
      <c r="C254" s="1">
        <v>1</v>
      </c>
      <c r="D254" s="1">
        <v>2</v>
      </c>
      <c r="E254" s="1">
        <v>2</v>
      </c>
      <c r="F254" s="1" t="s">
        <v>1520</v>
      </c>
      <c r="G254" s="1">
        <v>5074</v>
      </c>
      <c r="H254" s="1" t="s">
        <v>364</v>
      </c>
      <c r="I254" s="94">
        <v>155</v>
      </c>
      <c r="J254" s="2">
        <v>1.0429999999999999</v>
      </c>
      <c r="L254" s="135">
        <v>46178</v>
      </c>
      <c r="M254" s="3" t="s">
        <v>365</v>
      </c>
      <c r="O254" s="1">
        <v>1</v>
      </c>
      <c r="P254" s="94">
        <v>2</v>
      </c>
      <c r="Q254" s="4">
        <v>0</v>
      </c>
      <c r="R254" s="2">
        <v>0</v>
      </c>
      <c r="S254" s="25" t="s">
        <v>1521</v>
      </c>
      <c r="V254" s="41" t="s">
        <v>1522</v>
      </c>
      <c r="W254" s="43" t="s">
        <v>442</v>
      </c>
      <c r="AB254" s="2">
        <v>3.99</v>
      </c>
      <c r="AC254" s="2">
        <v>10.52</v>
      </c>
      <c r="AD254" s="2">
        <v>0.28000000000000003</v>
      </c>
    </row>
    <row r="255" spans="1:30" x14ac:dyDescent="0.25">
      <c r="A255" s="25" t="s">
        <v>1523</v>
      </c>
      <c r="B255" s="134" t="s">
        <v>1524</v>
      </c>
      <c r="C255" s="1">
        <v>1</v>
      </c>
      <c r="D255" s="1">
        <v>2</v>
      </c>
      <c r="E255" s="1">
        <v>2</v>
      </c>
      <c r="F255" s="1" t="s">
        <v>1525</v>
      </c>
      <c r="G255" s="1">
        <v>5268</v>
      </c>
      <c r="H255" s="1" t="s">
        <v>364</v>
      </c>
      <c r="I255" s="94">
        <v>155</v>
      </c>
      <c r="J255" s="2">
        <v>0.89400000000000002</v>
      </c>
      <c r="L255" s="135">
        <v>46178</v>
      </c>
      <c r="M255" s="3" t="s">
        <v>365</v>
      </c>
      <c r="O255" s="1">
        <v>1</v>
      </c>
      <c r="P255" s="94">
        <v>2</v>
      </c>
      <c r="Q255" s="4">
        <v>0</v>
      </c>
      <c r="R255" s="2">
        <v>0</v>
      </c>
      <c r="S255" s="25" t="s">
        <v>1526</v>
      </c>
      <c r="V255" s="41" t="s">
        <v>1527</v>
      </c>
      <c r="W255" s="43" t="s">
        <v>474</v>
      </c>
      <c r="AB255" s="2">
        <v>3.99</v>
      </c>
      <c r="AC255" s="2">
        <v>21.72</v>
      </c>
      <c r="AD255" s="2">
        <v>0.28000000000000003</v>
      </c>
    </row>
    <row r="256" spans="1:30" x14ac:dyDescent="0.25">
      <c r="A256" s="25" t="s">
        <v>1528</v>
      </c>
      <c r="B256" s="134" t="s">
        <v>1529</v>
      </c>
      <c r="C256" s="1">
        <v>1</v>
      </c>
      <c r="D256" s="1">
        <v>6</v>
      </c>
      <c r="E256" s="1">
        <v>6</v>
      </c>
      <c r="F256" s="1" t="s">
        <v>1530</v>
      </c>
      <c r="G256" s="1">
        <v>5023</v>
      </c>
      <c r="H256" s="1" t="s">
        <v>364</v>
      </c>
      <c r="I256" s="94">
        <v>155</v>
      </c>
      <c r="J256" s="2">
        <v>0.93100000000000005</v>
      </c>
      <c r="L256" s="135">
        <v>46178</v>
      </c>
      <c r="M256" s="3" t="s">
        <v>365</v>
      </c>
      <c r="N256" s="1" t="s">
        <v>539</v>
      </c>
      <c r="O256" s="1">
        <v>1</v>
      </c>
      <c r="P256" s="94">
        <v>2</v>
      </c>
      <c r="Q256" s="4">
        <v>0</v>
      </c>
      <c r="R256" s="2">
        <v>0</v>
      </c>
      <c r="S256" s="25" t="s">
        <v>1531</v>
      </c>
      <c r="V256" s="41" t="s">
        <v>1532</v>
      </c>
      <c r="W256" s="43" t="s">
        <v>442</v>
      </c>
      <c r="AB256" s="2">
        <v>7.11</v>
      </c>
      <c r="AC256" s="2">
        <v>9.59</v>
      </c>
      <c r="AD256" s="2">
        <v>0.28000000000000003</v>
      </c>
    </row>
    <row r="257" spans="1:30" x14ac:dyDescent="0.25">
      <c r="A257" s="25" t="s">
        <v>1533</v>
      </c>
      <c r="B257" s="134" t="s">
        <v>1534</v>
      </c>
      <c r="C257" s="1">
        <v>1</v>
      </c>
      <c r="D257" s="1">
        <v>1</v>
      </c>
      <c r="E257" s="1">
        <v>1</v>
      </c>
      <c r="F257" s="1" t="s">
        <v>1535</v>
      </c>
      <c r="G257" s="1">
        <v>2518</v>
      </c>
      <c r="H257" s="1" t="s">
        <v>364</v>
      </c>
      <c r="I257" s="94">
        <v>155</v>
      </c>
      <c r="J257" s="2">
        <v>0.433</v>
      </c>
      <c r="L257" s="135">
        <v>46178</v>
      </c>
      <c r="M257" s="3" t="s">
        <v>372</v>
      </c>
      <c r="O257" s="1">
        <v>1</v>
      </c>
      <c r="P257" s="94">
        <v>2</v>
      </c>
      <c r="Q257" s="4">
        <v>0</v>
      </c>
      <c r="R257" s="2">
        <v>0</v>
      </c>
      <c r="S257" s="25" t="s">
        <v>1536</v>
      </c>
      <c r="V257" s="41" t="s">
        <v>710</v>
      </c>
      <c r="W257" s="43" t="s">
        <v>956</v>
      </c>
      <c r="AB257" s="2">
        <v>3.21</v>
      </c>
      <c r="AC257" s="2">
        <v>7.71</v>
      </c>
      <c r="AD257" s="2">
        <v>0.28000000000000003</v>
      </c>
    </row>
    <row r="258" spans="1:30" x14ac:dyDescent="0.25">
      <c r="A258" s="25" t="s">
        <v>1537</v>
      </c>
      <c r="B258" s="134" t="s">
        <v>1538</v>
      </c>
      <c r="C258" s="1">
        <v>1</v>
      </c>
      <c r="D258" s="1">
        <v>6</v>
      </c>
      <c r="E258" s="1">
        <v>6</v>
      </c>
      <c r="F258" s="1" t="s">
        <v>1539</v>
      </c>
      <c r="G258" s="1">
        <v>4059</v>
      </c>
      <c r="H258" s="1" t="s">
        <v>364</v>
      </c>
      <c r="I258" s="94">
        <v>154</v>
      </c>
      <c r="J258" s="2">
        <v>2.98</v>
      </c>
      <c r="L258" s="135">
        <v>46178</v>
      </c>
      <c r="M258" s="3" t="s">
        <v>538</v>
      </c>
      <c r="O258" s="1">
        <v>1</v>
      </c>
      <c r="P258" s="94">
        <v>2</v>
      </c>
      <c r="Q258" s="4">
        <v>0</v>
      </c>
      <c r="R258" s="2">
        <v>0</v>
      </c>
      <c r="S258" s="25" t="s">
        <v>1540</v>
      </c>
      <c r="V258" s="41" t="s">
        <v>1541</v>
      </c>
      <c r="W258" s="43" t="s">
        <v>448</v>
      </c>
      <c r="AB258" s="2">
        <v>7.11</v>
      </c>
      <c r="AC258" s="2">
        <v>16.71</v>
      </c>
      <c r="AD258" s="2">
        <v>0.28000000000000003</v>
      </c>
    </row>
    <row r="259" spans="1:30" x14ac:dyDescent="0.25">
      <c r="A259" s="25" t="s">
        <v>1542</v>
      </c>
      <c r="B259" s="134" t="s">
        <v>1543</v>
      </c>
      <c r="C259" s="1">
        <v>1</v>
      </c>
      <c r="D259" s="1">
        <v>2</v>
      </c>
      <c r="E259" s="1">
        <v>2</v>
      </c>
      <c r="F259" s="1" t="s">
        <v>1544</v>
      </c>
      <c r="G259" s="1">
        <v>2577</v>
      </c>
      <c r="H259" s="1" t="s">
        <v>364</v>
      </c>
      <c r="I259" s="94">
        <v>155</v>
      </c>
      <c r="J259" s="2">
        <v>0.45600000000000002</v>
      </c>
      <c r="L259" s="135">
        <v>46178</v>
      </c>
      <c r="M259" s="3" t="s">
        <v>365</v>
      </c>
      <c r="O259" s="1">
        <v>1</v>
      </c>
      <c r="P259" s="94">
        <v>2</v>
      </c>
      <c r="Q259" s="4">
        <v>0</v>
      </c>
      <c r="R259" s="2">
        <v>0</v>
      </c>
      <c r="S259" s="25" t="s">
        <v>1545</v>
      </c>
      <c r="V259" s="41" t="s">
        <v>598</v>
      </c>
      <c r="W259" s="43" t="s">
        <v>534</v>
      </c>
      <c r="AB259" s="2">
        <v>3.99</v>
      </c>
      <c r="AC259" s="2">
        <v>11.58</v>
      </c>
      <c r="AD259" s="2">
        <v>0.28000000000000003</v>
      </c>
    </row>
    <row r="260" spans="1:30" x14ac:dyDescent="0.25">
      <c r="A260" s="25" t="s">
        <v>1546</v>
      </c>
      <c r="B260" s="134" t="s">
        <v>1547</v>
      </c>
      <c r="C260" s="1">
        <v>1</v>
      </c>
      <c r="D260" s="1">
        <v>1</v>
      </c>
      <c r="E260" s="1">
        <v>1</v>
      </c>
      <c r="F260" s="1" t="s">
        <v>505</v>
      </c>
      <c r="G260" s="1">
        <v>6009</v>
      </c>
      <c r="H260" s="1" t="s">
        <v>364</v>
      </c>
      <c r="I260" s="94">
        <v>155</v>
      </c>
      <c r="J260" s="2">
        <v>0.20499999999999999</v>
      </c>
      <c r="L260" s="135">
        <v>46178</v>
      </c>
      <c r="M260" s="3" t="s">
        <v>372</v>
      </c>
      <c r="O260" s="1">
        <v>1</v>
      </c>
      <c r="P260" s="94">
        <v>2</v>
      </c>
      <c r="Q260" s="4">
        <v>0</v>
      </c>
      <c r="R260" s="2">
        <v>0</v>
      </c>
      <c r="S260" s="25" t="s">
        <v>1548</v>
      </c>
      <c r="V260" s="41" t="s">
        <v>1549</v>
      </c>
      <c r="W260" s="43" t="s">
        <v>415</v>
      </c>
      <c r="AB260" s="2">
        <v>3.21</v>
      </c>
      <c r="AC260" s="2">
        <v>8.7899999999999991</v>
      </c>
      <c r="AD260" s="2">
        <v>0.28000000000000003</v>
      </c>
    </row>
  </sheetData>
  <sheetProtection algorithmName="SHA-512" hashValue="JVxt669e2Q1qvvNsl2oJGL4Vs4bTP3VzXJiprzL57Tak9WYBOizc0Jubkno+ONB5rHt/s6NEKCmWKVgpd5cpqQ==" saltValue="Bx5/AkBLjFPoiEw7Y4d2/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DOK50352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05 Jun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1028.5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1553</v>
      </c>
      <c r="D13" s="14" t="s">
        <v>1550</v>
      </c>
      <c r="E13" s="20" t="s">
        <v>1551</v>
      </c>
      <c r="F13" s="20" t="s">
        <v>1552</v>
      </c>
      <c r="G13" s="15">
        <v>0</v>
      </c>
      <c r="I13" s="96" t="s">
        <v>1555</v>
      </c>
      <c r="J13" s="16" t="s">
        <v>1554</v>
      </c>
      <c r="K13" s="20" t="s">
        <v>1554</v>
      </c>
      <c r="L13" s="17">
        <v>1</v>
      </c>
      <c r="M13" s="17">
        <v>0</v>
      </c>
      <c r="N13" s="17">
        <v>0</v>
      </c>
    </row>
    <row r="14" spans="1:14" ht="12" x14ac:dyDescent="0.25">
      <c r="M14" s="17"/>
    </row>
    <row r="15" spans="1:14" ht="12" x14ac:dyDescent="0.25">
      <c r="A15" s="101" t="s">
        <v>1558</v>
      </c>
      <c r="C15" s="34">
        <v>46178</v>
      </c>
      <c r="D15" s="14" t="s">
        <v>1556</v>
      </c>
      <c r="E15" s="20" t="s">
        <v>130</v>
      </c>
      <c r="F15" s="20" t="s">
        <v>1557</v>
      </c>
      <c r="G15" s="15">
        <v>0</v>
      </c>
      <c r="I15" s="96">
        <v>10.1</v>
      </c>
      <c r="J15" s="16" t="s">
        <v>1559</v>
      </c>
      <c r="K15" s="20" t="s">
        <v>321</v>
      </c>
      <c r="L15" s="17">
        <v>350</v>
      </c>
      <c r="M15" s="17">
        <v>0.36</v>
      </c>
      <c r="N15" s="17">
        <v>126</v>
      </c>
    </row>
    <row r="16" spans="1:14" ht="24" x14ac:dyDescent="0.25">
      <c r="A16" s="101" t="s">
        <v>1558</v>
      </c>
      <c r="I16" s="96">
        <v>10.199999999999999</v>
      </c>
      <c r="J16" s="16" t="s">
        <v>1560</v>
      </c>
      <c r="K16" s="20" t="s">
        <v>1561</v>
      </c>
      <c r="L16" s="17">
        <v>45125</v>
      </c>
      <c r="M16" s="17">
        <v>0.02</v>
      </c>
      <c r="N16" s="17">
        <v>902.5</v>
      </c>
    </row>
    <row r="17" spans="13:13" ht="12" x14ac:dyDescent="0.25">
      <c r="M17" s="17"/>
    </row>
    <row r="18" spans="13:13" ht="12" x14ac:dyDescent="0.25">
      <c r="M18" s="17"/>
    </row>
    <row r="19" spans="13:13" ht="12" x14ac:dyDescent="0.25">
      <c r="M19" s="17"/>
    </row>
    <row r="20" spans="13:13" ht="12" x14ac:dyDescent="0.25">
      <c r="M20" s="17"/>
    </row>
    <row r="21" spans="13:13" ht="12" x14ac:dyDescent="0.25">
      <c r="M21" s="17"/>
    </row>
    <row r="22" spans="13:13" ht="12" x14ac:dyDescent="0.25">
      <c r="M22" s="17"/>
    </row>
    <row r="23" spans="13:13" ht="12" x14ac:dyDescent="0.25">
      <c r="M23" s="17"/>
    </row>
    <row r="24" spans="13:13" ht="12" x14ac:dyDescent="0.25">
      <c r="M24" s="17"/>
    </row>
    <row r="25" spans="13:13" ht="12" x14ac:dyDescent="0.25">
      <c r="M25" s="17"/>
    </row>
    <row r="26" spans="13:13" ht="12" x14ac:dyDescent="0.25">
      <c r="M26" s="17"/>
    </row>
    <row r="27" spans="13:13" ht="12" x14ac:dyDescent="0.25">
      <c r="M27" s="17"/>
    </row>
    <row r="28" spans="13:13" ht="12" x14ac:dyDescent="0.25">
      <c r="M28" s="17"/>
    </row>
    <row r="29" spans="13:13" ht="12" x14ac:dyDescent="0.25">
      <c r="M29" s="17"/>
    </row>
    <row r="30" spans="13:13" ht="12" x14ac:dyDescent="0.25">
      <c r="M30" s="17"/>
    </row>
    <row r="31" spans="13:13" ht="12" x14ac:dyDescent="0.25">
      <c r="M31" s="17"/>
    </row>
    <row r="32" spans="13:13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3X9OYdaPYH0j5NyV2QJrSjdAez2gNBbeJ5BzgCPZ0vw84e8tTLfra4at09gCP+Xp0BtYhE1BTztYRLXtUmRpOw==" saltValue="SZX1mOd61Hzi9FseSQ4Rg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5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DOK50352</v>
      </c>
    </row>
    <row r="3" spans="1:5" x14ac:dyDescent="0.25">
      <c r="A3" s="25" t="str">
        <f>Invoice!$G$4&amp;TEXT(Invoice!$H$4,"dd mmm yy")</f>
        <v>Period End : 05 Jun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2</v>
      </c>
    </row>
    <row r="11" spans="1:5" x14ac:dyDescent="0.25">
      <c r="A11" s="23" t="s">
        <v>352</v>
      </c>
      <c r="B11" s="23" t="s">
        <v>353</v>
      </c>
      <c r="C11" s="23" t="s">
        <v>300</v>
      </c>
      <c r="D11" s="39">
        <v>0</v>
      </c>
      <c r="E11" s="40">
        <v>14</v>
      </c>
    </row>
    <row r="12" spans="1:5" x14ac:dyDescent="0.25">
      <c r="A12" s="23" t="s">
        <v>354</v>
      </c>
      <c r="B12" s="23" t="s">
        <v>355</v>
      </c>
      <c r="C12" s="23" t="s">
        <v>356</v>
      </c>
      <c r="D12" s="21">
        <v>0.28000000000000003</v>
      </c>
      <c r="E12" s="28">
        <v>130</v>
      </c>
    </row>
    <row r="13" spans="1:5" x14ac:dyDescent="0.25">
      <c r="A13" s="23" t="s">
        <v>357</v>
      </c>
      <c r="B13" s="23" t="s">
        <v>358</v>
      </c>
      <c r="C13" s="23" t="s">
        <v>356</v>
      </c>
      <c r="D13" s="21">
        <v>0.28000000000000003</v>
      </c>
      <c r="E13" s="28">
        <v>76</v>
      </c>
    </row>
    <row r="14" spans="1:5" x14ac:dyDescent="0.25">
      <c r="A14" s="23" t="s">
        <v>359</v>
      </c>
      <c r="B14" s="23" t="s">
        <v>360</v>
      </c>
      <c r="C14" s="23" t="s">
        <v>356</v>
      </c>
      <c r="D14" s="21">
        <v>0.28000000000000003</v>
      </c>
      <c r="E14" s="28">
        <v>22</v>
      </c>
    </row>
    <row r="15" spans="1:5" x14ac:dyDescent="0.25">
      <c r="A15" s="23" t="s">
        <v>300</v>
      </c>
      <c r="B15" s="23" t="s">
        <v>1562</v>
      </c>
      <c r="C15" s="23" t="s">
        <v>1563</v>
      </c>
      <c r="E15" s="28">
        <v>4</v>
      </c>
    </row>
  </sheetData>
  <sheetProtection algorithmName="SHA-512" hashValue="Y/3/XiSR2F+EylndXZehkJ8Qmsj+kAaBH4Wv/KqLgNUTNLnwcd6sShwJNpd9lLk76qAu/dd0ASWmDSQRNRAc1g==" saltValue="p+mnNAZkk9w+l8QYDJcHdw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DOK50352</v>
      </c>
    </row>
    <row r="3" spans="1:5" x14ac:dyDescent="0.25">
      <c r="A3" s="49" t="str">
        <f>Invoice!$G$4&amp;TEXT(Invoice!$H$4,"dd mmm yy")</f>
        <v>Period End : 05 Jun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1036.4300000000014</v>
      </c>
      <c r="D12" s="92">
        <f>+'Order Processing'!AC9</f>
        <v>2668.8299999999972</v>
      </c>
      <c r="E12" s="92">
        <f>+'Order Processing'!AD9</f>
        <v>65.920000000000172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1036.4300000000014</v>
      </c>
      <c r="D13" s="85">
        <f>D12-SUM('Layout Summary'!D14:D141)</f>
        <v>2668.8299999999972</v>
      </c>
      <c r="E13" s="85">
        <f>E12-SUM('Layout Summary'!E14:E141)</f>
        <v>65.920000000000172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bGl6AN6FnTSXAam6KBkhK6e/8ii2TklqduXBnLvM1ZqdODWvQly5qAUA4lg/X/VpxvrJhpvssJ3PnkY5WPD81g==" saltValue="ZbBm6+/xbBlmn4KhAEER6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DOK50352</v>
      </c>
    </row>
    <row r="3" spans="1:2" x14ac:dyDescent="0.25">
      <c r="A3" s="1" t="str">
        <f>Invoice!$G$4&amp;TEXT(Invoice!$H$4,"dd mmm yy")</f>
        <v>Period End : 05 Jun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46182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46178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WK2549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2267.3200000000015</v>
      </c>
    </row>
    <row r="12" spans="1:2" x14ac:dyDescent="0.25">
      <c r="A12" t="s">
        <v>131</v>
      </c>
      <c r="B12" s="37">
        <f>Invoice!H20</f>
        <v>2668.8299999999972</v>
      </c>
    </row>
    <row r="13" spans="1:2" x14ac:dyDescent="0.25">
      <c r="A13" t="s">
        <v>132</v>
      </c>
      <c r="B13" s="37">
        <f>Invoice!H27</f>
        <v>4936.1499999999987</v>
      </c>
    </row>
    <row r="14" spans="1:2" x14ac:dyDescent="0.25">
      <c r="A14" t="s">
        <v>40</v>
      </c>
      <c r="B14" s="37">
        <f>Invoice!H28</f>
        <v>493.62</v>
      </c>
    </row>
    <row r="15" spans="1:2" x14ac:dyDescent="0.25">
      <c r="A15" t="s">
        <v>133</v>
      </c>
      <c r="B15" s="37">
        <f>Invoice!H29</f>
        <v>5429.7699999999986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2026-06-10T22:46:25Z</dcterms:modified>
</cp:coreProperties>
</file>