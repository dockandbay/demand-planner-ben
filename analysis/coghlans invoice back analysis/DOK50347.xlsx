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gif" ContentType="image/gif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H:\Billing\Config\DraftInvoice\"/>
    </mc:Choice>
  </mc:AlternateContent>
  <xr:revisionPtr revIDLastSave="0" documentId="13_ncr:1_{4AAD0460-5511-4ADC-9ADC-0887B9EB4421}" xr6:coauthVersionLast="47" xr6:coauthVersionMax="47" xr10:uidLastSave="{00000000-0000-0000-0000-000000000000}"/>
  <workbookProtection workbookAlgorithmName="SHA-512" workbookHashValue="xPaaXoCEoWu3yt7O9lcWzsZI/IvzGeH/Zfhzz7GlzjhcZ+vu+Y76OttS7n/bTL/Ig520Sd+B4ldqISCwLt6pFw==" workbookSaltValue="p1wxz+O62/sAKTGyS86/Nw==" workbookSpinCount="100000" lockStructure="1"/>
  <bookViews>
    <workbookView xWindow="-120" yWindow="-120" windowWidth="38640" windowHeight="21240" tabRatio="758" xr2:uid="{00000000-000D-0000-FFFF-FFFF00000000}"/>
  </bookViews>
  <sheets>
    <sheet name="Invoice" sheetId="1" r:id="rId1"/>
    <sheet name="Goods Into Store" sheetId="3" r:id="rId2"/>
    <sheet name="Order Processing" sheetId="2" r:id="rId3"/>
    <sheet name="Other Requests" sheetId="4" r:id="rId4"/>
    <sheet name="Packaging" sheetId="6" r:id="rId5"/>
    <sheet name="Layout Summary" sheetId="7" r:id="rId6"/>
    <sheet name="Coghlan Settings" sheetId="5" state="veryHidden" r:id="rId7"/>
  </sheets>
  <definedNames>
    <definedName name="_xlnm.Print_Titles" localSheetId="1">'Goods Into Store'!$10:$10</definedName>
    <definedName name="_xlnm.Print_Titles" localSheetId="2">'Order Processing'!$11:$11</definedName>
    <definedName name="_xlnm.Print_Titles" localSheetId="3">'Other Requests'!$10:$10</definedName>
    <definedName name="_xlnm.Print_Titles" localSheetId="4">Packaging!$8:$8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5" i="1" l="1"/>
  <c r="D25" i="1" l="1"/>
  <c r="H23" i="1" l="1"/>
  <c r="H24" i="1"/>
  <c r="F7" i="3"/>
  <c r="H9" i="2" l="1"/>
  <c r="H8" i="2"/>
  <c r="H7" i="2"/>
  <c r="H6" i="2" l="1"/>
  <c r="H5" i="2"/>
  <c r="H4" i="2"/>
  <c r="H3" i="2"/>
  <c r="H2" i="2"/>
  <c r="G28" i="1" l="1"/>
  <c r="F3" i="3" l="1"/>
  <c r="F2" i="3"/>
  <c r="B17" i="1" l="1"/>
  <c r="B16" i="1"/>
  <c r="B15" i="1"/>
  <c r="B14" i="1"/>
  <c r="B12" i="1"/>
  <c r="B11" i="1"/>
  <c r="B10" i="1"/>
  <c r="G3" i="4" l="1"/>
  <c r="G2" i="4"/>
  <c r="G1" i="4"/>
  <c r="G9" i="2"/>
  <c r="G8" i="2"/>
  <c r="G7" i="2"/>
  <c r="G6" i="2"/>
  <c r="G5" i="2"/>
  <c r="G4" i="2"/>
  <c r="G3" i="2"/>
  <c r="G2" i="2"/>
  <c r="F6" i="3"/>
  <c r="F5" i="3"/>
  <c r="F4" i="3"/>
  <c r="F1" i="3"/>
  <c r="G22" i="1"/>
  <c r="G16" i="1"/>
  <c r="G15" i="1"/>
  <c r="G14" i="1"/>
  <c r="G13" i="1"/>
  <c r="G12" i="1"/>
  <c r="G10" i="1"/>
  <c r="H4" i="1" l="1"/>
  <c r="H3" i="1"/>
  <c r="H2" i="1"/>
  <c r="B9" i="5"/>
  <c r="H32" i="1" l="1"/>
  <c r="H31" i="1"/>
  <c r="B27" i="1"/>
  <c r="B26" i="1"/>
  <c r="B25" i="1"/>
  <c r="B24" i="1"/>
  <c r="B13" i="1"/>
  <c r="B9" i="1"/>
  <c r="B3" i="1"/>
  <c r="B4" i="1"/>
  <c r="B5" i="1"/>
  <c r="B2" i="1"/>
  <c r="B1" i="1"/>
  <c r="C15" i="7" l="1"/>
  <c r="D15" i="7"/>
  <c r="E15" i="7"/>
  <c r="C16" i="7"/>
  <c r="D16" i="7"/>
  <c r="E16" i="7"/>
  <c r="C17" i="7"/>
  <c r="D17" i="7"/>
  <c r="E17" i="7"/>
  <c r="C18" i="7"/>
  <c r="D18" i="7"/>
  <c r="E18" i="7"/>
  <c r="C19" i="7"/>
  <c r="D19" i="7"/>
  <c r="E19" i="7"/>
  <c r="C20" i="7"/>
  <c r="D20" i="7"/>
  <c r="E20" i="7"/>
  <c r="C21" i="7"/>
  <c r="D21" i="7"/>
  <c r="E21" i="7"/>
  <c r="C22" i="7"/>
  <c r="D22" i="7"/>
  <c r="E22" i="7"/>
  <c r="C23" i="7"/>
  <c r="D23" i="7"/>
  <c r="E23" i="7"/>
  <c r="C24" i="7"/>
  <c r="D24" i="7"/>
  <c r="E24" i="7"/>
  <c r="C25" i="7"/>
  <c r="D25" i="7"/>
  <c r="E25" i="7"/>
  <c r="C26" i="7"/>
  <c r="D26" i="7"/>
  <c r="E26" i="7"/>
  <c r="C27" i="7"/>
  <c r="D27" i="7"/>
  <c r="E27" i="7"/>
  <c r="C28" i="7"/>
  <c r="D28" i="7"/>
  <c r="E28" i="7"/>
  <c r="C29" i="7"/>
  <c r="D29" i="7"/>
  <c r="E29" i="7"/>
  <c r="D14" i="7"/>
  <c r="E14" i="7"/>
  <c r="C14" i="7"/>
  <c r="A3" i="7"/>
  <c r="A2" i="7"/>
  <c r="A3" i="6"/>
  <c r="A2" i="6"/>
  <c r="A3" i="5" l="1"/>
  <c r="A2" i="5"/>
  <c r="A3" i="3"/>
  <c r="A2" i="3"/>
  <c r="A3" i="4"/>
  <c r="A2" i="4"/>
  <c r="A3" i="2"/>
  <c r="A2" i="2"/>
  <c r="L8" i="3"/>
  <c r="H17" i="1" s="1"/>
  <c r="AC9" i="2"/>
  <c r="AD9" i="2"/>
  <c r="AB9" i="2"/>
  <c r="H22" i="1"/>
  <c r="H16" i="1"/>
  <c r="H15" i="1"/>
  <c r="H14" i="1"/>
  <c r="H13" i="1"/>
  <c r="H12" i="1"/>
  <c r="H10" i="1"/>
  <c r="H19" i="1" l="1"/>
  <c r="C12" i="7"/>
  <c r="C13" i="7" s="1"/>
  <c r="H20" i="1"/>
  <c r="B12" i="5" s="1"/>
  <c r="D12" i="7"/>
  <c r="D13" i="7" s="1"/>
  <c r="H21" i="1"/>
  <c r="E12" i="7"/>
  <c r="E13" i="7" s="1"/>
  <c r="B10" i="5"/>
  <c r="N8" i="4"/>
  <c r="H27" i="1" l="1"/>
  <c r="H28" i="1" s="1"/>
  <c r="B14" i="5" s="1"/>
  <c r="B13" i="5" l="1"/>
  <c r="B11" i="5" s="1"/>
  <c r="H29" i="1"/>
  <c r="B15" i="5" s="1"/>
</calcChain>
</file>

<file path=xl/sharedStrings.xml><?xml version="1.0" encoding="utf-8"?>
<sst xmlns="http://schemas.openxmlformats.org/spreadsheetml/2006/main" count="1938" uniqueCount="1289">
  <si>
    <t>Goods Into Store (see attached)</t>
  </si>
  <si>
    <t>Fulfilment</t>
  </si>
  <si>
    <t>Postage &amp; Freight</t>
  </si>
  <si>
    <t>Packaging</t>
  </si>
  <si>
    <t>Order Processing</t>
  </si>
  <si>
    <t>Order Processing (see attached)</t>
  </si>
  <si>
    <t>Returns</t>
  </si>
  <si>
    <t>Other Requests</t>
  </si>
  <si>
    <t>Other Requests (see attached)</t>
  </si>
  <si>
    <t>Number of In Pallet Racking Shelves</t>
  </si>
  <si>
    <t>Number of Small Item Shelves</t>
  </si>
  <si>
    <t>Number of Small Item Shelf - 1/2 height</t>
  </si>
  <si>
    <t>Support of e-Quik (weekly)</t>
  </si>
  <si>
    <t>Storage (weekly)</t>
  </si>
  <si>
    <t>Number of Pallets</t>
  </si>
  <si>
    <t>Description</t>
  </si>
  <si>
    <t>Quantity</t>
  </si>
  <si>
    <t>Unit Price</t>
  </si>
  <si>
    <t>Total</t>
  </si>
  <si>
    <t>TrxID</t>
  </si>
  <si>
    <t>Customer Ref</t>
  </si>
  <si>
    <t>Orders</t>
  </si>
  <si>
    <t>Lines</t>
  </si>
  <si>
    <t>Items</t>
  </si>
  <si>
    <t>Suburb</t>
  </si>
  <si>
    <t>Postcode</t>
  </si>
  <si>
    <t>Country</t>
  </si>
  <si>
    <t>Carrier</t>
  </si>
  <si>
    <t>Weight</t>
  </si>
  <si>
    <t>Time Stamp</t>
  </si>
  <si>
    <t>Address Correction</t>
  </si>
  <si>
    <t>No of Boxes</t>
  </si>
  <si>
    <t>Layout</t>
  </si>
  <si>
    <t>Insurance</t>
  </si>
  <si>
    <t>Consignment No</t>
  </si>
  <si>
    <t>Email</t>
  </si>
  <si>
    <t>Warehouse Hrs</t>
  </si>
  <si>
    <t>Clerical Hrs</t>
  </si>
  <si>
    <t>IT Hrs</t>
  </si>
  <si>
    <t>To:</t>
  </si>
  <si>
    <t>GST</t>
  </si>
  <si>
    <t>Tax Invoice</t>
  </si>
  <si>
    <t>Date :</t>
  </si>
  <si>
    <t>GST :</t>
  </si>
  <si>
    <t>by EFT:</t>
  </si>
  <si>
    <t>Total Amount (excl GST) :</t>
  </si>
  <si>
    <t>Please contact dee.habib@coghlan.com.au for details.</t>
  </si>
  <si>
    <t>by Credit Card:</t>
  </si>
  <si>
    <t>Payment Methods</t>
  </si>
  <si>
    <t>Price per Order Processed then add</t>
  </si>
  <si>
    <t>Lines on Order then add</t>
  </si>
  <si>
    <t>Items on Order then add</t>
  </si>
  <si>
    <t>Per Carton Despatched</t>
  </si>
  <si>
    <t>Per kilogram Despatched</t>
  </si>
  <si>
    <t>Address Correction (when required)</t>
  </si>
  <si>
    <t>Despatch Communication - Email (optional)</t>
  </si>
  <si>
    <t>Despatch Communication - SMS (optional)</t>
  </si>
  <si>
    <t>Fulfilment Cost ($)</t>
  </si>
  <si>
    <t>Carrier Cost ($)</t>
  </si>
  <si>
    <t>Packaging Cost ($)</t>
  </si>
  <si>
    <t>Quoted Carrier ($)</t>
  </si>
  <si>
    <t>Quoted Rates :</t>
  </si>
  <si>
    <t>Basic Charge then add</t>
  </si>
  <si>
    <t>Per Product Type Received then add</t>
  </si>
  <si>
    <t>Per Standard Pallet (Single Product) or</t>
  </si>
  <si>
    <t>Per Carton (Single Product) or</t>
  </si>
  <si>
    <t>Mixed or Unstructured Deliveries - per hour</t>
  </si>
  <si>
    <t>GRA ID</t>
  </si>
  <si>
    <t>Date</t>
  </si>
  <si>
    <t>GRA / RET</t>
  </si>
  <si>
    <t># Line Items</t>
  </si>
  <si>
    <t># Units of Stock</t>
  </si>
  <si>
    <t>Single Cartons</t>
  </si>
  <si>
    <t>Mixed Cartons</t>
  </si>
  <si>
    <t>Single Pallets</t>
  </si>
  <si>
    <t># Minutes - Labour</t>
  </si>
  <si>
    <t>Mixed Pallets</t>
  </si>
  <si>
    <t>Total ($)</t>
  </si>
  <si>
    <t>Goods Into Store</t>
  </si>
  <si>
    <t>Warehouse Staff - Hourly Rate</t>
  </si>
  <si>
    <t>Software Development/IT - Hourly Rate</t>
  </si>
  <si>
    <t>Clerical Staff - Hourly Rate</t>
  </si>
  <si>
    <t>Packaging Materials as Quoted</t>
  </si>
  <si>
    <t>Postage &amp; Freight as Quoted</t>
  </si>
  <si>
    <t>Other adhoc Purchases as Quoted</t>
  </si>
  <si>
    <t>TansactionType</t>
  </si>
  <si>
    <t>RequestedBy</t>
  </si>
  <si>
    <t>JobName</t>
  </si>
  <si>
    <t>JobReference</t>
  </si>
  <si>
    <t>Qty</t>
  </si>
  <si>
    <t>ItemCode</t>
  </si>
  <si>
    <t>BillingNotes</t>
  </si>
  <si>
    <t>ID</t>
  </si>
  <si>
    <t>Item Qty</t>
  </si>
  <si>
    <t>Total ($):</t>
  </si>
  <si>
    <t xml:space="preserve">Inv # : </t>
  </si>
  <si>
    <t xml:space="preserve">Period End : </t>
  </si>
  <si>
    <t>Coghlan Settings</t>
  </si>
  <si>
    <t xml:space="preserve">Your next CPI increase is due : </t>
  </si>
  <si>
    <t>Unit $</t>
  </si>
  <si>
    <t>Coghlan Stock</t>
  </si>
  <si>
    <t>Measurement</t>
  </si>
  <si>
    <t>Price</t>
  </si>
  <si>
    <t>Packaging Materials</t>
  </si>
  <si>
    <t>Layout Code</t>
  </si>
  <si>
    <t>Others</t>
  </si>
  <si>
    <t>All other Layouts</t>
  </si>
  <si>
    <t>Layout Summary</t>
  </si>
  <si>
    <t xml:space="preserve">There is no separate charge for this service. </t>
  </si>
  <si>
    <t>Email Remittance to ar@coghlan.com.au</t>
  </si>
  <si>
    <t>From Site File:</t>
  </si>
  <si>
    <t>From Customer File:</t>
  </si>
  <si>
    <t>From Bank File:</t>
  </si>
  <si>
    <t>&lt;BankAccName&gt;</t>
  </si>
  <si>
    <t>&lt;Bank&gt;</t>
  </si>
  <si>
    <t>&lt;BSB&gt;</t>
  </si>
  <si>
    <t>&lt;AccountNumber&gt;</t>
  </si>
  <si>
    <t>&lt;CompanyName&gt;</t>
  </si>
  <si>
    <t>&lt;TradingName&gt;</t>
  </si>
  <si>
    <t>&lt;BusinessNumber1&gt;</t>
  </si>
  <si>
    <t>&lt;Address1&gt;</t>
  </si>
  <si>
    <t>&lt;Address2&gt;</t>
  </si>
  <si>
    <t>&lt;Address3&gt;</t>
  </si>
  <si>
    <t>&lt;GSTRate&gt;</t>
  </si>
  <si>
    <t>&lt;Site&gt;</t>
  </si>
  <si>
    <t xml:space="preserve">Charges are applied at Order Level. </t>
  </si>
  <si>
    <t>This Invoice:</t>
  </si>
  <si>
    <t>Invoice Number</t>
  </si>
  <si>
    <t>Effective Date</t>
  </si>
  <si>
    <t>Operations</t>
  </si>
  <si>
    <t>Storage</t>
  </si>
  <si>
    <t>Postage</t>
  </si>
  <si>
    <t>Total excl GST</t>
  </si>
  <si>
    <t>Total incl GST</t>
  </si>
  <si>
    <t>&lt;MYOBName&gt;</t>
  </si>
  <si>
    <t>&lt;Customer Code&gt;</t>
  </si>
  <si>
    <t>&lt;Customer Name&gt;</t>
  </si>
  <si>
    <t>&lt;Address 1&gt;</t>
  </si>
  <si>
    <t>&lt;Address 2&gt;</t>
  </si>
  <si>
    <t>&lt;Suburb&gt;</t>
  </si>
  <si>
    <t>&lt;State&gt;</t>
  </si>
  <si>
    <t>&lt;Postcode&gt;</t>
  </si>
  <si>
    <t>&lt;Country&gt;</t>
  </si>
  <si>
    <t>&lt;Email&gt;</t>
  </si>
  <si>
    <t>&lt;CPIDueDate&gt;</t>
  </si>
  <si>
    <t>&lt;PaymentTerms&gt;</t>
  </si>
  <si>
    <t>Warehousing</t>
  </si>
  <si>
    <t>Per Pallet Stored (no cost for pallet hire) and / or</t>
  </si>
  <si>
    <t>Per Week</t>
  </si>
  <si>
    <t>Per In Pallet Racking Shelf</t>
  </si>
  <si>
    <t>Per Small Item Shelf</t>
  </si>
  <si>
    <t>Per Small Item Shelf - 1/2 height</t>
  </si>
  <si>
    <t>Small Item Tray</t>
  </si>
  <si>
    <t>Goods into Store</t>
  </si>
  <si>
    <t>Per Delivery</t>
  </si>
  <si>
    <t>Line/SKU</t>
  </si>
  <si>
    <t>Per Pallet</t>
  </si>
  <si>
    <t>Per Carton</t>
  </si>
  <si>
    <t>Mixed or Unstructured Deliveries</t>
  </si>
  <si>
    <t>Per Man-Hour</t>
  </si>
  <si>
    <t>System</t>
  </si>
  <si>
    <t>To Supply and Support System Including Standard Reporting</t>
  </si>
  <si>
    <t>Per Order</t>
  </si>
  <si>
    <t>Per Line</t>
  </si>
  <si>
    <t>Per Item</t>
  </si>
  <si>
    <t>5.4.1</t>
  </si>
  <si>
    <t>5.4.2</t>
  </si>
  <si>
    <t>Per kg</t>
  </si>
  <si>
    <t>Packaging Materials (cost supplied separately)</t>
  </si>
  <si>
    <t>Exceptions Processing</t>
  </si>
  <si>
    <t>Returns Processing (basic)</t>
  </si>
  <si>
    <t>Per Return</t>
  </si>
  <si>
    <t>Carrier Options</t>
  </si>
  <si>
    <t>Refer Separate Sheet</t>
  </si>
  <si>
    <t>Hourly Charges (apply to other activities)</t>
  </si>
  <si>
    <t>Warehouse Staff</t>
  </si>
  <si>
    <t>Per Hour</t>
  </si>
  <si>
    <t>Clerical</t>
  </si>
  <si>
    <t>Software Development/IT</t>
  </si>
  <si>
    <t>Database</t>
  </si>
  <si>
    <t>Initial standard e-Quik set-up including Web Portal,FTP and Reports</t>
  </si>
  <si>
    <t>One-Time Fee</t>
  </si>
  <si>
    <t>Per additional layout</t>
  </si>
  <si>
    <t>&lt;PackagingRateCard&gt;</t>
  </si>
  <si>
    <t>&lt;Factored&gt;</t>
  </si>
  <si>
    <t>&lt;BankAccount&gt;</t>
  </si>
  <si>
    <t>From Fulfillment Rate File:</t>
  </si>
  <si>
    <t>&lt;InvLayout&gt;</t>
  </si>
  <si>
    <t>&lt;LayoutSummaryTabReq&gt;</t>
  </si>
  <si>
    <t>&lt;BillFrequency&gt;</t>
  </si>
  <si>
    <t>&lt;SettlementDiscEnabled&gt;</t>
  </si>
  <si>
    <t>&lt;SettlementDisc&gt;</t>
  </si>
  <si>
    <t>&lt;SettlementDiscNote&gt;</t>
  </si>
  <si>
    <t>&lt;AttnName&gt;</t>
  </si>
  <si>
    <t>&lt;Email2&gt;</t>
  </si>
  <si>
    <t>&lt;Email3&gt;</t>
  </si>
  <si>
    <t>2.2.1</t>
  </si>
  <si>
    <t>2.2.2</t>
  </si>
  <si>
    <t>Per Item Received then add</t>
  </si>
  <si>
    <t>&lt;RevenueSheet RegisterName&gt;</t>
  </si>
  <si>
    <t>&lt;BillingPrerequisite&gt;</t>
  </si>
  <si>
    <t>Zone</t>
  </si>
  <si>
    <t>Container</t>
  </si>
  <si>
    <t>Apply to Returns Goods Received Advice</t>
  </si>
  <si>
    <t>Special Charges</t>
  </si>
  <si>
    <t>10.10</t>
  </si>
  <si>
    <t>&lt;Varies from customer to customer&gt;</t>
  </si>
  <si>
    <t>Charge Code</t>
  </si>
  <si>
    <t>10.11</t>
  </si>
  <si>
    <t>10.12</t>
  </si>
  <si>
    <t>10.13</t>
  </si>
  <si>
    <t>10.14</t>
  </si>
  <si>
    <t>10.15</t>
  </si>
  <si>
    <t>10.16</t>
  </si>
  <si>
    <t>10.17</t>
  </si>
  <si>
    <t>10.18</t>
  </si>
  <si>
    <t>10.19</t>
  </si>
  <si>
    <t>10.20</t>
  </si>
  <si>
    <t>10.21</t>
  </si>
  <si>
    <t>10.22</t>
  </si>
  <si>
    <t>10.23</t>
  </si>
  <si>
    <t>10.24</t>
  </si>
  <si>
    <t>10.25</t>
  </si>
  <si>
    <t>10.26</t>
  </si>
  <si>
    <t>10.27</t>
  </si>
  <si>
    <t>10.28</t>
  </si>
  <si>
    <t>10.29</t>
  </si>
  <si>
    <t>10.30</t>
  </si>
  <si>
    <t>10.31</t>
  </si>
  <si>
    <t>10.32</t>
  </si>
  <si>
    <t>10.33</t>
  </si>
  <si>
    <t>10.34</t>
  </si>
  <si>
    <t>10.35</t>
  </si>
  <si>
    <t>10.36</t>
  </si>
  <si>
    <t>10.37</t>
  </si>
  <si>
    <t>10.38</t>
  </si>
  <si>
    <t>10.39</t>
  </si>
  <si>
    <t>10.40</t>
  </si>
  <si>
    <t>This is the full price list and provides you with an overview of  packaging material consumption.</t>
  </si>
  <si>
    <t xml:space="preserve">This list summarises your Order Processing costs by Layout Code. You can nominate which codes you would like to have listed. </t>
  </si>
  <si>
    <t>(From Order Processing Page)</t>
  </si>
  <si>
    <t>Changes will apply to future invoices only. Please allow 2 business days to set up.</t>
  </si>
  <si>
    <t>10.41</t>
  </si>
  <si>
    <t>10.42</t>
  </si>
  <si>
    <t>10.43</t>
  </si>
  <si>
    <t>10.44</t>
  </si>
  <si>
    <t>10.45</t>
  </si>
  <si>
    <t>10.46</t>
  </si>
  <si>
    <t>10.47</t>
  </si>
  <si>
    <t>10.48</t>
  </si>
  <si>
    <t>10.49</t>
  </si>
  <si>
    <t>Contact accounts.receivable@coghlan.com.au. Information required: Layout Code &amp; Description to appear here.</t>
  </si>
  <si>
    <t>Number of Small Item Tray</t>
  </si>
  <si>
    <t>10.50</t>
  </si>
  <si>
    <t>10.51</t>
  </si>
  <si>
    <t>10.52</t>
  </si>
  <si>
    <t>10.53</t>
  </si>
  <si>
    <t>10.54</t>
  </si>
  <si>
    <t>10.55</t>
  </si>
  <si>
    <t>10.56</t>
  </si>
  <si>
    <t>10.57</t>
  </si>
  <si>
    <t>10.58</t>
  </si>
  <si>
    <t>10.59</t>
  </si>
  <si>
    <t>10.60</t>
  </si>
  <si>
    <t>10.61</t>
  </si>
  <si>
    <t>10.62</t>
  </si>
  <si>
    <t>10.63</t>
  </si>
  <si>
    <t>10.64</t>
  </si>
  <si>
    <t>10.65</t>
  </si>
  <si>
    <t>10.66</t>
  </si>
  <si>
    <t>10.67</t>
  </si>
  <si>
    <t>10.68</t>
  </si>
  <si>
    <t>10.69</t>
  </si>
  <si>
    <t>10.70</t>
  </si>
  <si>
    <t>10.71</t>
  </si>
  <si>
    <t>10.72</t>
  </si>
  <si>
    <t>10.73</t>
  </si>
  <si>
    <t>10.74</t>
  </si>
  <si>
    <t>10.75</t>
  </si>
  <si>
    <t>10.76</t>
  </si>
  <si>
    <t>10.77</t>
  </si>
  <si>
    <t>10.78</t>
  </si>
  <si>
    <t>10.79</t>
  </si>
  <si>
    <t>10.80</t>
  </si>
  <si>
    <t>Total Amount (incl GST)  AUD :</t>
  </si>
  <si>
    <t>Surcharge/Discount ($)</t>
  </si>
  <si>
    <t>Other Credits (see attached)</t>
  </si>
  <si>
    <t>&lt;Discount1Volume&gt;</t>
  </si>
  <si>
    <t>&lt;Discount1Percent&gt;</t>
  </si>
  <si>
    <t>&lt;Discount2Volume&gt;</t>
  </si>
  <si>
    <t>&lt;Discount2Percent&gt;</t>
  </si>
  <si>
    <t>&lt;Discount3Volume&gt;</t>
  </si>
  <si>
    <t>&lt;Discount3Percent&gt;</t>
  </si>
  <si>
    <t>&lt;Discount4Volume&gt;</t>
  </si>
  <si>
    <t>&lt;Discount4Percent&gt;</t>
  </si>
  <si>
    <t>DOK50347</t>
  </si>
  <si>
    <t>DOK</t>
  </si>
  <si>
    <t>Dock &amp; Bay PTY LTD</t>
  </si>
  <si>
    <t>Ben Muller</t>
  </si>
  <si>
    <t>PO Box 8006</t>
  </si>
  <si>
    <t/>
  </si>
  <si>
    <t>Tumbi Umbi</t>
  </si>
  <si>
    <t>NSW</t>
  </si>
  <si>
    <t>2261</t>
  </si>
  <si>
    <t>Australia</t>
  </si>
  <si>
    <t>ben@dockandbay.com</t>
  </si>
  <si>
    <t>Payment Terms: Strictly 7 Days Net</t>
  </si>
  <si>
    <t>NOT FACTORED</t>
  </si>
  <si>
    <t>SYD</t>
  </si>
  <si>
    <t>SYD-Trading</t>
  </si>
  <si>
    <t>Y</t>
  </si>
  <si>
    <t>WEEKLY</t>
  </si>
  <si>
    <t>DOK - Dock &amp; Bay PTY LTD</t>
  </si>
  <si>
    <t>Coghlan Sydney Pty Ltd</t>
  </si>
  <si>
    <t>ABN 53003527526</t>
  </si>
  <si>
    <t>PO Box 6890</t>
  </si>
  <si>
    <t>Wetherill Park NSW 2164</t>
  </si>
  <si>
    <t>0.1</t>
  </si>
  <si>
    <t>CBA</t>
  </si>
  <si>
    <t>062000   SWIFT: CTBAAU2S</t>
  </si>
  <si>
    <t>21176183</t>
  </si>
  <si>
    <t>Storage per SKU on Hand</t>
  </si>
  <si>
    <t>Per SKU</t>
  </si>
  <si>
    <t>Storage per Unit of Stock Held</t>
  </si>
  <si>
    <t>Per Unit</t>
  </si>
  <si>
    <t>40Ft Topper</t>
  </si>
  <si>
    <t>Per 40Ft Topper</t>
  </si>
  <si>
    <t>40Ft Container</t>
  </si>
  <si>
    <t>Per Other Container</t>
  </si>
  <si>
    <t>20Ft Container</t>
  </si>
  <si>
    <t>Per 20Ft Container</t>
  </si>
  <si>
    <t>Outer Carton in Container</t>
  </si>
  <si>
    <t>GRA Exception</t>
  </si>
  <si>
    <t>Per Exception</t>
  </si>
  <si>
    <t>Cancel Order (Pick started)</t>
  </si>
  <si>
    <t>Cancel Order (Pick NOT started)</t>
  </si>
  <si>
    <t>Request Return Label (excl Postage)</t>
  </si>
  <si>
    <t>Per Label</t>
  </si>
  <si>
    <t>Freight Enquiry</t>
  </si>
  <si>
    <t>Per Enquiry</t>
  </si>
  <si>
    <t>Redirect Parcel Request</t>
  </si>
  <si>
    <t>Per Request</t>
  </si>
  <si>
    <t>Recall Parcel Request</t>
  </si>
  <si>
    <t>Return Disposal</t>
  </si>
  <si>
    <t>Batch Transfer Fee</t>
  </si>
  <si>
    <t>Per Batch</t>
  </si>
  <si>
    <t xml:space="preserve">Add Additional Note </t>
  </si>
  <si>
    <t>Per Note</t>
  </si>
  <si>
    <t>Request Return Label (eParcel)</t>
  </si>
  <si>
    <t>Carton - 365 x 295 x 185</t>
  </si>
  <si>
    <t>14</t>
  </si>
  <si>
    <t>365 x 295 x 185</t>
  </si>
  <si>
    <t>Carton - 420 x 300 x 320</t>
  </si>
  <si>
    <t>16</t>
  </si>
  <si>
    <t>420 x 300 x 320</t>
  </si>
  <si>
    <t>Carton - 444 x 338 x 532</t>
  </si>
  <si>
    <t>32</t>
  </si>
  <si>
    <t>444 x 338 x 532</t>
  </si>
  <si>
    <t>Bubble Bag Size 5</t>
  </si>
  <si>
    <t>241 x 345mm</t>
  </si>
  <si>
    <t>6943389500690</t>
  </si>
  <si>
    <t>Bubble Bag Size 6</t>
  </si>
  <si>
    <t>304 x 400mm</t>
  </si>
  <si>
    <t>6943389500713</t>
  </si>
  <si>
    <t>Courier Tuff Bag Size 6</t>
  </si>
  <si>
    <t>600 x 650mm</t>
  </si>
  <si>
    <t>6943389500751</t>
  </si>
  <si>
    <t>DOK Custom Medium Bag</t>
  </si>
  <si>
    <t>650966961381</t>
  </si>
  <si>
    <t>Per Bag</t>
  </si>
  <si>
    <t>DOK Custom Large Bag</t>
  </si>
  <si>
    <t>650966961398</t>
  </si>
  <si>
    <t>DOK Custom XLarge Bag</t>
  </si>
  <si>
    <t>650966961404</t>
  </si>
  <si>
    <t>133099</t>
  </si>
  <si>
    <t>AU-136731</t>
  </si>
  <si>
    <t>CAINTA</t>
  </si>
  <si>
    <t>PHILIPPINES</t>
  </si>
  <si>
    <t>@650966961404;</t>
  </si>
  <si>
    <t>@LH416728089AU;</t>
  </si>
  <si>
    <t>@5061011624116@(..4116)Dock &amp; Bay Picnic Blanket - Cand@1;</t>
  </si>
  <si>
    <t>133343</t>
  </si>
  <si>
    <t>AU-136975</t>
  </si>
  <si>
    <t>BLACKWATER</t>
  </si>
  <si>
    <t>AUSTRALIA</t>
  </si>
  <si>
    <t>@6943389500713;</t>
  </si>
  <si>
    <t>@AXL6280878;</t>
  </si>
  <si>
    <t>@5061011625588@(..5588)Dock &amp; Bay Hair Wrap - Hot Tropi@1;@5061011623867@(..3867)Dock &amp; Bay Small Waterproof Dry@1;@5061011623591@(..3591)Dock &amp; Bay Quick Dry Towel - Sun@1;</t>
  </si>
  <si>
    <t xml:space="preserve">Q3 </t>
  </si>
  <si>
    <t>133354</t>
  </si>
  <si>
    <t>AU-136986</t>
  </si>
  <si>
    <t>MACLEOD</t>
  </si>
  <si>
    <t>@650966961381;</t>
  </si>
  <si>
    <t>@AXL6284337;</t>
  </si>
  <si>
    <t>@5061011621436@(..1436)Dock &amp; Bay Quick Dry Towel - San@1;</t>
  </si>
  <si>
    <t xml:space="preserve">V0 </t>
  </si>
  <si>
    <t>133355</t>
  </si>
  <si>
    <t>AU-136987</t>
  </si>
  <si>
    <t>WARRAGUL</t>
  </si>
  <si>
    <t>@14;</t>
  </si>
  <si>
    <t>@AXL6281952;</t>
  </si>
  <si>
    <t>@5061011626509@(..6509)Component Product@1;@5061011625908@(..5908)Component Product@1;@5061011626097@(..6097)Component Product@1;@5061011625632@(..5632)Component Product@1;@5061011625892@(..5892)Component Product@1;@5061011625793@(..5793)Dock &amp; Bay Tea Towel - Kiss The@1;@5061011625885@(..5885)Dock &amp; Bay Tea Towel - Very Appe@1;@5061011625779@(..5779)Dock &amp; Bay Tea Towel - Cucumber@1;@5061011625755@(..5755)Dock &amp; Bay Tea Towel - Pink Grap@1;@5061011624154@(..4154)Dock &amp; Bay Picnic Blanket - Marg@1;</t>
  </si>
  <si>
    <t xml:space="preserve">V2 </t>
  </si>
  <si>
    <t>133356</t>
  </si>
  <si>
    <t>AU-136988</t>
  </si>
  <si>
    <t>BRABHAM</t>
  </si>
  <si>
    <t>@AXL6139767;</t>
  </si>
  <si>
    <t>@5061011624208@(..4208)Dock &amp; Bay Picnic Blanket - Marg@1;</t>
  </si>
  <si>
    <t xml:space="preserve">W0 </t>
  </si>
  <si>
    <t>133357</t>
  </si>
  <si>
    <t>AU-136989</t>
  </si>
  <si>
    <t>WOLLONGBAR</t>
  </si>
  <si>
    <t>@650966961398;</t>
  </si>
  <si>
    <t>@AXL6251651;</t>
  </si>
  <si>
    <t>@5061011623874@(..3874)Dock &amp; Bay Kids Beach Towel - Ka@1;@5061011628619@(..8619)Dock &amp; Bay Tea Towel - Strawberr@1;@5061011628626@(..8626)Dock &amp; Bay Tea Towel - Apple Tar@1;</t>
  </si>
  <si>
    <t xml:space="preserve">N2 </t>
  </si>
  <si>
    <t>133358</t>
  </si>
  <si>
    <t>AU-136990</t>
  </si>
  <si>
    <t>POINT COOK</t>
  </si>
  <si>
    <t>@AXL6139720;</t>
  </si>
  <si>
    <t>@5061011628442@(..8442)Dock &amp; Bay Hair Wrap - Cherry Bo@1;</t>
  </si>
  <si>
    <t>133359</t>
  </si>
  <si>
    <t>AU-136991</t>
  </si>
  <si>
    <t>ST KILDA EAST</t>
  </si>
  <si>
    <t>@AXL6285068;</t>
  </si>
  <si>
    <t>@5061011624130@(..4130)Dock &amp; Bay Picnic Blanket - Stri@1;</t>
  </si>
  <si>
    <t>133360</t>
  </si>
  <si>
    <t>AU-136992</t>
  </si>
  <si>
    <t>CANNON VALLEY</t>
  </si>
  <si>
    <t>@AXL6244840;</t>
  </si>
  <si>
    <t>@5060668830963@(..0963)Component Product@2;@5060668833407@(..3407)Component Product@2;@5060668833414@(..3414)Component Product@2;@5060668830949@(..0949)Component Product@2;@5060668830918@(..0918)Component Product@2;@5060668830932@(..0932)Component Product@2;</t>
  </si>
  <si>
    <t>133361</t>
  </si>
  <si>
    <t>AU-136993</t>
  </si>
  <si>
    <t>YERONGA</t>
  </si>
  <si>
    <t>@AXL6285941;</t>
  </si>
  <si>
    <t>@5060668833407@(..3407)Dock &amp; Bay Quick Dry Towel - Mal@1;</t>
  </si>
  <si>
    <t xml:space="preserve">Q0 </t>
  </si>
  <si>
    <t>133362</t>
  </si>
  <si>
    <t>AU-136575A</t>
  </si>
  <si>
    <t>WOOLLOONGABBA</t>
  </si>
  <si>
    <t>@AXL6244841;</t>
  </si>
  <si>
    <t>@5060668837375@(..7375)Dock &amp; Bay Foldaway Tote Bags -@1;</t>
  </si>
  <si>
    <t>133363</t>
  </si>
  <si>
    <t>AU-136994</t>
  </si>
  <si>
    <t>PASCOE VALE SOUTH</t>
  </si>
  <si>
    <t>@AXL6284518;</t>
  </si>
  <si>
    <t>@5061011623416@(..3416)Dock &amp; Bay Quick Dry Towel - Gre@1;</t>
  </si>
  <si>
    <t>133364</t>
  </si>
  <si>
    <t>AU-136995</t>
  </si>
  <si>
    <t>MERRYLANDS</t>
  </si>
  <si>
    <t>@AXL6284216;</t>
  </si>
  <si>
    <t>@5061011626257@(..6257)Dock &amp; Bay Quick Dry Towel - Oce@1;@5061011625199@(..5199)Dock &amp; Bay Quick Dry Towel - Hot@1;@5061011624215@(..4215)Dock &amp; Bay Foldaway Tote Bags -@1;@5061011623225@(..3225)Dock &amp; Bay Hair Wrap - Miami Sor@1;</t>
  </si>
  <si>
    <t xml:space="preserve">N0 </t>
  </si>
  <si>
    <t>133365</t>
  </si>
  <si>
    <t>AU-136996</t>
  </si>
  <si>
    <t>BELMONT</t>
  </si>
  <si>
    <t>@AXL6284265;</t>
  </si>
  <si>
    <t>@5061011625595@(..5595)Dock &amp; Bay Hair Wrap - Wish You@1;@5061011625892@(..5892)Dock &amp; Bay Tea Towel - Spaghetti@1;</t>
  </si>
  <si>
    <t xml:space="preserve">GL </t>
  </si>
  <si>
    <t>133366</t>
  </si>
  <si>
    <t>AU-136997</t>
  </si>
  <si>
    <t>MINDARIE</t>
  </si>
  <si>
    <t>@AXL6284359;</t>
  </si>
  <si>
    <t>@5060668833407@(..3407)Dock &amp; Bay Quick Dry Towel - Mal@1;@5060668833414@(..3414)Dock &amp; Bay Quick Dry Towel - Lom@1;@5060668833421@(..3421)Dock &amp; Bay Quick Dry Towel - Cay@1;</t>
  </si>
  <si>
    <t>133367</t>
  </si>
  <si>
    <t>AU-136998</t>
  </si>
  <si>
    <t>BEACONSFIELD</t>
  </si>
  <si>
    <t>@AXL6286183;</t>
  </si>
  <si>
    <t>@5061011623362@(..3362)Dock &amp; Bay Quick Dry Towel - Coa@1;</t>
  </si>
  <si>
    <t xml:space="preserve">V1 </t>
  </si>
  <si>
    <t>133368</t>
  </si>
  <si>
    <t>AU-136999</t>
  </si>
  <si>
    <t>CARINA</t>
  </si>
  <si>
    <t>@AXL6286668;</t>
  </si>
  <si>
    <t>@5061011624222@(..4222)Dock &amp; Bay Foldaway Tote Bags -@1;@5061011628343@(..8343)Dock &amp; Bay Quick Dry Towel - Ras@1;@5061011623874@(..3874)Dock &amp; Bay Kids Beach Towel - Ka@1;@5061011621689@(..1689)Dock &amp; Bay Poncho - Kids - Whits@1;</t>
  </si>
  <si>
    <t>133369</t>
  </si>
  <si>
    <t>AU-137000</t>
  </si>
  <si>
    <t>BULLA</t>
  </si>
  <si>
    <t>@AXL6286309;</t>
  </si>
  <si>
    <t>@5060668830918@(..0918)Dock &amp; Bay Quick Dry Towel - Whi@1;</t>
  </si>
  <si>
    <t>133370</t>
  </si>
  <si>
    <t>AU-137001</t>
  </si>
  <si>
    <t>EPPING</t>
  </si>
  <si>
    <t>@AXL6285226;</t>
  </si>
  <si>
    <t>@5060668830963@(..0963)Component Product@1;@5060668830895@(..0895)Component Product@1;@5060668830918@(..0918)Component Product@1;@5060668830932@(..0932)Component Product@1;</t>
  </si>
  <si>
    <t>133371</t>
  </si>
  <si>
    <t>AU-137002</t>
  </si>
  <si>
    <t>STRATHMORE</t>
  </si>
  <si>
    <t>@AXL6284543;</t>
  </si>
  <si>
    <t>@5060668831038@(..1038)Dock &amp; Bay Quick Dry Towel - Kam@2;</t>
  </si>
  <si>
    <t>133372</t>
  </si>
  <si>
    <t>AU-137003</t>
  </si>
  <si>
    <t>WOLLSTONECRAFT</t>
  </si>
  <si>
    <t>@AXL6284574;</t>
  </si>
  <si>
    <t>@5060668831083@(..1083)Component Product@1;@5060668831038@(..1038)Component Product@1;@5060668831052@(..1052)Component Product@1;@5060668831045@(..1045)Component Product@1;</t>
  </si>
  <si>
    <t>133373</t>
  </si>
  <si>
    <t>AU-137004</t>
  </si>
  <si>
    <t>CARSS PARK</t>
  </si>
  <si>
    <t>@AXL6273373;</t>
  </si>
  <si>
    <t>133374</t>
  </si>
  <si>
    <t>AU-137005</t>
  </si>
  <si>
    <t>FORTITUDE VALLEY</t>
  </si>
  <si>
    <t>@AXL6285206;</t>
  </si>
  <si>
    <t>@5061011626103@(..6103)Dock &amp; Bay Tea Towel - Peas in a@1;@5061011625830@(..5830)Dock &amp; Bay Tea Towel - Shrimply@1;@5061011628565@(..8565)Dock &amp; Bay Tea Towel - Catch of@1;@5061011625786@(..5786)Dock &amp; Bay Tea Towel - Feelin' V@2;@5061011625618@(..5618)Dock &amp; Bay Tea Towel - Feeling S@1;</t>
  </si>
  <si>
    <t>133375</t>
  </si>
  <si>
    <t>AU-137006</t>
  </si>
  <si>
    <t>BRIGHTON EAST</t>
  </si>
  <si>
    <t>@AXL6285123;</t>
  </si>
  <si>
    <t>@5060668831052@(..1052)Dock &amp; Bay Quick Dry Towel - Whi@1;</t>
  </si>
  <si>
    <t>133376</t>
  </si>
  <si>
    <t>AU-137007</t>
  </si>
  <si>
    <t>ROWVILLE</t>
  </si>
  <si>
    <t>@AXL6284382;</t>
  </si>
  <si>
    <t>@5060668838495@(..8495)Dock &amp; Bay Quick Dry Bath Towel@1;@5060668830987@(..0987)Dock &amp; Bay Quick Dry Towel - Ipa@1;@5060668833421@(..3421)Dock &amp; Bay Quick Dry Towel - Cay@1;</t>
  </si>
  <si>
    <t>133377</t>
  </si>
  <si>
    <t>AU-137008</t>
  </si>
  <si>
    <t>WINWILL</t>
  </si>
  <si>
    <t>@AXL6284604;</t>
  </si>
  <si>
    <t>@5060668830918@(..0918)Component Product@1;@5060668831014@(..1014)Component Product@1;@5060668830987@(..0987)Component Product@1;@5060668830901@(..0901)Component Product@1;</t>
  </si>
  <si>
    <t xml:space="preserve">Q2 </t>
  </si>
  <si>
    <t>133378</t>
  </si>
  <si>
    <t>249-2015502-6865460</t>
  </si>
  <si>
    <t>GRIFFITH</t>
  </si>
  <si>
    <t>@AXL6143708;</t>
  </si>
  <si>
    <t>@5061011628619@(..8619)Component Product@2;@5061011628626@(..8626)Component Product@2;@5061011628589@(..8589)Component Product@2;</t>
  </si>
  <si>
    <t>133379</t>
  </si>
  <si>
    <t>249-6022189-5228668</t>
  </si>
  <si>
    <t>STANTHORPE</t>
  </si>
  <si>
    <t>@AXL6283555;</t>
  </si>
  <si>
    <t>@5060668831045@(..1045)Dock &amp; Bay Beach Towel - Quick D@1;</t>
  </si>
  <si>
    <t>133380</t>
  </si>
  <si>
    <t>AU-137009</t>
  </si>
  <si>
    <t>PRAHRAN</t>
  </si>
  <si>
    <t>@AXL6284264;</t>
  </si>
  <si>
    <t>@5061011625298@(..5298)Dock &amp; Bay Quick Dry Towel - Tan@1;</t>
  </si>
  <si>
    <t>133381</t>
  </si>
  <si>
    <t>AU-137011</t>
  </si>
  <si>
    <t>TOLGA</t>
  </si>
  <si>
    <t>@AXL6244875;</t>
  </si>
  <si>
    <t>@5060668830963@(..0963)Component Product@1;@5061011624031@(..4031)Dock &amp; Bay Poncho - Kids - Bubbl@1;@5060668833407@(..3407)Component Product@1;@5060668833414@(..3414)Component Product@1;@5060668830949@(..0949)Component Product@1;@5060668830918@(..0918)Component Product@1;@5060668830932@(..0932)Component Product@1;@5061011624079@(..4079)Dock &amp; Bay Poncho - Kids - Camo@1;@5061011623997@(..3997)Dock &amp; Bay Poncho - Kids - Coast@1;</t>
  </si>
  <si>
    <t xml:space="preserve">Q4 </t>
  </si>
  <si>
    <t>133382</t>
  </si>
  <si>
    <t>AU-137012</t>
  </si>
  <si>
    <t>LAKELANDS</t>
  </si>
  <si>
    <t>@AXL6285153;</t>
  </si>
  <si>
    <t>@5060668831106@(..1106)Dock &amp; Bay Quick Dry Towel - Goa@1;@5060668831076@(..1076)Dock &amp; Bay Quick Dry Towel - Bor@1;</t>
  </si>
  <si>
    <t>133383</t>
  </si>
  <si>
    <t>AU-137013</t>
  </si>
  <si>
    <t>BAULKHAM HILLS</t>
  </si>
  <si>
    <t>@AXL6244832;</t>
  </si>
  <si>
    <t>@5061011623508@(..3508)Dock &amp; Bay Quick Dry Towel - Che@1;</t>
  </si>
  <si>
    <t>133384</t>
  </si>
  <si>
    <t>AU-137014</t>
  </si>
  <si>
    <t>WHYALLA NORRIE</t>
  </si>
  <si>
    <t>@AXL6285971;</t>
  </si>
  <si>
    <t>@5061011624260@(..4260)Dock &amp; Bay Foldaway Tote Bags -@1;@5060668831380@(..1380)Dock &amp; Bay Quick Dry Towel - Uni@1;@5061011628473@(..8473)Dock &amp; Bay Hair Wrap - Pink Para@1;</t>
  </si>
  <si>
    <t xml:space="preserve">S2 </t>
  </si>
  <si>
    <t>133385</t>
  </si>
  <si>
    <t>AU-137015</t>
  </si>
  <si>
    <t>HUGHES</t>
  </si>
  <si>
    <t>@AXL6244777;</t>
  </si>
  <si>
    <t>@5061011628404@(..8404)Component Product@2;@5061011628398@(..8398)Component Product@2;</t>
  </si>
  <si>
    <t xml:space="preserve">CB </t>
  </si>
  <si>
    <t>133386</t>
  </si>
  <si>
    <t>AU-137016</t>
  </si>
  <si>
    <t>ERINA</t>
  </si>
  <si>
    <t>@AXL6285942;</t>
  </si>
  <si>
    <t>@5061011624239@(..4239)Dock &amp; Bay Foldaway Tote Bags -@1;</t>
  </si>
  <si>
    <t xml:space="preserve">GF </t>
  </si>
  <si>
    <t>133387</t>
  </si>
  <si>
    <t>AU-137017</t>
  </si>
  <si>
    <t>MAWSON LAKES</t>
  </si>
  <si>
    <t>@AXL6269836;</t>
  </si>
  <si>
    <t>@5061011624086@(..4086)Dock &amp; Bay Poncho - Kids - Bubbl@2;@5061011624055@(..4055)Dock &amp; Bay Poncho - Kids - Karma@1;@5061011625779@(..5779)Dock &amp; Bay Tea Towel - Cucumber@1;@5061011621696@(..1696)Dock &amp; Bay Poncho - Kids - Malib@1;@5061011625755@(..5755)Dock &amp; Bay Tea Towel - Pink Grap@1;</t>
  </si>
  <si>
    <t xml:space="preserve">S0 </t>
  </si>
  <si>
    <t>133388</t>
  </si>
  <si>
    <t>AU-137018</t>
  </si>
  <si>
    <t>BEECHBORO</t>
  </si>
  <si>
    <t>@AXL6139738;</t>
  </si>
  <si>
    <t>@5060668839133@(..9133)Dock &amp; Bay Hair Wrap - Unicorn W@1;@5061011628442@(..8442)Dock &amp; Bay Hair Wrap - Cherry Bo@1;</t>
  </si>
  <si>
    <t>133389</t>
  </si>
  <si>
    <t>AU-137019</t>
  </si>
  <si>
    <t>NICKOL</t>
  </si>
  <si>
    <t>@AXL6285069;</t>
  </si>
  <si>
    <t xml:space="preserve">W3 </t>
  </si>
  <si>
    <t>133390</t>
  </si>
  <si>
    <t>AU-137020</t>
  </si>
  <si>
    <t>OXLEY</t>
  </si>
  <si>
    <t>@AXL6285970;</t>
  </si>
  <si>
    <t>@5060668830918@(..0918)Dock &amp; Bay Quick Dry Towel - Whi@1;@5060668830994@(..0994)Dock &amp; Bay Quick Dry Towel - Phi@1;</t>
  </si>
  <si>
    <t>133391</t>
  </si>
  <si>
    <t>AU-137021</t>
  </si>
  <si>
    <t>SOUTH BRIGHTON</t>
  </si>
  <si>
    <t>@AXL6285940;</t>
  </si>
  <si>
    <t>@5061011623379@(..3379)Dock &amp; Bay Quick Dry Towel - Mia@1;</t>
  </si>
  <si>
    <t>133392</t>
  </si>
  <si>
    <t>AU-137022</t>
  </si>
  <si>
    <t>OAKLEIGH EAST</t>
  </si>
  <si>
    <t>@AXL6284401;</t>
  </si>
  <si>
    <t>@5060668830925@(..0925)Dock &amp; Bay Quick Dry Towel - Can@1;@5060668831076@(..1076)Dock &amp; Bay Quick Dry Towel - Bor@1;@5060668833469@(..3469)Dock &amp; Bay Quick Dry Towel - Cay@1;</t>
  </si>
  <si>
    <t>133393</t>
  </si>
  <si>
    <t>AU-137023</t>
  </si>
  <si>
    <t>SUTHERLAND</t>
  </si>
  <si>
    <t>@AXL6285227;</t>
  </si>
  <si>
    <t>@5060668833414@(..3414)Dock &amp; Bay Quick Dry Towel - Lom@1;@5060668835586@(..5586)Dock &amp; Bay Quick Dry Towel - Mal@1;</t>
  </si>
  <si>
    <t>133394</t>
  </si>
  <si>
    <t>AU-137024</t>
  </si>
  <si>
    <t>LEICHHARDT</t>
  </si>
  <si>
    <t>@AXL6143773;</t>
  </si>
  <si>
    <t>@5061011624079@(..4079)Dock &amp; Bay Poncho - Kids - Camo@1;</t>
  </si>
  <si>
    <t>133395</t>
  </si>
  <si>
    <t>AU-137025</t>
  </si>
  <si>
    <t>DUBBO</t>
  </si>
  <si>
    <t>@AXL6244825;</t>
  </si>
  <si>
    <t>@5061011625793@(..5793)Dock &amp; Bay Tea Towel - Kiss The@1;@5061011628442@(..8442)Dock &amp; Bay Hair Wrap - Cherry Bo@1;</t>
  </si>
  <si>
    <t>133396</t>
  </si>
  <si>
    <t>AU-137026</t>
  </si>
  <si>
    <t>COBAR</t>
  </si>
  <si>
    <t>@AXL6284215;</t>
  </si>
  <si>
    <t>@5060668831151@(..1151)Component Product@1;@5060668831052@(..1052)Component Product@1;@5060668831120@(..1120)Component Product@1;@5060668831045@(..1045)Component Product@1;</t>
  </si>
  <si>
    <t>133397</t>
  </si>
  <si>
    <t>AU-137027</t>
  </si>
  <si>
    <t>KEWDALE</t>
  </si>
  <si>
    <t>@AXL6284288;</t>
  </si>
  <si>
    <t>@5060668832080@(..2080)Dock &amp; Bay Quick Dry Towel - Isl@1;@5061011623584@(..3584)Dock &amp; Bay Quick Dry Towel - Vit@1;</t>
  </si>
  <si>
    <t>133398</t>
  </si>
  <si>
    <t>AU-137028</t>
  </si>
  <si>
    <t>SPEARWOOD</t>
  </si>
  <si>
    <t>@AXL6285247;</t>
  </si>
  <si>
    <t>@5061011628305@(..8305)Dock &amp; Bay Quick Dry Towel - Ras@1;@5060668830918@(..0918)Dock &amp; Bay Quick Dry Towel - Whi@1;</t>
  </si>
  <si>
    <t>133399</t>
  </si>
  <si>
    <t>AU-137029</t>
  </si>
  <si>
    <t>BOMADERRY</t>
  </si>
  <si>
    <t>@AXL6285122;</t>
  </si>
  <si>
    <t>133400</t>
  </si>
  <si>
    <t>AU-137030</t>
  </si>
  <si>
    <t>THURINGOWA CENTRAL</t>
  </si>
  <si>
    <t>Suburb Corrected.</t>
  </si>
  <si>
    <t>@AXL6244807;</t>
  </si>
  <si>
    <t>@5061011626103@(..6103)Dock &amp; Bay Tea Towel - Peas in a@1;@5061011625885@(..5885)Dock &amp; Bay Tea Towel - Very Appe@1;@5061011625786@(..5786)Dock &amp; Bay Tea Towel - Feelin' V@1;</t>
  </si>
  <si>
    <t>133401</t>
  </si>
  <si>
    <t>AU-137031</t>
  </si>
  <si>
    <t>HILLARYS</t>
  </si>
  <si>
    <t>@AXL6244787;</t>
  </si>
  <si>
    <t>133402</t>
  </si>
  <si>
    <t>AU-137032</t>
  </si>
  <si>
    <t>EVERARD PARK</t>
  </si>
  <si>
    <t>@AXL6284287;</t>
  </si>
  <si>
    <t>@5061011624413@(..4413)Dock &amp; Bay Poncho - Adults - Uni@1;@5061011623669@(..3669)Dock &amp; Bay Poncho - Adults - Coa@1;@5061011623706@(..3706)Dock &amp; Bay Poncho - Adults - Yos@1;</t>
  </si>
  <si>
    <t>133403</t>
  </si>
  <si>
    <t>AU-137033</t>
  </si>
  <si>
    <t>MOONAH</t>
  </si>
  <si>
    <t>@AXL6244839;</t>
  </si>
  <si>
    <t xml:space="preserve">T0 </t>
  </si>
  <si>
    <t>133404</t>
  </si>
  <si>
    <t>AU-137034</t>
  </si>
  <si>
    <t>YANGEBUP</t>
  </si>
  <si>
    <t>@AXL6284605;</t>
  </si>
  <si>
    <t>@5060668831137@(..1137)Component Product@1;@5060668831083@(..1083)Component Product@1;@5060668831120@(..1120)Component Product@1;@5060668833452@(..3452)Component Product@1;</t>
  </si>
  <si>
    <t>133405</t>
  </si>
  <si>
    <t>AU-137035</t>
  </si>
  <si>
    <t>MAROOCHYDORE</t>
  </si>
  <si>
    <t>@AXL6139786;</t>
  </si>
  <si>
    <t>@5061011623218@(..3218)Dock &amp; Bay Hair Wrap - Georgia P@1;@5061011628428@(..8428)Dock &amp; Bay Quick Dry Bath Towel@1;</t>
  </si>
  <si>
    <t xml:space="preserve">SC </t>
  </si>
  <si>
    <t>133406</t>
  </si>
  <si>
    <t>AU-137036</t>
  </si>
  <si>
    <t>RINGWOOD</t>
  </si>
  <si>
    <t>@AXL6284360;</t>
  </si>
  <si>
    <t>@5061011625908@(..5908)Dock &amp; Bay Tea Towel - Head Chef@1;@5061011628565@(..8565)Dock &amp; Bay Tea Towel - Catch of@1;@5061011625779@(..5779)Dock &amp; Bay Tea Towel - Cucumber@1;@5061011628589@(..8589)Dock &amp; Bay Tea Towel - Kitchen D@1;@5061011625618@(..5618)Dock &amp; Bay Tea Towel - Feeling S@1;</t>
  </si>
  <si>
    <t>133407</t>
  </si>
  <si>
    <t>AU-137037</t>
  </si>
  <si>
    <t>@AXL6285093;</t>
  </si>
  <si>
    <t>@5060668830932@(..0932)Dock &amp; Bay Quick Dry Towel - Bor@1;</t>
  </si>
  <si>
    <t>133408</t>
  </si>
  <si>
    <t>AU-137038</t>
  </si>
  <si>
    <t>@AXL6139810;@AXL6139810;</t>
  </si>
  <si>
    <t>@5061011628442@(..8442)Dock &amp; Bay Hair Wrap - Cherry Bo@2;</t>
  </si>
  <si>
    <t>133409</t>
  </si>
  <si>
    <t>AU-137039</t>
  </si>
  <si>
    <t>MUIRHEAD</t>
  </si>
  <si>
    <t>@AXL6284515;</t>
  </si>
  <si>
    <t>@5060668830932@(..0932)Dock &amp; Bay Quick Dry Towel - Bor@1;@5060668836224@(..6224)Dock &amp; Bay Quick Dry Towel - Dee@1;</t>
  </si>
  <si>
    <t xml:space="preserve">NT1 </t>
  </si>
  <si>
    <t>133410</t>
  </si>
  <si>
    <t>AU-137040</t>
  </si>
  <si>
    <t>CHINCHILLA</t>
  </si>
  <si>
    <t>@AXL6284576;</t>
  </si>
  <si>
    <t>@5060668830918@(..0918)Dock &amp; Bay Quick Dry Towel - Whi@1;@5061011623867@(..3867)Dock &amp; Bay Small Waterproof Dry@1;@5060668833421@(..3421)Dock &amp; Bay Quick Dry Towel - Cay@1;</t>
  </si>
  <si>
    <t>133411</t>
  </si>
  <si>
    <t>AU-137041</t>
  </si>
  <si>
    <t>SOUTH GEELONG</t>
  </si>
  <si>
    <t>@AXL6285223;</t>
  </si>
  <si>
    <t>@5060668831052@(..1052)Component Product@4;</t>
  </si>
  <si>
    <t>133412</t>
  </si>
  <si>
    <t>AU-137042</t>
  </si>
  <si>
    <t>ATWELL</t>
  </si>
  <si>
    <t>@AXL6269808;</t>
  </si>
  <si>
    <t>@5060668830987@(..0987)Dock &amp; Bay Quick Dry Towel - Ipa@1;@5060668830994@(..0994)Dock &amp; Bay Quick Dry Towel - Phi@1;</t>
  </si>
  <si>
    <t>133413</t>
  </si>
  <si>
    <t>AU-137043</t>
  </si>
  <si>
    <t>MORNINGSIDE</t>
  </si>
  <si>
    <t>@AXL6244883;</t>
  </si>
  <si>
    <t>@5061011625830@(..5830)Component Product@1;@5061011628565@(..8565)Component Product@1;@5061011628589@(..8589)Component Product@1;@5061011628558@(..8558)Component Product@1;@5061011628572@(..8572)Component Product@1;</t>
  </si>
  <si>
    <t>133414</t>
  </si>
  <si>
    <t>AU-137044</t>
  </si>
  <si>
    <t>WATERLOO</t>
  </si>
  <si>
    <t>@AXL6285248;</t>
  </si>
  <si>
    <t>@5060668831069@(..1069)Component Product@1;@5060668831052@(..1052)Component Product@1;@5060668831045@(..1045)Component Product@1;@5060668833469@(..3469)Component Product@1;</t>
  </si>
  <si>
    <t>133415</t>
  </si>
  <si>
    <t>AU-137045</t>
  </si>
  <si>
    <t>REDAN</t>
  </si>
  <si>
    <t>@AXL6284336;</t>
  </si>
  <si>
    <t>@5060668830925@(..0925)Dock &amp; Bay Quick Dry Towel - Can@1;</t>
  </si>
  <si>
    <t xml:space="preserve">BR </t>
  </si>
  <si>
    <t>133416</t>
  </si>
  <si>
    <t>AU-137046</t>
  </si>
  <si>
    <t>FORSTER</t>
  </si>
  <si>
    <t>@AXL6284542;</t>
  </si>
  <si>
    <t>@5060668833414@(..3414)Dock &amp; Bay Quick Dry Towel - Lom@1;</t>
  </si>
  <si>
    <t>133417</t>
  </si>
  <si>
    <t>AU-137047</t>
  </si>
  <si>
    <t>SOUTH YARRA</t>
  </si>
  <si>
    <t>@AXL6139706;</t>
  </si>
  <si>
    <t>@5060668833421@(..3421)Dock &amp; Bay Quick Dry Towel - Cay@1;</t>
  </si>
  <si>
    <t>133418</t>
  </si>
  <si>
    <t>AU-137048</t>
  </si>
  <si>
    <t>LYSTERFIELD SOUTH</t>
  </si>
  <si>
    <t>@AXL6284516;</t>
  </si>
  <si>
    <t>@5060668831137@(..1137)Dock &amp; Bay Quick Dry Towel - Phi@1;</t>
  </si>
  <si>
    <t>133419</t>
  </si>
  <si>
    <t>AU-137049</t>
  </si>
  <si>
    <t>LANE COVE WEST</t>
  </si>
  <si>
    <t>@AXL6284607;</t>
  </si>
  <si>
    <t>@5061011624161@(..4161)Dock &amp; Bay Picnic Blanket - Cand@1;</t>
  </si>
  <si>
    <t>133420</t>
  </si>
  <si>
    <t>AU-137050</t>
  </si>
  <si>
    <t>WIGHTS MOUNTAIN</t>
  </si>
  <si>
    <t>@AXL6284544;</t>
  </si>
  <si>
    <t>@5060668837351@(..7351)Dock &amp; Bay Foldaway Tote Bags -@1;@5060668837368@(..7368)Dock &amp; Bay Foldaway Tote Bags -@1;</t>
  </si>
  <si>
    <t xml:space="preserve">Q1 </t>
  </si>
  <si>
    <t>133421</t>
  </si>
  <si>
    <t>AU-137051</t>
  </si>
  <si>
    <t>KILMORE</t>
  </si>
  <si>
    <t>@AXL6286310;</t>
  </si>
  <si>
    <t>133422</t>
  </si>
  <si>
    <t>AU-137052</t>
  </si>
  <si>
    <t>SUCCESS</t>
  </si>
  <si>
    <t>@AXL6139800;</t>
  </si>
  <si>
    <t>@5061011623454@(..3454)Dock &amp; Bay Quick Dry Towel - Coo@1;</t>
  </si>
  <si>
    <t>133423</t>
  </si>
  <si>
    <t>AU-137053</t>
  </si>
  <si>
    <t>SUNSHINE NORTH</t>
  </si>
  <si>
    <t>@AXL6244831;</t>
  </si>
  <si>
    <t>@5061011624307@(..4307)Dock &amp; Bay Quick Dry Towel - Blu@1;@5060668830987@(..0987)Dock &amp; Bay Quick Dry Towel - Ipa@1;</t>
  </si>
  <si>
    <t>133424</t>
  </si>
  <si>
    <t>AU-137054</t>
  </si>
  <si>
    <t>NUNDAH</t>
  </si>
  <si>
    <t>@AXL6284335;</t>
  </si>
  <si>
    <t>@5061011625571@(..5571)Dock &amp; Bay Hair Wrap - Ocean Tre@1;</t>
  </si>
  <si>
    <t>133425</t>
  </si>
  <si>
    <t>AU-137055</t>
  </si>
  <si>
    <t>KORUMBURRA</t>
  </si>
  <si>
    <t>@AXL6244824;</t>
  </si>
  <si>
    <t>@5061011623515@(..3515)Dock &amp; Bay Quick Dry Towel - Gro@1;</t>
  </si>
  <si>
    <t>133426</t>
  </si>
  <si>
    <t>AU-137056</t>
  </si>
  <si>
    <t>MONA VALE</t>
  </si>
  <si>
    <t>@AXL6286649;</t>
  </si>
  <si>
    <t>@5061011628312@(..8312)Component Product@1;@5061011628336@(..8336)Component Product@1;@5061011623379@(..3379)Component Product@1;@5061011628343@(..8343)Component Product@1;@5061011628329@(..8329)Component Product@1;@5061011624307@(..4307)Component Product@1;@5061011623386@(..3386)Component Product@1;@5061011623393@(..3393)Component Product@1;</t>
  </si>
  <si>
    <t>133427</t>
  </si>
  <si>
    <t>AU-137057</t>
  </si>
  <si>
    <t>BENTLEIGH EAST</t>
  </si>
  <si>
    <t>@AXL6286209;</t>
  </si>
  <si>
    <t>133428</t>
  </si>
  <si>
    <t>AU-137058</t>
  </si>
  <si>
    <t>MONTMORENCY</t>
  </si>
  <si>
    <t>@AXL6284381;</t>
  </si>
  <si>
    <t>@5061011623683@(..3683)Dock &amp; Bay Poncho - Adults - Che@1;@5060668831526@(..1526)Dock &amp; Bay Poncho - Adults - Bon@1;@5060668837498@(..7498)Dock &amp; Bay Poncho - Adults - Mal@1;</t>
  </si>
  <si>
    <t>133429</t>
  </si>
  <si>
    <t>AU-137059</t>
  </si>
  <si>
    <t>ST CLAIR</t>
  </si>
  <si>
    <t>@AXL6286667;</t>
  </si>
  <si>
    <t>@5060668833414@(..3414)Dock &amp; Bay Quick Dry Towel - Lom@1;@5060668831052@(..1052)Dock &amp; Bay Quick Dry Towel - Whi@1;@5060668832059@(..2059)Dock &amp; Bay Poncho - Adults - Bon@1;@5061011624055@(..4055)Dock &amp; Bay Poncho - Kids - Karma@1;</t>
  </si>
  <si>
    <t>133430</t>
  </si>
  <si>
    <t>AU-137060</t>
  </si>
  <si>
    <t>FINDON</t>
  </si>
  <si>
    <t>@AXL6285358;</t>
  </si>
  <si>
    <t>@5060668830895@(..0895)Dock &amp; Bay Quick Dry Towel - Kam@1;</t>
  </si>
  <si>
    <t>133431</t>
  </si>
  <si>
    <t>AU-137061</t>
  </si>
  <si>
    <t>HENLEY BEACH</t>
  </si>
  <si>
    <t>@AXL6269822;</t>
  </si>
  <si>
    <t>133432</t>
  </si>
  <si>
    <t>AU-137062</t>
  </si>
  <si>
    <t>CRANBOURNE EAST</t>
  </si>
  <si>
    <t>@AXL6284312;</t>
  </si>
  <si>
    <t>@5061011623485@(..3485)Dock &amp; Bay Quick Dry Towel - Gre@1;@5060668837351@(..7351)Dock &amp; Bay Foldaway Tote Bags -@1;</t>
  </si>
  <si>
    <t>133433</t>
  </si>
  <si>
    <t>AU-137063</t>
  </si>
  <si>
    <t>PARKDALE</t>
  </si>
  <si>
    <t>@AXL6285070;</t>
  </si>
  <si>
    <t>133434</t>
  </si>
  <si>
    <t>AU-137064</t>
  </si>
  <si>
    <t>@AXL6273349;</t>
  </si>
  <si>
    <t>@5061011623584@(..3584)Dock &amp; Bay Quick Dry Towel - Vit@1;</t>
  </si>
  <si>
    <t>133435</t>
  </si>
  <si>
    <t>AU-137065</t>
  </si>
  <si>
    <t>WARRIEWOOD</t>
  </si>
  <si>
    <t>@AXL6286338;</t>
  </si>
  <si>
    <t>133436</t>
  </si>
  <si>
    <t>AU-137066</t>
  </si>
  <si>
    <t>WEST END</t>
  </si>
  <si>
    <t>@AXL6244852;</t>
  </si>
  <si>
    <t>@5060668830994@(..0994)Dock &amp; Bay Quick Dry Towel - Phi@1;</t>
  </si>
  <si>
    <t>133437</t>
  </si>
  <si>
    <t>AU-137067</t>
  </si>
  <si>
    <t>GREENSBOROUGH</t>
  </si>
  <si>
    <t>@AXL6139756;</t>
  </si>
  <si>
    <t>@5061011624055@(..4055)Dock &amp; Bay Poncho - Kids - Karma@2;@5061011621726@(..1726)Dock &amp; Bay Poncho - Kids - Pink@1;</t>
  </si>
  <si>
    <t>133438</t>
  </si>
  <si>
    <t>AU-137068</t>
  </si>
  <si>
    <t>WALCHA</t>
  </si>
  <si>
    <t>@AXL6244800;</t>
  </si>
  <si>
    <t>@5060668831960@(..1960)Component Product@1;@5060668831977@(..1977)Component Product@1;@5060668831984@(..1984)Component Product@1;@5060668832073@(..2073)Component Product@1;</t>
  </si>
  <si>
    <t>133439</t>
  </si>
  <si>
    <t>AU-137069</t>
  </si>
  <si>
    <t>IVANHOE</t>
  </si>
  <si>
    <t>@AXL6284606;</t>
  </si>
  <si>
    <t>@5061011621436@(..1436)Dock &amp; Bay Quick Dry Towel - San@1;@5061011628503@(..8503)Dock &amp; Bay Hair Wrap - Pastel Pi@1;</t>
  </si>
  <si>
    <t>133440</t>
  </si>
  <si>
    <t>AU-137070</t>
  </si>
  <si>
    <t>MCKINNON</t>
  </si>
  <si>
    <t>@AXL6273350;</t>
  </si>
  <si>
    <t>@5060668831045@(..1045)Dock &amp; Bay Quick Dry Towel - Bon@1;@5061011623454@(..3454)Dock &amp; Bay Quick Dry Towel - Coo@1;</t>
  </si>
  <si>
    <t>133441</t>
  </si>
  <si>
    <t>AU-137071</t>
  </si>
  <si>
    <t>MELBOURNE</t>
  </si>
  <si>
    <t>@AXL6244864;</t>
  </si>
  <si>
    <t>@5060668833902@(..3902)Dock &amp; Bay Quick Dry Towel - Ext@1;</t>
  </si>
  <si>
    <t>133442</t>
  </si>
  <si>
    <t>AU-137072</t>
  </si>
  <si>
    <t>LILYFIELD</t>
  </si>
  <si>
    <t>@AXL6284575;</t>
  </si>
  <si>
    <t>@5060668830963@(..0963)Dock &amp; Bay Quick Dry Towel - Goa@1;@5061011625298@(..5298)Dock &amp; Bay Quick Dry Towel - Tan@1;@5061011625182@(..5182)Dock &amp; Bay Quick Dry Towel - Wis@1;</t>
  </si>
  <si>
    <t>133443</t>
  </si>
  <si>
    <t>AU-137073</t>
  </si>
  <si>
    <t>PENNANT HILLS</t>
  </si>
  <si>
    <t>@AXL6285154;</t>
  </si>
  <si>
    <t>@5061011621290@(..1290)Dock &amp; Bay Poncho - Kids - Bondi@1;@5061011621702@(..1702)Dock &amp; Bay Poncho - Kids - Unico@1;@5061011623997@(..3997)Dock &amp; Bay Poncho - Kids - Coast@1;</t>
  </si>
  <si>
    <t>133444</t>
  </si>
  <si>
    <t>AU-137074</t>
  </si>
  <si>
    <t>LINDFIELD</t>
  </si>
  <si>
    <t>@AXL6284286;</t>
  </si>
  <si>
    <t>@5061011621436@(..1436)Dock &amp; Bay Quick Dry Towel - San@1;@5061011628503@(..8503)Dock &amp; Bay Hair Wrap - Pastel Pi@1;@5060668834848@(..4848)Swim Shorts - Pinstripes - Suit@1;</t>
  </si>
  <si>
    <t>133445</t>
  </si>
  <si>
    <t>AU-137075</t>
  </si>
  <si>
    <t>WILSTON</t>
  </si>
  <si>
    <t>@AXL6244815;</t>
  </si>
  <si>
    <t>@5061011628602@(..8602)Component Product@1;@5061011628619@(..8619)Component Product@1;@5061011628626@(..8626)Component Product@1;@5061011628589@(..8589)Component Product@1;@5061011628572@(..8572)Component Product@1;</t>
  </si>
  <si>
    <t>133446</t>
  </si>
  <si>
    <t>AU-137076</t>
  </si>
  <si>
    <t>SYDNEY</t>
  </si>
  <si>
    <t>@AXL6284358;</t>
  </si>
  <si>
    <t>@5061011628312@(..8312)Dock &amp; Bay Quick Dry Towel - Blu@1;@5061011628336@(..8336)Dock &amp; Bay Quick Dry Towel - Pas@1;@5060668836262@(..6262)Dock &amp; Bay Cooling Gym Towel - W@1;</t>
  </si>
  <si>
    <t>133447</t>
  </si>
  <si>
    <t>AU-137077</t>
  </si>
  <si>
    <t>ROSELANDS</t>
  </si>
  <si>
    <t>@AXL6139787;</t>
  </si>
  <si>
    <t>@5061011621412@(..1412)Dock &amp; Bay Quick Dry Towel - Lif@1;</t>
  </si>
  <si>
    <t>133448</t>
  </si>
  <si>
    <t>AU-137078</t>
  </si>
  <si>
    <t>BARWON HEADS</t>
  </si>
  <si>
    <t>@AXL6281970;</t>
  </si>
  <si>
    <t>@5061011625908@(..5908)Dock &amp; Bay Tea Towel - Head Chef@1;@5061011625830@(..5830)Dock &amp; Bay Tea Towel - Shrimply@1;@5061011625793@(..5793)Dock &amp; Bay Tea Towel - Kiss The@2;@5061011628565@(..8565)Dock &amp; Bay Tea Towel - Catch of@1;@5061011628558@(..8558)Dock &amp; Bay Tea Towel - Dinner Pa@1;@5061011625786@(..5786)Dock &amp; Bay Tea Towel - Feelin' V@1;</t>
  </si>
  <si>
    <t>133449</t>
  </si>
  <si>
    <t>AU-137079</t>
  </si>
  <si>
    <t>THORNBURY</t>
  </si>
  <si>
    <t>@AXL6285222;</t>
  </si>
  <si>
    <t>@5061011626103@(..6103)Dock &amp; Bay Tea Towel - Peas in a@1;@5061011628503@(..8503)Dock &amp; Bay Hair Wrap - Pastel Pi@1;@5060668839089@(..9089)Dock &amp; Bay Hair Wrap - Lombok Li@1;</t>
  </si>
  <si>
    <t>133450</t>
  </si>
  <si>
    <t>AU-137080</t>
  </si>
  <si>
    <t>COORPAROO</t>
  </si>
  <si>
    <t>@AXL6273374;</t>
  </si>
  <si>
    <t>@5060668835586@(..5586)Dock &amp; Bay Quick Dry Towel - Mal@1;</t>
  </si>
  <si>
    <t>133451</t>
  </si>
  <si>
    <t>AU-137081</t>
  </si>
  <si>
    <t>WARREN</t>
  </si>
  <si>
    <t>@AXL6284311;</t>
  </si>
  <si>
    <t>@5060668830918@(..0918)Dock &amp; Bay Quick Dry Towel - Whi@1;@5061011624307@(..4307)Dock &amp; Bay Quick Dry Towel - Blu@1;</t>
  </si>
  <si>
    <t>133452</t>
  </si>
  <si>
    <t>AU-137082</t>
  </si>
  <si>
    <t>ANNANDALE</t>
  </si>
  <si>
    <t>@AXL6139721;</t>
  </si>
  <si>
    <t>@5060668837726@(..7726)Dock &amp; Bay Kids Beach Towel - Co@1;</t>
  </si>
  <si>
    <t>133453</t>
  </si>
  <si>
    <t>AU-137083</t>
  </si>
  <si>
    <t>MITCHELTON</t>
  </si>
  <si>
    <t>@AXL6285092;</t>
  </si>
  <si>
    <t>133454</t>
  </si>
  <si>
    <t>AU-137084</t>
  </si>
  <si>
    <t>QUEENS PARK</t>
  </si>
  <si>
    <t>@AXL6269835;</t>
  </si>
  <si>
    <t>@5061011623997@(..3997)Dock &amp; Bay Poncho - Kids - Coast@1;</t>
  </si>
  <si>
    <t>133455</t>
  </si>
  <si>
    <t>AU-137085A</t>
  </si>
  <si>
    <t>BRASSALL</t>
  </si>
  <si>
    <t>@AXL6284400;</t>
  </si>
  <si>
    <t>@5061011623416@(..3416)Towels - Beach - Grecian Shores@1;@5061011623867@(..3867)Dry Bag - Whitsunday Blue@1;@5060668837368@(..7368)Foldable Bag - Whitsunday Blue -@1;</t>
  </si>
  <si>
    <t xml:space="preserve">IP </t>
  </si>
  <si>
    <t>133456</t>
  </si>
  <si>
    <t>AU-137086</t>
  </si>
  <si>
    <t>BRENDALE</t>
  </si>
  <si>
    <t>@AXL6285323;</t>
  </si>
  <si>
    <t>@5061011624413@(..4413)Dock &amp; Bay Poncho - Adults - Uni@1;@5060668832059@(..2059)Dock &amp; Bay Poncho - Adults - Bon@1;</t>
  </si>
  <si>
    <t>133457</t>
  </si>
  <si>
    <t>AU-137087</t>
  </si>
  <si>
    <t>CURRAMBINE</t>
  </si>
  <si>
    <t>@AXL6283732;</t>
  </si>
  <si>
    <t>@5061011623485@(..3485)Dock &amp; Bay Quick Dry Towel - Gre@1;</t>
  </si>
  <si>
    <t>133458</t>
  </si>
  <si>
    <t>AU-137088</t>
  </si>
  <si>
    <t>MONTACUTE</t>
  </si>
  <si>
    <t>@AXL6283733;</t>
  </si>
  <si>
    <t xml:space="preserve">S1 </t>
  </si>
  <si>
    <t>133459</t>
  </si>
  <si>
    <t>FBA15G940QS4</t>
  </si>
  <si>
    <t>KEMPS CREEK</t>
  </si>
  <si>
    <t>@32;@32;</t>
  </si>
  <si>
    <t>@AXL6273920;</t>
  </si>
  <si>
    <t>@5061011628299@(..8299)Towels - Beach - Pastel Pier - G@20;@5061011624284@(..4284)Poncho - Adults - Malibu Pink -@10;@5061011625632@(..5632)Tea Towel - Check Please - GRS C@10;@5061011628565@(..8565)Tea Towel - Catch of the Day - G@40;</t>
  </si>
  <si>
    <t>133460</t>
  </si>
  <si>
    <t>AU-137089</t>
  </si>
  <si>
    <t>FOREST LAKE</t>
  </si>
  <si>
    <t>@AXL6269848;</t>
  </si>
  <si>
    <t>@5061011628312@(..8312)Component Product@1;@5061011628336@(..8336)Component Product@1;@5061011628343@(..8343)Component Product@1;@5061011628329@(..8329)Component Product@1;@5061011628565@(..8565)Dock &amp; Bay Tea Towel - Catch of@1;@5061011625779@(..5779)Dock &amp; Bay Tea Towel - Cucumber@1;</t>
  </si>
  <si>
    <t>133461</t>
  </si>
  <si>
    <t>AU-137090</t>
  </si>
  <si>
    <t>MITCHAM</t>
  </si>
  <si>
    <t>@AXL6269847;</t>
  </si>
  <si>
    <t>@5060668833452@(..3452)Dock &amp; Bay Quick Dry Towel - Lom@1;@5060668833469@(..3469)Dock &amp; Bay Quick Dry Towel - Cay@1;</t>
  </si>
  <si>
    <t>133462</t>
  </si>
  <si>
    <t>AU-137091</t>
  </si>
  <si>
    <t>EAST RYDE</t>
  </si>
  <si>
    <t>@AXL6285814;</t>
  </si>
  <si>
    <t>@5061011623867@(..3867)Dock &amp; Bay Small Waterproof Dry@1;@5060668837368@(..7368)Dock &amp; Bay Foldaway Tote Bags -@1;</t>
  </si>
  <si>
    <t>133463</t>
  </si>
  <si>
    <t>503-4029629-4523007</t>
  </si>
  <si>
    <t>SANDHURST</t>
  </si>
  <si>
    <t>@AXL6281789;</t>
  </si>
  <si>
    <t>@5061011626134@(..6134)Dock &amp; Bay Everyday Beach Tote B@1;</t>
  </si>
  <si>
    <t>133464</t>
  </si>
  <si>
    <t>AU-137092</t>
  </si>
  <si>
    <t>REDFERN</t>
  </si>
  <si>
    <t>@AXL6281809;</t>
  </si>
  <si>
    <t>@5060668837351@(..7351)Dock &amp; Bay Foldaway Tote Bags -@1;@5060668833407@(..3407)Dock &amp; Bay Quick Dry Towel - Mal@1;@5060668835586@(..5586)Dock &amp; Bay Quick Dry Towel - Mal@1;</t>
  </si>
  <si>
    <t>133465</t>
  </si>
  <si>
    <t>AU-137093</t>
  </si>
  <si>
    <t>MOONEE PONDS</t>
  </si>
  <si>
    <t>@AXL6281790;</t>
  </si>
  <si>
    <t>@5061011623362@(..3362)Dock &amp; Bay Quick Dry Towel - Coa@1;@5061011623508@(..3508)Dock &amp; Bay Quick Dry Towel - Che@1;</t>
  </si>
  <si>
    <t>133466</t>
  </si>
  <si>
    <t>AU-137094</t>
  </si>
  <si>
    <t>TOOWOON BAY</t>
  </si>
  <si>
    <t>@6943389500751;</t>
  </si>
  <si>
    <t>@AXL6281775;</t>
  </si>
  <si>
    <t>@5060668830918@(..0918)Dock &amp; Bay Quick Dry Towel - Whi@1;@5061011623379@(..3379)Dock &amp; Bay Quick Dry Towel - Mia@1;@5060668831052@(..1052)Dock &amp; Bay Quick Dry Towel - Whi@1;@5061011623386@(..3386)Dock &amp; Bay Quick Dry Towel - Coo@1;@5061011623447@(..3447)Dock &amp; Bay Quick Dry Towel - Mia@2;@5061011623454@(..3454)Dock &amp; Bay Quick Dry Towel - Coo@2;</t>
  </si>
  <si>
    <t>133467</t>
  </si>
  <si>
    <t>AU-137095</t>
  </si>
  <si>
    <t>@AXL6288887;</t>
  </si>
  <si>
    <t>@5061011624215@(..4215)Dock &amp; Bay Foldaway Tote Bags -@1;@5061011623362@(..3362)Dock &amp; Bay Quick Dry Towel - Coa@1;@5061011627766@(..7766)Dock &amp; Bay Quick Dry Towel - Fru@2;@5060668831335@(..1335)Dock &amp; Bay Quick Dry Towel - Rai@1;</t>
  </si>
  <si>
    <t>133468</t>
  </si>
  <si>
    <t>AU-137096</t>
  </si>
  <si>
    <t>WARRANWOOD</t>
  </si>
  <si>
    <t>@AXL6288764;</t>
  </si>
  <si>
    <t>133469</t>
  </si>
  <si>
    <t>AU-137097</t>
  </si>
  <si>
    <t>@AXL6289890;</t>
  </si>
  <si>
    <t>@5061011625786@(..5786)Dock &amp; Bay Tea Towel - Feelin' V@1;</t>
  </si>
  <si>
    <t>133470</t>
  </si>
  <si>
    <t>AU-137098</t>
  </si>
  <si>
    <t>BORONIA</t>
  </si>
  <si>
    <t>@AXL6289862;</t>
  </si>
  <si>
    <t>@5061011625595@(..5595)Dock &amp; Bay Hair Wrap - Wish You@1;@5061011628473@(..8473)Dock &amp; Bay Hair Wrap - Pink Para@1;</t>
  </si>
  <si>
    <t>133471</t>
  </si>
  <si>
    <t>AU-137099</t>
  </si>
  <si>
    <t>NEWTOWN</t>
  </si>
  <si>
    <t>@AXL6288794;</t>
  </si>
  <si>
    <t>133472</t>
  </si>
  <si>
    <t>AU-137100</t>
  </si>
  <si>
    <t>GREGORY HILLS</t>
  </si>
  <si>
    <t>@AXL6289846;</t>
  </si>
  <si>
    <t>@5060668831526@(..1526)Dock &amp; Bay Poncho - Adults - Bon@1;</t>
  </si>
  <si>
    <t>133473</t>
  </si>
  <si>
    <t>AU-137101</t>
  </si>
  <si>
    <t>CASTLE HILL</t>
  </si>
  <si>
    <t>@AXL6289023;</t>
  </si>
  <si>
    <t>@5061011623492@(..3492)Component Product@1;@5061011623447@(..3447)Component Product@1;@5061011623454@(..3454)Component Product@1;@5061011623478@(..3478)Component Product@1;</t>
  </si>
  <si>
    <t>133474</t>
  </si>
  <si>
    <t>AU-137102</t>
  </si>
  <si>
    <t>ARMSTRONG CREEK</t>
  </si>
  <si>
    <t>@AXL6289853;</t>
  </si>
  <si>
    <t>@5060668832035@(..2035)Dock &amp; Bay Quick Dry Towel - Mou@1;</t>
  </si>
  <si>
    <t>133475</t>
  </si>
  <si>
    <t>AU-137103</t>
  </si>
  <si>
    <t>WAVERTON</t>
  </si>
  <si>
    <t>@AXL6289852;</t>
  </si>
  <si>
    <t>@5061011624222@(..4222)Dock &amp; Bay Foldaway Tote Bags -@1;</t>
  </si>
  <si>
    <t>133476</t>
  </si>
  <si>
    <t>AU-137104</t>
  </si>
  <si>
    <t>OAKLEIGH SOUTH</t>
  </si>
  <si>
    <t>@AXL6288824;</t>
  </si>
  <si>
    <t>@5061011628343@(..8343)Dock &amp; Bay Quick Dry Towel - Ras@1;</t>
  </si>
  <si>
    <t>133477</t>
  </si>
  <si>
    <t>AU-137105</t>
  </si>
  <si>
    <t>BOLWARRA HEIGHTS</t>
  </si>
  <si>
    <t>@AXL6289845;</t>
  </si>
  <si>
    <t>@5061011628503@(..8503)Dock &amp; Bay Hair Wrap - Pastel Pi@1;@5061011628442@(..8442)Dock &amp; Bay Hair Wrap - Cherry Bo@1;</t>
  </si>
  <si>
    <t>133478</t>
  </si>
  <si>
    <t>AU-137106</t>
  </si>
  <si>
    <t>SEAFORTH</t>
  </si>
  <si>
    <t>@AXL6289863;</t>
  </si>
  <si>
    <t>133479</t>
  </si>
  <si>
    <t>AU-137107</t>
  </si>
  <si>
    <t>ZETLAND</t>
  </si>
  <si>
    <t>@AXL6288825;</t>
  </si>
  <si>
    <t>@5060668835562@(..5562)Component Product@1;@5060668835432@(..5432)Component Product@1;@5060668835593@(..5593)Component Product@1;@5060668835586@(..5586)Component Product@1;</t>
  </si>
  <si>
    <t>133480</t>
  </si>
  <si>
    <t>AU-137108</t>
  </si>
  <si>
    <t>@AXL6289875;</t>
  </si>
  <si>
    <t>@5061011623393@(..3393)Dock &amp; Bay Quick Dry Towel - Lem@1;</t>
  </si>
  <si>
    <t>133481</t>
  </si>
  <si>
    <t>AU-137109</t>
  </si>
  <si>
    <t>SYLVANIA</t>
  </si>
  <si>
    <t>@AXL6289876;</t>
  </si>
  <si>
    <t>133482</t>
  </si>
  <si>
    <t>AU-137110</t>
  </si>
  <si>
    <t>MADORA BAY</t>
  </si>
  <si>
    <t>@AXL6289903;</t>
  </si>
  <si>
    <t>@5061011629852@(..9852)Dock &amp; Bay x UNO Quick Dry Beach@1;@5061011623515@(..3515)Dock &amp; Bay Quick Dry Towel - Gro@1;</t>
  </si>
  <si>
    <t>133483</t>
  </si>
  <si>
    <t>AU-137111</t>
  </si>
  <si>
    <t>KILLCARE HEIGHTS</t>
  </si>
  <si>
    <t>@AXL6289844;</t>
  </si>
  <si>
    <t>@5060668837092@(..7092)Dock &amp; Bay Picnic Blanket - Whit@1;@5061011623843@(..3843)Cooler Bag - Whitsunday Blue - S@1;</t>
  </si>
  <si>
    <t>133484</t>
  </si>
  <si>
    <t>AU-137112</t>
  </si>
  <si>
    <t>AVELEY</t>
  </si>
  <si>
    <t>@AXL6289864;</t>
  </si>
  <si>
    <t>133485</t>
  </si>
  <si>
    <t>AU-137113</t>
  </si>
  <si>
    <t>PYRMONT</t>
  </si>
  <si>
    <t>@AXL6289889;</t>
  </si>
  <si>
    <t>@5060668831076@(..1076)Dock &amp; Bay Quick Dry Towel - Bor@1;</t>
  </si>
  <si>
    <t>133486</t>
  </si>
  <si>
    <t>AU-137114</t>
  </si>
  <si>
    <t>MILL PARK</t>
  </si>
  <si>
    <t>@AXL6288793;</t>
  </si>
  <si>
    <t>@5060668836224@(..6224)Dock &amp; Bay Quick Dry Towel - Dee@1;</t>
  </si>
  <si>
    <t>133487</t>
  </si>
  <si>
    <t>AU-137115</t>
  </si>
  <si>
    <t>NORTH ROCKS</t>
  </si>
  <si>
    <t>@AXL6289819;</t>
  </si>
  <si>
    <t>133488</t>
  </si>
  <si>
    <t>AU-137116</t>
  </si>
  <si>
    <t>CHURCHILL</t>
  </si>
  <si>
    <t>@AXL6288990;</t>
  </si>
  <si>
    <t>133489</t>
  </si>
  <si>
    <t>AU-137117</t>
  </si>
  <si>
    <t>ARDMONA</t>
  </si>
  <si>
    <t>@AXL6289205;</t>
  </si>
  <si>
    <t>@5061011628312@(..8312)Dock &amp; Bay Quick Dry Towel - Blu@1;@5061011623607@(..3607)Dock &amp; Bay Quick Dry Towel - Sug@1;</t>
  </si>
  <si>
    <t>133490</t>
  </si>
  <si>
    <t>AU-137118</t>
  </si>
  <si>
    <t>SPRINGVALE</t>
  </si>
  <si>
    <t>@AXL6289127;</t>
  </si>
  <si>
    <t>@5060668836248@(..6248)Dock &amp; Bay Quick Dry Towel - Dee@1;</t>
  </si>
  <si>
    <t>133491</t>
  </si>
  <si>
    <t>AU-137119</t>
  </si>
  <si>
    <t>HUNTERS HILL</t>
  </si>
  <si>
    <t>@AXL6290174;</t>
  </si>
  <si>
    <t>@5060668830925@(..0925)Component Product@1;@5060668830895@(..0895)Component Product@1;@5060668830949@(..0949)Component Product@1;@5060668830918@(..0918)Component Product@1;@5060668833421@(..3421)Component Product@1;@5060668830901@(..0901)Component Product@1;</t>
  </si>
  <si>
    <t>133492</t>
  </si>
  <si>
    <t>AU-137120</t>
  </si>
  <si>
    <t>CLARE</t>
  </si>
  <si>
    <t>@AXL6290173;</t>
  </si>
  <si>
    <t>@5060668833414@(..3414)Dock &amp; Bay Quick Dry Towel - Lom@1;@5060668833421@(..3421)Dock &amp; Bay Quick Dry Towel - Cay@1;</t>
  </si>
  <si>
    <t>133493</t>
  </si>
  <si>
    <t>AU-137121</t>
  </si>
  <si>
    <t>FIVE DOCK</t>
  </si>
  <si>
    <t>@AXL6290143;</t>
  </si>
  <si>
    <t>@5061011628565@(..8565)Dock &amp; Bay Tea Towel - Catch of@1;@5061011628558@(..8558)Dock &amp; Bay Tea Towel - Dinner Pa@1;</t>
  </si>
  <si>
    <t>133494</t>
  </si>
  <si>
    <t>AU-137122</t>
  </si>
  <si>
    <t>RINGWOOD NORTH</t>
  </si>
  <si>
    <t>@AXL6290172;</t>
  </si>
  <si>
    <t>@5060668835432@(..5432)Dock &amp; Bay Quick Dry Towel - Uni@1;</t>
  </si>
  <si>
    <t>133495</t>
  </si>
  <si>
    <t>AU-137123</t>
  </si>
  <si>
    <t>RAVENSWOOD</t>
  </si>
  <si>
    <t>@AXL6291334;</t>
  </si>
  <si>
    <t>@5061011628299@(..8299)Dock &amp; Bay Quick Dry Towel - Pas@1;@5061011628305@(..8305)Dock &amp; Bay Quick Dry Towel - Ras@1;@5061011628503@(..8503)Dock &amp; Bay Hair Wrap - Pastel Pi@1;@5061011623225@(..3225)Dock &amp; Bay Hair Wrap - Miami Sor@1;</t>
  </si>
  <si>
    <t xml:space="preserve">W1 </t>
  </si>
  <si>
    <t>133496</t>
  </si>
  <si>
    <t>AU-137124</t>
  </si>
  <si>
    <t>THE POCKET</t>
  </si>
  <si>
    <t>@AXL6293766;</t>
  </si>
  <si>
    <t>@5060668831137@(..1137)Component Product@1;@5060668831052@(..1052)Component Product@1;@5060668831045@(..1045)Component Product@1;@5060668833445@(..3445)Component Product@1;</t>
  </si>
  <si>
    <t>133497</t>
  </si>
  <si>
    <t>AU-137125</t>
  </si>
  <si>
    <t>EAST FREMANTLE</t>
  </si>
  <si>
    <t>@AXL6293782;</t>
  </si>
  <si>
    <t>133498</t>
  </si>
  <si>
    <t>AU-137126</t>
  </si>
  <si>
    <t>URALLA</t>
  </si>
  <si>
    <t>@AXL6293767;</t>
  </si>
  <si>
    <t>@5061011623225@(..3225)Dock &amp; Bay Hair Wrap - Miami Sor@1;@5061011628497@(..8497)Dock &amp; Bay Hair Wrap - Squeeze t@1;</t>
  </si>
  <si>
    <t>133499</t>
  </si>
  <si>
    <t>AU-137127</t>
  </si>
  <si>
    <t>ENGADINE</t>
  </si>
  <si>
    <t>@AXL6293772;</t>
  </si>
  <si>
    <t>@5061011626509@(..6509)Component Product@1;@5061011625601@(..5601)Component Product@1;@5061011626103@(..6103)Component Product@1;@5061011625892@(..5892)Component Product@1;@5061011625625@(..5625)Component Product@1;@5061011628473@(..8473)Dock &amp; Bay Hair Wrap - Pink Para@1;</t>
  </si>
  <si>
    <t>133500</t>
  </si>
  <si>
    <t>AU-137128</t>
  </si>
  <si>
    <t>GYMEA</t>
  </si>
  <si>
    <t>@AXL6293828;</t>
  </si>
  <si>
    <t>133501</t>
  </si>
  <si>
    <t>AU-137129</t>
  </si>
  <si>
    <t>MERMAID BEACH</t>
  </si>
  <si>
    <t>@AXL6293826;</t>
  </si>
  <si>
    <t>@5060668833407@(..3407)Dock &amp; Bay Quick Dry Towel - Mal@1;@5061011624239@(..4239)Dock &amp; Bay Foldaway Tote Bags -@1;</t>
  </si>
  <si>
    <t xml:space="preserve">GC </t>
  </si>
  <si>
    <t>133502</t>
  </si>
  <si>
    <t>AU-137130</t>
  </si>
  <si>
    <t>COFFS HARBOUR</t>
  </si>
  <si>
    <t>@AXL6293977;</t>
  </si>
  <si>
    <t>@5060668830901@(..0901)Dock &amp; Bay Quick Dry Towel - Bon@1;</t>
  </si>
  <si>
    <t>133503</t>
  </si>
  <si>
    <t>AU-137131</t>
  </si>
  <si>
    <t>CHERRYBROOK</t>
  </si>
  <si>
    <t>@AXL6291377;</t>
  </si>
  <si>
    <t>@5061011623867@(..3867)Dock &amp; Bay Small Waterproof Dry@1;</t>
  </si>
  <si>
    <t>133504</t>
  </si>
  <si>
    <t>AU-137132</t>
  </si>
  <si>
    <t>THE ROCKS</t>
  </si>
  <si>
    <t>@AXL6291376;</t>
  </si>
  <si>
    <t>133505</t>
  </si>
  <si>
    <t>AU-137133</t>
  </si>
  <si>
    <t>HARLIN</t>
  </si>
  <si>
    <t>@AXL6293774;</t>
  </si>
  <si>
    <t>@5061011628503@(..8503)Dock &amp; Bay Hair Wrap - Pastel Pi@1;@5061011625830@(..5830)Component Product@1;@5061011628565@(..8565)Component Product@1;@5061011628589@(..8589)Component Product@1;@5061011628558@(..8558)Component Product@1;@5061011628572@(..8572)Component Product@1;</t>
  </si>
  <si>
    <t>133506</t>
  </si>
  <si>
    <t>AU-137134</t>
  </si>
  <si>
    <t>BERRIEDALE</t>
  </si>
  <si>
    <t>@AXL6293783;</t>
  </si>
  <si>
    <t>133507</t>
  </si>
  <si>
    <t>AU-137135</t>
  </si>
  <si>
    <t>COBBITTY</t>
  </si>
  <si>
    <t>@AXL6293773;</t>
  </si>
  <si>
    <t>@5061011623416@(..3416)Dock &amp; Bay Quick Dry Towel - Gre@1;@5060668836224@(..6224)Dock &amp; Bay Quick Dry Towel - Dee@1;@5061011623515@(..3515)Dock &amp; Bay Quick Dry Towel - Gro@1;@5061011623386@(..3386)Dock &amp; Bay Quick Dry Towel - Coo@1;</t>
  </si>
  <si>
    <t xml:space="preserve">N1 </t>
  </si>
  <si>
    <t>133508</t>
  </si>
  <si>
    <t>AU-137136</t>
  </si>
  <si>
    <t>BATCHELOR</t>
  </si>
  <si>
    <t>@AXL6294318;</t>
  </si>
  <si>
    <t>@5060668831311@(..1311)Dock &amp; Bay Quick Dry Towel - Uni@1;@5061011624178@(..4178)Dock &amp; Bay Picnic Blanket - Bana@1;</t>
  </si>
  <si>
    <t>133509</t>
  </si>
  <si>
    <t>AU-137137</t>
  </si>
  <si>
    <t>FLOREAT</t>
  </si>
  <si>
    <t>@AXL6294879;</t>
  </si>
  <si>
    <t>@5060668835968@(..5968)Dock &amp; Bay Dog Towel - Woofs Go@1;@5061011625779@(..5779)Component Product@1;@5061011628626@(..8626)Dock &amp; Bay Tea Towel - Apple Tar@1;@5061011623072@(..3072)Dock &amp; Bay Dog Towel - K9 Camo -@1;@5061011625755@(..5755)Component Product@1;</t>
  </si>
  <si>
    <t>133510</t>
  </si>
  <si>
    <t>AU-137138</t>
  </si>
  <si>
    <t>HOPPERS CROSSING</t>
  </si>
  <si>
    <t>@6943389500690;</t>
  </si>
  <si>
    <t>@AXL6289367;</t>
  </si>
  <si>
    <t>133511</t>
  </si>
  <si>
    <t>AU-137139</t>
  </si>
  <si>
    <t>TERRIGAL</t>
  </si>
  <si>
    <t>@AXL6294317;</t>
  </si>
  <si>
    <t>@5061011628459@(..8459)Dock &amp; Bay Hair Wrap - Tiger Pal@1;@5060668835968@(..5968)Dock &amp; Bay Dog Towel - Woofs Go@1;@5061011628442@(..8442)Dock &amp; Bay Hair Wrap - Cherry Bo@1;@5061011628497@(..8497)Dock &amp; Bay Hair Wrap - Squeeze t@1;@5061011625885@(..5885)Dock &amp; Bay Tea Towel - Very Appe@1;</t>
  </si>
  <si>
    <t>133512</t>
  </si>
  <si>
    <t>AU-137140</t>
  </si>
  <si>
    <t>@16;</t>
  </si>
  <si>
    <t>@AXL6294918;</t>
  </si>
  <si>
    <t>@5060668830895@(..0895)Component Product@7;@5060668830949@(..0949)Component Product@7;@5060668830918@(..0918)Component Product@7;@5060668830901@(..0901)Component Product@7;</t>
  </si>
  <si>
    <t>133513</t>
  </si>
  <si>
    <t>AU-137141</t>
  </si>
  <si>
    <t>LOTA</t>
  </si>
  <si>
    <t>@AXL6295860;</t>
  </si>
  <si>
    <t>@5060668833414@(..3414)Component Product@1;@5060668830949@(..0949)Component Product@1;@5060668830987@(..0987)Component Product@1;@5060668830994@(..0994)Component Product@1;</t>
  </si>
  <si>
    <t>133514</t>
  </si>
  <si>
    <t>AU-137142</t>
  </si>
  <si>
    <t>SILKSTONE</t>
  </si>
  <si>
    <t>@AXL6295835;</t>
  </si>
  <si>
    <t>@5061011628473@(..8473)Dock &amp; Bay Hair Wrap - Pink Para@1;</t>
  </si>
  <si>
    <t>133515</t>
  </si>
  <si>
    <t>AU-137143</t>
  </si>
  <si>
    <t>MANSFIELD</t>
  </si>
  <si>
    <t>@AXL6294231;</t>
  </si>
  <si>
    <t>@5061011628312@(..8312)Component Product@1;@5061011628336@(..8336)Component Product@1;@5061011628343@(..8343)Component Product@1;@5061011628329@(..8329)Component Product@1;</t>
  </si>
  <si>
    <t>133516</t>
  </si>
  <si>
    <t>AU-137144</t>
  </si>
  <si>
    <t>WAVELL HEIGHTS</t>
  </si>
  <si>
    <t>@AXL6295829;</t>
  </si>
  <si>
    <t>@5061011628497@(..8497)Dock &amp; Bay Hair Wrap - Squeeze t@1;</t>
  </si>
  <si>
    <t>133517</t>
  </si>
  <si>
    <t>AU-137145</t>
  </si>
  <si>
    <t>HAMILTON</t>
  </si>
  <si>
    <t>@AXL6295836;</t>
  </si>
  <si>
    <t>@5060668833445@(..3445)Dock &amp; Bay Quick Dry Towel - Mal@1;</t>
  </si>
  <si>
    <t>133518</t>
  </si>
  <si>
    <t>AU-137146</t>
  </si>
  <si>
    <t>HAWTHORN EAST</t>
  </si>
  <si>
    <t>@AXL6295851;</t>
  </si>
  <si>
    <t>@5061011624215@(..4215)Dock &amp; Bay Foldaway Tote Bags -@1;@5061011628329@(..8329)Dock &amp; Bay Quick Dry Towel - Mel@1;</t>
  </si>
  <si>
    <t>133519</t>
  </si>
  <si>
    <t>AU-137147</t>
  </si>
  <si>
    <t>@AXL6295847;</t>
  </si>
  <si>
    <t>@5061011626103@(..6103)Dock &amp; Bay Tea Towel - Peas in a@1;@5061011628565@(..8565)Dock &amp; Bay Tea Towel - Catch of@1;</t>
  </si>
  <si>
    <t>133520</t>
  </si>
  <si>
    <t>AU-137148</t>
  </si>
  <si>
    <t>APPLECROSS</t>
  </si>
  <si>
    <t>@AXL6295852;</t>
  </si>
  <si>
    <t>@5061011623416@(..3416)Dock &amp; Bay Quick Dry Towel - Gre@1;@5060668830918@(..0918)Dock &amp; Bay Quick Dry Towel - Whi@1;</t>
  </si>
  <si>
    <t>133521</t>
  </si>
  <si>
    <t>AU-137149</t>
  </si>
  <si>
    <t>NORMANVILLE</t>
  </si>
  <si>
    <t>@AXL6295839;</t>
  </si>
  <si>
    <t>@5061011628534@(..8534)Dock &amp; Bay Beauty Box - Tiger Pa@1;</t>
  </si>
  <si>
    <t>133522</t>
  </si>
  <si>
    <t>AU-137150</t>
  </si>
  <si>
    <t>HAWTHORN</t>
  </si>
  <si>
    <t>@AXL6294232;</t>
  </si>
  <si>
    <t>@5061011623379@(..3379)Component Product@1;@5061011624307@(..4307)Component Product@1;@5061011623386@(..3386)Component Product@1;@5061011623393@(..3393)Component Product@1;</t>
  </si>
  <si>
    <t>133523</t>
  </si>
  <si>
    <t>AU-137151</t>
  </si>
  <si>
    <t>KALLAROO</t>
  </si>
  <si>
    <t>@AXL6295834;</t>
  </si>
  <si>
    <t>@5061011623430@(..3430)Dock &amp; Bay Quick Dry Towel - Coa@1;</t>
  </si>
  <si>
    <t>133524</t>
  </si>
  <si>
    <t>AU-137152</t>
  </si>
  <si>
    <t>MORDIALLOC</t>
  </si>
  <si>
    <t>@AXL6296224;</t>
  </si>
  <si>
    <t>@5061011628589@(..8589)Component Product@3;</t>
  </si>
  <si>
    <t>133525</t>
  </si>
  <si>
    <t>AU-137153</t>
  </si>
  <si>
    <t>LEOPOLD</t>
  </si>
  <si>
    <t>@AXL6296221;</t>
  </si>
  <si>
    <t>133526</t>
  </si>
  <si>
    <t>AU-137154</t>
  </si>
  <si>
    <t>PAGEWOOD</t>
  </si>
  <si>
    <t>@AXL6296180;</t>
  </si>
  <si>
    <t>@5060668839133@(..9133)Dock &amp; Bay Hair Wrap - Unicorn W@1;@5061011628442@(..8442)Dock &amp; Bay Hair Wrap - Cherry Bo@1;@5061011623225@(..3225)Dock &amp; Bay Hair Wrap - Miami Sor@1;</t>
  </si>
  <si>
    <t>133527</t>
  </si>
  <si>
    <t>AU-137155</t>
  </si>
  <si>
    <t>ASPLEY</t>
  </si>
  <si>
    <t>@AXL6296181;</t>
  </si>
  <si>
    <t>@5061011624215@(..4215)Dock &amp; Bay Foldaway Tote Bags -@1;@5061011623430@(..3430)Dock &amp; Bay Quick Dry Towel - Coa@1;@5061011628442@(..8442)Dock &amp; Bay Hair Wrap - Cherry Bo@1;@5061011628664@(..8664)Dock &amp; Bay Dog Towel - Pink Paws@1;</t>
  </si>
  <si>
    <t>133528</t>
  </si>
  <si>
    <t>AU-137156</t>
  </si>
  <si>
    <t>PORT MELBOURNE</t>
  </si>
  <si>
    <t>@AXL6296194;</t>
  </si>
  <si>
    <t>@5060668831052@(..1052)Dock &amp; Bay Quick Dry Towel - Whi@2;@5056243503339@(..3339)D&amp;B x Chillys Bottle - Cabana -@1;</t>
  </si>
  <si>
    <t>133529</t>
  </si>
  <si>
    <t>AU-137157</t>
  </si>
  <si>
    <t>@AXL6293753;</t>
  </si>
  <si>
    <t>133530</t>
  </si>
  <si>
    <t>AU-137158</t>
  </si>
  <si>
    <t>SOUTH TURRAMURRA</t>
  </si>
  <si>
    <t>@AXL6293758;</t>
  </si>
  <si>
    <t>133531</t>
  </si>
  <si>
    <t>AU-137159</t>
  </si>
  <si>
    <t>KINGSTON PARK</t>
  </si>
  <si>
    <t>@AXL6296460;</t>
  </si>
  <si>
    <t>Nicole</t>
  </si>
  <si>
    <t>DOK133459 Special Instructions</t>
  </si>
  <si>
    <t>Amazon Kemps Creek</t>
  </si>
  <si>
    <t>DOK1015723</t>
  </si>
  <si>
    <t>LAB-A</t>
  </si>
  <si>
    <t>Admin Labour Hours</t>
  </si>
  <si>
    <t>LAB-W</t>
  </si>
  <si>
    <t>Warehouse Labour Hours</t>
  </si>
  <si>
    <t>Billing</t>
  </si>
  <si>
    <t>WE 01-May-26</t>
  </si>
  <si>
    <t>DOKZ2544</t>
  </si>
  <si>
    <t>DOK--STR1</t>
  </si>
  <si>
    <t>DOK--STR2</t>
  </si>
  <si>
    <t>Storage per Unit of Stock on Hand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</si>
</sst>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* #,##0.00_);_(* \(#,##0.00\);_(* &quot;-&quot;??_);_(@_)"/>
    <numFmt numFmtId="165" formatCode="_-&quot;$&quot;* #,##0.00_-;\-&quot;$&quot;* #,##0.00_-;_-&quot;$&quot;* &quot;-&quot;??_-;_-@_-"/>
    <numFmt numFmtId="166" formatCode="[$-C09]dd\-mmm\-yy;@"/>
    <numFmt numFmtId="167" formatCode="_-* #,##0_-;\-* #,##0_-;_-* &quot;-&quot;??_-;_-@_-"/>
    <numFmt numFmtId="168" formatCode="_-&quot;$&quot;\ #,##0.00_-;\-&quot;$&quot;\ #,##0.00_-;_-&quot;$&quot;\ &quot;-&quot;??_-;_-@_-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2"/>
      <color theme="1" tint="0.499984740745262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0"/>
      <name val="Calibri"/>
      <family val="2"/>
      <scheme val="minor"/>
    </font>
    <font>
      <sz val="9"/>
      <color theme="2" tint="-0.249977111117893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36">
    <xf numFmtId="0" fontId="0" fillId="0" borderId="0" xfId="0"/>
    <xf numFmtId="0" fontId="2" fillId="0" borderId="0" xfId="0" applyFont="1"/>
    <xf numFmtId="164" fontId="2" fillId="0" borderId="0" xfId="1" applyFont="1"/>
    <xf numFmtId="0" fontId="2" fillId="2" borderId="0" xfId="0" applyFont="1" applyFill="1"/>
    <xf numFmtId="167" fontId="2" fillId="0" borderId="0" xfId="1" applyNumberFormat="1" applyFont="1"/>
    <xf numFmtId="0" fontId="2" fillId="0" borderId="0" xfId="0" applyFont="1" applyAlignment="1">
      <alignment wrapText="1"/>
    </xf>
    <xf numFmtId="0" fontId="2" fillId="0" borderId="1" xfId="0" applyFont="1" applyBorder="1" applyAlignment="1">
      <alignment wrapText="1"/>
    </xf>
    <xf numFmtId="164" fontId="2" fillId="0" borderId="1" xfId="1" applyFont="1" applyBorder="1" applyAlignment="1">
      <alignment wrapText="1"/>
    </xf>
    <xf numFmtId="0" fontId="2" fillId="2" borderId="1" xfId="0" applyFont="1" applyFill="1" applyBorder="1" applyAlignment="1">
      <alignment wrapText="1"/>
    </xf>
    <xf numFmtId="167" fontId="2" fillId="0" borderId="1" xfId="1" applyNumberFormat="1" applyFont="1" applyBorder="1" applyAlignment="1">
      <alignment wrapText="1"/>
    </xf>
    <xf numFmtId="166" fontId="2" fillId="0" borderId="0" xfId="0" applyNumberFormat="1" applyFont="1"/>
    <xf numFmtId="166" fontId="2" fillId="0" borderId="1" xfId="0" applyNumberFormat="1" applyFont="1" applyBorder="1" applyAlignment="1">
      <alignment horizontal="right" wrapText="1"/>
    </xf>
    <xf numFmtId="164" fontId="2" fillId="0" borderId="1" xfId="1" applyFont="1" applyBorder="1" applyAlignment="1">
      <alignment horizontal="right" wrapText="1"/>
    </xf>
    <xf numFmtId="49" fontId="2" fillId="0" borderId="1" xfId="1" applyNumberFormat="1" applyFont="1" applyBorder="1" applyAlignment="1">
      <alignment horizontal="left" wrapText="1"/>
    </xf>
    <xf numFmtId="0" fontId="2" fillId="0" borderId="0" xfId="0" applyFont="1" applyAlignment="1">
      <alignment vertical="top"/>
    </xf>
    <xf numFmtId="167" fontId="2" fillId="0" borderId="0" xfId="1" applyNumberFormat="1" applyFont="1" applyAlignment="1">
      <alignment vertical="top"/>
    </xf>
    <xf numFmtId="49" fontId="2" fillId="0" borderId="0" xfId="1" applyNumberFormat="1" applyFont="1" applyAlignment="1">
      <alignment horizontal="left" vertical="top"/>
    </xf>
    <xf numFmtId="164" fontId="2" fillId="0" borderId="0" xfId="1" applyFont="1" applyAlignment="1">
      <alignment vertical="top"/>
    </xf>
    <xf numFmtId="164" fontId="0" fillId="0" borderId="0" xfId="1" applyFont="1" applyAlignment="1">
      <alignment vertical="top"/>
    </xf>
    <xf numFmtId="0" fontId="2" fillId="0" borderId="1" xfId="1" applyNumberFormat="1" applyFont="1" applyBorder="1" applyAlignment="1">
      <alignment wrapText="1"/>
    </xf>
    <xf numFmtId="0" fontId="2" fillId="0" borderId="0" xfId="1" applyNumberFormat="1" applyFont="1" applyAlignment="1">
      <alignment vertical="top" wrapText="1"/>
    </xf>
    <xf numFmtId="164" fontId="0" fillId="0" borderId="0" xfId="1" applyFont="1"/>
    <xf numFmtId="0" fontId="13" fillId="0" borderId="0" xfId="0" applyFont="1"/>
    <xf numFmtId="49" fontId="0" fillId="0" borderId="0" xfId="0" applyNumberFormat="1"/>
    <xf numFmtId="49" fontId="9" fillId="0" borderId="0" xfId="0" applyNumberFormat="1" applyFont="1"/>
    <xf numFmtId="49" fontId="2" fillId="0" borderId="0" xfId="0" applyNumberFormat="1" applyFont="1"/>
    <xf numFmtId="49" fontId="0" fillId="0" borderId="1" xfId="0" applyNumberFormat="1" applyBorder="1"/>
    <xf numFmtId="164" fontId="0" fillId="0" borderId="1" xfId="1" applyFont="1" applyBorder="1" applyAlignment="1">
      <alignment horizontal="right"/>
    </xf>
    <xf numFmtId="167" fontId="0" fillId="0" borderId="0" xfId="1" applyNumberFormat="1" applyFont="1"/>
    <xf numFmtId="167" fontId="0" fillId="0" borderId="1" xfId="1" applyNumberFormat="1" applyFont="1" applyBorder="1" applyAlignment="1">
      <alignment horizontal="right"/>
    </xf>
    <xf numFmtId="166" fontId="0" fillId="0" borderId="0" xfId="0" applyNumberFormat="1"/>
    <xf numFmtId="167" fontId="2" fillId="0" borderId="1" xfId="1" applyNumberFormat="1" applyFont="1" applyBorder="1" applyAlignment="1">
      <alignment horizontal="right" wrapText="1"/>
    </xf>
    <xf numFmtId="0" fontId="2" fillId="0" borderId="1" xfId="0" applyFont="1" applyBorder="1" applyAlignment="1">
      <alignment horizontal="right" wrapText="1"/>
    </xf>
    <xf numFmtId="166" fontId="2" fillId="0" borderId="1" xfId="0" applyNumberFormat="1" applyFont="1" applyBorder="1" applyAlignment="1">
      <alignment horizontal="left" wrapText="1"/>
    </xf>
    <xf numFmtId="166" fontId="2" fillId="0" borderId="0" xfId="0" applyNumberFormat="1" applyFont="1" applyAlignment="1">
      <alignment horizontal="left" vertical="top"/>
    </xf>
    <xf numFmtId="166" fontId="0" fillId="0" borderId="0" xfId="0" applyNumberFormat="1" applyAlignment="1">
      <alignment horizontal="right"/>
    </xf>
    <xf numFmtId="49" fontId="0" fillId="0" borderId="0" xfId="0" applyNumberFormat="1" applyAlignment="1">
      <alignment horizontal="right"/>
    </xf>
    <xf numFmtId="165" fontId="0" fillId="0" borderId="0" xfId="2" applyFont="1"/>
    <xf numFmtId="10" fontId="0" fillId="0" borderId="0" xfId="3" applyNumberFormat="1" applyFont="1"/>
    <xf numFmtId="164" fontId="1" fillId="0" borderId="0" xfId="1" applyFont="1"/>
    <xf numFmtId="167" fontId="1" fillId="0" borderId="0" xfId="1" applyNumberFormat="1" applyFont="1"/>
    <xf numFmtId="0" fontId="14" fillId="0" borderId="0" xfId="0" applyFont="1"/>
    <xf numFmtId="0" fontId="15" fillId="0" borderId="1" xfId="0" applyFont="1" applyBorder="1" applyAlignment="1">
      <alignment wrapText="1"/>
    </xf>
    <xf numFmtId="0" fontId="2" fillId="0" borderId="0" xfId="0" applyFont="1" applyAlignment="1">
      <alignment horizontal="left"/>
    </xf>
    <xf numFmtId="0" fontId="2" fillId="0" borderId="1" xfId="0" applyFont="1" applyBorder="1" applyAlignment="1">
      <alignment horizontal="left" wrapText="1"/>
    </xf>
    <xf numFmtId="49" fontId="2" fillId="0" borderId="1" xfId="0" applyNumberFormat="1" applyFont="1" applyBorder="1" applyAlignment="1">
      <alignment wrapText="1"/>
    </xf>
    <xf numFmtId="0" fontId="2" fillId="0" borderId="0" xfId="0" applyFont="1" applyAlignment="1" applyProtection="1">
      <alignment horizontal="left"/>
      <protection hidden="1"/>
    </xf>
    <xf numFmtId="0" fontId="2" fillId="0" borderId="1" xfId="0" applyFont="1" applyBorder="1" applyAlignment="1" applyProtection="1">
      <alignment horizontal="left"/>
      <protection hidden="1"/>
    </xf>
    <xf numFmtId="0" fontId="9" fillId="0" borderId="0" xfId="0" applyFont="1" applyProtection="1">
      <protection hidden="1"/>
    </xf>
    <xf numFmtId="0" fontId="2" fillId="0" borderId="0" xfId="0" applyFont="1" applyProtection="1">
      <protection hidden="1"/>
    </xf>
    <xf numFmtId="166" fontId="2" fillId="0" borderId="0" xfId="0" applyNumberFormat="1" applyFont="1" applyProtection="1">
      <protection hidden="1"/>
    </xf>
    <xf numFmtId="167" fontId="2" fillId="0" borderId="0" xfId="1" applyNumberFormat="1" applyFont="1" applyProtection="1">
      <protection hidden="1"/>
    </xf>
    <xf numFmtId="167" fontId="9" fillId="0" borderId="0" xfId="1" applyNumberFormat="1" applyFont="1" applyAlignment="1" applyProtection="1">
      <alignment horizontal="right"/>
      <protection hidden="1"/>
    </xf>
    <xf numFmtId="165" fontId="2" fillId="0" borderId="0" xfId="2" applyFont="1" applyProtection="1">
      <protection hidden="1"/>
    </xf>
    <xf numFmtId="164" fontId="2" fillId="0" borderId="0" xfId="1" applyFont="1" applyProtection="1">
      <protection hidden="1"/>
    </xf>
    <xf numFmtId="0" fontId="2" fillId="0" borderId="0" xfId="2" applyNumberFormat="1" applyFont="1" applyAlignment="1" applyProtection="1">
      <alignment horizontal="center"/>
      <protection hidden="1"/>
    </xf>
    <xf numFmtId="167" fontId="14" fillId="0" borderId="0" xfId="1" applyNumberFormat="1" applyFont="1" applyProtection="1">
      <protection hidden="1"/>
    </xf>
    <xf numFmtId="167" fontId="2" fillId="0" borderId="0" xfId="1" applyNumberFormat="1" applyFont="1" applyBorder="1" applyProtection="1">
      <protection hidden="1"/>
    </xf>
    <xf numFmtId="164" fontId="9" fillId="0" borderId="0" xfId="1" applyFont="1" applyAlignment="1" applyProtection="1">
      <alignment horizontal="right"/>
      <protection hidden="1"/>
    </xf>
    <xf numFmtId="164" fontId="9" fillId="0" borderId="3" xfId="1" applyFont="1" applyBorder="1" applyProtection="1">
      <protection hidden="1"/>
    </xf>
    <xf numFmtId="164" fontId="2" fillId="0" borderId="0" xfId="1" applyFont="1" applyBorder="1" applyProtection="1">
      <protection hidden="1"/>
    </xf>
    <xf numFmtId="0" fontId="9" fillId="0" borderId="0" xfId="0" applyFont="1" applyAlignment="1" applyProtection="1">
      <alignment horizontal="right"/>
      <protection hidden="1"/>
    </xf>
    <xf numFmtId="0" fontId="2" fillId="0" borderId="1" xfId="0" applyFont="1" applyBorder="1" applyAlignment="1" applyProtection="1">
      <alignment horizontal="right"/>
      <protection hidden="1"/>
    </xf>
    <xf numFmtId="0" fontId="2" fillId="0" borderId="1" xfId="0" applyFont="1" applyBorder="1" applyProtection="1">
      <protection hidden="1"/>
    </xf>
    <xf numFmtId="164" fontId="2" fillId="0" borderId="1" xfId="1" applyFont="1" applyBorder="1" applyProtection="1">
      <protection hidden="1"/>
    </xf>
    <xf numFmtId="0" fontId="2" fillId="2" borderId="1" xfId="0" applyFont="1" applyFill="1" applyBorder="1" applyProtection="1">
      <protection hidden="1"/>
    </xf>
    <xf numFmtId="0" fontId="2" fillId="2" borderId="0" xfId="0" applyFont="1" applyFill="1" applyProtection="1">
      <protection hidden="1"/>
    </xf>
    <xf numFmtId="0" fontId="14" fillId="0" borderId="0" xfId="0" applyFont="1" applyProtection="1">
      <protection hidden="1"/>
    </xf>
    <xf numFmtId="49" fontId="2" fillId="0" borderId="0" xfId="0" applyNumberFormat="1" applyFont="1" applyProtection="1">
      <protection hidden="1"/>
    </xf>
    <xf numFmtId="164" fontId="9" fillId="0" borderId="4" xfId="1" applyFont="1" applyBorder="1" applyProtection="1">
      <protection hidden="1"/>
    </xf>
    <xf numFmtId="164" fontId="9" fillId="0" borderId="5" xfId="1" applyFont="1" applyBorder="1" applyProtection="1">
      <protection hidden="1"/>
    </xf>
    <xf numFmtId="164" fontId="9" fillId="0" borderId="6" xfId="1" applyFont="1" applyBorder="1" applyProtection="1">
      <protection hidden="1"/>
    </xf>
    <xf numFmtId="166" fontId="2" fillId="0" borderId="0" xfId="0" applyNumberFormat="1" applyFont="1" applyAlignment="1" applyProtection="1">
      <alignment horizontal="left"/>
      <protection hidden="1"/>
    </xf>
    <xf numFmtId="168" fontId="2" fillId="0" borderId="0" xfId="2" applyNumberFormat="1" applyFont="1" applyAlignment="1" applyProtection="1">
      <protection hidden="1"/>
    </xf>
    <xf numFmtId="0" fontId="2" fillId="0" borderId="0" xfId="1" applyNumberFormat="1" applyFont="1" applyAlignment="1" applyProtection="1">
      <protection hidden="1"/>
    </xf>
    <xf numFmtId="49" fontId="2" fillId="0" borderId="0" xfId="1" applyNumberFormat="1" applyFont="1" applyAlignment="1" applyProtection="1">
      <alignment horizontal="left"/>
      <protection hidden="1"/>
    </xf>
    <xf numFmtId="164" fontId="2" fillId="0" borderId="0" xfId="1" applyFont="1" applyAlignment="1" applyProtection="1">
      <protection hidden="1"/>
    </xf>
    <xf numFmtId="167" fontId="2" fillId="0" borderId="0" xfId="1" applyNumberFormat="1" applyFont="1" applyAlignment="1" applyProtection="1">
      <protection hidden="1"/>
    </xf>
    <xf numFmtId="0" fontId="2" fillId="0" borderId="0" xfId="2" applyNumberFormat="1" applyFont="1" applyAlignment="1" applyProtection="1">
      <protection hidden="1"/>
    </xf>
    <xf numFmtId="0" fontId="2" fillId="0" borderId="0" xfId="1" applyNumberFormat="1" applyFont="1" applyBorder="1" applyAlignment="1" applyProtection="1">
      <protection hidden="1"/>
    </xf>
    <xf numFmtId="167" fontId="2" fillId="0" borderId="0" xfId="1" applyNumberFormat="1" applyFont="1" applyBorder="1" applyAlignment="1" applyProtection="1">
      <protection hidden="1"/>
    </xf>
    <xf numFmtId="164" fontId="9" fillId="0" borderId="3" xfId="1" applyFont="1" applyBorder="1" applyAlignment="1" applyProtection="1">
      <protection hidden="1"/>
    </xf>
    <xf numFmtId="49" fontId="2" fillId="0" borderId="0" xfId="1" applyNumberFormat="1" applyFont="1" applyBorder="1" applyAlignment="1" applyProtection="1">
      <alignment horizontal="left"/>
      <protection hidden="1"/>
    </xf>
    <xf numFmtId="164" fontId="2" fillId="0" borderId="0" xfId="1" applyFont="1" applyBorder="1" applyAlignment="1" applyProtection="1">
      <protection hidden="1"/>
    </xf>
    <xf numFmtId="0" fontId="0" fillId="0" borderId="0" xfId="0" applyProtection="1">
      <protection hidden="1"/>
    </xf>
    <xf numFmtId="164" fontId="0" fillId="0" borderId="0" xfId="1" applyFont="1" applyProtection="1">
      <protection hidden="1"/>
    </xf>
    <xf numFmtId="0" fontId="0" fillId="0" borderId="0" xfId="0" applyAlignment="1" applyProtection="1">
      <alignment horizontal="left"/>
      <protection hidden="1"/>
    </xf>
    <xf numFmtId="0" fontId="0" fillId="0" borderId="1" xfId="0" applyBorder="1" applyAlignment="1" applyProtection="1">
      <alignment horizontal="left"/>
      <protection hidden="1"/>
    </xf>
    <xf numFmtId="0" fontId="0" fillId="0" borderId="1" xfId="0" applyBorder="1" applyProtection="1">
      <protection hidden="1"/>
    </xf>
    <xf numFmtId="164" fontId="2" fillId="0" borderId="1" xfId="1" applyFont="1" applyBorder="1" applyAlignment="1" applyProtection="1">
      <alignment horizontal="right" wrapText="1"/>
      <protection hidden="1"/>
    </xf>
    <xf numFmtId="0" fontId="13" fillId="0" borderId="0" xfId="0" applyFont="1" applyAlignment="1" applyProtection="1">
      <alignment horizontal="left"/>
      <protection hidden="1"/>
    </xf>
    <xf numFmtId="0" fontId="13" fillId="0" borderId="0" xfId="0" applyFont="1" applyProtection="1">
      <protection hidden="1"/>
    </xf>
    <xf numFmtId="164" fontId="0" fillId="0" borderId="1" xfId="1" applyFont="1" applyBorder="1" applyProtection="1">
      <protection hidden="1"/>
    </xf>
    <xf numFmtId="0" fontId="2" fillId="0" borderId="0" xfId="0" applyFont="1" applyAlignment="1" applyProtection="1">
      <alignment horizontal="right"/>
      <protection hidden="1"/>
    </xf>
    <xf numFmtId="0" fontId="2" fillId="0" borderId="0" xfId="0" applyFont="1" applyAlignment="1">
      <alignment horizontal="right"/>
    </xf>
    <xf numFmtId="49" fontId="9" fillId="0" borderId="0" xfId="0" applyNumberFormat="1" applyFont="1" applyProtection="1">
      <protection hidden="1"/>
    </xf>
    <xf numFmtId="0" fontId="2" fillId="0" borderId="0" xfId="1" applyNumberFormat="1" applyFont="1" applyAlignment="1">
      <alignment horizontal="left" vertical="top" wrapText="1"/>
    </xf>
    <xf numFmtId="0" fontId="2" fillId="0" borderId="0" xfId="1" applyNumberFormat="1" applyFont="1" applyAlignment="1" applyProtection="1">
      <alignment horizontal="left" vertical="top"/>
      <protection hidden="1"/>
    </xf>
    <xf numFmtId="0" fontId="2" fillId="0" borderId="0" xfId="1" applyNumberFormat="1" applyFont="1" applyBorder="1" applyAlignment="1" applyProtection="1">
      <alignment horizontal="left" vertical="top"/>
      <protection hidden="1"/>
    </xf>
    <xf numFmtId="49" fontId="0" fillId="0" borderId="0" xfId="0" applyNumberFormat="1" applyAlignment="1">
      <alignment horizontal="left"/>
    </xf>
    <xf numFmtId="49" fontId="13" fillId="0" borderId="0" xfId="0" applyNumberFormat="1" applyFont="1" applyAlignment="1">
      <alignment horizontal="left"/>
    </xf>
    <xf numFmtId="49" fontId="2" fillId="0" borderId="0" xfId="0" applyNumberFormat="1" applyFont="1" applyAlignment="1">
      <alignment vertical="top"/>
    </xf>
    <xf numFmtId="0" fontId="7" fillId="0" borderId="0" xfId="0" applyFont="1"/>
    <xf numFmtId="0" fontId="11" fillId="0" borderId="0" xfId="0" applyFont="1" applyAlignment="1">
      <alignment horizontal="left"/>
    </xf>
    <xf numFmtId="0" fontId="12" fillId="0" borderId="0" xfId="0" applyFont="1"/>
    <xf numFmtId="0" fontId="11" fillId="0" borderId="0" xfId="0" applyFont="1" applyAlignment="1">
      <alignment horizontal="right"/>
    </xf>
    <xf numFmtId="49" fontId="2" fillId="0" borderId="0" xfId="0" applyNumberFormat="1" applyFont="1" applyAlignment="1">
      <alignment horizontal="left"/>
    </xf>
    <xf numFmtId="166" fontId="7" fillId="0" borderId="0" xfId="0" applyNumberFormat="1" applyFont="1" applyAlignment="1">
      <alignment horizontal="right"/>
    </xf>
    <xf numFmtId="0" fontId="7" fillId="0" borderId="0" xfId="0" applyFont="1" applyAlignment="1">
      <alignment horizontal="right"/>
    </xf>
    <xf numFmtId="0" fontId="10" fillId="0" borderId="0" xfId="0" applyFont="1"/>
    <xf numFmtId="166" fontId="10" fillId="0" borderId="0" xfId="0" applyNumberFormat="1" applyFont="1" applyAlignment="1">
      <alignment horizontal="right"/>
    </xf>
    <xf numFmtId="0" fontId="7" fillId="0" borderId="1" xfId="0" applyFont="1" applyBorder="1"/>
    <xf numFmtId="49" fontId="2" fillId="0" borderId="1" xfId="0" applyNumberFormat="1" applyFont="1" applyBorder="1" applyAlignment="1">
      <alignment horizontal="left"/>
    </xf>
    <xf numFmtId="0" fontId="2" fillId="0" borderId="1" xfId="0" applyFont="1" applyBorder="1" applyAlignment="1">
      <alignment horizontal="left"/>
    </xf>
    <xf numFmtId="0" fontId="7" fillId="0" borderId="1" xfId="0" applyFont="1" applyBorder="1" applyAlignment="1">
      <alignment horizontal="right"/>
    </xf>
    <xf numFmtId="165" fontId="7" fillId="0" borderId="1" xfId="2" applyFont="1" applyBorder="1" applyAlignment="1" applyProtection="1">
      <alignment horizontal="right"/>
    </xf>
    <xf numFmtId="49" fontId="8" fillId="0" borderId="0" xfId="0" applyNumberFormat="1" applyFont="1"/>
    <xf numFmtId="165" fontId="7" fillId="0" borderId="0" xfId="2" applyFont="1" applyBorder="1" applyProtection="1"/>
    <xf numFmtId="0" fontId="8" fillId="0" borderId="0" xfId="0" applyFont="1"/>
    <xf numFmtId="0" fontId="6" fillId="0" borderId="0" xfId="2" applyNumberFormat="1" applyFont="1" applyBorder="1" applyProtection="1"/>
    <xf numFmtId="0" fontId="3" fillId="0" borderId="0" xfId="0" applyFont="1" applyAlignment="1">
      <alignment horizontal="left" vertical="center" readingOrder="1"/>
    </xf>
    <xf numFmtId="0" fontId="5" fillId="0" borderId="0" xfId="0" applyFont="1"/>
    <xf numFmtId="0" fontId="4" fillId="0" borderId="0" xfId="0" applyFont="1" applyAlignment="1">
      <alignment horizontal="left" vertical="center" readingOrder="1"/>
    </xf>
    <xf numFmtId="165" fontId="7" fillId="0" borderId="1" xfId="2" applyFont="1" applyBorder="1" applyProtection="1"/>
    <xf numFmtId="165" fontId="7" fillId="0" borderId="0" xfId="2" applyFont="1" applyBorder="1" applyAlignment="1" applyProtection="1">
      <alignment horizontal="right"/>
    </xf>
    <xf numFmtId="9" fontId="7" fillId="0" borderId="0" xfId="3" applyFont="1" applyBorder="1" applyProtection="1"/>
    <xf numFmtId="49" fontId="3" fillId="0" borderId="0" xfId="0" applyNumberFormat="1" applyFont="1" applyAlignment="1">
      <alignment horizontal="left" vertical="center" readingOrder="1"/>
    </xf>
    <xf numFmtId="0" fontId="6" fillId="0" borderId="0" xfId="0" applyFont="1"/>
    <xf numFmtId="0" fontId="7" fillId="0" borderId="2" xfId="0" applyFont="1" applyBorder="1"/>
    <xf numFmtId="165" fontId="8" fillId="0" borderId="2" xfId="2" applyFont="1" applyBorder="1" applyAlignment="1" applyProtection="1">
      <alignment horizontal="right"/>
    </xf>
    <xf numFmtId="165" fontId="8" fillId="0" borderId="2" xfId="2" applyFont="1" applyBorder="1" applyProtection="1"/>
    <xf numFmtId="49" fontId="8" fillId="0" borderId="0" xfId="2" applyNumberFormat="1" applyFont="1" applyBorder="1" applyAlignment="1" applyProtection="1">
      <alignment horizontal="right"/>
    </xf>
    <xf numFmtId="49" fontId="2" fillId="0" borderId="0" xfId="0" applyNumberFormat="1" applyFont="1" applyAlignment="1" applyProtection="1">
      <alignment horizontal="right"/>
      <protection hidden="1"/>
    </xf>
    <xf numFmtId="49" fontId="2" fillId="0" borderId="1" xfId="0" applyNumberFormat="1" applyFont="1" applyBorder="1" applyAlignment="1">
      <alignment horizontal="right" wrapText="1"/>
    </xf>
    <xf numFmtId="49" fontId="2" fillId="0" borderId="0" xfId="0" applyNumberFormat="1" applyFont="1" applyAlignment="1">
      <alignment horizontal="right"/>
    </xf>
    <xf numFmtId="14" fontId="2" fillId="2" borderId="0" xfId="0" applyNumberFormat="1" applyFont="1" applyFill="1"/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2">
    <dxf>
      <font>
        <color theme="1" tint="4.9989318521683403E-2"/>
      </font>
    </dxf>
    <dxf>
      <font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gif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4" Type="http://schemas.openxmlformats.org/officeDocument/2006/relationships/image" Target="../media/image4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800100</xdr:colOff>
      <xdr:row>3</xdr:row>
      <xdr:rowOff>161925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00100" cy="800100"/>
        </a:xfrm>
        <a:prstGeom prst="rect">
          <a:avLst/>
        </a:prstGeom>
      </xdr:spPr>
    </xdr:pic>
    <xdr:clientData/>
  </xdr:twoCellAnchor>
  <xdr:twoCellAnchor editAs="oneCell">
    <xdr:from>
      <xdr:col>0</xdr:col>
      <xdr:colOff>247651</xdr:colOff>
      <xdr:row>22</xdr:row>
      <xdr:rowOff>66675</xdr:rowOff>
    </xdr:from>
    <xdr:to>
      <xdr:col>0</xdr:col>
      <xdr:colOff>721208</xdr:colOff>
      <xdr:row>24</xdr:row>
      <xdr:rowOff>114299</xdr:rowOff>
    </xdr:to>
    <xdr:pic>
      <xdr:nvPicPr>
        <xdr:cNvPr id="5" name="Picture 4" descr="http://www.lmw.vic.gov.au/LowerMurrayWaterSite/media/Images/DDLogo.jpg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1" y="4505325"/>
          <a:ext cx="473557" cy="4476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343703</xdr:colOff>
      <xdr:row>30</xdr:row>
      <xdr:rowOff>78182</xdr:rowOff>
    </xdr:from>
    <xdr:to>
      <xdr:col>0</xdr:col>
      <xdr:colOff>743216</xdr:colOff>
      <xdr:row>31</xdr:row>
      <xdr:rowOff>130157</xdr:rowOff>
    </xdr:to>
    <xdr:pic>
      <xdr:nvPicPr>
        <xdr:cNvPr id="8" name="Picture 7" descr="Mastercard Logo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20434345">
          <a:off x="343703" y="5926532"/>
          <a:ext cx="399513" cy="252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400872</xdr:colOff>
      <xdr:row>29</xdr:row>
      <xdr:rowOff>97349</xdr:rowOff>
    </xdr:from>
    <xdr:to>
      <xdr:col>0</xdr:col>
      <xdr:colOff>802872</xdr:colOff>
      <xdr:row>30</xdr:row>
      <xdr:rowOff>149324</xdr:rowOff>
    </xdr:to>
    <xdr:pic>
      <xdr:nvPicPr>
        <xdr:cNvPr id="11" name="Picture 10" descr="Visa Logo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20434345">
          <a:off x="400872" y="5736149"/>
          <a:ext cx="402000" cy="252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H244"/>
  <sheetViews>
    <sheetView tabSelected="1" workbookViewId="0"/>
  </sheetViews>
  <sheetFormatPr defaultColWidth="9.140625" defaultRowHeight="15.75" x14ac:dyDescent="0.25"/>
  <cols>
    <col min="1" max="1" width="12.85546875" style="102" customWidth="1"/>
    <col min="2" max="2" width="37.140625" style="102" customWidth="1"/>
    <col min="3" max="3" width="18.28515625" style="102" customWidth="1"/>
    <col min="4" max="4" width="4.140625" style="102" customWidth="1"/>
    <col min="5" max="5" width="36.85546875" style="102" bestFit="1" customWidth="1"/>
    <col min="6" max="6" width="8.7109375" style="102" bestFit="1" customWidth="1"/>
    <col min="7" max="7" width="11.7109375" style="102" customWidth="1"/>
    <col min="8" max="8" width="13.7109375" style="102" customWidth="1"/>
    <col min="9" max="16384" width="9.140625" style="102"/>
  </cols>
  <sheetData>
    <row r="1" spans="1:8" ht="18.75" x14ac:dyDescent="0.3">
      <c r="B1" s="103" t="str">
        <f>'Coghlan Settings'!E27&amp;IF('Coghlan Settings'!E28&lt;&gt;""," - " &amp;'Coghlan Settings'!E28,"")</f>
        <v>Coghlan Sydney Pty Ltd</v>
      </c>
      <c r="C1" s="103"/>
      <c r="D1" s="104"/>
      <c r="E1" s="104"/>
      <c r="F1" s="104"/>
      <c r="G1" s="104"/>
      <c r="H1" s="105" t="s">
        <v>41</v>
      </c>
    </row>
    <row r="2" spans="1:8" x14ac:dyDescent="0.25">
      <c r="B2" s="106" t="str">
        <f>'Coghlan Settings'!E29</f>
        <v>ABN 53003527526</v>
      </c>
      <c r="C2" s="43"/>
      <c r="G2" s="102" t="s">
        <v>42</v>
      </c>
      <c r="H2" s="107">
        <f>'Coghlan Settings'!B6</f>
        <v>46146</v>
      </c>
    </row>
    <row r="3" spans="1:8" x14ac:dyDescent="0.25">
      <c r="B3" s="106" t="str">
        <f>'Coghlan Settings'!E30</f>
        <v>PO Box 6890</v>
      </c>
      <c r="C3" s="43"/>
      <c r="G3" s="102" t="s">
        <v>95</v>
      </c>
      <c r="H3" s="108" t="str">
        <f>'Coghlan Settings'!B7</f>
        <v>DOK50347</v>
      </c>
    </row>
    <row r="4" spans="1:8" x14ac:dyDescent="0.25">
      <c r="B4" s="106" t="str">
        <f>'Coghlan Settings'!E31</f>
        <v>Wetherill Park NSW 2164</v>
      </c>
      <c r="C4" s="43"/>
      <c r="G4" s="109" t="s">
        <v>96</v>
      </c>
      <c r="H4" s="110">
        <f>'Coghlan Settings'!B8</f>
        <v>46143</v>
      </c>
    </row>
    <row r="5" spans="1:8" x14ac:dyDescent="0.25">
      <c r="A5" s="111"/>
      <c r="B5" s="112" t="str">
        <f>'Coghlan Settings'!E32</f>
        <v>Australia</v>
      </c>
      <c r="C5" s="113"/>
      <c r="D5" s="111"/>
      <c r="E5" s="111"/>
      <c r="F5" s="111"/>
      <c r="G5" s="111"/>
      <c r="H5" s="114"/>
    </row>
    <row r="8" spans="1:8" x14ac:dyDescent="0.25">
      <c r="D8" s="111" t="s">
        <v>15</v>
      </c>
      <c r="E8" s="111"/>
      <c r="F8" s="114" t="s">
        <v>16</v>
      </c>
      <c r="G8" s="115" t="s">
        <v>17</v>
      </c>
      <c r="H8" s="115" t="s">
        <v>18</v>
      </c>
    </row>
    <row r="9" spans="1:8" x14ac:dyDescent="0.25">
      <c r="A9" s="102" t="s">
        <v>39</v>
      </c>
      <c r="B9" s="116" t="str">
        <f>'Coghlan Settings'!B27</f>
        <v>Dock &amp; Bay PTY LTD</v>
      </c>
      <c r="G9" s="117"/>
      <c r="H9" s="117"/>
    </row>
    <row r="10" spans="1:8" x14ac:dyDescent="0.25">
      <c r="B10" s="102" t="str">
        <f>IF('Coghlan Settings'!B28 = "","",'Coghlan Settings'!B28)</f>
        <v>Ben Muller</v>
      </c>
      <c r="D10" s="118" t="s">
        <v>12</v>
      </c>
      <c r="F10" s="102">
        <v>1</v>
      </c>
      <c r="G10" s="117">
        <f>SUMIF('Coghlan Settings'!J:J,"4.1",'Coghlan Settings'!M:M)</f>
        <v>136.47</v>
      </c>
      <c r="H10" s="117">
        <f>ROUNDUP(F10*G10,2)</f>
        <v>136.47</v>
      </c>
    </row>
    <row r="11" spans="1:8" x14ac:dyDescent="0.25">
      <c r="B11" s="102" t="str">
        <f>IF('Coghlan Settings'!B29 = "","",'Coghlan Settings'!B29)</f>
        <v>PO Box 8006</v>
      </c>
      <c r="D11" s="118" t="s">
        <v>13</v>
      </c>
      <c r="G11" s="117"/>
      <c r="H11" s="117"/>
    </row>
    <row r="12" spans="1:8" x14ac:dyDescent="0.25">
      <c r="B12" s="102" t="str">
        <f>IF('Coghlan Settings'!B30 = "","",'Coghlan Settings'!B30)</f>
        <v/>
      </c>
      <c r="D12" s="118"/>
      <c r="E12" s="102" t="s">
        <v>14</v>
      </c>
      <c r="G12" s="117">
        <f>SUMIF('Coghlan Settings'!J:J,"1.1",'Coghlan Settings'!M:M)</f>
        <v>4.62</v>
      </c>
      <c r="H12" s="117">
        <f>ROUNDUP(F12*G12,2)</f>
        <v>0</v>
      </c>
    </row>
    <row r="13" spans="1:8" x14ac:dyDescent="0.25">
      <c r="B13" s="102" t="str">
        <f>'Coghlan Settings'!B31&amp;" "&amp;'Coghlan Settings'!B32&amp;" "&amp;'Coghlan Settings'!B33</f>
        <v>Tumbi Umbi NSW 2261</v>
      </c>
      <c r="D13" s="118"/>
      <c r="E13" s="102" t="s">
        <v>9</v>
      </c>
      <c r="G13" s="117">
        <f>SUMIF('Coghlan Settings'!J:J,"1.2",'Coghlan Settings'!M:M)</f>
        <v>5.72</v>
      </c>
      <c r="H13" s="117">
        <f>ROUNDUP(F13*G13,2)</f>
        <v>0</v>
      </c>
    </row>
    <row r="14" spans="1:8" x14ac:dyDescent="0.25">
      <c r="B14" s="102" t="str">
        <f>IF('Coghlan Settings'!B34 = "","",'Coghlan Settings'!B34)</f>
        <v>Australia</v>
      </c>
      <c r="D14" s="118"/>
      <c r="E14" s="102" t="s">
        <v>10</v>
      </c>
      <c r="G14" s="117">
        <f>SUMIF('Coghlan Settings'!J:J,"1.3",'Coghlan Settings'!M:M)</f>
        <v>3.53</v>
      </c>
      <c r="H14" s="117">
        <f>ROUNDUP(F14*G14,2)</f>
        <v>0</v>
      </c>
    </row>
    <row r="15" spans="1:8" x14ac:dyDescent="0.25">
      <c r="B15" s="118" t="str">
        <f>IF('Coghlan Settings'!B35 = "","",'Coghlan Settings'!B35)</f>
        <v>ben@dockandbay.com</v>
      </c>
      <c r="D15" s="118"/>
      <c r="E15" s="102" t="s">
        <v>11</v>
      </c>
      <c r="G15" s="117">
        <f>SUMIF('Coghlan Settings'!J:J,"1.4",'Coghlan Settings'!M:M)</f>
        <v>2.11</v>
      </c>
      <c r="H15" s="117">
        <f>ROUNDUP(F15*G15,2)</f>
        <v>0</v>
      </c>
    </row>
    <row r="16" spans="1:8" x14ac:dyDescent="0.25">
      <c r="B16" s="118" t="str">
        <f>IF('Coghlan Settings'!B36 = "","",'Coghlan Settings'!B36)</f>
        <v/>
      </c>
      <c r="D16" s="118"/>
      <c r="E16" s="102" t="s">
        <v>252</v>
      </c>
      <c r="G16" s="117">
        <f>SUMIF('Coghlan Settings'!J:J,"1.5",'Coghlan Settings'!M:M)</f>
        <v>0.12</v>
      </c>
      <c r="H16" s="117">
        <f>ROUNDUP(F16*G16,2)</f>
        <v>0</v>
      </c>
    </row>
    <row r="17" spans="1:8" x14ac:dyDescent="0.25">
      <c r="B17" s="118" t="str">
        <f>IF('Coghlan Settings'!B37 = "","",'Coghlan Settings'!B37)</f>
        <v/>
      </c>
      <c r="D17" s="118" t="s">
        <v>0</v>
      </c>
      <c r="G17" s="117"/>
      <c r="H17" s="117">
        <f>'Goods Into Store'!$L$8</f>
        <v>0</v>
      </c>
    </row>
    <row r="18" spans="1:8" x14ac:dyDescent="0.25">
      <c r="D18" s="118" t="s">
        <v>5</v>
      </c>
      <c r="G18" s="117"/>
      <c r="H18" s="117"/>
    </row>
    <row r="19" spans="1:8" x14ac:dyDescent="0.25">
      <c r="C19" s="117"/>
      <c r="D19" s="118"/>
      <c r="E19" s="102" t="s">
        <v>1</v>
      </c>
      <c r="G19" s="117"/>
      <c r="H19" s="117">
        <f>'Order Processing'!$AB$9</f>
        <v>820.80000000000064</v>
      </c>
    </row>
    <row r="20" spans="1:8" x14ac:dyDescent="0.25">
      <c r="D20" s="118"/>
      <c r="E20" s="102" t="s">
        <v>2</v>
      </c>
      <c r="G20" s="117"/>
      <c r="H20" s="117">
        <f>'Order Processing'!$AC$9</f>
        <v>1971.0999999999995</v>
      </c>
    </row>
    <row r="21" spans="1:8" x14ac:dyDescent="0.25">
      <c r="C21" s="120"/>
      <c r="D21" s="118"/>
      <c r="E21" s="102" t="s">
        <v>3</v>
      </c>
      <c r="G21" s="117"/>
      <c r="H21" s="117">
        <f>'Order Processing'!$AD$9</f>
        <v>60.180000000000128</v>
      </c>
    </row>
    <row r="22" spans="1:8" x14ac:dyDescent="0.25">
      <c r="A22" s="118" t="s">
        <v>48</v>
      </c>
      <c r="C22" s="120"/>
      <c r="D22" s="118" t="s">
        <v>6</v>
      </c>
      <c r="F22" s="102">
        <v>1</v>
      </c>
      <c r="G22" s="117">
        <f>SUMIF('Coghlan Settings'!J:J,"6.1",'Coghlan Settings'!M:M)</f>
        <v>4.6399999999999997</v>
      </c>
      <c r="H22" s="117">
        <f>ROUNDUP(F22*G22,2)</f>
        <v>4.6399999999999997</v>
      </c>
    </row>
    <row r="23" spans="1:8" x14ac:dyDescent="0.25">
      <c r="B23" s="119" t="s">
        <v>44</v>
      </c>
      <c r="C23" s="120"/>
      <c r="D23" s="118" t="s">
        <v>8</v>
      </c>
      <c r="G23" s="117"/>
      <c r="H23" s="117">
        <f>SUMIF('Other Requests'!$N$10:$N$2000,"&gt;=0")</f>
        <v>1647.52</v>
      </c>
    </row>
    <row r="24" spans="1:8" x14ac:dyDescent="0.25">
      <c r="B24" s="120" t="str">
        <f>"Account Name:  "&amp;'Coghlan Settings'!H26</f>
        <v>Account Name:  Coghlan Sydney Pty Ltd</v>
      </c>
      <c r="C24" s="121"/>
      <c r="D24" s="118" t="s">
        <v>286</v>
      </c>
      <c r="G24" s="117"/>
      <c r="H24" s="117">
        <f>SUMIF('Other Requests'!$N$10:$N$2000,"&lt;0")</f>
        <v>0</v>
      </c>
    </row>
    <row r="25" spans="1:8" x14ac:dyDescent="0.25">
      <c r="B25" s="120" t="str">
        <f>"BSB:  "&amp;'Coghlan Settings'!H28</f>
        <v>BSB:  062000   SWIFT: CTBAAU2S</v>
      </c>
      <c r="C25" s="122"/>
      <c r="D25" s="102" t="str">
        <f>IF('Coghlan Settings'!B48="Y",TEXT('Coghlan Settings'!B49,"0.00%")&amp;" "&amp;'Coghlan Settings'!B50,IF('Coghlan Settings'!B48="V",'Coghlan Settings'!B50,""))</f>
        <v/>
      </c>
      <c r="G25" s="117"/>
      <c r="H25" s="117" t="str">
        <f>IF('Coghlan Settings'!B48="Y",ROUND('Coghlan Settings'!B49*-1*SUM(H8:H24),2),IF('Coghlan Settings'!B48="V",IF('Order Processing'!H2&gt;'Coghlan Settings'!B53*1,ROUND('Coghlan Settings'!B54*-1*SUM(H8:H24),2),IF('Order Processing'!H2&gt;'Coghlan Settings'!B55*1,ROUND('Coghlan Settings'!B56*-1*SUM(H8:H24),2),IF('Order Processing'!H2&gt;'Coghlan Settings'!B57*1,ROUND('Coghlan Settings'!B58*-1*SUM(H8:H24),2),IF('Order Processing'!H2&gt;'Coghlan Settings'!B59*1,ROUND('Coghlan Settings'!B60*-1*SUM(H8:H24),2),0)))),""))</f>
        <v/>
      </c>
    </row>
    <row r="26" spans="1:8" x14ac:dyDescent="0.25">
      <c r="B26" s="120" t="str">
        <f>"Account Number:  "&amp;'Coghlan Settings'!H29</f>
        <v>Account Number:  21176183</v>
      </c>
      <c r="C26" s="120"/>
      <c r="D26" s="111"/>
      <c r="E26" s="111"/>
      <c r="F26" s="111"/>
      <c r="G26" s="123"/>
      <c r="H26" s="123"/>
    </row>
    <row r="27" spans="1:8" x14ac:dyDescent="0.25">
      <c r="B27" s="102" t="str">
        <f>"Payment Reference:  "&amp;'Coghlan Settings'!B26</f>
        <v>Payment Reference:  DOK</v>
      </c>
      <c r="C27" s="120"/>
      <c r="G27" s="124" t="s">
        <v>45</v>
      </c>
      <c r="H27" s="117">
        <f>+SUM(H8:H26)</f>
        <v>4640.71</v>
      </c>
    </row>
    <row r="28" spans="1:8" x14ac:dyDescent="0.25">
      <c r="B28" s="102" t="s">
        <v>109</v>
      </c>
      <c r="F28" s="124" t="s">
        <v>43</v>
      </c>
      <c r="G28" s="125">
        <f>+'Coghlan Settings'!E33*1</f>
        <v>0.1</v>
      </c>
      <c r="H28" s="117">
        <f>ROUND(H27*G28,2)</f>
        <v>464.07</v>
      </c>
    </row>
    <row r="29" spans="1:8" ht="16.5" thickBot="1" x14ac:dyDescent="0.3">
      <c r="B29" s="126"/>
      <c r="C29" s="127"/>
      <c r="D29" s="128"/>
      <c r="E29" s="128"/>
      <c r="F29" s="128"/>
      <c r="G29" s="129" t="s">
        <v>284</v>
      </c>
      <c r="H29" s="130">
        <f>+SUM(H27:H28)</f>
        <v>5104.78</v>
      </c>
    </row>
    <row r="30" spans="1:8" x14ac:dyDescent="0.25">
      <c r="C30" s="121"/>
      <c r="G30" s="117"/>
    </row>
    <row r="31" spans="1:8" x14ac:dyDescent="0.25">
      <c r="B31" s="127" t="s">
        <v>47</v>
      </c>
      <c r="G31" s="117"/>
      <c r="H31" s="131" t="str">
        <f>'Coghlan Settings'!B39</f>
        <v>Payment Terms: Strictly 7 Days Net</v>
      </c>
    </row>
    <row r="32" spans="1:8" x14ac:dyDescent="0.25">
      <c r="B32" s="121" t="s">
        <v>46</v>
      </c>
      <c r="C32" s="121"/>
      <c r="G32" s="124" t="s">
        <v>98</v>
      </c>
      <c r="H32" s="110">
        <f>'Coghlan Settings'!B38</f>
        <v>46241</v>
      </c>
    </row>
    <row r="33" spans="2:8" x14ac:dyDescent="0.25">
      <c r="G33" s="117"/>
      <c r="H33" s="117"/>
    </row>
    <row r="34" spans="2:8" x14ac:dyDescent="0.25">
      <c r="G34" s="117"/>
      <c r="H34" s="117"/>
    </row>
    <row r="35" spans="2:8" x14ac:dyDescent="0.25">
      <c r="G35" s="117"/>
      <c r="H35" s="117"/>
    </row>
    <row r="36" spans="2:8" x14ac:dyDescent="0.25">
      <c r="G36" s="117"/>
      <c r="H36" s="117"/>
    </row>
    <row r="37" spans="2:8" x14ac:dyDescent="0.25">
      <c r="B37"/>
      <c r="G37" s="117"/>
      <c r="H37" s="117"/>
    </row>
    <row r="38" spans="2:8" x14ac:dyDescent="0.25">
      <c r="C38"/>
      <c r="G38" s="117"/>
      <c r="H38" s="117"/>
    </row>
    <row r="39" spans="2:8" x14ac:dyDescent="0.25">
      <c r="G39" s="117"/>
      <c r="H39" s="117"/>
    </row>
    <row r="40" spans="2:8" x14ac:dyDescent="0.25">
      <c r="B40"/>
      <c r="G40" s="117"/>
      <c r="H40" s="117"/>
    </row>
    <row r="41" spans="2:8" x14ac:dyDescent="0.25">
      <c r="C41"/>
      <c r="G41" s="117"/>
      <c r="H41" s="117"/>
    </row>
    <row r="42" spans="2:8" x14ac:dyDescent="0.25">
      <c r="G42" s="117"/>
      <c r="H42" s="117"/>
    </row>
    <row r="43" spans="2:8" x14ac:dyDescent="0.25">
      <c r="G43" s="117"/>
      <c r="H43" s="117"/>
    </row>
    <row r="44" spans="2:8" x14ac:dyDescent="0.25">
      <c r="G44" s="117"/>
      <c r="H44" s="117"/>
    </row>
    <row r="45" spans="2:8" x14ac:dyDescent="0.25">
      <c r="G45" s="117"/>
      <c r="H45" s="117"/>
    </row>
    <row r="46" spans="2:8" x14ac:dyDescent="0.25">
      <c r="G46" s="117"/>
      <c r="H46" s="117"/>
    </row>
    <row r="47" spans="2:8" x14ac:dyDescent="0.25">
      <c r="G47" s="117"/>
      <c r="H47" s="117"/>
    </row>
    <row r="48" spans="2:8" x14ac:dyDescent="0.25">
      <c r="G48" s="117"/>
      <c r="H48" s="117"/>
    </row>
    <row r="49" spans="7:8" x14ac:dyDescent="0.25">
      <c r="G49" s="117"/>
      <c r="H49" s="117"/>
    </row>
    <row r="50" spans="7:8" x14ac:dyDescent="0.25">
      <c r="G50" s="117"/>
      <c r="H50" s="117"/>
    </row>
    <row r="51" spans="7:8" x14ac:dyDescent="0.25">
      <c r="G51" s="117"/>
      <c r="H51" s="117"/>
    </row>
    <row r="52" spans="7:8" x14ac:dyDescent="0.25">
      <c r="G52" s="117"/>
      <c r="H52" s="117"/>
    </row>
    <row r="53" spans="7:8" x14ac:dyDescent="0.25">
      <c r="G53" s="117"/>
      <c r="H53" s="117"/>
    </row>
    <row r="54" spans="7:8" x14ac:dyDescent="0.25">
      <c r="G54" s="117"/>
      <c r="H54" s="117"/>
    </row>
    <row r="55" spans="7:8" x14ac:dyDescent="0.25">
      <c r="G55" s="117"/>
      <c r="H55" s="117"/>
    </row>
    <row r="56" spans="7:8" x14ac:dyDescent="0.25">
      <c r="G56" s="117"/>
      <c r="H56" s="117"/>
    </row>
    <row r="57" spans="7:8" x14ac:dyDescent="0.25">
      <c r="G57" s="117"/>
      <c r="H57" s="117"/>
    </row>
    <row r="58" spans="7:8" x14ac:dyDescent="0.25">
      <c r="G58" s="117"/>
      <c r="H58" s="117"/>
    </row>
    <row r="59" spans="7:8" x14ac:dyDescent="0.25">
      <c r="G59" s="117"/>
      <c r="H59" s="117"/>
    </row>
    <row r="60" spans="7:8" x14ac:dyDescent="0.25">
      <c r="G60" s="117"/>
      <c r="H60" s="117"/>
    </row>
    <row r="61" spans="7:8" x14ac:dyDescent="0.25">
      <c r="G61" s="117"/>
      <c r="H61" s="117"/>
    </row>
    <row r="62" spans="7:8" x14ac:dyDescent="0.25">
      <c r="G62" s="117"/>
      <c r="H62" s="117"/>
    </row>
    <row r="63" spans="7:8" x14ac:dyDescent="0.25">
      <c r="G63" s="117"/>
      <c r="H63" s="117"/>
    </row>
    <row r="64" spans="7:8" x14ac:dyDescent="0.25">
      <c r="G64" s="117"/>
      <c r="H64" s="117"/>
    </row>
    <row r="65" spans="7:8" x14ac:dyDescent="0.25">
      <c r="G65" s="117"/>
      <c r="H65" s="117"/>
    </row>
    <row r="66" spans="7:8" x14ac:dyDescent="0.25">
      <c r="G66" s="117"/>
      <c r="H66" s="117"/>
    </row>
    <row r="67" spans="7:8" x14ac:dyDescent="0.25">
      <c r="G67" s="117"/>
      <c r="H67" s="117"/>
    </row>
    <row r="68" spans="7:8" x14ac:dyDescent="0.25">
      <c r="G68" s="117"/>
      <c r="H68" s="117"/>
    </row>
    <row r="69" spans="7:8" x14ac:dyDescent="0.25">
      <c r="G69" s="117"/>
      <c r="H69" s="117"/>
    </row>
    <row r="70" spans="7:8" x14ac:dyDescent="0.25">
      <c r="G70" s="117"/>
      <c r="H70" s="117"/>
    </row>
    <row r="71" spans="7:8" x14ac:dyDescent="0.25">
      <c r="G71" s="117"/>
      <c r="H71" s="117"/>
    </row>
    <row r="72" spans="7:8" x14ac:dyDescent="0.25">
      <c r="G72" s="117"/>
      <c r="H72" s="117"/>
    </row>
    <row r="73" spans="7:8" x14ac:dyDescent="0.25">
      <c r="G73" s="117"/>
      <c r="H73" s="117"/>
    </row>
    <row r="74" spans="7:8" x14ac:dyDescent="0.25">
      <c r="G74" s="117"/>
      <c r="H74" s="117"/>
    </row>
    <row r="75" spans="7:8" x14ac:dyDescent="0.25">
      <c r="G75" s="117"/>
      <c r="H75" s="117"/>
    </row>
    <row r="76" spans="7:8" x14ac:dyDescent="0.25">
      <c r="G76" s="117"/>
      <c r="H76" s="117"/>
    </row>
    <row r="77" spans="7:8" x14ac:dyDescent="0.25">
      <c r="G77" s="117"/>
      <c r="H77" s="117"/>
    </row>
    <row r="78" spans="7:8" x14ac:dyDescent="0.25">
      <c r="G78" s="117"/>
      <c r="H78" s="117"/>
    </row>
    <row r="79" spans="7:8" x14ac:dyDescent="0.25">
      <c r="G79" s="117"/>
      <c r="H79" s="117"/>
    </row>
    <row r="80" spans="7:8" x14ac:dyDescent="0.25">
      <c r="G80" s="117"/>
      <c r="H80" s="117"/>
    </row>
    <row r="81" spans="7:8" x14ac:dyDescent="0.25">
      <c r="G81" s="117"/>
      <c r="H81" s="117"/>
    </row>
    <row r="82" spans="7:8" x14ac:dyDescent="0.25">
      <c r="G82" s="117"/>
      <c r="H82" s="117"/>
    </row>
    <row r="83" spans="7:8" x14ac:dyDescent="0.25">
      <c r="G83" s="117"/>
      <c r="H83" s="117"/>
    </row>
    <row r="84" spans="7:8" x14ac:dyDescent="0.25">
      <c r="G84" s="117"/>
      <c r="H84" s="117"/>
    </row>
    <row r="85" spans="7:8" x14ac:dyDescent="0.25">
      <c r="G85" s="117"/>
      <c r="H85" s="117"/>
    </row>
    <row r="86" spans="7:8" x14ac:dyDescent="0.25">
      <c r="G86" s="117"/>
      <c r="H86" s="117"/>
    </row>
    <row r="87" spans="7:8" x14ac:dyDescent="0.25">
      <c r="G87" s="117"/>
      <c r="H87" s="117"/>
    </row>
    <row r="88" spans="7:8" x14ac:dyDescent="0.25">
      <c r="G88" s="117"/>
      <c r="H88" s="117"/>
    </row>
    <row r="89" spans="7:8" x14ac:dyDescent="0.25">
      <c r="G89" s="117"/>
      <c r="H89" s="117"/>
    </row>
    <row r="90" spans="7:8" x14ac:dyDescent="0.25">
      <c r="G90" s="117"/>
      <c r="H90" s="117"/>
    </row>
    <row r="91" spans="7:8" x14ac:dyDescent="0.25">
      <c r="G91" s="117"/>
      <c r="H91" s="117"/>
    </row>
    <row r="92" spans="7:8" x14ac:dyDescent="0.25">
      <c r="G92" s="117"/>
      <c r="H92" s="117"/>
    </row>
    <row r="93" spans="7:8" x14ac:dyDescent="0.25">
      <c r="G93" s="117"/>
      <c r="H93" s="117"/>
    </row>
    <row r="94" spans="7:8" x14ac:dyDescent="0.25">
      <c r="G94" s="117"/>
      <c r="H94" s="117"/>
    </row>
    <row r="95" spans="7:8" x14ac:dyDescent="0.25">
      <c r="G95" s="117"/>
      <c r="H95" s="117"/>
    </row>
    <row r="96" spans="7:8" x14ac:dyDescent="0.25">
      <c r="G96" s="117"/>
      <c r="H96" s="117"/>
    </row>
    <row r="97" spans="7:8" x14ac:dyDescent="0.25">
      <c r="G97" s="117"/>
      <c r="H97" s="117"/>
    </row>
    <row r="98" spans="7:8" x14ac:dyDescent="0.25">
      <c r="G98" s="117"/>
      <c r="H98" s="117"/>
    </row>
    <row r="99" spans="7:8" x14ac:dyDescent="0.25">
      <c r="G99" s="117"/>
      <c r="H99" s="117"/>
    </row>
    <row r="100" spans="7:8" x14ac:dyDescent="0.25">
      <c r="G100" s="117"/>
      <c r="H100" s="117"/>
    </row>
    <row r="101" spans="7:8" x14ac:dyDescent="0.25">
      <c r="G101" s="117"/>
      <c r="H101" s="117"/>
    </row>
    <row r="102" spans="7:8" x14ac:dyDescent="0.25">
      <c r="G102" s="117"/>
      <c r="H102" s="117"/>
    </row>
    <row r="103" spans="7:8" x14ac:dyDescent="0.25">
      <c r="G103" s="117"/>
      <c r="H103" s="117"/>
    </row>
    <row r="104" spans="7:8" x14ac:dyDescent="0.25">
      <c r="G104" s="117"/>
      <c r="H104" s="117"/>
    </row>
    <row r="105" spans="7:8" x14ac:dyDescent="0.25">
      <c r="G105" s="117"/>
      <c r="H105" s="117"/>
    </row>
    <row r="106" spans="7:8" x14ac:dyDescent="0.25">
      <c r="G106" s="117"/>
      <c r="H106" s="117"/>
    </row>
    <row r="107" spans="7:8" x14ac:dyDescent="0.25">
      <c r="G107" s="117"/>
      <c r="H107" s="117"/>
    </row>
    <row r="108" spans="7:8" x14ac:dyDescent="0.25">
      <c r="G108" s="117"/>
      <c r="H108" s="117"/>
    </row>
    <row r="109" spans="7:8" x14ac:dyDescent="0.25">
      <c r="G109" s="117"/>
      <c r="H109" s="117"/>
    </row>
    <row r="110" spans="7:8" x14ac:dyDescent="0.25">
      <c r="G110" s="117"/>
      <c r="H110" s="117"/>
    </row>
    <row r="111" spans="7:8" x14ac:dyDescent="0.25">
      <c r="G111" s="117"/>
      <c r="H111" s="117"/>
    </row>
    <row r="112" spans="7:8" x14ac:dyDescent="0.25">
      <c r="G112" s="117"/>
      <c r="H112" s="117"/>
    </row>
    <row r="113" spans="7:8" x14ac:dyDescent="0.25">
      <c r="G113" s="117"/>
      <c r="H113" s="117"/>
    </row>
    <row r="114" spans="7:8" x14ac:dyDescent="0.25">
      <c r="G114" s="117"/>
      <c r="H114" s="117"/>
    </row>
    <row r="115" spans="7:8" x14ac:dyDescent="0.25">
      <c r="G115" s="117"/>
      <c r="H115" s="117"/>
    </row>
    <row r="116" spans="7:8" x14ac:dyDescent="0.25">
      <c r="G116" s="117"/>
      <c r="H116" s="117"/>
    </row>
    <row r="117" spans="7:8" x14ac:dyDescent="0.25">
      <c r="G117" s="117"/>
      <c r="H117" s="117"/>
    </row>
    <row r="118" spans="7:8" x14ac:dyDescent="0.25">
      <c r="G118" s="117"/>
      <c r="H118" s="117"/>
    </row>
    <row r="119" spans="7:8" x14ac:dyDescent="0.25">
      <c r="G119" s="117"/>
      <c r="H119" s="117"/>
    </row>
    <row r="120" spans="7:8" x14ac:dyDescent="0.25">
      <c r="G120" s="117"/>
      <c r="H120" s="117"/>
    </row>
    <row r="121" spans="7:8" x14ac:dyDescent="0.25">
      <c r="G121" s="117"/>
      <c r="H121" s="117"/>
    </row>
    <row r="122" spans="7:8" x14ac:dyDescent="0.25">
      <c r="G122" s="117"/>
      <c r="H122" s="117"/>
    </row>
    <row r="123" spans="7:8" x14ac:dyDescent="0.25">
      <c r="G123" s="117"/>
      <c r="H123" s="117"/>
    </row>
    <row r="124" spans="7:8" x14ac:dyDescent="0.25">
      <c r="G124" s="117"/>
      <c r="H124" s="117"/>
    </row>
    <row r="125" spans="7:8" x14ac:dyDescent="0.25">
      <c r="G125" s="117"/>
      <c r="H125" s="117"/>
    </row>
    <row r="126" spans="7:8" x14ac:dyDescent="0.25">
      <c r="G126" s="117"/>
      <c r="H126" s="117"/>
    </row>
    <row r="127" spans="7:8" x14ac:dyDescent="0.25">
      <c r="G127" s="117"/>
      <c r="H127" s="117"/>
    </row>
    <row r="128" spans="7:8" x14ac:dyDescent="0.25">
      <c r="G128" s="117"/>
      <c r="H128" s="117"/>
    </row>
    <row r="129" spans="7:8" x14ac:dyDescent="0.25">
      <c r="G129" s="117"/>
      <c r="H129" s="117"/>
    </row>
    <row r="130" spans="7:8" x14ac:dyDescent="0.25">
      <c r="G130" s="117"/>
      <c r="H130" s="117"/>
    </row>
    <row r="131" spans="7:8" x14ac:dyDescent="0.25">
      <c r="G131" s="117"/>
      <c r="H131" s="117"/>
    </row>
    <row r="132" spans="7:8" x14ac:dyDescent="0.25">
      <c r="G132" s="117"/>
      <c r="H132" s="117"/>
    </row>
    <row r="133" spans="7:8" x14ac:dyDescent="0.25">
      <c r="G133" s="117"/>
      <c r="H133" s="117"/>
    </row>
    <row r="134" spans="7:8" x14ac:dyDescent="0.25">
      <c r="G134" s="117"/>
      <c r="H134" s="117"/>
    </row>
    <row r="135" spans="7:8" x14ac:dyDescent="0.25">
      <c r="G135" s="117"/>
      <c r="H135" s="117"/>
    </row>
    <row r="136" spans="7:8" x14ac:dyDescent="0.25">
      <c r="G136" s="117"/>
      <c r="H136" s="117"/>
    </row>
    <row r="137" spans="7:8" x14ac:dyDescent="0.25">
      <c r="G137" s="117"/>
      <c r="H137" s="117"/>
    </row>
    <row r="138" spans="7:8" x14ac:dyDescent="0.25">
      <c r="G138" s="117"/>
      <c r="H138" s="117"/>
    </row>
    <row r="139" spans="7:8" x14ac:dyDescent="0.25">
      <c r="G139" s="117"/>
      <c r="H139" s="117"/>
    </row>
    <row r="140" spans="7:8" x14ac:dyDescent="0.25">
      <c r="G140" s="117"/>
      <c r="H140" s="117"/>
    </row>
    <row r="141" spans="7:8" x14ac:dyDescent="0.25">
      <c r="G141" s="117"/>
      <c r="H141" s="117"/>
    </row>
    <row r="142" spans="7:8" x14ac:dyDescent="0.25">
      <c r="G142" s="117"/>
      <c r="H142" s="117"/>
    </row>
    <row r="143" spans="7:8" x14ac:dyDescent="0.25">
      <c r="G143" s="117"/>
      <c r="H143" s="117"/>
    </row>
    <row r="144" spans="7:8" x14ac:dyDescent="0.25">
      <c r="G144" s="117"/>
      <c r="H144" s="117"/>
    </row>
    <row r="145" spans="7:8" x14ac:dyDescent="0.25">
      <c r="G145" s="117"/>
      <c r="H145" s="117"/>
    </row>
    <row r="146" spans="7:8" x14ac:dyDescent="0.25">
      <c r="G146" s="117"/>
      <c r="H146" s="117"/>
    </row>
    <row r="147" spans="7:8" x14ac:dyDescent="0.25">
      <c r="G147" s="117"/>
      <c r="H147" s="117"/>
    </row>
    <row r="148" spans="7:8" x14ac:dyDescent="0.25">
      <c r="G148" s="117"/>
      <c r="H148" s="117"/>
    </row>
    <row r="149" spans="7:8" x14ac:dyDescent="0.25">
      <c r="G149" s="117"/>
      <c r="H149" s="117"/>
    </row>
    <row r="150" spans="7:8" x14ac:dyDescent="0.25">
      <c r="G150" s="117"/>
      <c r="H150" s="117"/>
    </row>
    <row r="151" spans="7:8" x14ac:dyDescent="0.25">
      <c r="G151" s="117"/>
      <c r="H151" s="117"/>
    </row>
    <row r="152" spans="7:8" x14ac:dyDescent="0.25">
      <c r="G152" s="117"/>
      <c r="H152" s="117"/>
    </row>
    <row r="153" spans="7:8" x14ac:dyDescent="0.25">
      <c r="G153" s="117"/>
      <c r="H153" s="117"/>
    </row>
    <row r="154" spans="7:8" x14ac:dyDescent="0.25">
      <c r="G154" s="117"/>
      <c r="H154" s="117"/>
    </row>
    <row r="155" spans="7:8" x14ac:dyDescent="0.25">
      <c r="G155" s="117"/>
      <c r="H155" s="117"/>
    </row>
    <row r="156" spans="7:8" x14ac:dyDescent="0.25">
      <c r="G156" s="117"/>
      <c r="H156" s="117"/>
    </row>
    <row r="157" spans="7:8" x14ac:dyDescent="0.25">
      <c r="G157" s="117"/>
      <c r="H157" s="117"/>
    </row>
    <row r="158" spans="7:8" x14ac:dyDescent="0.25">
      <c r="G158" s="117"/>
      <c r="H158" s="117"/>
    </row>
    <row r="159" spans="7:8" x14ac:dyDescent="0.25">
      <c r="G159" s="117"/>
      <c r="H159" s="117"/>
    </row>
    <row r="160" spans="7:8" x14ac:dyDescent="0.25">
      <c r="G160" s="117"/>
      <c r="H160" s="117"/>
    </row>
    <row r="161" spans="7:8" x14ac:dyDescent="0.25">
      <c r="G161" s="117"/>
      <c r="H161" s="117"/>
    </row>
    <row r="162" spans="7:8" x14ac:dyDescent="0.25">
      <c r="G162" s="117"/>
      <c r="H162" s="117"/>
    </row>
    <row r="163" spans="7:8" x14ac:dyDescent="0.25">
      <c r="G163" s="117"/>
      <c r="H163" s="117"/>
    </row>
    <row r="164" spans="7:8" x14ac:dyDescent="0.25">
      <c r="G164" s="117"/>
      <c r="H164" s="117"/>
    </row>
    <row r="165" spans="7:8" x14ac:dyDescent="0.25">
      <c r="G165" s="117"/>
      <c r="H165" s="117"/>
    </row>
    <row r="166" spans="7:8" x14ac:dyDescent="0.25">
      <c r="G166" s="117"/>
      <c r="H166" s="117"/>
    </row>
    <row r="167" spans="7:8" x14ac:dyDescent="0.25">
      <c r="G167" s="117"/>
      <c r="H167" s="117"/>
    </row>
    <row r="168" spans="7:8" x14ac:dyDescent="0.25">
      <c r="G168" s="117"/>
      <c r="H168" s="117"/>
    </row>
    <row r="169" spans="7:8" x14ac:dyDescent="0.25">
      <c r="G169" s="117"/>
      <c r="H169" s="117"/>
    </row>
    <row r="170" spans="7:8" x14ac:dyDescent="0.25">
      <c r="G170" s="117"/>
      <c r="H170" s="117"/>
    </row>
    <row r="171" spans="7:8" x14ac:dyDescent="0.25">
      <c r="G171" s="117"/>
      <c r="H171" s="117"/>
    </row>
    <row r="172" spans="7:8" x14ac:dyDescent="0.25">
      <c r="G172" s="117"/>
      <c r="H172" s="117"/>
    </row>
    <row r="173" spans="7:8" x14ac:dyDescent="0.25">
      <c r="G173" s="117"/>
      <c r="H173" s="117"/>
    </row>
    <row r="174" spans="7:8" x14ac:dyDescent="0.25">
      <c r="G174" s="117"/>
      <c r="H174" s="117"/>
    </row>
    <row r="175" spans="7:8" x14ac:dyDescent="0.25">
      <c r="G175" s="117"/>
      <c r="H175" s="117"/>
    </row>
    <row r="176" spans="7:8" x14ac:dyDescent="0.25">
      <c r="G176" s="117"/>
      <c r="H176" s="117"/>
    </row>
    <row r="177" spans="7:8" x14ac:dyDescent="0.25">
      <c r="G177" s="117"/>
      <c r="H177" s="117"/>
    </row>
    <row r="178" spans="7:8" x14ac:dyDescent="0.25">
      <c r="G178" s="117"/>
      <c r="H178" s="117"/>
    </row>
    <row r="179" spans="7:8" x14ac:dyDescent="0.25">
      <c r="G179" s="117"/>
      <c r="H179" s="117"/>
    </row>
    <row r="180" spans="7:8" x14ac:dyDescent="0.25">
      <c r="G180" s="117"/>
      <c r="H180" s="117"/>
    </row>
    <row r="181" spans="7:8" x14ac:dyDescent="0.25">
      <c r="G181" s="117"/>
      <c r="H181" s="117"/>
    </row>
    <row r="182" spans="7:8" x14ac:dyDescent="0.25">
      <c r="G182" s="117"/>
      <c r="H182" s="117"/>
    </row>
    <row r="183" spans="7:8" x14ac:dyDescent="0.25">
      <c r="G183" s="117"/>
      <c r="H183" s="117"/>
    </row>
    <row r="184" spans="7:8" x14ac:dyDescent="0.25">
      <c r="G184" s="117"/>
      <c r="H184" s="117"/>
    </row>
    <row r="185" spans="7:8" x14ac:dyDescent="0.25">
      <c r="G185" s="117"/>
      <c r="H185" s="117"/>
    </row>
    <row r="186" spans="7:8" x14ac:dyDescent="0.25">
      <c r="G186" s="117"/>
      <c r="H186" s="117"/>
    </row>
    <row r="187" spans="7:8" x14ac:dyDescent="0.25">
      <c r="G187" s="117"/>
      <c r="H187" s="117"/>
    </row>
    <row r="188" spans="7:8" x14ac:dyDescent="0.25">
      <c r="G188" s="117"/>
      <c r="H188" s="117"/>
    </row>
    <row r="189" spans="7:8" x14ac:dyDescent="0.25">
      <c r="G189" s="117"/>
      <c r="H189" s="117"/>
    </row>
    <row r="190" spans="7:8" x14ac:dyDescent="0.25">
      <c r="G190" s="117"/>
      <c r="H190" s="117"/>
    </row>
    <row r="191" spans="7:8" x14ac:dyDescent="0.25">
      <c r="G191" s="117"/>
      <c r="H191" s="117"/>
    </row>
    <row r="192" spans="7:8" x14ac:dyDescent="0.25">
      <c r="G192" s="117"/>
      <c r="H192" s="117"/>
    </row>
    <row r="193" spans="7:8" x14ac:dyDescent="0.25">
      <c r="G193" s="117"/>
      <c r="H193" s="117"/>
    </row>
    <row r="194" spans="7:8" x14ac:dyDescent="0.25">
      <c r="G194" s="117"/>
      <c r="H194" s="117"/>
    </row>
    <row r="195" spans="7:8" x14ac:dyDescent="0.25">
      <c r="G195" s="117"/>
      <c r="H195" s="117"/>
    </row>
    <row r="196" spans="7:8" x14ac:dyDescent="0.25">
      <c r="G196" s="117"/>
      <c r="H196" s="117"/>
    </row>
    <row r="197" spans="7:8" x14ac:dyDescent="0.25">
      <c r="G197" s="117"/>
      <c r="H197" s="117"/>
    </row>
    <row r="198" spans="7:8" x14ac:dyDescent="0.25">
      <c r="G198" s="117"/>
      <c r="H198" s="117"/>
    </row>
    <row r="199" spans="7:8" x14ac:dyDescent="0.25">
      <c r="G199" s="117"/>
      <c r="H199" s="117"/>
    </row>
    <row r="200" spans="7:8" x14ac:dyDescent="0.25">
      <c r="G200" s="117"/>
      <c r="H200" s="117"/>
    </row>
    <row r="201" spans="7:8" x14ac:dyDescent="0.25">
      <c r="G201" s="117"/>
      <c r="H201" s="117"/>
    </row>
    <row r="202" spans="7:8" x14ac:dyDescent="0.25">
      <c r="G202" s="117"/>
      <c r="H202" s="117"/>
    </row>
    <row r="203" spans="7:8" x14ac:dyDescent="0.25">
      <c r="G203" s="117"/>
      <c r="H203" s="117"/>
    </row>
    <row r="204" spans="7:8" x14ac:dyDescent="0.25">
      <c r="G204" s="117"/>
      <c r="H204" s="117"/>
    </row>
    <row r="205" spans="7:8" x14ac:dyDescent="0.25">
      <c r="G205" s="117"/>
      <c r="H205" s="117"/>
    </row>
    <row r="206" spans="7:8" x14ac:dyDescent="0.25">
      <c r="G206" s="117"/>
      <c r="H206" s="117"/>
    </row>
    <row r="207" spans="7:8" x14ac:dyDescent="0.25">
      <c r="G207" s="117"/>
      <c r="H207" s="117"/>
    </row>
    <row r="208" spans="7:8" x14ac:dyDescent="0.25">
      <c r="G208" s="117"/>
      <c r="H208" s="117"/>
    </row>
    <row r="209" spans="7:8" x14ac:dyDescent="0.25">
      <c r="G209" s="117"/>
      <c r="H209" s="117"/>
    </row>
    <row r="210" spans="7:8" x14ac:dyDescent="0.25">
      <c r="G210" s="117"/>
      <c r="H210" s="117"/>
    </row>
    <row r="211" spans="7:8" x14ac:dyDescent="0.25">
      <c r="G211" s="117"/>
      <c r="H211" s="117"/>
    </row>
    <row r="212" spans="7:8" x14ac:dyDescent="0.25">
      <c r="G212" s="117"/>
      <c r="H212" s="117"/>
    </row>
    <row r="213" spans="7:8" x14ac:dyDescent="0.25">
      <c r="G213" s="117"/>
      <c r="H213" s="117"/>
    </row>
    <row r="214" spans="7:8" x14ac:dyDescent="0.25">
      <c r="G214" s="117"/>
      <c r="H214" s="117"/>
    </row>
    <row r="215" spans="7:8" x14ac:dyDescent="0.25">
      <c r="G215" s="117"/>
      <c r="H215" s="117"/>
    </row>
    <row r="216" spans="7:8" x14ac:dyDescent="0.25">
      <c r="G216" s="117"/>
      <c r="H216" s="117"/>
    </row>
    <row r="217" spans="7:8" x14ac:dyDescent="0.25">
      <c r="G217" s="117"/>
      <c r="H217" s="117"/>
    </row>
    <row r="218" spans="7:8" x14ac:dyDescent="0.25">
      <c r="G218" s="117"/>
      <c r="H218" s="117"/>
    </row>
    <row r="219" spans="7:8" x14ac:dyDescent="0.25">
      <c r="G219" s="117"/>
      <c r="H219" s="117"/>
    </row>
    <row r="220" spans="7:8" x14ac:dyDescent="0.25">
      <c r="G220" s="117"/>
      <c r="H220" s="117"/>
    </row>
    <row r="221" spans="7:8" x14ac:dyDescent="0.25">
      <c r="G221" s="117"/>
      <c r="H221" s="117"/>
    </row>
    <row r="222" spans="7:8" x14ac:dyDescent="0.25">
      <c r="G222" s="117"/>
      <c r="H222" s="117"/>
    </row>
    <row r="223" spans="7:8" x14ac:dyDescent="0.25">
      <c r="G223" s="117"/>
      <c r="H223" s="117"/>
    </row>
    <row r="224" spans="7:8" x14ac:dyDescent="0.25">
      <c r="G224" s="117"/>
      <c r="H224" s="117"/>
    </row>
    <row r="225" spans="7:8" x14ac:dyDescent="0.25">
      <c r="G225" s="117"/>
      <c r="H225" s="117"/>
    </row>
    <row r="226" spans="7:8" x14ac:dyDescent="0.25">
      <c r="G226" s="117"/>
      <c r="H226" s="117"/>
    </row>
    <row r="227" spans="7:8" x14ac:dyDescent="0.25">
      <c r="G227" s="117"/>
      <c r="H227" s="117"/>
    </row>
    <row r="228" spans="7:8" x14ac:dyDescent="0.25">
      <c r="G228" s="117"/>
      <c r="H228" s="117"/>
    </row>
    <row r="229" spans="7:8" x14ac:dyDescent="0.25">
      <c r="G229" s="117"/>
      <c r="H229" s="117"/>
    </row>
    <row r="230" spans="7:8" x14ac:dyDescent="0.25">
      <c r="G230" s="117"/>
      <c r="H230" s="117"/>
    </row>
    <row r="231" spans="7:8" x14ac:dyDescent="0.25">
      <c r="G231" s="117"/>
      <c r="H231" s="117"/>
    </row>
    <row r="232" spans="7:8" x14ac:dyDescent="0.25">
      <c r="G232" s="117"/>
      <c r="H232" s="117"/>
    </row>
    <row r="233" spans="7:8" x14ac:dyDescent="0.25">
      <c r="G233" s="117"/>
      <c r="H233" s="117"/>
    </row>
    <row r="234" spans="7:8" x14ac:dyDescent="0.25">
      <c r="G234" s="117"/>
      <c r="H234" s="117"/>
    </row>
    <row r="235" spans="7:8" x14ac:dyDescent="0.25">
      <c r="G235" s="117"/>
      <c r="H235" s="117"/>
    </row>
    <row r="236" spans="7:8" x14ac:dyDescent="0.25">
      <c r="G236" s="117"/>
      <c r="H236" s="117"/>
    </row>
    <row r="237" spans="7:8" x14ac:dyDescent="0.25">
      <c r="G237" s="117"/>
      <c r="H237" s="117"/>
    </row>
    <row r="238" spans="7:8" x14ac:dyDescent="0.25">
      <c r="G238" s="117"/>
      <c r="H238" s="117"/>
    </row>
    <row r="239" spans="7:8" x14ac:dyDescent="0.25">
      <c r="G239" s="117"/>
      <c r="H239" s="117"/>
    </row>
    <row r="240" spans="7:8" x14ac:dyDescent="0.25">
      <c r="G240" s="117"/>
      <c r="H240" s="117"/>
    </row>
    <row r="241" spans="7:8" x14ac:dyDescent="0.25">
      <c r="G241" s="117"/>
      <c r="H241" s="117"/>
    </row>
    <row r="242" spans="7:8" x14ac:dyDescent="0.25">
      <c r="G242" s="117"/>
      <c r="H242" s="117"/>
    </row>
    <row r="243" spans="7:8" x14ac:dyDescent="0.25">
      <c r="G243" s="117"/>
      <c r="H243" s="117"/>
    </row>
    <row r="244" spans="7:8" x14ac:dyDescent="0.25">
      <c r="G244" s="117"/>
      <c r="H244" s="117"/>
    </row>
  </sheetData>
  <sheetProtection algorithmName="SHA-512" hashValue="BShjttBXhZS4jOSdVObu6o1d429weujPX8ocLofaWlDw0+eJqgQfGTlFofrRXs/p0IzkKCAl+kKuXfvjlHTn1A==" saltValue="w1zHXD1rTRWnA2JzHolaog==" spinCount="100000" sheet="1" objects="1" scenarios="1" selectLockedCells="1"/>
  <conditionalFormatting sqref="D24:H24">
    <cfRule type="expression" dxfId="1" priority="1">
      <formula>$H$24=0</formula>
    </cfRule>
  </conditionalFormatting>
  <pageMargins left="0.23622047244094491" right="0.23622047244094491" top="0.74803149606299213" bottom="0.74803149606299213" header="0.31496062992125984" footer="0.31496062992125984"/>
  <pageSetup paperSize="9" scale="9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/>
  <dimension ref="A1:L10"/>
  <sheetViews>
    <sheetView workbookViewId="0"/>
  </sheetViews>
  <sheetFormatPr defaultColWidth="9.140625" defaultRowHeight="12" x14ac:dyDescent="0.2"/>
  <cols>
    <col min="1" max="1" width="10" style="1" customWidth="1"/>
    <col min="2" max="2" width="6.28515625" style="1" customWidth="1"/>
    <col min="3" max="3" width="9.140625" style="10" customWidth="1"/>
    <col min="4" max="4" width="5.85546875" style="4" customWidth="1"/>
    <col min="5" max="5" width="9.140625" style="4" customWidth="1"/>
    <col min="6" max="10" width="7.7109375" style="4" customWidth="1"/>
    <col min="11" max="11" width="10" style="4" customWidth="1"/>
    <col min="12" max="12" width="10.7109375" style="2" customWidth="1"/>
    <col min="13" max="16384" width="9.140625" style="1"/>
  </cols>
  <sheetData>
    <row r="1" spans="1:12" s="49" customFormat="1" x14ac:dyDescent="0.2">
      <c r="A1" s="48" t="s">
        <v>78</v>
      </c>
      <c r="C1" s="50"/>
      <c r="D1" s="51"/>
      <c r="E1" s="52" t="s">
        <v>61</v>
      </c>
      <c r="F1" s="53">
        <f>SUMIF('Coghlan Settings'!J:J,"2.1",'Coghlan Settings'!M:M)</f>
        <v>10.37</v>
      </c>
      <c r="G1" s="51" t="s">
        <v>62</v>
      </c>
      <c r="H1" s="51"/>
      <c r="I1" s="51"/>
      <c r="J1" s="51"/>
      <c r="K1" s="51"/>
      <c r="L1" s="54"/>
    </row>
    <row r="2" spans="1:12" s="49" customFormat="1" x14ac:dyDescent="0.2">
      <c r="A2" s="49" t="str">
        <f>Invoice!$G$3 &amp; Invoice!$H$3</f>
        <v>Inv # : DOK50347</v>
      </c>
      <c r="C2" s="50"/>
      <c r="D2" s="51"/>
      <c r="E2" s="51"/>
      <c r="F2" s="53">
        <f>SUMIF('Coghlan Settings'!J:J,"2.2.1",'Coghlan Settings'!M:M)</f>
        <v>0</v>
      </c>
      <c r="G2" s="51" t="s">
        <v>63</v>
      </c>
      <c r="H2" s="51"/>
      <c r="I2" s="51"/>
      <c r="J2" s="51"/>
      <c r="K2" s="51"/>
      <c r="L2" s="54"/>
    </row>
    <row r="3" spans="1:12" s="49" customFormat="1" x14ac:dyDescent="0.2">
      <c r="A3" s="49" t="str">
        <f>Invoice!$G$4&amp;TEXT(Invoice!$H$4,"dd mmm yy")</f>
        <v>Period End : 01 May 26</v>
      </c>
      <c r="C3" s="50"/>
      <c r="D3" s="51"/>
      <c r="E3" s="51"/>
      <c r="F3" s="53">
        <f>SUMIF('Coghlan Settings'!J:J,"2.2.2",'Coghlan Settings'!M:M)</f>
        <v>0</v>
      </c>
      <c r="G3" s="51" t="s">
        <v>198</v>
      </c>
      <c r="H3" s="51"/>
      <c r="I3" s="51"/>
      <c r="J3" s="51"/>
      <c r="K3" s="51"/>
      <c r="L3" s="54"/>
    </row>
    <row r="4" spans="1:12" s="49" customFormat="1" x14ac:dyDescent="0.2">
      <c r="C4" s="50"/>
      <c r="D4" s="51"/>
      <c r="E4" s="51"/>
      <c r="F4" s="53">
        <f>SUMIF('Coghlan Settings'!J:J,"2.3",'Coghlan Settings'!M:M)</f>
        <v>9.75</v>
      </c>
      <c r="G4" s="51" t="s">
        <v>64</v>
      </c>
      <c r="H4" s="51"/>
      <c r="I4" s="51"/>
      <c r="J4" s="51"/>
      <c r="K4" s="51"/>
      <c r="L4" s="54"/>
    </row>
    <row r="5" spans="1:12" s="49" customFormat="1" x14ac:dyDescent="0.2">
      <c r="C5" s="50"/>
      <c r="D5" s="51"/>
      <c r="E5" s="51"/>
      <c r="F5" s="53">
        <f>SUMIF('Coghlan Settings'!J:J,"2.4",'Coghlan Settings'!M:M)</f>
        <v>1.19</v>
      </c>
      <c r="G5" s="51" t="s">
        <v>65</v>
      </c>
      <c r="H5" s="51"/>
      <c r="I5" s="51"/>
      <c r="J5" s="51"/>
      <c r="K5" s="51"/>
      <c r="L5" s="54"/>
    </row>
    <row r="6" spans="1:12" s="49" customFormat="1" x14ac:dyDescent="0.2">
      <c r="C6" s="50"/>
      <c r="D6" s="51"/>
      <c r="E6" s="51"/>
      <c r="F6" s="53">
        <f>SUMIF('Coghlan Settings'!J:J,"2.5",'Coghlan Settings'!M:M)</f>
        <v>56.72</v>
      </c>
      <c r="G6" s="51" t="s">
        <v>66</v>
      </c>
      <c r="H6" s="51"/>
      <c r="I6" s="51"/>
      <c r="J6" s="51"/>
      <c r="K6" s="51"/>
      <c r="L6" s="54"/>
    </row>
    <row r="7" spans="1:12" s="49" customFormat="1" x14ac:dyDescent="0.2">
      <c r="C7" s="50"/>
      <c r="D7" s="51"/>
      <c r="E7" s="51"/>
      <c r="F7" s="55" t="str">
        <f>IF(SUMIF('Coghlan Settings'!J:J,"2.6",'Coghlan Settings'!M:M)&gt;=1,"N","")</f>
        <v/>
      </c>
      <c r="G7" s="56" t="s">
        <v>203</v>
      </c>
      <c r="H7" s="51"/>
      <c r="I7" s="51"/>
      <c r="J7" s="51"/>
      <c r="K7" s="51"/>
      <c r="L7" s="54"/>
    </row>
    <row r="8" spans="1:12" s="49" customFormat="1" x14ac:dyDescent="0.2">
      <c r="C8" s="50"/>
      <c r="D8" s="51"/>
      <c r="E8" s="57"/>
      <c r="F8" s="57"/>
      <c r="G8" s="57"/>
      <c r="H8" s="51"/>
      <c r="I8" s="51"/>
      <c r="J8" s="51"/>
      <c r="K8" s="58" t="s">
        <v>94</v>
      </c>
      <c r="L8" s="59">
        <f>SUM(L11:L1048576)</f>
        <v>0</v>
      </c>
    </row>
    <row r="9" spans="1:12" s="49" customFormat="1" x14ac:dyDescent="0.2">
      <c r="C9" s="50"/>
      <c r="D9" s="51"/>
      <c r="E9" s="51"/>
      <c r="F9" s="51"/>
      <c r="G9" s="57"/>
      <c r="H9" s="57"/>
      <c r="I9" s="57"/>
      <c r="J9" s="57"/>
      <c r="K9" s="57"/>
      <c r="L9" s="60"/>
    </row>
    <row r="10" spans="1:12" s="5" customFormat="1" ht="36" x14ac:dyDescent="0.2">
      <c r="A10" s="6" t="s">
        <v>67</v>
      </c>
      <c r="B10" s="6" t="s">
        <v>69</v>
      </c>
      <c r="C10" s="11" t="s">
        <v>68</v>
      </c>
      <c r="D10" s="31" t="s">
        <v>70</v>
      </c>
      <c r="E10" s="31" t="s">
        <v>71</v>
      </c>
      <c r="F10" s="31" t="s">
        <v>72</v>
      </c>
      <c r="G10" s="31" t="s">
        <v>73</v>
      </c>
      <c r="H10" s="31" t="s">
        <v>74</v>
      </c>
      <c r="I10" s="31" t="s">
        <v>76</v>
      </c>
      <c r="J10" s="32" t="s">
        <v>75</v>
      </c>
      <c r="K10" s="31" t="s">
        <v>202</v>
      </c>
      <c r="L10" s="12" t="s">
        <v>77</v>
      </c>
    </row>
  </sheetData>
  <sheetProtection algorithmName="SHA-512" hashValue="/gClsH57X8re89STTQN+iWYV1gtOI0Vl0Unr2hWayQUXZEQtaXX8GYi8khbjMJXEXnDAnkVFz9G3GW0+YRt/FA==" saltValue="vVuIEsh5MWhfa4cbEI1jqg==" spinCount="100000" sheet="1" objects="1" scenarios="1"/>
  <conditionalFormatting sqref="G7">
    <cfRule type="expression" dxfId="0" priority="1">
      <formula>$F$7="N"</formula>
    </cfRule>
  </conditionalFormatting>
  <pageMargins left="0.23622047244094491" right="0.23622047244094491" top="0.74803149606299213" bottom="0.74803149606299213" header="0.31496062992125984" footer="0.31496062992125984"/>
  <pageSetup paperSize="9" orientation="landscape" r:id="rId1"/>
  <headerFooter>
    <oddFooter>&amp;L&amp;A&amp;RPage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AD193"/>
  <sheetViews>
    <sheetView workbookViewId="0">
      <selection activeCell="U12" sqref="U12"/>
    </sheetView>
  </sheetViews>
  <sheetFormatPr defaultColWidth="9.140625" defaultRowHeight="15" x14ac:dyDescent="0.25"/>
  <cols>
    <col min="1" max="1" width="7" style="25" bestFit="1" customWidth="1"/>
    <col min="2" max="2" width="13.140625" style="134" bestFit="1" customWidth="1"/>
    <col min="3" max="3" width="6.28515625" style="1" customWidth="1"/>
    <col min="4" max="5" width="5.42578125" style="1" customWidth="1"/>
    <col min="6" max="6" width="10.7109375" style="1" customWidth="1"/>
    <col min="7" max="7" width="8.140625" style="1" customWidth="1"/>
    <col min="8" max="8" width="10.7109375" style="1" customWidth="1"/>
    <col min="9" max="9" width="6.42578125" style="94" customWidth="1"/>
    <col min="10" max="10" width="8.140625" style="2" bestFit="1" customWidth="1"/>
    <col min="11" max="11" width="1.42578125" style="1" customWidth="1"/>
    <col min="12" max="13" width="0" style="3" hidden="1" customWidth="1"/>
    <col min="14" max="14" width="9.140625" style="1" customWidth="1"/>
    <col min="15" max="15" width="5.28515625" style="1" customWidth="1"/>
    <col min="16" max="16" width="5.7109375" style="94" customWidth="1"/>
    <col min="17" max="17" width="8.5703125" style="4" customWidth="1"/>
    <col min="18" max="18" width="8.42578125" style="2" customWidth="1"/>
    <col min="19" max="19" width="11.5703125" style="25" bestFit="1" customWidth="1"/>
    <col min="20" max="20" width="9.140625" style="1"/>
    <col min="21" max="21" width="2" bestFit="1" customWidth="1"/>
    <col min="22" max="22" width="5.42578125" style="41" customWidth="1"/>
    <col min="23" max="23" width="5.42578125" style="43" customWidth="1"/>
    <col min="24" max="24" width="9.140625" style="3" hidden="1" customWidth="1"/>
    <col min="25" max="25" width="6.42578125" style="3" hidden="1" customWidth="1"/>
    <col min="26" max="26" width="7" style="3" hidden="1" customWidth="1"/>
    <col min="27" max="30" width="9.140625" style="2"/>
    <col min="31" max="16384" width="9.140625" style="1"/>
  </cols>
  <sheetData>
    <row r="1" spans="1:30" s="49" customFormat="1" x14ac:dyDescent="0.25">
      <c r="A1" s="95" t="s">
        <v>4</v>
      </c>
      <c r="B1" s="132"/>
      <c r="F1" s="61" t="s">
        <v>61</v>
      </c>
      <c r="G1" s="62" t="s">
        <v>99</v>
      </c>
      <c r="H1" s="62" t="s">
        <v>16</v>
      </c>
      <c r="I1" s="47" t="s">
        <v>15</v>
      </c>
      <c r="J1" s="64"/>
      <c r="K1" s="63"/>
      <c r="L1" s="65"/>
      <c r="M1" s="65"/>
      <c r="N1" s="63"/>
      <c r="O1" s="63"/>
      <c r="P1" s="93"/>
      <c r="Q1" s="51"/>
      <c r="R1" s="54"/>
      <c r="S1" s="68"/>
      <c r="U1"/>
      <c r="V1" s="67"/>
      <c r="W1" s="46"/>
      <c r="X1" s="66"/>
      <c r="Y1" s="66"/>
      <c r="Z1" s="66"/>
      <c r="AA1" s="54"/>
      <c r="AB1" s="54"/>
      <c r="AC1" s="54"/>
      <c r="AD1" s="54"/>
    </row>
    <row r="2" spans="1:30" s="49" customFormat="1" x14ac:dyDescent="0.25">
      <c r="A2" s="68" t="str">
        <f>Invoice!G3 &amp; Invoice!H3</f>
        <v>Inv # : DOK50347</v>
      </c>
      <c r="B2" s="132"/>
      <c r="G2" s="53">
        <f>SUMIF('Coghlan Settings'!J:J,"5.1",'Coghlan Settings'!M:M)</f>
        <v>2.4300000000000002</v>
      </c>
      <c r="H2" s="51">
        <f>SUM(C11:C1048576)</f>
        <v>180</v>
      </c>
      <c r="I2" s="46" t="s">
        <v>49</v>
      </c>
      <c r="J2" s="54"/>
      <c r="L2" s="66"/>
      <c r="M2" s="66"/>
      <c r="P2" s="93"/>
      <c r="Q2" s="51"/>
      <c r="R2" s="54"/>
      <c r="S2" s="68"/>
      <c r="U2"/>
      <c r="V2" s="67"/>
      <c r="W2" s="46"/>
      <c r="X2" s="66"/>
      <c r="Y2" s="66"/>
      <c r="Z2" s="66"/>
      <c r="AA2" s="54"/>
      <c r="AB2" s="54"/>
      <c r="AC2" s="54"/>
      <c r="AD2" s="54"/>
    </row>
    <row r="3" spans="1:30" s="49" customFormat="1" x14ac:dyDescent="0.25">
      <c r="A3" s="68" t="str">
        <f>Invoice!G4&amp;TEXT(Invoice!H4,"dd mmm yy")</f>
        <v>Period End : 01 May 26</v>
      </c>
      <c r="B3" s="132"/>
      <c r="G3" s="53">
        <f>SUMIF('Coghlan Settings'!J:J,"5.2",'Coghlan Settings'!M:M)</f>
        <v>0.31</v>
      </c>
      <c r="H3" s="51">
        <f>SUM(D11:D1048576)</f>
        <v>412</v>
      </c>
      <c r="I3" s="46" t="s">
        <v>50</v>
      </c>
      <c r="J3" s="54"/>
      <c r="L3" s="66"/>
      <c r="M3" s="66"/>
      <c r="P3" s="93"/>
      <c r="Q3" s="51"/>
      <c r="R3" s="54"/>
      <c r="S3" s="68"/>
      <c r="U3"/>
      <c r="V3" s="67"/>
      <c r="W3" s="46"/>
      <c r="X3" s="66"/>
      <c r="Y3" s="66"/>
      <c r="Z3" s="66"/>
      <c r="AA3" s="54"/>
      <c r="AB3" s="54"/>
      <c r="AC3" s="54"/>
      <c r="AD3" s="54"/>
    </row>
    <row r="4" spans="1:30" s="49" customFormat="1" x14ac:dyDescent="0.25">
      <c r="A4" s="68"/>
      <c r="B4" s="132"/>
      <c r="G4" s="53">
        <f>SUMIF('Coghlan Settings'!J:J,"5.3",'Coghlan Settings'!M:M)</f>
        <v>0.47</v>
      </c>
      <c r="H4" s="51">
        <f>SUM(E11:E1048576)</f>
        <v>544</v>
      </c>
      <c r="I4" s="46" t="s">
        <v>51</v>
      </c>
      <c r="J4" s="54"/>
      <c r="L4" s="66"/>
      <c r="M4" s="66"/>
      <c r="P4" s="93"/>
      <c r="Q4" s="51"/>
      <c r="R4" s="54"/>
      <c r="S4" s="68"/>
      <c r="U4"/>
      <c r="V4" s="67"/>
      <c r="W4" s="46"/>
      <c r="X4" s="66"/>
      <c r="Y4" s="66"/>
      <c r="Z4" s="66"/>
      <c r="AA4" s="54"/>
      <c r="AB4" s="54"/>
      <c r="AC4" s="54"/>
      <c r="AD4" s="54"/>
    </row>
    <row r="5" spans="1:30" s="49" customFormat="1" x14ac:dyDescent="0.25">
      <c r="A5" s="68"/>
      <c r="B5" s="132"/>
      <c r="G5" s="53">
        <f>SUMIF('Coghlan Settings'!J:J,"5.4.1",'Coghlan Settings'!M:M)</f>
        <v>0</v>
      </c>
      <c r="H5" s="51">
        <f>SUM(O11:O1048576)</f>
        <v>181</v>
      </c>
      <c r="I5" s="46" t="s">
        <v>52</v>
      </c>
      <c r="J5" s="54"/>
      <c r="L5" s="66"/>
      <c r="M5" s="66"/>
      <c r="P5" s="93"/>
      <c r="Q5" s="51"/>
      <c r="R5" s="54"/>
      <c r="S5" s="68"/>
      <c r="U5"/>
      <c r="V5" s="67"/>
      <c r="W5" s="46"/>
      <c r="X5" s="66"/>
      <c r="Y5" s="66"/>
      <c r="Z5" s="66"/>
      <c r="AA5" s="54"/>
      <c r="AB5" s="54"/>
      <c r="AC5" s="54"/>
      <c r="AD5" s="54"/>
    </row>
    <row r="6" spans="1:30" s="49" customFormat="1" x14ac:dyDescent="0.25">
      <c r="A6" s="68"/>
      <c r="B6" s="132"/>
      <c r="G6" s="53">
        <f>SUMIF('Coghlan Settings'!J:J,"5.4.2",'Coghlan Settings'!M:M)</f>
        <v>0</v>
      </c>
      <c r="H6" s="51">
        <f>SUM(J11:J1048576)</f>
        <v>201.792</v>
      </c>
      <c r="I6" s="46" t="s">
        <v>53</v>
      </c>
      <c r="J6" s="54"/>
      <c r="L6" s="66"/>
      <c r="M6" s="66"/>
      <c r="P6" s="93"/>
      <c r="Q6" s="51"/>
      <c r="R6" s="54"/>
      <c r="S6" s="68"/>
      <c r="U6"/>
      <c r="V6" s="67"/>
      <c r="W6" s="46"/>
      <c r="X6" s="66"/>
      <c r="Y6" s="66"/>
      <c r="Z6" s="66"/>
      <c r="AA6" s="54"/>
      <c r="AB6" s="54"/>
      <c r="AC6" s="54"/>
      <c r="AD6" s="54"/>
    </row>
    <row r="7" spans="1:30" s="49" customFormat="1" x14ac:dyDescent="0.25">
      <c r="A7" s="68"/>
      <c r="B7" s="132"/>
      <c r="G7" s="53">
        <f>SUMIF('Coghlan Settings'!J:J,"5.5",'Coghlan Settings'!M:M)</f>
        <v>0</v>
      </c>
      <c r="H7" s="51">
        <f>COUNTA(N12:N1048576)</f>
        <v>2</v>
      </c>
      <c r="I7" s="46" t="s">
        <v>54</v>
      </c>
      <c r="J7" s="54"/>
      <c r="L7" s="66"/>
      <c r="M7" s="66"/>
      <c r="P7" s="93"/>
      <c r="Q7" s="51"/>
      <c r="R7" s="54"/>
      <c r="S7" s="68"/>
      <c r="U7"/>
      <c r="V7" s="67"/>
      <c r="W7" s="46"/>
      <c r="X7" s="66"/>
      <c r="Y7" s="66"/>
      <c r="Z7" s="66"/>
      <c r="AA7" s="54"/>
      <c r="AB7" s="54"/>
      <c r="AC7" s="54"/>
      <c r="AD7" s="54"/>
    </row>
    <row r="8" spans="1:30" s="49" customFormat="1" x14ac:dyDescent="0.25">
      <c r="A8" s="68"/>
      <c r="B8" s="132"/>
      <c r="G8" s="53">
        <f>SUMIF('Coghlan Settings'!J:J,"5.7",'Coghlan Settings'!M:M)</f>
        <v>0</v>
      </c>
      <c r="H8" s="51">
        <f>COUNTA(T12:T1048576)</f>
        <v>0</v>
      </c>
      <c r="I8" s="46" t="s">
        <v>55</v>
      </c>
      <c r="J8" s="54"/>
      <c r="L8" s="66"/>
      <c r="M8" s="66"/>
      <c r="P8" s="93"/>
      <c r="Q8" s="51"/>
      <c r="R8" s="54"/>
      <c r="S8" s="68"/>
      <c r="U8"/>
      <c r="V8" s="67"/>
      <c r="W8" s="46"/>
      <c r="X8" s="66"/>
      <c r="Y8" s="66"/>
      <c r="Z8" s="66"/>
    </row>
    <row r="9" spans="1:30" s="49" customFormat="1" x14ac:dyDescent="0.25">
      <c r="A9" s="68"/>
      <c r="B9" s="132"/>
      <c r="G9" s="53">
        <f>SUMIF('Coghlan Settings'!J:J,"5.8",'Coghlan Settings'!M:M)</f>
        <v>0</v>
      </c>
      <c r="H9" s="51">
        <f>COUNTA(U12:U1048576)</f>
        <v>0</v>
      </c>
      <c r="I9" s="46" t="s">
        <v>56</v>
      </c>
      <c r="J9" s="54"/>
      <c r="L9" s="66"/>
      <c r="M9" s="66"/>
      <c r="P9" s="93"/>
      <c r="Q9" s="51"/>
      <c r="R9" s="54"/>
      <c r="S9" s="68"/>
      <c r="U9"/>
      <c r="V9" s="67"/>
      <c r="W9" s="46"/>
      <c r="X9" s="66"/>
      <c r="Y9" s="66"/>
      <c r="Z9" s="66"/>
      <c r="AA9" s="58" t="s">
        <v>94</v>
      </c>
      <c r="AB9" s="69">
        <f>SUM(AB12:AB1048576)</f>
        <v>820.80000000000064</v>
      </c>
      <c r="AC9" s="70">
        <f>SUM(AC12:AC1048576)</f>
        <v>1971.0999999999995</v>
      </c>
      <c r="AD9" s="71">
        <f>SUM(AD12:AD1048576)</f>
        <v>60.180000000000128</v>
      </c>
    </row>
    <row r="10" spans="1:30" s="49" customFormat="1" x14ac:dyDescent="0.25">
      <c r="A10" s="68"/>
      <c r="B10" s="132"/>
      <c r="I10" s="93"/>
      <c r="J10" s="60"/>
      <c r="L10" s="66"/>
      <c r="M10" s="66"/>
      <c r="P10" s="93"/>
      <c r="Q10" s="57"/>
      <c r="R10" s="60"/>
      <c r="S10" s="68"/>
      <c r="U10"/>
      <c r="V10" s="67"/>
      <c r="W10" s="46"/>
      <c r="X10" s="66"/>
      <c r="Y10" s="66"/>
      <c r="Z10" s="66"/>
      <c r="AA10" s="60"/>
      <c r="AB10" s="60"/>
      <c r="AC10" s="60"/>
      <c r="AD10" s="60"/>
    </row>
    <row r="11" spans="1:30" s="5" customFormat="1" ht="48" x14ac:dyDescent="0.2">
      <c r="A11" s="45" t="s">
        <v>19</v>
      </c>
      <c r="B11" s="133" t="s">
        <v>20</v>
      </c>
      <c r="C11" s="6" t="s">
        <v>21</v>
      </c>
      <c r="D11" s="6" t="s">
        <v>22</v>
      </c>
      <c r="E11" s="6" t="s">
        <v>23</v>
      </c>
      <c r="F11" s="6" t="s">
        <v>24</v>
      </c>
      <c r="G11" s="6" t="s">
        <v>25</v>
      </c>
      <c r="H11" s="6" t="s">
        <v>26</v>
      </c>
      <c r="I11" s="32" t="s">
        <v>27</v>
      </c>
      <c r="J11" s="7" t="s">
        <v>28</v>
      </c>
      <c r="K11" s="6"/>
      <c r="L11" s="8" t="s">
        <v>29</v>
      </c>
      <c r="M11" s="8" t="s">
        <v>3</v>
      </c>
      <c r="N11" s="6" t="s">
        <v>30</v>
      </c>
      <c r="O11" s="6" t="s">
        <v>31</v>
      </c>
      <c r="P11" s="32" t="s">
        <v>32</v>
      </c>
      <c r="Q11" s="9" t="s">
        <v>33</v>
      </c>
      <c r="R11" s="7" t="s">
        <v>285</v>
      </c>
      <c r="S11" s="45" t="s">
        <v>34</v>
      </c>
      <c r="T11" s="6" t="s">
        <v>35</v>
      </c>
      <c r="U11" s="6"/>
      <c r="V11" s="42" t="s">
        <v>23</v>
      </c>
      <c r="W11" s="44" t="s">
        <v>201</v>
      </c>
      <c r="X11" s="8" t="s">
        <v>36</v>
      </c>
      <c r="Y11" s="8" t="s">
        <v>37</v>
      </c>
      <c r="Z11" s="8" t="s">
        <v>38</v>
      </c>
      <c r="AA11" s="7" t="s">
        <v>60</v>
      </c>
      <c r="AB11" s="7" t="s">
        <v>57</v>
      </c>
      <c r="AC11" s="7" t="s">
        <v>58</v>
      </c>
      <c r="AD11" s="7" t="s">
        <v>59</v>
      </c>
    </row>
    <row r="13" spans="1:30" x14ac:dyDescent="0.25">
      <c r="A13" s="25" t="s">
        <v>374</v>
      </c>
      <c r="B13" s="134" t="s">
        <v>375</v>
      </c>
      <c r="C13" s="1">
        <v>1</v>
      </c>
      <c r="D13" s="1">
        <v>1</v>
      </c>
      <c r="E13" s="1">
        <v>1</v>
      </c>
      <c r="F13" s="1" t="s">
        <v>376</v>
      </c>
      <c r="G13" s="1">
        <v>1900</v>
      </c>
      <c r="H13" s="1" t="s">
        <v>377</v>
      </c>
      <c r="I13" s="94">
        <v>131</v>
      </c>
      <c r="J13" s="2">
        <v>1.2</v>
      </c>
      <c r="L13" s="135">
        <v>46141</v>
      </c>
      <c r="M13" s="3" t="s">
        <v>378</v>
      </c>
      <c r="O13" s="1">
        <v>1</v>
      </c>
      <c r="P13" s="94">
        <v>10</v>
      </c>
      <c r="Q13" s="4">
        <v>0</v>
      </c>
      <c r="R13" s="2">
        <v>0</v>
      </c>
      <c r="S13" s="25" t="s">
        <v>379</v>
      </c>
      <c r="V13" s="41" t="s">
        <v>380</v>
      </c>
      <c r="W13" s="43">
        <v>5</v>
      </c>
      <c r="AB13" s="2">
        <v>3.21</v>
      </c>
      <c r="AC13" s="2">
        <v>43.59</v>
      </c>
      <c r="AD13" s="2">
        <v>0.28000000000000003</v>
      </c>
    </row>
    <row r="14" spans="1:30" x14ac:dyDescent="0.25">
      <c r="A14" s="25" t="s">
        <v>381</v>
      </c>
      <c r="B14" s="134" t="s">
        <v>382</v>
      </c>
      <c r="C14" s="1">
        <v>1</v>
      </c>
      <c r="D14" s="1">
        <v>3</v>
      </c>
      <c r="E14" s="1">
        <v>3</v>
      </c>
      <c r="F14" s="1" t="s">
        <v>383</v>
      </c>
      <c r="G14" s="1">
        <v>4717</v>
      </c>
      <c r="H14" s="1" t="s">
        <v>384</v>
      </c>
      <c r="I14" s="94">
        <v>155</v>
      </c>
      <c r="J14" s="2">
        <v>0.86299999999999999</v>
      </c>
      <c r="L14" s="135">
        <v>46143</v>
      </c>
      <c r="M14" s="3" t="s">
        <v>385</v>
      </c>
      <c r="O14" s="1">
        <v>1</v>
      </c>
      <c r="P14" s="94">
        <v>2</v>
      </c>
      <c r="Q14" s="4">
        <v>0</v>
      </c>
      <c r="R14" s="2">
        <v>0</v>
      </c>
      <c r="S14" s="25" t="s">
        <v>386</v>
      </c>
      <c r="V14" s="41" t="s">
        <v>387</v>
      </c>
      <c r="W14" s="43" t="s">
        <v>388</v>
      </c>
      <c r="AB14" s="2">
        <v>4.7699999999999996</v>
      </c>
      <c r="AC14" s="2">
        <v>20.68</v>
      </c>
      <c r="AD14" s="2">
        <v>0.81</v>
      </c>
    </row>
    <row r="15" spans="1:30" x14ac:dyDescent="0.25">
      <c r="A15" s="25" t="s">
        <v>389</v>
      </c>
      <c r="B15" s="134" t="s">
        <v>390</v>
      </c>
      <c r="C15" s="1">
        <v>1</v>
      </c>
      <c r="D15" s="1">
        <v>1</v>
      </c>
      <c r="E15" s="1">
        <v>1</v>
      </c>
      <c r="F15" s="1" t="s">
        <v>391</v>
      </c>
      <c r="G15" s="1">
        <v>3085</v>
      </c>
      <c r="H15" s="1" t="s">
        <v>384</v>
      </c>
      <c r="I15" s="94">
        <v>155</v>
      </c>
      <c r="J15" s="2">
        <v>0.54700000000000004</v>
      </c>
      <c r="L15" s="135">
        <v>46140</v>
      </c>
      <c r="M15" s="3" t="s">
        <v>392</v>
      </c>
      <c r="O15" s="1">
        <v>1</v>
      </c>
      <c r="P15" s="94">
        <v>2</v>
      </c>
      <c r="Q15" s="4">
        <v>0</v>
      </c>
      <c r="R15" s="2">
        <v>0</v>
      </c>
      <c r="S15" s="25" t="s">
        <v>393</v>
      </c>
      <c r="V15" s="41" t="s">
        <v>394</v>
      </c>
      <c r="W15" s="43" t="s">
        <v>395</v>
      </c>
      <c r="AB15" s="2">
        <v>3.21</v>
      </c>
      <c r="AC15" s="2">
        <v>8.6</v>
      </c>
      <c r="AD15" s="2">
        <v>0.28000000000000003</v>
      </c>
    </row>
    <row r="16" spans="1:30" x14ac:dyDescent="0.25">
      <c r="A16" s="25" t="s">
        <v>396</v>
      </c>
      <c r="B16" s="134" t="s">
        <v>397</v>
      </c>
      <c r="C16" s="1">
        <v>1</v>
      </c>
      <c r="D16" s="1">
        <v>10</v>
      </c>
      <c r="E16" s="1">
        <v>10</v>
      </c>
      <c r="F16" s="1" t="s">
        <v>398</v>
      </c>
      <c r="G16" s="1">
        <v>3820</v>
      </c>
      <c r="H16" s="1" t="s">
        <v>384</v>
      </c>
      <c r="I16" s="94">
        <v>155</v>
      </c>
      <c r="J16" s="2">
        <v>2.726</v>
      </c>
      <c r="L16" s="135">
        <v>46140</v>
      </c>
      <c r="M16" s="3" t="s">
        <v>399</v>
      </c>
      <c r="O16" s="1">
        <v>1</v>
      </c>
      <c r="P16" s="94">
        <v>2</v>
      </c>
      <c r="Q16" s="4">
        <v>0</v>
      </c>
      <c r="R16" s="2">
        <v>0</v>
      </c>
      <c r="S16" s="25" t="s">
        <v>400</v>
      </c>
      <c r="V16" s="41" t="s">
        <v>401</v>
      </c>
      <c r="W16" s="43" t="s">
        <v>402</v>
      </c>
      <c r="AB16" s="2">
        <v>10.23</v>
      </c>
      <c r="AC16" s="2">
        <v>22.3</v>
      </c>
      <c r="AD16" s="2">
        <v>1.04</v>
      </c>
    </row>
    <row r="17" spans="1:30" x14ac:dyDescent="0.25">
      <c r="A17" s="25" t="s">
        <v>403</v>
      </c>
      <c r="B17" s="134" t="s">
        <v>404</v>
      </c>
      <c r="C17" s="1">
        <v>1</v>
      </c>
      <c r="D17" s="1">
        <v>1</v>
      </c>
      <c r="E17" s="1">
        <v>1</v>
      </c>
      <c r="F17" s="1" t="s">
        <v>405</v>
      </c>
      <c r="G17" s="1">
        <v>6055</v>
      </c>
      <c r="H17" s="1" t="s">
        <v>384</v>
      </c>
      <c r="I17" s="94">
        <v>155</v>
      </c>
      <c r="J17" s="2">
        <v>1.69</v>
      </c>
      <c r="L17" s="135">
        <v>46140</v>
      </c>
      <c r="M17" s="3" t="s">
        <v>378</v>
      </c>
      <c r="O17" s="1">
        <v>1</v>
      </c>
      <c r="P17" s="94">
        <v>2</v>
      </c>
      <c r="Q17" s="4">
        <v>0</v>
      </c>
      <c r="R17" s="2">
        <v>0</v>
      </c>
      <c r="S17" s="25" t="s">
        <v>406</v>
      </c>
      <c r="V17" s="41" t="s">
        <v>407</v>
      </c>
      <c r="W17" s="43" t="s">
        <v>408</v>
      </c>
      <c r="AB17" s="2">
        <v>3.21</v>
      </c>
      <c r="AC17" s="2">
        <v>15.52</v>
      </c>
      <c r="AD17" s="2">
        <v>0.28000000000000003</v>
      </c>
    </row>
    <row r="18" spans="1:30" x14ac:dyDescent="0.25">
      <c r="A18" s="25" t="s">
        <v>409</v>
      </c>
      <c r="B18" s="134" t="s">
        <v>410</v>
      </c>
      <c r="C18" s="1">
        <v>1</v>
      </c>
      <c r="D18" s="1">
        <v>3</v>
      </c>
      <c r="E18" s="1">
        <v>3</v>
      </c>
      <c r="F18" s="1" t="s">
        <v>411</v>
      </c>
      <c r="G18" s="1">
        <v>2477</v>
      </c>
      <c r="H18" s="1" t="s">
        <v>384</v>
      </c>
      <c r="I18" s="94">
        <v>155</v>
      </c>
      <c r="J18" s="2">
        <v>0.64200000000000002</v>
      </c>
      <c r="L18" s="135">
        <v>46140</v>
      </c>
      <c r="M18" s="3" t="s">
        <v>412</v>
      </c>
      <c r="O18" s="1">
        <v>1</v>
      </c>
      <c r="P18" s="94">
        <v>2</v>
      </c>
      <c r="Q18" s="4">
        <v>0</v>
      </c>
      <c r="R18" s="2">
        <v>0</v>
      </c>
      <c r="S18" s="25" t="s">
        <v>413</v>
      </c>
      <c r="V18" s="41" t="s">
        <v>414</v>
      </c>
      <c r="W18" s="43" t="s">
        <v>415</v>
      </c>
      <c r="AB18" s="2">
        <v>4.7699999999999996</v>
      </c>
      <c r="AC18" s="2">
        <v>13.77</v>
      </c>
      <c r="AD18" s="2">
        <v>0.28000000000000003</v>
      </c>
    </row>
    <row r="19" spans="1:30" x14ac:dyDescent="0.25">
      <c r="A19" s="25" t="s">
        <v>416</v>
      </c>
      <c r="B19" s="134" t="s">
        <v>417</v>
      </c>
      <c r="C19" s="1">
        <v>1</v>
      </c>
      <c r="D19" s="1">
        <v>1</v>
      </c>
      <c r="E19" s="1">
        <v>1</v>
      </c>
      <c r="F19" s="1" t="s">
        <v>418</v>
      </c>
      <c r="G19" s="1">
        <v>3030</v>
      </c>
      <c r="H19" s="1" t="s">
        <v>384</v>
      </c>
      <c r="I19" s="94">
        <v>155</v>
      </c>
      <c r="J19" s="2">
        <v>0.27100000000000002</v>
      </c>
      <c r="L19" s="135">
        <v>46140</v>
      </c>
      <c r="M19" s="3" t="s">
        <v>392</v>
      </c>
      <c r="O19" s="1">
        <v>1</v>
      </c>
      <c r="P19" s="94">
        <v>2</v>
      </c>
      <c r="Q19" s="4">
        <v>0</v>
      </c>
      <c r="R19" s="2">
        <v>0</v>
      </c>
      <c r="S19" s="25" t="s">
        <v>419</v>
      </c>
      <c r="V19" s="41" t="s">
        <v>420</v>
      </c>
      <c r="W19" s="43" t="s">
        <v>395</v>
      </c>
      <c r="AB19" s="2">
        <v>3.21</v>
      </c>
      <c r="AC19" s="2">
        <v>6.93</v>
      </c>
      <c r="AD19" s="2">
        <v>0.28000000000000003</v>
      </c>
    </row>
    <row r="20" spans="1:30" x14ac:dyDescent="0.25">
      <c r="A20" s="25" t="s">
        <v>421</v>
      </c>
      <c r="B20" s="134" t="s">
        <v>422</v>
      </c>
      <c r="C20" s="1">
        <v>1</v>
      </c>
      <c r="D20" s="1">
        <v>1</v>
      </c>
      <c r="E20" s="1">
        <v>1</v>
      </c>
      <c r="F20" s="1" t="s">
        <v>423</v>
      </c>
      <c r="G20" s="1">
        <v>3183</v>
      </c>
      <c r="H20" s="1" t="s">
        <v>384</v>
      </c>
      <c r="I20" s="94">
        <v>155</v>
      </c>
      <c r="J20" s="2">
        <v>1.17</v>
      </c>
      <c r="L20" s="135">
        <v>46140</v>
      </c>
      <c r="M20" s="3" t="s">
        <v>378</v>
      </c>
      <c r="O20" s="1">
        <v>1</v>
      </c>
      <c r="P20" s="94">
        <v>2</v>
      </c>
      <c r="Q20" s="4">
        <v>0</v>
      </c>
      <c r="R20" s="2">
        <v>0</v>
      </c>
      <c r="S20" s="25" t="s">
        <v>424</v>
      </c>
      <c r="V20" s="41" t="s">
        <v>425</v>
      </c>
      <c r="W20" s="43" t="s">
        <v>395</v>
      </c>
      <c r="AB20" s="2">
        <v>3.21</v>
      </c>
      <c r="AC20" s="2">
        <v>9.27</v>
      </c>
      <c r="AD20" s="2">
        <v>0.28000000000000003</v>
      </c>
    </row>
    <row r="21" spans="1:30" x14ac:dyDescent="0.25">
      <c r="A21" s="25" t="s">
        <v>426</v>
      </c>
      <c r="B21" s="134" t="s">
        <v>427</v>
      </c>
      <c r="C21" s="1">
        <v>1</v>
      </c>
      <c r="D21" s="1">
        <v>6</v>
      </c>
      <c r="E21" s="1">
        <v>12</v>
      </c>
      <c r="F21" s="1" t="s">
        <v>428</v>
      </c>
      <c r="G21" s="1">
        <v>4800</v>
      </c>
      <c r="H21" s="1" t="s">
        <v>384</v>
      </c>
      <c r="I21" s="94">
        <v>155</v>
      </c>
      <c r="J21" s="2">
        <v>5.1520000000000001</v>
      </c>
      <c r="L21" s="135">
        <v>46140</v>
      </c>
      <c r="M21" s="3" t="s">
        <v>399</v>
      </c>
      <c r="O21" s="1">
        <v>1</v>
      </c>
      <c r="P21" s="94">
        <v>2</v>
      </c>
      <c r="Q21" s="4">
        <v>0</v>
      </c>
      <c r="R21" s="2">
        <v>0</v>
      </c>
      <c r="S21" s="25" t="s">
        <v>429</v>
      </c>
      <c r="V21" s="41" t="s">
        <v>430</v>
      </c>
      <c r="W21" s="43" t="s">
        <v>388</v>
      </c>
      <c r="AB21" s="2">
        <v>9.93</v>
      </c>
      <c r="AC21" s="2">
        <v>41.79</v>
      </c>
      <c r="AD21" s="2">
        <v>1.04</v>
      </c>
    </row>
    <row r="22" spans="1:30" x14ac:dyDescent="0.25">
      <c r="A22" s="25" t="s">
        <v>431</v>
      </c>
      <c r="B22" s="134" t="s">
        <v>432</v>
      </c>
      <c r="C22" s="1">
        <v>1</v>
      </c>
      <c r="D22" s="1">
        <v>1</v>
      </c>
      <c r="E22" s="1">
        <v>1</v>
      </c>
      <c r="F22" s="1" t="s">
        <v>433</v>
      </c>
      <c r="G22" s="1">
        <v>4104</v>
      </c>
      <c r="H22" s="1" t="s">
        <v>384</v>
      </c>
      <c r="I22" s="94">
        <v>55</v>
      </c>
      <c r="J22" s="2">
        <v>0.45</v>
      </c>
      <c r="L22" s="135">
        <v>46140</v>
      </c>
      <c r="M22" s="3" t="s">
        <v>392</v>
      </c>
      <c r="O22" s="1">
        <v>1</v>
      </c>
      <c r="P22" s="94">
        <v>2</v>
      </c>
      <c r="Q22" s="4">
        <v>0</v>
      </c>
      <c r="R22" s="2">
        <v>0</v>
      </c>
      <c r="S22" s="25" t="s">
        <v>434</v>
      </c>
      <c r="V22" s="41" t="s">
        <v>435</v>
      </c>
      <c r="W22" s="43" t="s">
        <v>436</v>
      </c>
      <c r="AB22" s="2">
        <v>3.21</v>
      </c>
      <c r="AC22" s="2">
        <v>6.93</v>
      </c>
      <c r="AD22" s="2">
        <v>0.28000000000000003</v>
      </c>
    </row>
    <row r="23" spans="1:30" x14ac:dyDescent="0.25">
      <c r="A23" s="25" t="s">
        <v>437</v>
      </c>
      <c r="B23" s="134" t="s">
        <v>438</v>
      </c>
      <c r="C23" s="1">
        <v>1</v>
      </c>
      <c r="D23" s="1">
        <v>1</v>
      </c>
      <c r="E23" s="1">
        <v>1</v>
      </c>
      <c r="F23" s="1" t="s">
        <v>439</v>
      </c>
      <c r="G23" s="1">
        <v>4102</v>
      </c>
      <c r="H23" s="1" t="s">
        <v>384</v>
      </c>
      <c r="I23" s="94">
        <v>155</v>
      </c>
      <c r="J23" s="2">
        <v>0.2</v>
      </c>
      <c r="L23" s="135">
        <v>46140</v>
      </c>
      <c r="M23" s="3" t="s">
        <v>392</v>
      </c>
      <c r="O23" s="1">
        <v>1</v>
      </c>
      <c r="P23" s="94">
        <v>2</v>
      </c>
      <c r="Q23" s="4">
        <v>0</v>
      </c>
      <c r="R23" s="2">
        <v>0</v>
      </c>
      <c r="S23" s="25" t="s">
        <v>440</v>
      </c>
      <c r="V23" s="41" t="s">
        <v>441</v>
      </c>
      <c r="W23" s="43" t="s">
        <v>436</v>
      </c>
      <c r="AB23" s="2">
        <v>3.21</v>
      </c>
      <c r="AC23" s="2">
        <v>6.93</v>
      </c>
      <c r="AD23" s="2">
        <v>0.28000000000000003</v>
      </c>
    </row>
    <row r="24" spans="1:30" x14ac:dyDescent="0.25">
      <c r="A24" s="25" t="s">
        <v>442</v>
      </c>
      <c r="B24" s="134" t="s">
        <v>443</v>
      </c>
      <c r="C24" s="1">
        <v>1</v>
      </c>
      <c r="D24" s="1">
        <v>1</v>
      </c>
      <c r="E24" s="1">
        <v>1</v>
      </c>
      <c r="F24" s="1" t="s">
        <v>444</v>
      </c>
      <c r="G24" s="1">
        <v>3044</v>
      </c>
      <c r="H24" s="1" t="s">
        <v>384</v>
      </c>
      <c r="I24" s="94">
        <v>155</v>
      </c>
      <c r="J24" s="2">
        <v>0.48899999999999999</v>
      </c>
      <c r="L24" s="135">
        <v>46140</v>
      </c>
      <c r="M24" s="3" t="s">
        <v>392</v>
      </c>
      <c r="O24" s="1">
        <v>1</v>
      </c>
      <c r="P24" s="94">
        <v>2</v>
      </c>
      <c r="Q24" s="4">
        <v>0</v>
      </c>
      <c r="R24" s="2">
        <v>0</v>
      </c>
      <c r="S24" s="25" t="s">
        <v>445</v>
      </c>
      <c r="V24" s="41" t="s">
        <v>446</v>
      </c>
      <c r="W24" s="43" t="s">
        <v>395</v>
      </c>
      <c r="AB24" s="2">
        <v>3.21</v>
      </c>
      <c r="AC24" s="2">
        <v>6.93</v>
      </c>
      <c r="AD24" s="2">
        <v>0.28000000000000003</v>
      </c>
    </row>
    <row r="25" spans="1:30" x14ac:dyDescent="0.25">
      <c r="A25" s="25" t="s">
        <v>447</v>
      </c>
      <c r="B25" s="134" t="s">
        <v>448</v>
      </c>
      <c r="C25" s="1">
        <v>1</v>
      </c>
      <c r="D25" s="1">
        <v>4</v>
      </c>
      <c r="E25" s="1">
        <v>4</v>
      </c>
      <c r="F25" s="1" t="s">
        <v>449</v>
      </c>
      <c r="G25" s="1">
        <v>2160</v>
      </c>
      <c r="H25" s="1" t="s">
        <v>384</v>
      </c>
      <c r="I25" s="94">
        <v>155</v>
      </c>
      <c r="J25" s="2">
        <v>1.224</v>
      </c>
      <c r="L25" s="135">
        <v>46140</v>
      </c>
      <c r="M25" s="3" t="s">
        <v>412</v>
      </c>
      <c r="O25" s="1">
        <v>1</v>
      </c>
      <c r="P25" s="94">
        <v>2</v>
      </c>
      <c r="Q25" s="4">
        <v>0</v>
      </c>
      <c r="R25" s="2">
        <v>0</v>
      </c>
      <c r="S25" s="25" t="s">
        <v>450</v>
      </c>
      <c r="V25" s="41" t="s">
        <v>451</v>
      </c>
      <c r="W25" s="43" t="s">
        <v>452</v>
      </c>
      <c r="AB25" s="2">
        <v>5.55</v>
      </c>
      <c r="AC25" s="2">
        <v>5.96</v>
      </c>
      <c r="AD25" s="2">
        <v>0.28000000000000003</v>
      </c>
    </row>
    <row r="26" spans="1:30" x14ac:dyDescent="0.25">
      <c r="A26" s="25" t="s">
        <v>453</v>
      </c>
      <c r="B26" s="134" t="s">
        <v>454</v>
      </c>
      <c r="C26" s="1">
        <v>1</v>
      </c>
      <c r="D26" s="1">
        <v>2</v>
      </c>
      <c r="E26" s="1">
        <v>2</v>
      </c>
      <c r="F26" s="1" t="s">
        <v>455</v>
      </c>
      <c r="G26" s="1">
        <v>3216</v>
      </c>
      <c r="H26" s="1" t="s">
        <v>384</v>
      </c>
      <c r="I26" s="94">
        <v>155</v>
      </c>
      <c r="J26" s="2">
        <v>0.34699999999999998</v>
      </c>
      <c r="L26" s="135">
        <v>46140</v>
      </c>
      <c r="M26" s="3" t="s">
        <v>392</v>
      </c>
      <c r="O26" s="1">
        <v>1</v>
      </c>
      <c r="P26" s="94">
        <v>2</v>
      </c>
      <c r="Q26" s="4">
        <v>0</v>
      </c>
      <c r="R26" s="2">
        <v>0</v>
      </c>
      <c r="S26" s="25" t="s">
        <v>456</v>
      </c>
      <c r="V26" s="41" t="s">
        <v>457</v>
      </c>
      <c r="W26" s="43" t="s">
        <v>458</v>
      </c>
      <c r="AB26" s="2">
        <v>3.99</v>
      </c>
      <c r="AC26" s="2">
        <v>8.3800000000000008</v>
      </c>
      <c r="AD26" s="2">
        <v>0.28000000000000003</v>
      </c>
    </row>
    <row r="27" spans="1:30" x14ac:dyDescent="0.25">
      <c r="A27" s="25" t="s">
        <v>459</v>
      </c>
      <c r="B27" s="134" t="s">
        <v>460</v>
      </c>
      <c r="C27" s="1">
        <v>1</v>
      </c>
      <c r="D27" s="1">
        <v>3</v>
      </c>
      <c r="E27" s="1">
        <v>3</v>
      </c>
      <c r="F27" s="1" t="s">
        <v>461</v>
      </c>
      <c r="G27" s="1">
        <v>6030</v>
      </c>
      <c r="H27" s="1" t="s">
        <v>384</v>
      </c>
      <c r="I27" s="94">
        <v>155</v>
      </c>
      <c r="J27" s="2">
        <v>1.3169999999999999</v>
      </c>
      <c r="L27" s="135">
        <v>46140</v>
      </c>
      <c r="M27" s="3" t="s">
        <v>378</v>
      </c>
      <c r="O27" s="1">
        <v>1</v>
      </c>
      <c r="P27" s="94">
        <v>2</v>
      </c>
      <c r="Q27" s="4">
        <v>0</v>
      </c>
      <c r="R27" s="2">
        <v>0</v>
      </c>
      <c r="S27" s="25" t="s">
        <v>462</v>
      </c>
      <c r="V27" s="41" t="s">
        <v>463</v>
      </c>
      <c r="W27" s="43" t="s">
        <v>408</v>
      </c>
      <c r="AB27" s="2">
        <v>4.7699999999999996</v>
      </c>
      <c r="AC27" s="2">
        <v>15.52</v>
      </c>
      <c r="AD27" s="2">
        <v>0.28000000000000003</v>
      </c>
    </row>
    <row r="28" spans="1:30" x14ac:dyDescent="0.25">
      <c r="A28" s="25" t="s">
        <v>464</v>
      </c>
      <c r="B28" s="134" t="s">
        <v>465</v>
      </c>
      <c r="C28" s="1">
        <v>1</v>
      </c>
      <c r="D28" s="1">
        <v>1</v>
      </c>
      <c r="E28" s="1">
        <v>1</v>
      </c>
      <c r="F28" s="1" t="s">
        <v>466</v>
      </c>
      <c r="G28" s="1">
        <v>3807</v>
      </c>
      <c r="H28" s="1" t="s">
        <v>384</v>
      </c>
      <c r="I28" s="94">
        <v>155</v>
      </c>
      <c r="J28" s="2">
        <v>0.46</v>
      </c>
      <c r="L28" s="135">
        <v>46141</v>
      </c>
      <c r="M28" s="3" t="s">
        <v>392</v>
      </c>
      <c r="O28" s="1">
        <v>1</v>
      </c>
      <c r="P28" s="94">
        <v>2</v>
      </c>
      <c r="Q28" s="4">
        <v>0</v>
      </c>
      <c r="R28" s="2">
        <v>0</v>
      </c>
      <c r="S28" s="25" t="s">
        <v>467</v>
      </c>
      <c r="V28" s="41" t="s">
        <v>468</v>
      </c>
      <c r="W28" s="43" t="s">
        <v>469</v>
      </c>
      <c r="AB28" s="2">
        <v>3.21</v>
      </c>
      <c r="AC28" s="2">
        <v>8.3800000000000008</v>
      </c>
      <c r="AD28" s="2">
        <v>0.28000000000000003</v>
      </c>
    </row>
    <row r="29" spans="1:30" x14ac:dyDescent="0.25">
      <c r="A29" s="25" t="s">
        <v>470</v>
      </c>
      <c r="B29" s="134" t="s">
        <v>471</v>
      </c>
      <c r="C29" s="1">
        <v>1</v>
      </c>
      <c r="D29" s="1">
        <v>4</v>
      </c>
      <c r="E29" s="1">
        <v>4</v>
      </c>
      <c r="F29" s="1" t="s">
        <v>472</v>
      </c>
      <c r="G29" s="1">
        <v>4152</v>
      </c>
      <c r="H29" s="1" t="s">
        <v>384</v>
      </c>
      <c r="I29" s="94">
        <v>155</v>
      </c>
      <c r="J29" s="2">
        <v>1.33</v>
      </c>
      <c r="L29" s="135">
        <v>46140</v>
      </c>
      <c r="M29" s="3" t="s">
        <v>412</v>
      </c>
      <c r="O29" s="1">
        <v>1</v>
      </c>
      <c r="P29" s="94">
        <v>2</v>
      </c>
      <c r="Q29" s="4">
        <v>0</v>
      </c>
      <c r="R29" s="2">
        <v>0</v>
      </c>
      <c r="S29" s="25" t="s">
        <v>473</v>
      </c>
      <c r="V29" s="41" t="s">
        <v>474</v>
      </c>
      <c r="W29" s="43" t="s">
        <v>436</v>
      </c>
      <c r="AB29" s="2">
        <v>5.55</v>
      </c>
      <c r="AC29" s="2">
        <v>9.27</v>
      </c>
      <c r="AD29" s="2">
        <v>0.28000000000000003</v>
      </c>
    </row>
    <row r="30" spans="1:30" x14ac:dyDescent="0.25">
      <c r="A30" s="25" t="s">
        <v>475</v>
      </c>
      <c r="B30" s="134" t="s">
        <v>476</v>
      </c>
      <c r="C30" s="1">
        <v>1</v>
      </c>
      <c r="D30" s="1">
        <v>1</v>
      </c>
      <c r="E30" s="1">
        <v>1</v>
      </c>
      <c r="F30" s="1" t="s">
        <v>477</v>
      </c>
      <c r="G30" s="1">
        <v>3428</v>
      </c>
      <c r="H30" s="1" t="s">
        <v>384</v>
      </c>
      <c r="I30" s="94">
        <v>154</v>
      </c>
      <c r="J30" s="2">
        <v>0.46</v>
      </c>
      <c r="L30" s="135">
        <v>46141</v>
      </c>
      <c r="M30" s="3" t="s">
        <v>392</v>
      </c>
      <c r="O30" s="1">
        <v>1</v>
      </c>
      <c r="P30" s="94">
        <v>2</v>
      </c>
      <c r="Q30" s="4">
        <v>0</v>
      </c>
      <c r="R30" s="2">
        <v>0</v>
      </c>
      <c r="S30" s="25" t="s">
        <v>478</v>
      </c>
      <c r="V30" s="41" t="s">
        <v>479</v>
      </c>
      <c r="W30" s="43" t="s">
        <v>469</v>
      </c>
      <c r="AB30" s="2">
        <v>3.21</v>
      </c>
      <c r="AC30" s="2">
        <v>12.68</v>
      </c>
      <c r="AD30" s="2">
        <v>0.28000000000000003</v>
      </c>
    </row>
    <row r="31" spans="1:30" x14ac:dyDescent="0.25">
      <c r="A31" s="25" t="s">
        <v>480</v>
      </c>
      <c r="B31" s="134" t="s">
        <v>481</v>
      </c>
      <c r="C31" s="1">
        <v>1</v>
      </c>
      <c r="D31" s="1">
        <v>4</v>
      </c>
      <c r="E31" s="1">
        <v>4</v>
      </c>
      <c r="F31" s="1" t="s">
        <v>482</v>
      </c>
      <c r="G31" s="1">
        <v>3076</v>
      </c>
      <c r="H31" s="1" t="s">
        <v>384</v>
      </c>
      <c r="I31" s="94">
        <v>155</v>
      </c>
      <c r="J31" s="2">
        <v>1.6759999999999999</v>
      </c>
      <c r="L31" s="135">
        <v>46140</v>
      </c>
      <c r="M31" s="3" t="s">
        <v>412</v>
      </c>
      <c r="O31" s="1">
        <v>1</v>
      </c>
      <c r="P31" s="94">
        <v>2</v>
      </c>
      <c r="Q31" s="4">
        <v>0</v>
      </c>
      <c r="R31" s="2">
        <v>0</v>
      </c>
      <c r="S31" s="25" t="s">
        <v>483</v>
      </c>
      <c r="V31" s="41" t="s">
        <v>484</v>
      </c>
      <c r="W31" s="43" t="s">
        <v>395</v>
      </c>
      <c r="AB31" s="2">
        <v>5.55</v>
      </c>
      <c r="AC31" s="2">
        <v>9.27</v>
      </c>
      <c r="AD31" s="2">
        <v>0.28000000000000003</v>
      </c>
    </row>
    <row r="32" spans="1:30" x14ac:dyDescent="0.25">
      <c r="A32" s="25" t="s">
        <v>485</v>
      </c>
      <c r="B32" s="134" t="s">
        <v>486</v>
      </c>
      <c r="C32" s="1">
        <v>1</v>
      </c>
      <c r="D32" s="1">
        <v>1</v>
      </c>
      <c r="E32" s="1">
        <v>2</v>
      </c>
      <c r="F32" s="1" t="s">
        <v>487</v>
      </c>
      <c r="G32" s="1">
        <v>3041</v>
      </c>
      <c r="H32" s="1" t="s">
        <v>384</v>
      </c>
      <c r="I32" s="94">
        <v>155</v>
      </c>
      <c r="J32" s="2">
        <v>1.0569999999999999</v>
      </c>
      <c r="L32" s="135">
        <v>46140</v>
      </c>
      <c r="M32" s="3" t="s">
        <v>412</v>
      </c>
      <c r="O32" s="1">
        <v>1</v>
      </c>
      <c r="P32" s="94">
        <v>2</v>
      </c>
      <c r="Q32" s="4">
        <v>0</v>
      </c>
      <c r="R32" s="2">
        <v>0</v>
      </c>
      <c r="S32" s="25" t="s">
        <v>488</v>
      </c>
      <c r="V32" s="41" t="s">
        <v>489</v>
      </c>
      <c r="W32" s="43" t="s">
        <v>395</v>
      </c>
      <c r="AB32" s="2">
        <v>3.68</v>
      </c>
      <c r="AC32" s="2">
        <v>9.27</v>
      </c>
      <c r="AD32" s="2">
        <v>0.28000000000000003</v>
      </c>
    </row>
    <row r="33" spans="1:30" x14ac:dyDescent="0.25">
      <c r="A33" s="25" t="s">
        <v>490</v>
      </c>
      <c r="B33" s="134" t="s">
        <v>491</v>
      </c>
      <c r="C33" s="1">
        <v>1</v>
      </c>
      <c r="D33" s="1">
        <v>4</v>
      </c>
      <c r="E33" s="1">
        <v>4</v>
      </c>
      <c r="F33" s="1" t="s">
        <v>492</v>
      </c>
      <c r="G33" s="1">
        <v>2065</v>
      </c>
      <c r="H33" s="1" t="s">
        <v>384</v>
      </c>
      <c r="I33" s="94">
        <v>155</v>
      </c>
      <c r="J33" s="2">
        <v>2.0419999999999998</v>
      </c>
      <c r="L33" s="135">
        <v>46140</v>
      </c>
      <c r="M33" s="3" t="s">
        <v>378</v>
      </c>
      <c r="O33" s="1">
        <v>1</v>
      </c>
      <c r="P33" s="94">
        <v>2</v>
      </c>
      <c r="Q33" s="4">
        <v>0</v>
      </c>
      <c r="R33" s="2">
        <v>0</v>
      </c>
      <c r="S33" s="25" t="s">
        <v>493</v>
      </c>
      <c r="V33" s="41" t="s">
        <v>494</v>
      </c>
      <c r="W33" s="43" t="s">
        <v>452</v>
      </c>
      <c r="AB33" s="2">
        <v>5.55</v>
      </c>
      <c r="AC33" s="2">
        <v>6.01</v>
      </c>
      <c r="AD33" s="2">
        <v>0.28000000000000003</v>
      </c>
    </row>
    <row r="34" spans="1:30" x14ac:dyDescent="0.25">
      <c r="A34" s="25" t="s">
        <v>495</v>
      </c>
      <c r="B34" s="134" t="s">
        <v>496</v>
      </c>
      <c r="C34" s="1">
        <v>1</v>
      </c>
      <c r="D34" s="1">
        <v>1</v>
      </c>
      <c r="E34" s="1">
        <v>1</v>
      </c>
      <c r="F34" s="1" t="s">
        <v>497</v>
      </c>
      <c r="G34" s="1">
        <v>2221</v>
      </c>
      <c r="H34" s="1" t="s">
        <v>384</v>
      </c>
      <c r="I34" s="94">
        <v>155</v>
      </c>
      <c r="J34" s="2">
        <v>0.26700000000000002</v>
      </c>
      <c r="L34" s="135">
        <v>46140</v>
      </c>
      <c r="M34" s="3" t="s">
        <v>392</v>
      </c>
      <c r="O34" s="1">
        <v>1</v>
      </c>
      <c r="P34" s="94">
        <v>2</v>
      </c>
      <c r="Q34" s="4">
        <v>0</v>
      </c>
      <c r="R34" s="2">
        <v>0</v>
      </c>
      <c r="S34" s="25" t="s">
        <v>498</v>
      </c>
      <c r="V34" s="41" t="s">
        <v>420</v>
      </c>
      <c r="W34" s="43" t="s">
        <v>452</v>
      </c>
      <c r="AB34" s="2">
        <v>3.21</v>
      </c>
      <c r="AC34" s="2">
        <v>5.5</v>
      </c>
      <c r="AD34" s="2">
        <v>0.28000000000000003</v>
      </c>
    </row>
    <row r="35" spans="1:30" x14ac:dyDescent="0.25">
      <c r="A35" s="25" t="s">
        <v>499</v>
      </c>
      <c r="B35" s="134" t="s">
        <v>500</v>
      </c>
      <c r="C35" s="1">
        <v>1</v>
      </c>
      <c r="D35" s="1">
        <v>5</v>
      </c>
      <c r="E35" s="1">
        <v>6</v>
      </c>
      <c r="F35" s="1" t="s">
        <v>501</v>
      </c>
      <c r="G35" s="1">
        <v>4006</v>
      </c>
      <c r="H35" s="1" t="s">
        <v>384</v>
      </c>
      <c r="I35" s="94">
        <v>155</v>
      </c>
      <c r="J35" s="2">
        <v>0.94</v>
      </c>
      <c r="L35" s="135">
        <v>46140</v>
      </c>
      <c r="M35" s="3" t="s">
        <v>378</v>
      </c>
      <c r="O35" s="1">
        <v>1</v>
      </c>
      <c r="P35" s="94">
        <v>2</v>
      </c>
      <c r="Q35" s="4">
        <v>0</v>
      </c>
      <c r="R35" s="2">
        <v>0</v>
      </c>
      <c r="S35" s="25" t="s">
        <v>502</v>
      </c>
      <c r="V35" s="41" t="s">
        <v>503</v>
      </c>
      <c r="W35" s="43" t="s">
        <v>436</v>
      </c>
      <c r="AB35" s="2">
        <v>6.8</v>
      </c>
      <c r="AC35" s="2">
        <v>8.6</v>
      </c>
      <c r="AD35" s="2">
        <v>0.28000000000000003</v>
      </c>
    </row>
    <row r="36" spans="1:30" x14ac:dyDescent="0.25">
      <c r="A36" s="25" t="s">
        <v>504</v>
      </c>
      <c r="B36" s="134" t="s">
        <v>505</v>
      </c>
      <c r="C36" s="1">
        <v>1</v>
      </c>
      <c r="D36" s="1">
        <v>1</v>
      </c>
      <c r="E36" s="1">
        <v>1</v>
      </c>
      <c r="F36" s="1" t="s">
        <v>506</v>
      </c>
      <c r="G36" s="1">
        <v>3187</v>
      </c>
      <c r="H36" s="1" t="s">
        <v>384</v>
      </c>
      <c r="I36" s="94">
        <v>155</v>
      </c>
      <c r="J36" s="2">
        <v>0.55000000000000004</v>
      </c>
      <c r="L36" s="135">
        <v>46140</v>
      </c>
      <c r="M36" s="3" t="s">
        <v>392</v>
      </c>
      <c r="O36" s="1">
        <v>1</v>
      </c>
      <c r="P36" s="94">
        <v>2</v>
      </c>
      <c r="Q36" s="4">
        <v>0</v>
      </c>
      <c r="R36" s="2">
        <v>0</v>
      </c>
      <c r="S36" s="25" t="s">
        <v>507</v>
      </c>
      <c r="V36" s="41" t="s">
        <v>508</v>
      </c>
      <c r="W36" s="43" t="s">
        <v>395</v>
      </c>
      <c r="AB36" s="2">
        <v>3.21</v>
      </c>
      <c r="AC36" s="2">
        <v>8.6</v>
      </c>
      <c r="AD36" s="2">
        <v>0.28000000000000003</v>
      </c>
    </row>
    <row r="37" spans="1:30" x14ac:dyDescent="0.25">
      <c r="A37" s="25" t="s">
        <v>509</v>
      </c>
      <c r="B37" s="134" t="s">
        <v>510</v>
      </c>
      <c r="C37" s="1">
        <v>1</v>
      </c>
      <c r="D37" s="1">
        <v>3</v>
      </c>
      <c r="E37" s="1">
        <v>3</v>
      </c>
      <c r="F37" s="1" t="s">
        <v>511</v>
      </c>
      <c r="G37" s="1">
        <v>3178</v>
      </c>
      <c r="H37" s="1" t="s">
        <v>384</v>
      </c>
      <c r="I37" s="94">
        <v>155</v>
      </c>
      <c r="J37" s="2">
        <v>1.046</v>
      </c>
      <c r="L37" s="135">
        <v>46140</v>
      </c>
      <c r="M37" s="3" t="s">
        <v>412</v>
      </c>
      <c r="O37" s="1">
        <v>1</v>
      </c>
      <c r="P37" s="94">
        <v>2</v>
      </c>
      <c r="Q37" s="4">
        <v>0</v>
      </c>
      <c r="R37" s="2">
        <v>0</v>
      </c>
      <c r="S37" s="25" t="s">
        <v>512</v>
      </c>
      <c r="V37" s="41" t="s">
        <v>513</v>
      </c>
      <c r="W37" s="43" t="s">
        <v>395</v>
      </c>
      <c r="AB37" s="2">
        <v>4.7699999999999996</v>
      </c>
      <c r="AC37" s="2">
        <v>9.27</v>
      </c>
      <c r="AD37" s="2">
        <v>0.28000000000000003</v>
      </c>
    </row>
    <row r="38" spans="1:30" x14ac:dyDescent="0.25">
      <c r="A38" s="25" t="s">
        <v>514</v>
      </c>
      <c r="B38" s="134" t="s">
        <v>515</v>
      </c>
      <c r="C38" s="1">
        <v>1</v>
      </c>
      <c r="D38" s="1">
        <v>4</v>
      </c>
      <c r="E38" s="1">
        <v>4</v>
      </c>
      <c r="F38" s="1" t="s">
        <v>516</v>
      </c>
      <c r="G38" s="1">
        <v>4347</v>
      </c>
      <c r="H38" s="1" t="s">
        <v>384</v>
      </c>
      <c r="I38" s="94">
        <v>155</v>
      </c>
      <c r="J38" s="2">
        <v>1.746</v>
      </c>
      <c r="L38" s="135">
        <v>46140</v>
      </c>
      <c r="M38" s="3" t="s">
        <v>378</v>
      </c>
      <c r="O38" s="1">
        <v>1</v>
      </c>
      <c r="P38" s="94">
        <v>2</v>
      </c>
      <c r="Q38" s="4">
        <v>0</v>
      </c>
      <c r="R38" s="2">
        <v>0</v>
      </c>
      <c r="S38" s="25" t="s">
        <v>517</v>
      </c>
      <c r="V38" s="41" t="s">
        <v>518</v>
      </c>
      <c r="W38" s="43" t="s">
        <v>519</v>
      </c>
      <c r="AB38" s="2">
        <v>5.55</v>
      </c>
      <c r="AC38" s="2">
        <v>21.56</v>
      </c>
      <c r="AD38" s="2">
        <v>0.28000000000000003</v>
      </c>
    </row>
    <row r="39" spans="1:30" x14ac:dyDescent="0.25">
      <c r="A39" s="25" t="s">
        <v>520</v>
      </c>
      <c r="B39" s="134" t="s">
        <v>521</v>
      </c>
      <c r="C39" s="1">
        <v>1</v>
      </c>
      <c r="D39" s="1">
        <v>3</v>
      </c>
      <c r="E39" s="1">
        <v>6</v>
      </c>
      <c r="F39" s="1" t="s">
        <v>522</v>
      </c>
      <c r="G39" s="1">
        <v>2680</v>
      </c>
      <c r="H39" s="1" t="s">
        <v>384</v>
      </c>
      <c r="I39" s="94">
        <v>155</v>
      </c>
      <c r="J39" s="2">
        <v>0.93100000000000005</v>
      </c>
      <c r="L39" s="135">
        <v>46140</v>
      </c>
      <c r="M39" s="3" t="s">
        <v>378</v>
      </c>
      <c r="O39" s="1">
        <v>1</v>
      </c>
      <c r="P39" s="94">
        <v>2</v>
      </c>
      <c r="Q39" s="4">
        <v>0</v>
      </c>
      <c r="R39" s="2">
        <v>0</v>
      </c>
      <c r="S39" s="25" t="s">
        <v>523</v>
      </c>
      <c r="V39" s="41" t="s">
        <v>524</v>
      </c>
      <c r="W39" s="43" t="s">
        <v>415</v>
      </c>
      <c r="AB39" s="2">
        <v>6.18</v>
      </c>
      <c r="AC39" s="2">
        <v>13.77</v>
      </c>
      <c r="AD39" s="2">
        <v>0.28000000000000003</v>
      </c>
    </row>
    <row r="40" spans="1:30" x14ac:dyDescent="0.25">
      <c r="A40" s="25" t="s">
        <v>525</v>
      </c>
      <c r="B40" s="134" t="s">
        <v>526</v>
      </c>
      <c r="C40" s="1">
        <v>1</v>
      </c>
      <c r="D40" s="1">
        <v>1</v>
      </c>
      <c r="E40" s="1">
        <v>1</v>
      </c>
      <c r="F40" s="1" t="s">
        <v>527</v>
      </c>
      <c r="G40" s="1">
        <v>4380</v>
      </c>
      <c r="H40" s="1" t="s">
        <v>384</v>
      </c>
      <c r="I40" s="94">
        <v>154</v>
      </c>
      <c r="J40" s="2">
        <v>0.54600000000000004</v>
      </c>
      <c r="L40" s="135">
        <v>46140</v>
      </c>
      <c r="M40" s="3" t="s">
        <v>392</v>
      </c>
      <c r="O40" s="1">
        <v>1</v>
      </c>
      <c r="P40" s="94">
        <v>2</v>
      </c>
      <c r="Q40" s="4">
        <v>0</v>
      </c>
      <c r="R40" s="2">
        <v>0</v>
      </c>
      <c r="S40" s="25" t="s">
        <v>528</v>
      </c>
      <c r="V40" s="41" t="s">
        <v>529</v>
      </c>
      <c r="W40" s="43" t="s">
        <v>519</v>
      </c>
      <c r="AB40" s="2">
        <v>3.21</v>
      </c>
      <c r="AC40" s="2">
        <v>23.96</v>
      </c>
      <c r="AD40" s="2">
        <v>0.28000000000000003</v>
      </c>
    </row>
    <row r="41" spans="1:30" x14ac:dyDescent="0.25">
      <c r="A41" s="25" t="s">
        <v>530</v>
      </c>
      <c r="B41" s="134" t="s">
        <v>531</v>
      </c>
      <c r="C41" s="1">
        <v>1</v>
      </c>
      <c r="D41" s="1">
        <v>1</v>
      </c>
      <c r="E41" s="1">
        <v>1</v>
      </c>
      <c r="F41" s="1" t="s">
        <v>532</v>
      </c>
      <c r="G41" s="1">
        <v>3181</v>
      </c>
      <c r="H41" s="1" t="s">
        <v>384</v>
      </c>
      <c r="I41" s="94">
        <v>154</v>
      </c>
      <c r="J41" s="2">
        <v>0.47799999999999998</v>
      </c>
      <c r="L41" s="135">
        <v>46140</v>
      </c>
      <c r="M41" s="3" t="s">
        <v>392</v>
      </c>
      <c r="O41" s="1">
        <v>1</v>
      </c>
      <c r="P41" s="94">
        <v>2</v>
      </c>
      <c r="Q41" s="4">
        <v>0</v>
      </c>
      <c r="R41" s="2">
        <v>0</v>
      </c>
      <c r="S41" s="25" t="s">
        <v>533</v>
      </c>
      <c r="V41" s="41" t="s">
        <v>534</v>
      </c>
      <c r="W41" s="43" t="s">
        <v>395</v>
      </c>
      <c r="AB41" s="2">
        <v>3.21</v>
      </c>
      <c r="AC41" s="2">
        <v>10.93</v>
      </c>
      <c r="AD41" s="2">
        <v>0.28000000000000003</v>
      </c>
    </row>
    <row r="42" spans="1:30" x14ac:dyDescent="0.25">
      <c r="A42" s="25" t="s">
        <v>535</v>
      </c>
      <c r="B42" s="134" t="s">
        <v>536</v>
      </c>
      <c r="C42" s="1">
        <v>1</v>
      </c>
      <c r="D42" s="1">
        <v>9</v>
      </c>
      <c r="E42" s="1">
        <v>9</v>
      </c>
      <c r="F42" s="1" t="s">
        <v>537</v>
      </c>
      <c r="G42" s="1">
        <v>4882</v>
      </c>
      <c r="H42" s="1" t="s">
        <v>384</v>
      </c>
      <c r="I42" s="94">
        <v>154</v>
      </c>
      <c r="J42" s="2">
        <v>3.649</v>
      </c>
      <c r="L42" s="135">
        <v>46140</v>
      </c>
      <c r="M42" s="3" t="s">
        <v>399</v>
      </c>
      <c r="O42" s="1">
        <v>1</v>
      </c>
      <c r="P42" s="94">
        <v>2</v>
      </c>
      <c r="Q42" s="4">
        <v>0</v>
      </c>
      <c r="R42" s="2">
        <v>0</v>
      </c>
      <c r="S42" s="25" t="s">
        <v>538</v>
      </c>
      <c r="V42" s="41" t="s">
        <v>539</v>
      </c>
      <c r="W42" s="43" t="s">
        <v>540</v>
      </c>
      <c r="AB42" s="2">
        <v>9.4499999999999993</v>
      </c>
      <c r="AC42" s="2">
        <v>36.86</v>
      </c>
      <c r="AD42" s="2">
        <v>1.04</v>
      </c>
    </row>
    <row r="43" spans="1:30" x14ac:dyDescent="0.25">
      <c r="A43" s="25" t="s">
        <v>541</v>
      </c>
      <c r="B43" s="134" t="s">
        <v>542</v>
      </c>
      <c r="C43" s="1">
        <v>1</v>
      </c>
      <c r="D43" s="1">
        <v>2</v>
      </c>
      <c r="E43" s="1">
        <v>2</v>
      </c>
      <c r="F43" s="1" t="s">
        <v>543</v>
      </c>
      <c r="G43" s="1">
        <v>6180</v>
      </c>
      <c r="H43" s="1" t="s">
        <v>384</v>
      </c>
      <c r="I43" s="94">
        <v>155</v>
      </c>
      <c r="J43" s="2">
        <v>1.06</v>
      </c>
      <c r="L43" s="135">
        <v>46140</v>
      </c>
      <c r="M43" s="3" t="s">
        <v>412</v>
      </c>
      <c r="O43" s="1">
        <v>1</v>
      </c>
      <c r="P43" s="94">
        <v>2</v>
      </c>
      <c r="Q43" s="4">
        <v>0</v>
      </c>
      <c r="R43" s="2">
        <v>0</v>
      </c>
      <c r="S43" s="25" t="s">
        <v>544</v>
      </c>
      <c r="V43" s="41" t="s">
        <v>545</v>
      </c>
      <c r="W43" s="43" t="s">
        <v>408</v>
      </c>
      <c r="AB43" s="2">
        <v>3.99</v>
      </c>
      <c r="AC43" s="2">
        <v>15.52</v>
      </c>
      <c r="AD43" s="2">
        <v>0.28000000000000003</v>
      </c>
    </row>
    <row r="44" spans="1:30" x14ac:dyDescent="0.25">
      <c r="A44" s="25" t="s">
        <v>546</v>
      </c>
      <c r="B44" s="134" t="s">
        <v>547</v>
      </c>
      <c r="C44" s="1">
        <v>1</v>
      </c>
      <c r="D44" s="1">
        <v>1</v>
      </c>
      <c r="E44" s="1">
        <v>1</v>
      </c>
      <c r="F44" s="1" t="s">
        <v>548</v>
      </c>
      <c r="G44" s="1">
        <v>2153</v>
      </c>
      <c r="H44" s="1" t="s">
        <v>384</v>
      </c>
      <c r="I44" s="94">
        <v>155</v>
      </c>
      <c r="J44" s="2">
        <v>0.48199999999999998</v>
      </c>
      <c r="L44" s="135">
        <v>46140</v>
      </c>
      <c r="M44" s="3" t="s">
        <v>392</v>
      </c>
      <c r="O44" s="1">
        <v>1</v>
      </c>
      <c r="P44" s="94">
        <v>2</v>
      </c>
      <c r="Q44" s="4">
        <v>0</v>
      </c>
      <c r="R44" s="2">
        <v>0</v>
      </c>
      <c r="S44" s="25" t="s">
        <v>549</v>
      </c>
      <c r="V44" s="41" t="s">
        <v>550</v>
      </c>
      <c r="W44" s="43" t="s">
        <v>452</v>
      </c>
      <c r="AB44" s="2">
        <v>3.21</v>
      </c>
      <c r="AC44" s="2">
        <v>5.5</v>
      </c>
      <c r="AD44" s="2">
        <v>0.28000000000000003</v>
      </c>
    </row>
    <row r="45" spans="1:30" x14ac:dyDescent="0.25">
      <c r="A45" s="25" t="s">
        <v>551</v>
      </c>
      <c r="B45" s="134" t="s">
        <v>552</v>
      </c>
      <c r="C45" s="1">
        <v>1</v>
      </c>
      <c r="D45" s="1">
        <v>3</v>
      </c>
      <c r="E45" s="1">
        <v>3</v>
      </c>
      <c r="F45" s="1" t="s">
        <v>553</v>
      </c>
      <c r="G45" s="1">
        <v>5608</v>
      </c>
      <c r="H45" s="1" t="s">
        <v>384</v>
      </c>
      <c r="I45" s="94">
        <v>155</v>
      </c>
      <c r="J45" s="2">
        <v>0.85</v>
      </c>
      <c r="L45" s="135">
        <v>46140</v>
      </c>
      <c r="M45" s="3" t="s">
        <v>412</v>
      </c>
      <c r="O45" s="1">
        <v>1</v>
      </c>
      <c r="P45" s="94">
        <v>2</v>
      </c>
      <c r="Q45" s="4">
        <v>0</v>
      </c>
      <c r="R45" s="2">
        <v>0</v>
      </c>
      <c r="S45" s="25" t="s">
        <v>554</v>
      </c>
      <c r="V45" s="41" t="s">
        <v>555</v>
      </c>
      <c r="W45" s="43" t="s">
        <v>556</v>
      </c>
      <c r="AB45" s="2">
        <v>4.7699999999999996</v>
      </c>
      <c r="AC45" s="2">
        <v>20.36</v>
      </c>
      <c r="AD45" s="2">
        <v>0.28000000000000003</v>
      </c>
    </row>
    <row r="46" spans="1:30" x14ac:dyDescent="0.25">
      <c r="A46" s="25" t="s">
        <v>557</v>
      </c>
      <c r="B46" s="134" t="s">
        <v>558</v>
      </c>
      <c r="C46" s="1">
        <v>1</v>
      </c>
      <c r="D46" s="1">
        <v>2</v>
      </c>
      <c r="E46" s="1">
        <v>4</v>
      </c>
      <c r="F46" s="1" t="s">
        <v>559</v>
      </c>
      <c r="G46" s="1">
        <v>2605</v>
      </c>
      <c r="H46" s="1" t="s">
        <v>384</v>
      </c>
      <c r="I46" s="94">
        <v>155</v>
      </c>
      <c r="J46" s="2">
        <v>2.5099999999999998</v>
      </c>
      <c r="L46" s="135">
        <v>46140</v>
      </c>
      <c r="M46" s="3" t="s">
        <v>378</v>
      </c>
      <c r="O46" s="1">
        <v>1</v>
      </c>
      <c r="P46" s="94">
        <v>2</v>
      </c>
      <c r="Q46" s="4">
        <v>0</v>
      </c>
      <c r="R46" s="2">
        <v>0</v>
      </c>
      <c r="S46" s="25" t="s">
        <v>560</v>
      </c>
      <c r="V46" s="41" t="s">
        <v>561</v>
      </c>
      <c r="W46" s="43" t="s">
        <v>562</v>
      </c>
      <c r="AB46" s="2">
        <v>4.93</v>
      </c>
      <c r="AC46" s="2">
        <v>9.01</v>
      </c>
      <c r="AD46" s="2">
        <v>0.28000000000000003</v>
      </c>
    </row>
    <row r="47" spans="1:30" x14ac:dyDescent="0.25">
      <c r="A47" s="25" t="s">
        <v>563</v>
      </c>
      <c r="B47" s="134" t="s">
        <v>564</v>
      </c>
      <c r="C47" s="1">
        <v>1</v>
      </c>
      <c r="D47" s="1">
        <v>1</v>
      </c>
      <c r="E47" s="1">
        <v>1</v>
      </c>
      <c r="F47" s="1" t="s">
        <v>565</v>
      </c>
      <c r="G47" s="1">
        <v>2250</v>
      </c>
      <c r="H47" s="1" t="s">
        <v>384</v>
      </c>
      <c r="I47" s="94">
        <v>155</v>
      </c>
      <c r="J47" s="2">
        <v>0.20499999999999999</v>
      </c>
      <c r="L47" s="135">
        <v>46140</v>
      </c>
      <c r="M47" s="3" t="s">
        <v>392</v>
      </c>
      <c r="O47" s="1">
        <v>1</v>
      </c>
      <c r="P47" s="94">
        <v>2</v>
      </c>
      <c r="Q47" s="4">
        <v>0</v>
      </c>
      <c r="R47" s="2">
        <v>0</v>
      </c>
      <c r="S47" s="25" t="s">
        <v>566</v>
      </c>
      <c r="V47" s="41" t="s">
        <v>567</v>
      </c>
      <c r="W47" s="43" t="s">
        <v>568</v>
      </c>
      <c r="AB47" s="2">
        <v>3.21</v>
      </c>
      <c r="AC47" s="2">
        <v>7.23</v>
      </c>
      <c r="AD47" s="2">
        <v>0.28000000000000003</v>
      </c>
    </row>
    <row r="48" spans="1:30" x14ac:dyDescent="0.25">
      <c r="A48" s="25" t="s">
        <v>569</v>
      </c>
      <c r="B48" s="134" t="s">
        <v>570</v>
      </c>
      <c r="C48" s="1">
        <v>1</v>
      </c>
      <c r="D48" s="1">
        <v>5</v>
      </c>
      <c r="E48" s="1">
        <v>6</v>
      </c>
      <c r="F48" s="1" t="s">
        <v>571</v>
      </c>
      <c r="G48" s="1">
        <v>5095</v>
      </c>
      <c r="H48" s="1" t="s">
        <v>384</v>
      </c>
      <c r="I48" s="94">
        <v>155</v>
      </c>
      <c r="J48" s="2">
        <v>1.7</v>
      </c>
      <c r="L48" s="135">
        <v>46140</v>
      </c>
      <c r="M48" s="3" t="s">
        <v>378</v>
      </c>
      <c r="O48" s="1">
        <v>1</v>
      </c>
      <c r="P48" s="94">
        <v>2</v>
      </c>
      <c r="Q48" s="4">
        <v>0</v>
      </c>
      <c r="R48" s="2">
        <v>0</v>
      </c>
      <c r="S48" s="25" t="s">
        <v>572</v>
      </c>
      <c r="V48" s="41" t="s">
        <v>573</v>
      </c>
      <c r="W48" s="43" t="s">
        <v>574</v>
      </c>
      <c r="AB48" s="2">
        <v>6.8</v>
      </c>
      <c r="AC48" s="2">
        <v>9.86</v>
      </c>
      <c r="AD48" s="2">
        <v>0.28000000000000003</v>
      </c>
    </row>
    <row r="49" spans="1:30" x14ac:dyDescent="0.25">
      <c r="A49" s="25" t="s">
        <v>575</v>
      </c>
      <c r="B49" s="134" t="s">
        <v>576</v>
      </c>
      <c r="C49" s="1">
        <v>1</v>
      </c>
      <c r="D49" s="1">
        <v>2</v>
      </c>
      <c r="E49" s="1">
        <v>2</v>
      </c>
      <c r="F49" s="1" t="s">
        <v>577</v>
      </c>
      <c r="G49" s="1">
        <v>6063</v>
      </c>
      <c r="H49" s="1" t="s">
        <v>384</v>
      </c>
      <c r="I49" s="94">
        <v>155</v>
      </c>
      <c r="J49" s="2">
        <v>0.45200000000000001</v>
      </c>
      <c r="L49" s="135">
        <v>46140</v>
      </c>
      <c r="M49" s="3" t="s">
        <v>412</v>
      </c>
      <c r="O49" s="1">
        <v>1</v>
      </c>
      <c r="P49" s="94">
        <v>2</v>
      </c>
      <c r="Q49" s="4">
        <v>0</v>
      </c>
      <c r="R49" s="2">
        <v>0</v>
      </c>
      <c r="S49" s="25" t="s">
        <v>578</v>
      </c>
      <c r="V49" s="41" t="s">
        <v>579</v>
      </c>
      <c r="W49" s="43" t="s">
        <v>408</v>
      </c>
      <c r="AB49" s="2">
        <v>3.99</v>
      </c>
      <c r="AC49" s="2">
        <v>8.24</v>
      </c>
      <c r="AD49" s="2">
        <v>0.28000000000000003</v>
      </c>
    </row>
    <row r="50" spans="1:30" x14ac:dyDescent="0.25">
      <c r="A50" s="25" t="s">
        <v>580</v>
      </c>
      <c r="B50" s="134" t="s">
        <v>581</v>
      </c>
      <c r="C50" s="1">
        <v>1</v>
      </c>
      <c r="D50" s="1">
        <v>1</v>
      </c>
      <c r="E50" s="1">
        <v>1</v>
      </c>
      <c r="F50" s="1" t="s">
        <v>582</v>
      </c>
      <c r="G50" s="1">
        <v>6714</v>
      </c>
      <c r="H50" s="1" t="s">
        <v>384</v>
      </c>
      <c r="I50" s="94">
        <v>155</v>
      </c>
      <c r="J50" s="2">
        <v>1.18</v>
      </c>
      <c r="L50" s="135">
        <v>46140</v>
      </c>
      <c r="M50" s="3" t="s">
        <v>378</v>
      </c>
      <c r="O50" s="1">
        <v>1</v>
      </c>
      <c r="P50" s="94">
        <v>2</v>
      </c>
      <c r="Q50" s="4">
        <v>0</v>
      </c>
      <c r="R50" s="2">
        <v>0</v>
      </c>
      <c r="S50" s="25" t="s">
        <v>583</v>
      </c>
      <c r="V50" s="41" t="s">
        <v>425</v>
      </c>
      <c r="W50" s="43" t="s">
        <v>584</v>
      </c>
      <c r="AB50" s="2">
        <v>3.21</v>
      </c>
      <c r="AC50" s="2">
        <v>29.55</v>
      </c>
      <c r="AD50" s="2">
        <v>0.28000000000000003</v>
      </c>
    </row>
    <row r="51" spans="1:30" x14ac:dyDescent="0.25">
      <c r="A51" s="25" t="s">
        <v>585</v>
      </c>
      <c r="B51" s="134" t="s">
        <v>586</v>
      </c>
      <c r="C51" s="1">
        <v>1</v>
      </c>
      <c r="D51" s="1">
        <v>2</v>
      </c>
      <c r="E51" s="1">
        <v>2</v>
      </c>
      <c r="F51" s="1" t="s">
        <v>587</v>
      </c>
      <c r="G51" s="1">
        <v>4075</v>
      </c>
      <c r="H51" s="1" t="s">
        <v>384</v>
      </c>
      <c r="I51" s="94">
        <v>155</v>
      </c>
      <c r="J51" s="2">
        <v>0.875</v>
      </c>
      <c r="L51" s="135">
        <v>46140</v>
      </c>
      <c r="M51" s="3" t="s">
        <v>412</v>
      </c>
      <c r="O51" s="1">
        <v>1</v>
      </c>
      <c r="P51" s="94">
        <v>2</v>
      </c>
      <c r="Q51" s="4">
        <v>0</v>
      </c>
      <c r="R51" s="2">
        <v>0</v>
      </c>
      <c r="S51" s="25" t="s">
        <v>588</v>
      </c>
      <c r="V51" s="41" t="s">
        <v>589</v>
      </c>
      <c r="W51" s="43" t="s">
        <v>436</v>
      </c>
      <c r="AB51" s="2">
        <v>3.99</v>
      </c>
      <c r="AC51" s="2">
        <v>8.6</v>
      </c>
      <c r="AD51" s="2">
        <v>0.28000000000000003</v>
      </c>
    </row>
    <row r="52" spans="1:30" x14ac:dyDescent="0.25">
      <c r="A52" s="25" t="s">
        <v>590</v>
      </c>
      <c r="B52" s="134" t="s">
        <v>591</v>
      </c>
      <c r="C52" s="1">
        <v>1</v>
      </c>
      <c r="D52" s="1">
        <v>1</v>
      </c>
      <c r="E52" s="1">
        <v>1</v>
      </c>
      <c r="F52" s="1" t="s">
        <v>592</v>
      </c>
      <c r="G52" s="1">
        <v>5048</v>
      </c>
      <c r="H52" s="1" t="s">
        <v>384</v>
      </c>
      <c r="I52" s="94">
        <v>155</v>
      </c>
      <c r="J52" s="2">
        <v>0.46500000000000002</v>
      </c>
      <c r="L52" s="135">
        <v>46140</v>
      </c>
      <c r="M52" s="3" t="s">
        <v>392</v>
      </c>
      <c r="O52" s="1">
        <v>1</v>
      </c>
      <c r="P52" s="94">
        <v>2</v>
      </c>
      <c r="Q52" s="4">
        <v>0</v>
      </c>
      <c r="R52" s="2">
        <v>0</v>
      </c>
      <c r="S52" s="25" t="s">
        <v>593</v>
      </c>
      <c r="V52" s="41" t="s">
        <v>594</v>
      </c>
      <c r="W52" s="43" t="s">
        <v>574</v>
      </c>
      <c r="AB52" s="2">
        <v>3.21</v>
      </c>
      <c r="AC52" s="2">
        <v>7.14</v>
      </c>
      <c r="AD52" s="2">
        <v>0.28000000000000003</v>
      </c>
    </row>
    <row r="53" spans="1:30" x14ac:dyDescent="0.25">
      <c r="A53" s="25" t="s">
        <v>595</v>
      </c>
      <c r="B53" s="134" t="s">
        <v>596</v>
      </c>
      <c r="C53" s="1">
        <v>1</v>
      </c>
      <c r="D53" s="1">
        <v>3</v>
      </c>
      <c r="E53" s="1">
        <v>3</v>
      </c>
      <c r="F53" s="1" t="s">
        <v>597</v>
      </c>
      <c r="G53" s="1">
        <v>3166</v>
      </c>
      <c r="H53" s="1" t="s">
        <v>384</v>
      </c>
      <c r="I53" s="94">
        <v>155</v>
      </c>
      <c r="J53" s="2">
        <v>1.494</v>
      </c>
      <c r="L53" s="135">
        <v>46140</v>
      </c>
      <c r="M53" s="3" t="s">
        <v>378</v>
      </c>
      <c r="O53" s="1">
        <v>1</v>
      </c>
      <c r="P53" s="94">
        <v>2</v>
      </c>
      <c r="Q53" s="4">
        <v>0</v>
      </c>
      <c r="R53" s="2">
        <v>0</v>
      </c>
      <c r="S53" s="25" t="s">
        <v>598</v>
      </c>
      <c r="V53" s="41" t="s">
        <v>599</v>
      </c>
      <c r="W53" s="43" t="s">
        <v>395</v>
      </c>
      <c r="AB53" s="2">
        <v>4.7699999999999996</v>
      </c>
      <c r="AC53" s="2">
        <v>9.27</v>
      </c>
      <c r="AD53" s="2">
        <v>0.28000000000000003</v>
      </c>
    </row>
    <row r="54" spans="1:30" x14ac:dyDescent="0.25">
      <c r="A54" s="25" t="s">
        <v>600</v>
      </c>
      <c r="B54" s="134" t="s">
        <v>601</v>
      </c>
      <c r="C54" s="1">
        <v>1</v>
      </c>
      <c r="D54" s="1">
        <v>2</v>
      </c>
      <c r="E54" s="1">
        <v>2</v>
      </c>
      <c r="F54" s="1" t="s">
        <v>602</v>
      </c>
      <c r="G54" s="1">
        <v>2232</v>
      </c>
      <c r="H54" s="1" t="s">
        <v>384</v>
      </c>
      <c r="I54" s="94">
        <v>155</v>
      </c>
      <c r="J54" s="2">
        <v>0.72499999999999998</v>
      </c>
      <c r="L54" s="135">
        <v>46140</v>
      </c>
      <c r="M54" s="3" t="s">
        <v>392</v>
      </c>
      <c r="O54" s="1">
        <v>1</v>
      </c>
      <c r="P54" s="94">
        <v>2</v>
      </c>
      <c r="Q54" s="4">
        <v>0</v>
      </c>
      <c r="R54" s="2">
        <v>0</v>
      </c>
      <c r="S54" s="25" t="s">
        <v>603</v>
      </c>
      <c r="V54" s="41" t="s">
        <v>604</v>
      </c>
      <c r="W54" s="43" t="s">
        <v>452</v>
      </c>
      <c r="AB54" s="2">
        <v>3.99</v>
      </c>
      <c r="AC54" s="2">
        <v>5.96</v>
      </c>
      <c r="AD54" s="2">
        <v>0.28000000000000003</v>
      </c>
    </row>
    <row r="55" spans="1:30" x14ac:dyDescent="0.25">
      <c r="A55" s="25" t="s">
        <v>605</v>
      </c>
      <c r="B55" s="134" t="s">
        <v>606</v>
      </c>
      <c r="C55" s="1">
        <v>1</v>
      </c>
      <c r="D55" s="1">
        <v>1</v>
      </c>
      <c r="E55" s="1">
        <v>1</v>
      </c>
      <c r="F55" s="1" t="s">
        <v>607</v>
      </c>
      <c r="G55" s="1">
        <v>2040</v>
      </c>
      <c r="H55" s="1" t="s">
        <v>384</v>
      </c>
      <c r="I55" s="94">
        <v>155</v>
      </c>
      <c r="J55" s="2">
        <v>0.38500000000000001</v>
      </c>
      <c r="L55" s="135">
        <v>46140</v>
      </c>
      <c r="M55" s="3" t="s">
        <v>392</v>
      </c>
      <c r="O55" s="1">
        <v>1</v>
      </c>
      <c r="P55" s="94">
        <v>2</v>
      </c>
      <c r="Q55" s="4">
        <v>0</v>
      </c>
      <c r="R55" s="2">
        <v>0</v>
      </c>
      <c r="S55" s="25" t="s">
        <v>608</v>
      </c>
      <c r="V55" s="41" t="s">
        <v>609</v>
      </c>
      <c r="W55" s="43" t="s">
        <v>452</v>
      </c>
      <c r="AB55" s="2">
        <v>3.21</v>
      </c>
      <c r="AC55" s="2">
        <v>5.5</v>
      </c>
      <c r="AD55" s="2">
        <v>0.28000000000000003</v>
      </c>
    </row>
    <row r="56" spans="1:30" x14ac:dyDescent="0.25">
      <c r="A56" s="25" t="s">
        <v>610</v>
      </c>
      <c r="B56" s="134" t="s">
        <v>611</v>
      </c>
      <c r="C56" s="1">
        <v>1</v>
      </c>
      <c r="D56" s="1">
        <v>2</v>
      </c>
      <c r="E56" s="1">
        <v>2</v>
      </c>
      <c r="F56" s="1" t="s">
        <v>612</v>
      </c>
      <c r="G56" s="1">
        <v>2830</v>
      </c>
      <c r="H56" s="1" t="s">
        <v>384</v>
      </c>
      <c r="I56" s="94">
        <v>155</v>
      </c>
      <c r="J56" s="2">
        <v>0.40799999999999997</v>
      </c>
      <c r="L56" s="135">
        <v>46140</v>
      </c>
      <c r="M56" s="3" t="s">
        <v>392</v>
      </c>
      <c r="O56" s="1">
        <v>1</v>
      </c>
      <c r="P56" s="94">
        <v>2</v>
      </c>
      <c r="Q56" s="4">
        <v>0</v>
      </c>
      <c r="R56" s="2">
        <v>0</v>
      </c>
      <c r="S56" s="25" t="s">
        <v>613</v>
      </c>
      <c r="V56" s="41" t="s">
        <v>614</v>
      </c>
      <c r="W56" s="43" t="s">
        <v>415</v>
      </c>
      <c r="AB56" s="2">
        <v>3.99</v>
      </c>
      <c r="AC56" s="2">
        <v>10.86</v>
      </c>
      <c r="AD56" s="2">
        <v>0.28000000000000003</v>
      </c>
    </row>
    <row r="57" spans="1:30" x14ac:dyDescent="0.25">
      <c r="A57" s="25" t="s">
        <v>615</v>
      </c>
      <c r="B57" s="134" t="s">
        <v>616</v>
      </c>
      <c r="C57" s="1">
        <v>1</v>
      </c>
      <c r="D57" s="1">
        <v>4</v>
      </c>
      <c r="E57" s="1">
        <v>4</v>
      </c>
      <c r="F57" s="1" t="s">
        <v>617</v>
      </c>
      <c r="G57" s="1">
        <v>2835</v>
      </c>
      <c r="H57" s="1" t="s">
        <v>384</v>
      </c>
      <c r="I57" s="94">
        <v>154</v>
      </c>
      <c r="J57" s="2">
        <v>2.0659999999999998</v>
      </c>
      <c r="L57" s="135">
        <v>46140</v>
      </c>
      <c r="M57" s="3" t="s">
        <v>412</v>
      </c>
      <c r="O57" s="1">
        <v>1</v>
      </c>
      <c r="P57" s="94">
        <v>2</v>
      </c>
      <c r="Q57" s="4">
        <v>0</v>
      </c>
      <c r="R57" s="2">
        <v>0</v>
      </c>
      <c r="S57" s="25" t="s">
        <v>618</v>
      </c>
      <c r="V57" s="41" t="s">
        <v>619</v>
      </c>
      <c r="W57" s="43" t="s">
        <v>415</v>
      </c>
      <c r="AB57" s="2">
        <v>5.55</v>
      </c>
      <c r="AC57" s="2">
        <v>27.27</v>
      </c>
      <c r="AD57" s="2">
        <v>0.28000000000000003</v>
      </c>
    </row>
    <row r="58" spans="1:30" x14ac:dyDescent="0.25">
      <c r="A58" s="25" t="s">
        <v>620</v>
      </c>
      <c r="B58" s="134" t="s">
        <v>621</v>
      </c>
      <c r="C58" s="1">
        <v>1</v>
      </c>
      <c r="D58" s="1">
        <v>2</v>
      </c>
      <c r="E58" s="1">
        <v>2</v>
      </c>
      <c r="F58" s="1" t="s">
        <v>622</v>
      </c>
      <c r="G58" s="1">
        <v>6105</v>
      </c>
      <c r="H58" s="1" t="s">
        <v>384</v>
      </c>
      <c r="I58" s="94">
        <v>155</v>
      </c>
      <c r="J58" s="2">
        <v>1.08</v>
      </c>
      <c r="L58" s="135">
        <v>46140</v>
      </c>
      <c r="M58" s="3" t="s">
        <v>378</v>
      </c>
      <c r="O58" s="1">
        <v>1</v>
      </c>
      <c r="P58" s="94">
        <v>2</v>
      </c>
      <c r="Q58" s="4">
        <v>0</v>
      </c>
      <c r="R58" s="2">
        <v>0</v>
      </c>
      <c r="S58" s="25" t="s">
        <v>623</v>
      </c>
      <c r="V58" s="41" t="s">
        <v>624</v>
      </c>
      <c r="W58" s="43" t="s">
        <v>408</v>
      </c>
      <c r="AB58" s="2">
        <v>3.99</v>
      </c>
      <c r="AC58" s="2">
        <v>15.52</v>
      </c>
      <c r="AD58" s="2">
        <v>0.28000000000000003</v>
      </c>
    </row>
    <row r="59" spans="1:30" x14ac:dyDescent="0.25">
      <c r="A59" s="25" t="s">
        <v>625</v>
      </c>
      <c r="B59" s="134" t="s">
        <v>626</v>
      </c>
      <c r="C59" s="1">
        <v>1</v>
      </c>
      <c r="D59" s="1">
        <v>2</v>
      </c>
      <c r="E59" s="1">
        <v>2</v>
      </c>
      <c r="F59" s="1" t="s">
        <v>627</v>
      </c>
      <c r="G59" s="1">
        <v>6163</v>
      </c>
      <c r="H59" s="1" t="s">
        <v>384</v>
      </c>
      <c r="I59" s="94">
        <v>155</v>
      </c>
      <c r="J59" s="2">
        <v>0.89</v>
      </c>
      <c r="L59" s="135">
        <v>46140</v>
      </c>
      <c r="M59" s="3" t="s">
        <v>412</v>
      </c>
      <c r="O59" s="1">
        <v>1</v>
      </c>
      <c r="P59" s="94">
        <v>2</v>
      </c>
      <c r="Q59" s="4">
        <v>0</v>
      </c>
      <c r="R59" s="2">
        <v>0</v>
      </c>
      <c r="S59" s="25" t="s">
        <v>628</v>
      </c>
      <c r="V59" s="41" t="s">
        <v>629</v>
      </c>
      <c r="W59" s="43" t="s">
        <v>408</v>
      </c>
      <c r="AB59" s="2">
        <v>3.99</v>
      </c>
      <c r="AC59" s="2">
        <v>12.93</v>
      </c>
      <c r="AD59" s="2">
        <v>0.28000000000000003</v>
      </c>
    </row>
    <row r="60" spans="1:30" x14ac:dyDescent="0.25">
      <c r="A60" s="25" t="s">
        <v>630</v>
      </c>
      <c r="B60" s="134" t="s">
        <v>631</v>
      </c>
      <c r="C60" s="1">
        <v>1</v>
      </c>
      <c r="D60" s="1">
        <v>1</v>
      </c>
      <c r="E60" s="1">
        <v>1</v>
      </c>
      <c r="F60" s="1" t="s">
        <v>632</v>
      </c>
      <c r="G60" s="1">
        <v>2541</v>
      </c>
      <c r="H60" s="1" t="s">
        <v>384</v>
      </c>
      <c r="I60" s="94">
        <v>155</v>
      </c>
      <c r="J60" s="2">
        <v>0.55000000000000004</v>
      </c>
      <c r="L60" s="135">
        <v>46140</v>
      </c>
      <c r="M60" s="3" t="s">
        <v>392</v>
      </c>
      <c r="O60" s="1">
        <v>1</v>
      </c>
      <c r="P60" s="94">
        <v>2</v>
      </c>
      <c r="Q60" s="4">
        <v>0</v>
      </c>
      <c r="R60" s="2">
        <v>0</v>
      </c>
      <c r="S60" s="25" t="s">
        <v>633</v>
      </c>
      <c r="V60" s="41" t="s">
        <v>508</v>
      </c>
      <c r="W60" s="43" t="s">
        <v>415</v>
      </c>
      <c r="AB60" s="2">
        <v>3.21</v>
      </c>
      <c r="AC60" s="2">
        <v>13.77</v>
      </c>
      <c r="AD60" s="2">
        <v>0.28000000000000003</v>
      </c>
    </row>
    <row r="61" spans="1:30" x14ac:dyDescent="0.25">
      <c r="A61" s="25" t="s">
        <v>634</v>
      </c>
      <c r="B61" s="134" t="s">
        <v>635</v>
      </c>
      <c r="C61" s="1">
        <v>1</v>
      </c>
      <c r="D61" s="1">
        <v>3</v>
      </c>
      <c r="E61" s="1">
        <v>3</v>
      </c>
      <c r="F61" s="1" t="s">
        <v>636</v>
      </c>
      <c r="G61" s="1">
        <v>4817</v>
      </c>
      <c r="H61" s="1" t="s">
        <v>384</v>
      </c>
      <c r="I61" s="94">
        <v>155</v>
      </c>
      <c r="J61" s="2">
        <v>0.47299999999999998</v>
      </c>
      <c r="L61" s="135">
        <v>46140</v>
      </c>
      <c r="M61" s="3" t="s">
        <v>392</v>
      </c>
      <c r="N61" s="1" t="s">
        <v>637</v>
      </c>
      <c r="O61" s="1">
        <v>1</v>
      </c>
      <c r="P61" s="94">
        <v>2</v>
      </c>
      <c r="Q61" s="4">
        <v>0</v>
      </c>
      <c r="R61" s="2">
        <v>0</v>
      </c>
      <c r="S61" s="25" t="s">
        <v>638</v>
      </c>
      <c r="V61" s="41" t="s">
        <v>639</v>
      </c>
      <c r="W61" s="43" t="s">
        <v>540</v>
      </c>
      <c r="AB61" s="2">
        <v>4.7699999999999996</v>
      </c>
      <c r="AC61" s="2">
        <v>11.57</v>
      </c>
      <c r="AD61" s="2">
        <v>0.28000000000000003</v>
      </c>
    </row>
    <row r="62" spans="1:30" x14ac:dyDescent="0.25">
      <c r="A62" s="25" t="s">
        <v>640</v>
      </c>
      <c r="B62" s="134" t="s">
        <v>641</v>
      </c>
      <c r="C62" s="1">
        <v>1</v>
      </c>
      <c r="D62" s="1">
        <v>3</v>
      </c>
      <c r="E62" s="1">
        <v>6</v>
      </c>
      <c r="F62" s="1" t="s">
        <v>642</v>
      </c>
      <c r="G62" s="1">
        <v>6025</v>
      </c>
      <c r="H62" s="1" t="s">
        <v>384</v>
      </c>
      <c r="I62" s="94">
        <v>155</v>
      </c>
      <c r="J62" s="2">
        <v>0.93700000000000006</v>
      </c>
      <c r="L62" s="135">
        <v>46140</v>
      </c>
      <c r="M62" s="3" t="s">
        <v>378</v>
      </c>
      <c r="O62" s="1">
        <v>1</v>
      </c>
      <c r="P62" s="94">
        <v>2</v>
      </c>
      <c r="Q62" s="4">
        <v>0</v>
      </c>
      <c r="R62" s="2">
        <v>0</v>
      </c>
      <c r="S62" s="25" t="s">
        <v>643</v>
      </c>
      <c r="V62" s="41" t="s">
        <v>524</v>
      </c>
      <c r="W62" s="43" t="s">
        <v>408</v>
      </c>
      <c r="AB62" s="2">
        <v>6.18</v>
      </c>
      <c r="AC62" s="2">
        <v>12.93</v>
      </c>
      <c r="AD62" s="2">
        <v>0.28000000000000003</v>
      </c>
    </row>
    <row r="63" spans="1:30" x14ac:dyDescent="0.25">
      <c r="A63" s="25" t="s">
        <v>644</v>
      </c>
      <c r="B63" s="134" t="s">
        <v>645</v>
      </c>
      <c r="C63" s="1">
        <v>1</v>
      </c>
      <c r="D63" s="1">
        <v>3</v>
      </c>
      <c r="E63" s="1">
        <v>3</v>
      </c>
      <c r="F63" s="1" t="s">
        <v>646</v>
      </c>
      <c r="G63" s="1">
        <v>5035</v>
      </c>
      <c r="H63" s="1" t="s">
        <v>384</v>
      </c>
      <c r="I63" s="94">
        <v>155</v>
      </c>
      <c r="J63" s="2">
        <v>1.6830000000000001</v>
      </c>
      <c r="L63" s="135">
        <v>46140</v>
      </c>
      <c r="M63" s="3" t="s">
        <v>378</v>
      </c>
      <c r="O63" s="1">
        <v>1</v>
      </c>
      <c r="P63" s="94">
        <v>2</v>
      </c>
      <c r="Q63" s="4">
        <v>0</v>
      </c>
      <c r="R63" s="2">
        <v>0</v>
      </c>
      <c r="S63" s="25" t="s">
        <v>647</v>
      </c>
      <c r="V63" s="41" t="s">
        <v>648</v>
      </c>
      <c r="W63" s="43" t="s">
        <v>574</v>
      </c>
      <c r="AB63" s="2">
        <v>4.7699999999999996</v>
      </c>
      <c r="AC63" s="2">
        <v>9.86</v>
      </c>
      <c r="AD63" s="2">
        <v>0.28000000000000003</v>
      </c>
    </row>
    <row r="64" spans="1:30" x14ac:dyDescent="0.25">
      <c r="A64" s="25" t="s">
        <v>649</v>
      </c>
      <c r="B64" s="134" t="s">
        <v>650</v>
      </c>
      <c r="C64" s="1">
        <v>1</v>
      </c>
      <c r="D64" s="1">
        <v>3</v>
      </c>
      <c r="E64" s="1">
        <v>6</v>
      </c>
      <c r="F64" s="1" t="s">
        <v>651</v>
      </c>
      <c r="G64" s="1">
        <v>7009</v>
      </c>
      <c r="H64" s="1" t="s">
        <v>384</v>
      </c>
      <c r="I64" s="94">
        <v>155</v>
      </c>
      <c r="J64" s="2">
        <v>0.91200000000000003</v>
      </c>
      <c r="L64" s="135">
        <v>46140</v>
      </c>
      <c r="M64" s="3" t="s">
        <v>412</v>
      </c>
      <c r="N64" s="1" t="s">
        <v>637</v>
      </c>
      <c r="O64" s="1">
        <v>1</v>
      </c>
      <c r="P64" s="94">
        <v>2</v>
      </c>
      <c r="Q64" s="4">
        <v>0</v>
      </c>
      <c r="R64" s="2">
        <v>0</v>
      </c>
      <c r="S64" s="25" t="s">
        <v>652</v>
      </c>
      <c r="V64" s="41" t="s">
        <v>524</v>
      </c>
      <c r="W64" s="43" t="s">
        <v>653</v>
      </c>
      <c r="AB64" s="2">
        <v>6.18</v>
      </c>
      <c r="AC64" s="2">
        <v>13.36</v>
      </c>
      <c r="AD64" s="2">
        <v>0.28000000000000003</v>
      </c>
    </row>
    <row r="65" spans="1:30" x14ac:dyDescent="0.25">
      <c r="A65" s="25" t="s">
        <v>654</v>
      </c>
      <c r="B65" s="134" t="s">
        <v>655</v>
      </c>
      <c r="C65" s="1">
        <v>1</v>
      </c>
      <c r="D65" s="1">
        <v>4</v>
      </c>
      <c r="E65" s="1">
        <v>4</v>
      </c>
      <c r="F65" s="1" t="s">
        <v>656</v>
      </c>
      <c r="G65" s="1">
        <v>6164</v>
      </c>
      <c r="H65" s="1" t="s">
        <v>384</v>
      </c>
      <c r="I65" s="94">
        <v>155</v>
      </c>
      <c r="J65" s="2">
        <v>2.044</v>
      </c>
      <c r="L65" s="135">
        <v>46140</v>
      </c>
      <c r="M65" s="3" t="s">
        <v>378</v>
      </c>
      <c r="O65" s="1">
        <v>1</v>
      </c>
      <c r="P65" s="94">
        <v>2</v>
      </c>
      <c r="Q65" s="4">
        <v>0</v>
      </c>
      <c r="R65" s="2">
        <v>0</v>
      </c>
      <c r="S65" s="25" t="s">
        <v>657</v>
      </c>
      <c r="V65" s="41" t="s">
        <v>658</v>
      </c>
      <c r="W65" s="43" t="s">
        <v>408</v>
      </c>
      <c r="AB65" s="2">
        <v>5.55</v>
      </c>
      <c r="AC65" s="2">
        <v>17.690000000000001</v>
      </c>
      <c r="AD65" s="2">
        <v>0.28000000000000003</v>
      </c>
    </row>
    <row r="66" spans="1:30" x14ac:dyDescent="0.25">
      <c r="A66" s="25" t="s">
        <v>659</v>
      </c>
      <c r="B66" s="134" t="s">
        <v>660</v>
      </c>
      <c r="C66" s="1">
        <v>1</v>
      </c>
      <c r="D66" s="1">
        <v>2</v>
      </c>
      <c r="E66" s="1">
        <v>2</v>
      </c>
      <c r="F66" s="1" t="s">
        <v>661</v>
      </c>
      <c r="G66" s="1">
        <v>4558</v>
      </c>
      <c r="H66" s="1" t="s">
        <v>384</v>
      </c>
      <c r="I66" s="94">
        <v>155</v>
      </c>
      <c r="J66" s="2">
        <v>0.748</v>
      </c>
      <c r="L66" s="135">
        <v>46140</v>
      </c>
      <c r="M66" s="3" t="s">
        <v>412</v>
      </c>
      <c r="O66" s="1">
        <v>1</v>
      </c>
      <c r="P66" s="94">
        <v>2</v>
      </c>
      <c r="Q66" s="4">
        <v>0</v>
      </c>
      <c r="R66" s="2">
        <v>0</v>
      </c>
      <c r="S66" s="25" t="s">
        <v>662</v>
      </c>
      <c r="V66" s="41" t="s">
        <v>663</v>
      </c>
      <c r="W66" s="43" t="s">
        <v>664</v>
      </c>
      <c r="AB66" s="2">
        <v>3.99</v>
      </c>
      <c r="AC66" s="2">
        <v>12.74</v>
      </c>
      <c r="AD66" s="2">
        <v>0.28000000000000003</v>
      </c>
    </row>
    <row r="67" spans="1:30" x14ac:dyDescent="0.25">
      <c r="A67" s="25" t="s">
        <v>665</v>
      </c>
      <c r="B67" s="134" t="s">
        <v>666</v>
      </c>
      <c r="C67" s="1">
        <v>1</v>
      </c>
      <c r="D67" s="1">
        <v>5</v>
      </c>
      <c r="E67" s="1">
        <v>5</v>
      </c>
      <c r="F67" s="1" t="s">
        <v>667</v>
      </c>
      <c r="G67" s="1">
        <v>3134</v>
      </c>
      <c r="H67" s="1" t="s">
        <v>384</v>
      </c>
      <c r="I67" s="94">
        <v>155</v>
      </c>
      <c r="J67" s="2">
        <v>0.8</v>
      </c>
      <c r="L67" s="135">
        <v>46140</v>
      </c>
      <c r="M67" s="3" t="s">
        <v>378</v>
      </c>
      <c r="O67" s="1">
        <v>1</v>
      </c>
      <c r="P67" s="94">
        <v>2</v>
      </c>
      <c r="Q67" s="4">
        <v>0</v>
      </c>
      <c r="R67" s="2">
        <v>0</v>
      </c>
      <c r="S67" s="25" t="s">
        <v>668</v>
      </c>
      <c r="V67" s="41" t="s">
        <v>669</v>
      </c>
      <c r="W67" s="43" t="s">
        <v>395</v>
      </c>
      <c r="AB67" s="2">
        <v>6.33</v>
      </c>
      <c r="AC67" s="2">
        <v>8.6</v>
      </c>
      <c r="AD67" s="2">
        <v>0.28000000000000003</v>
      </c>
    </row>
    <row r="68" spans="1:30" x14ac:dyDescent="0.25">
      <c r="A68" s="25" t="s">
        <v>670</v>
      </c>
      <c r="B68" s="134" t="s">
        <v>671</v>
      </c>
      <c r="C68" s="1">
        <v>1</v>
      </c>
      <c r="D68" s="1">
        <v>1</v>
      </c>
      <c r="E68" s="1">
        <v>1</v>
      </c>
      <c r="F68" s="1" t="s">
        <v>506</v>
      </c>
      <c r="G68" s="1">
        <v>3187</v>
      </c>
      <c r="H68" s="1" t="s">
        <v>384</v>
      </c>
      <c r="I68" s="94">
        <v>155</v>
      </c>
      <c r="J68" s="2">
        <v>0.46</v>
      </c>
      <c r="L68" s="135">
        <v>46140</v>
      </c>
      <c r="M68" s="3" t="s">
        <v>392</v>
      </c>
      <c r="O68" s="1">
        <v>1</v>
      </c>
      <c r="P68" s="94">
        <v>2</v>
      </c>
      <c r="Q68" s="4">
        <v>0</v>
      </c>
      <c r="R68" s="2">
        <v>0</v>
      </c>
      <c r="S68" s="25" t="s">
        <v>672</v>
      </c>
      <c r="V68" s="41" t="s">
        <v>673</v>
      </c>
      <c r="W68" s="43" t="s">
        <v>395</v>
      </c>
      <c r="AB68" s="2">
        <v>3.21</v>
      </c>
      <c r="AC68" s="2">
        <v>6.93</v>
      </c>
      <c r="AD68" s="2">
        <v>0.28000000000000003</v>
      </c>
    </row>
    <row r="69" spans="1:30" x14ac:dyDescent="0.25">
      <c r="A69" s="25" t="s">
        <v>674</v>
      </c>
      <c r="B69" s="134" t="s">
        <v>675</v>
      </c>
      <c r="C69" s="1">
        <v>1</v>
      </c>
      <c r="D69" s="1">
        <v>1</v>
      </c>
      <c r="E69" s="1">
        <v>2</v>
      </c>
      <c r="F69" s="1" t="s">
        <v>532</v>
      </c>
      <c r="G69" s="1">
        <v>3181</v>
      </c>
      <c r="H69" s="1" t="s">
        <v>384</v>
      </c>
      <c r="I69" s="94">
        <v>155</v>
      </c>
      <c r="J69" s="2">
        <v>0.51900000000000002</v>
      </c>
      <c r="L69" s="135">
        <v>46140</v>
      </c>
      <c r="M69" s="3" t="s">
        <v>412</v>
      </c>
      <c r="O69" s="1">
        <v>1</v>
      </c>
      <c r="P69" s="94">
        <v>2</v>
      </c>
      <c r="Q69" s="4">
        <v>0</v>
      </c>
      <c r="R69" s="2">
        <v>0</v>
      </c>
      <c r="S69" s="25" t="s">
        <v>676</v>
      </c>
      <c r="V69" s="41" t="s">
        <v>677</v>
      </c>
      <c r="W69" s="43" t="s">
        <v>395</v>
      </c>
      <c r="AB69" s="2">
        <v>3.68</v>
      </c>
      <c r="AC69" s="2">
        <v>8.6</v>
      </c>
      <c r="AD69" s="2">
        <v>0.28000000000000003</v>
      </c>
    </row>
    <row r="70" spans="1:30" x14ac:dyDescent="0.25">
      <c r="A70" s="25" t="s">
        <v>678</v>
      </c>
      <c r="B70" s="134" t="s">
        <v>679</v>
      </c>
      <c r="C70" s="1">
        <v>1</v>
      </c>
      <c r="D70" s="1">
        <v>2</v>
      </c>
      <c r="E70" s="1">
        <v>2</v>
      </c>
      <c r="F70" s="1" t="s">
        <v>680</v>
      </c>
      <c r="G70" s="1">
        <v>810</v>
      </c>
      <c r="H70" s="1" t="s">
        <v>384</v>
      </c>
      <c r="I70" s="94">
        <v>155</v>
      </c>
      <c r="J70" s="2">
        <v>0.874</v>
      </c>
      <c r="L70" s="135">
        <v>46140</v>
      </c>
      <c r="M70" s="3" t="s">
        <v>412</v>
      </c>
      <c r="O70" s="1">
        <v>1</v>
      </c>
      <c r="P70" s="94">
        <v>2</v>
      </c>
      <c r="Q70" s="4">
        <v>0</v>
      </c>
      <c r="R70" s="2">
        <v>0</v>
      </c>
      <c r="S70" s="25" t="s">
        <v>681</v>
      </c>
      <c r="V70" s="41" t="s">
        <v>682</v>
      </c>
      <c r="W70" s="43" t="s">
        <v>683</v>
      </c>
      <c r="AB70" s="2">
        <v>3.99</v>
      </c>
      <c r="AC70" s="2">
        <v>23.64</v>
      </c>
      <c r="AD70" s="2">
        <v>0.28000000000000003</v>
      </c>
    </row>
    <row r="71" spans="1:30" x14ac:dyDescent="0.25">
      <c r="A71" s="25" t="s">
        <v>684</v>
      </c>
      <c r="B71" s="134" t="s">
        <v>685</v>
      </c>
      <c r="C71" s="1">
        <v>1</v>
      </c>
      <c r="D71" s="1">
        <v>3</v>
      </c>
      <c r="E71" s="1">
        <v>3</v>
      </c>
      <c r="F71" s="1" t="s">
        <v>686</v>
      </c>
      <c r="G71" s="1">
        <v>4413</v>
      </c>
      <c r="H71" s="1" t="s">
        <v>384</v>
      </c>
      <c r="I71" s="94">
        <v>155</v>
      </c>
      <c r="J71" s="2">
        <v>1.022</v>
      </c>
      <c r="L71" s="135">
        <v>46140</v>
      </c>
      <c r="M71" s="3" t="s">
        <v>412</v>
      </c>
      <c r="O71" s="1">
        <v>1</v>
      </c>
      <c r="P71" s="94">
        <v>2</v>
      </c>
      <c r="Q71" s="4">
        <v>0</v>
      </c>
      <c r="R71" s="2">
        <v>0</v>
      </c>
      <c r="S71" s="25" t="s">
        <v>687</v>
      </c>
      <c r="V71" s="41" t="s">
        <v>688</v>
      </c>
      <c r="W71" s="43" t="s">
        <v>519</v>
      </c>
      <c r="AB71" s="2">
        <v>4.7699999999999996</v>
      </c>
      <c r="AC71" s="2">
        <v>21.56</v>
      </c>
      <c r="AD71" s="2">
        <v>0.28000000000000003</v>
      </c>
    </row>
    <row r="72" spans="1:30" x14ac:dyDescent="0.25">
      <c r="A72" s="25" t="s">
        <v>689</v>
      </c>
      <c r="B72" s="134" t="s">
        <v>690</v>
      </c>
      <c r="C72" s="1">
        <v>1</v>
      </c>
      <c r="D72" s="1">
        <v>1</v>
      </c>
      <c r="E72" s="1">
        <v>4</v>
      </c>
      <c r="F72" s="1" t="s">
        <v>691</v>
      </c>
      <c r="G72" s="1">
        <v>3220</v>
      </c>
      <c r="H72" s="1" t="s">
        <v>384</v>
      </c>
      <c r="I72" s="94">
        <v>155</v>
      </c>
      <c r="J72" s="2">
        <v>2.08</v>
      </c>
      <c r="L72" s="135">
        <v>46140</v>
      </c>
      <c r="M72" s="3" t="s">
        <v>378</v>
      </c>
      <c r="O72" s="1">
        <v>1</v>
      </c>
      <c r="P72" s="94">
        <v>2</v>
      </c>
      <c r="Q72" s="4">
        <v>0</v>
      </c>
      <c r="R72" s="2">
        <v>0</v>
      </c>
      <c r="S72" s="25" t="s">
        <v>692</v>
      </c>
      <c r="V72" s="41" t="s">
        <v>693</v>
      </c>
      <c r="W72" s="43" t="s">
        <v>458</v>
      </c>
      <c r="AB72" s="2">
        <v>4.62</v>
      </c>
      <c r="AC72" s="2">
        <v>15.02</v>
      </c>
      <c r="AD72" s="2">
        <v>0.28000000000000003</v>
      </c>
    </row>
    <row r="73" spans="1:30" x14ac:dyDescent="0.25">
      <c r="A73" s="25" t="s">
        <v>694</v>
      </c>
      <c r="B73" s="134" t="s">
        <v>695</v>
      </c>
      <c r="C73" s="1">
        <v>1</v>
      </c>
      <c r="D73" s="1">
        <v>2</v>
      </c>
      <c r="E73" s="1">
        <v>2</v>
      </c>
      <c r="F73" s="1" t="s">
        <v>696</v>
      </c>
      <c r="G73" s="1">
        <v>6164</v>
      </c>
      <c r="H73" s="1" t="s">
        <v>384</v>
      </c>
      <c r="I73" s="94">
        <v>155</v>
      </c>
      <c r="J73" s="2">
        <v>0.87</v>
      </c>
      <c r="L73" s="135">
        <v>46140</v>
      </c>
      <c r="M73" s="3" t="s">
        <v>412</v>
      </c>
      <c r="O73" s="1">
        <v>1</v>
      </c>
      <c r="P73" s="94">
        <v>2</v>
      </c>
      <c r="Q73" s="4">
        <v>0</v>
      </c>
      <c r="R73" s="2">
        <v>0</v>
      </c>
      <c r="S73" s="25" t="s">
        <v>697</v>
      </c>
      <c r="V73" s="41" t="s">
        <v>698</v>
      </c>
      <c r="W73" s="43" t="s">
        <v>408</v>
      </c>
      <c r="AB73" s="2">
        <v>3.99</v>
      </c>
      <c r="AC73" s="2">
        <v>12.93</v>
      </c>
      <c r="AD73" s="2">
        <v>0.28000000000000003</v>
      </c>
    </row>
    <row r="74" spans="1:30" x14ac:dyDescent="0.25">
      <c r="A74" s="25" t="s">
        <v>699</v>
      </c>
      <c r="B74" s="134" t="s">
        <v>700</v>
      </c>
      <c r="C74" s="1">
        <v>1</v>
      </c>
      <c r="D74" s="1">
        <v>5</v>
      </c>
      <c r="E74" s="1">
        <v>5</v>
      </c>
      <c r="F74" s="1" t="s">
        <v>701</v>
      </c>
      <c r="G74" s="1">
        <v>4170</v>
      </c>
      <c r="H74" s="1" t="s">
        <v>384</v>
      </c>
      <c r="I74" s="94">
        <v>155</v>
      </c>
      <c r="J74" s="2">
        <v>0.77500000000000002</v>
      </c>
      <c r="L74" s="135">
        <v>46140</v>
      </c>
      <c r="M74" s="3" t="s">
        <v>412</v>
      </c>
      <c r="O74" s="1">
        <v>1</v>
      </c>
      <c r="P74" s="94">
        <v>2</v>
      </c>
      <c r="Q74" s="4">
        <v>0</v>
      </c>
      <c r="R74" s="2">
        <v>0</v>
      </c>
      <c r="S74" s="25" t="s">
        <v>702</v>
      </c>
      <c r="V74" s="41" t="s">
        <v>703</v>
      </c>
      <c r="W74" s="43" t="s">
        <v>436</v>
      </c>
      <c r="AB74" s="2">
        <v>6.33</v>
      </c>
      <c r="AC74" s="2">
        <v>8.6</v>
      </c>
      <c r="AD74" s="2">
        <v>0.28000000000000003</v>
      </c>
    </row>
    <row r="75" spans="1:30" x14ac:dyDescent="0.25">
      <c r="A75" s="25" t="s">
        <v>704</v>
      </c>
      <c r="B75" s="134" t="s">
        <v>705</v>
      </c>
      <c r="C75" s="1">
        <v>1</v>
      </c>
      <c r="D75" s="1">
        <v>4</v>
      </c>
      <c r="E75" s="1">
        <v>4</v>
      </c>
      <c r="F75" s="1" t="s">
        <v>706</v>
      </c>
      <c r="G75" s="1">
        <v>2017</v>
      </c>
      <c r="H75" s="1" t="s">
        <v>384</v>
      </c>
      <c r="I75" s="94">
        <v>155</v>
      </c>
      <c r="J75" s="2">
        <v>2.06</v>
      </c>
      <c r="L75" s="135">
        <v>46140</v>
      </c>
      <c r="M75" s="3" t="s">
        <v>378</v>
      </c>
      <c r="O75" s="1">
        <v>1</v>
      </c>
      <c r="P75" s="94">
        <v>2</v>
      </c>
      <c r="Q75" s="4">
        <v>0</v>
      </c>
      <c r="R75" s="2">
        <v>0</v>
      </c>
      <c r="S75" s="25" t="s">
        <v>707</v>
      </c>
      <c r="V75" s="41" t="s">
        <v>708</v>
      </c>
      <c r="W75" s="43" t="s">
        <v>452</v>
      </c>
      <c r="AB75" s="2">
        <v>5.55</v>
      </c>
      <c r="AC75" s="2">
        <v>6.01</v>
      </c>
      <c r="AD75" s="2">
        <v>0.28000000000000003</v>
      </c>
    </row>
    <row r="76" spans="1:30" x14ac:dyDescent="0.25">
      <c r="A76" s="25" t="s">
        <v>709</v>
      </c>
      <c r="B76" s="134" t="s">
        <v>710</v>
      </c>
      <c r="C76" s="1">
        <v>1</v>
      </c>
      <c r="D76" s="1">
        <v>1</v>
      </c>
      <c r="E76" s="1">
        <v>1</v>
      </c>
      <c r="F76" s="1" t="s">
        <v>711</v>
      </c>
      <c r="G76" s="1">
        <v>3350</v>
      </c>
      <c r="H76" s="1" t="s">
        <v>384</v>
      </c>
      <c r="I76" s="94">
        <v>155</v>
      </c>
      <c r="J76" s="2">
        <v>0.46400000000000002</v>
      </c>
      <c r="L76" s="135">
        <v>46140</v>
      </c>
      <c r="M76" s="3" t="s">
        <v>392</v>
      </c>
      <c r="O76" s="1">
        <v>1</v>
      </c>
      <c r="P76" s="94">
        <v>2</v>
      </c>
      <c r="Q76" s="4">
        <v>0</v>
      </c>
      <c r="R76" s="2">
        <v>0</v>
      </c>
      <c r="S76" s="25" t="s">
        <v>712</v>
      </c>
      <c r="V76" s="41" t="s">
        <v>713</v>
      </c>
      <c r="W76" s="43" t="s">
        <v>714</v>
      </c>
      <c r="AB76" s="2">
        <v>3.21</v>
      </c>
      <c r="AC76" s="2">
        <v>8.3800000000000008</v>
      </c>
      <c r="AD76" s="2">
        <v>0.28000000000000003</v>
      </c>
    </row>
    <row r="77" spans="1:30" x14ac:dyDescent="0.25">
      <c r="A77" s="25" t="s">
        <v>715</v>
      </c>
      <c r="B77" s="134" t="s">
        <v>716</v>
      </c>
      <c r="C77" s="1">
        <v>1</v>
      </c>
      <c r="D77" s="1">
        <v>1</v>
      </c>
      <c r="E77" s="1">
        <v>1</v>
      </c>
      <c r="F77" s="1" t="s">
        <v>717</v>
      </c>
      <c r="G77" s="1">
        <v>2428</v>
      </c>
      <c r="H77" s="1" t="s">
        <v>384</v>
      </c>
      <c r="I77" s="94">
        <v>155</v>
      </c>
      <c r="J77" s="2">
        <v>0.48799999999999999</v>
      </c>
      <c r="L77" s="135">
        <v>46140</v>
      </c>
      <c r="M77" s="3" t="s">
        <v>412</v>
      </c>
      <c r="O77" s="1">
        <v>1</v>
      </c>
      <c r="P77" s="94">
        <v>2</v>
      </c>
      <c r="Q77" s="4">
        <v>0</v>
      </c>
      <c r="R77" s="2">
        <v>0</v>
      </c>
      <c r="S77" s="25" t="s">
        <v>718</v>
      </c>
      <c r="V77" s="41" t="s">
        <v>719</v>
      </c>
      <c r="W77" s="43" t="s">
        <v>415</v>
      </c>
      <c r="AB77" s="2">
        <v>3.21</v>
      </c>
      <c r="AC77" s="2">
        <v>10.86</v>
      </c>
      <c r="AD77" s="2">
        <v>0.28000000000000003</v>
      </c>
    </row>
    <row r="78" spans="1:30" x14ac:dyDescent="0.25">
      <c r="A78" s="25" t="s">
        <v>720</v>
      </c>
      <c r="B78" s="134" t="s">
        <v>721</v>
      </c>
      <c r="C78" s="1">
        <v>1</v>
      </c>
      <c r="D78" s="1">
        <v>1</v>
      </c>
      <c r="E78" s="1">
        <v>1</v>
      </c>
      <c r="F78" s="1" t="s">
        <v>722</v>
      </c>
      <c r="G78" s="1">
        <v>3141</v>
      </c>
      <c r="H78" s="1" t="s">
        <v>384</v>
      </c>
      <c r="I78" s="94">
        <v>155</v>
      </c>
      <c r="J78" s="2">
        <v>0.45800000000000002</v>
      </c>
      <c r="L78" s="135">
        <v>46140</v>
      </c>
      <c r="M78" s="3" t="s">
        <v>392</v>
      </c>
      <c r="O78" s="1">
        <v>1</v>
      </c>
      <c r="P78" s="94">
        <v>2</v>
      </c>
      <c r="Q78" s="4">
        <v>0</v>
      </c>
      <c r="R78" s="2">
        <v>0</v>
      </c>
      <c r="S78" s="25" t="s">
        <v>723</v>
      </c>
      <c r="V78" s="41" t="s">
        <v>724</v>
      </c>
      <c r="W78" s="43" t="s">
        <v>395</v>
      </c>
      <c r="AB78" s="2">
        <v>3.21</v>
      </c>
      <c r="AC78" s="2">
        <v>6.93</v>
      </c>
      <c r="AD78" s="2">
        <v>0.28000000000000003</v>
      </c>
    </row>
    <row r="79" spans="1:30" x14ac:dyDescent="0.25">
      <c r="A79" s="25" t="s">
        <v>725</v>
      </c>
      <c r="B79" s="134" t="s">
        <v>726</v>
      </c>
      <c r="C79" s="1">
        <v>1</v>
      </c>
      <c r="D79" s="1">
        <v>1</v>
      </c>
      <c r="E79" s="1">
        <v>1</v>
      </c>
      <c r="F79" s="1" t="s">
        <v>727</v>
      </c>
      <c r="G79" s="1">
        <v>3156</v>
      </c>
      <c r="H79" s="1" t="s">
        <v>384</v>
      </c>
      <c r="I79" s="94">
        <v>155</v>
      </c>
      <c r="J79" s="2">
        <v>0.85899999999999999</v>
      </c>
      <c r="L79" s="135">
        <v>46140</v>
      </c>
      <c r="M79" s="3" t="s">
        <v>412</v>
      </c>
      <c r="O79" s="1">
        <v>1</v>
      </c>
      <c r="P79" s="94">
        <v>2</v>
      </c>
      <c r="Q79" s="4">
        <v>0</v>
      </c>
      <c r="R79" s="2">
        <v>0</v>
      </c>
      <c r="S79" s="25" t="s">
        <v>728</v>
      </c>
      <c r="V79" s="41" t="s">
        <v>729</v>
      </c>
      <c r="W79" s="43" t="s">
        <v>395</v>
      </c>
      <c r="AB79" s="2">
        <v>3.21</v>
      </c>
      <c r="AC79" s="2">
        <v>8.6</v>
      </c>
      <c r="AD79" s="2">
        <v>0.28000000000000003</v>
      </c>
    </row>
    <row r="80" spans="1:30" x14ac:dyDescent="0.25">
      <c r="A80" s="25" t="s">
        <v>730</v>
      </c>
      <c r="B80" s="134" t="s">
        <v>731</v>
      </c>
      <c r="C80" s="1">
        <v>1</v>
      </c>
      <c r="D80" s="1">
        <v>1</v>
      </c>
      <c r="E80" s="1">
        <v>1</v>
      </c>
      <c r="F80" s="1" t="s">
        <v>732</v>
      </c>
      <c r="G80" s="1">
        <v>2066</v>
      </c>
      <c r="H80" s="1" t="s">
        <v>384</v>
      </c>
      <c r="I80" s="94">
        <v>155</v>
      </c>
      <c r="J80" s="2">
        <v>1.5860000000000001</v>
      </c>
      <c r="L80" s="135">
        <v>46140</v>
      </c>
      <c r="M80" s="3" t="s">
        <v>378</v>
      </c>
      <c r="O80" s="1">
        <v>1</v>
      </c>
      <c r="P80" s="94">
        <v>2</v>
      </c>
      <c r="Q80" s="4">
        <v>0</v>
      </c>
      <c r="R80" s="2">
        <v>0</v>
      </c>
      <c r="S80" s="25" t="s">
        <v>733</v>
      </c>
      <c r="V80" s="41" t="s">
        <v>734</v>
      </c>
      <c r="W80" s="43" t="s">
        <v>452</v>
      </c>
      <c r="AB80" s="2">
        <v>3.21</v>
      </c>
      <c r="AC80" s="2">
        <v>5.96</v>
      </c>
      <c r="AD80" s="2">
        <v>0.28000000000000003</v>
      </c>
    </row>
    <row r="81" spans="1:30" x14ac:dyDescent="0.25">
      <c r="A81" s="25" t="s">
        <v>735</v>
      </c>
      <c r="B81" s="134" t="s">
        <v>736</v>
      </c>
      <c r="C81" s="1">
        <v>1</v>
      </c>
      <c r="D81" s="1">
        <v>2</v>
      </c>
      <c r="E81" s="1">
        <v>2</v>
      </c>
      <c r="F81" s="1" t="s">
        <v>737</v>
      </c>
      <c r="G81" s="1">
        <v>4520</v>
      </c>
      <c r="H81" s="1" t="s">
        <v>384</v>
      </c>
      <c r="I81" s="94">
        <v>155</v>
      </c>
      <c r="J81" s="2">
        <v>0.35899999999999999</v>
      </c>
      <c r="L81" s="135">
        <v>46140</v>
      </c>
      <c r="M81" s="3" t="s">
        <v>392</v>
      </c>
      <c r="O81" s="1">
        <v>1</v>
      </c>
      <c r="P81" s="94">
        <v>2</v>
      </c>
      <c r="Q81" s="4">
        <v>0</v>
      </c>
      <c r="R81" s="2">
        <v>0</v>
      </c>
      <c r="S81" s="25" t="s">
        <v>738</v>
      </c>
      <c r="V81" s="41" t="s">
        <v>739</v>
      </c>
      <c r="W81" s="43" t="s">
        <v>740</v>
      </c>
      <c r="AB81" s="2">
        <v>3.99</v>
      </c>
      <c r="AC81" s="2">
        <v>8.3800000000000008</v>
      </c>
      <c r="AD81" s="2">
        <v>0.28000000000000003</v>
      </c>
    </row>
    <row r="82" spans="1:30" x14ac:dyDescent="0.25">
      <c r="A82" s="25" t="s">
        <v>741</v>
      </c>
      <c r="B82" s="134" t="s">
        <v>742</v>
      </c>
      <c r="C82" s="1">
        <v>1</v>
      </c>
      <c r="D82" s="1">
        <v>1</v>
      </c>
      <c r="E82" s="1">
        <v>1</v>
      </c>
      <c r="F82" s="1" t="s">
        <v>743</v>
      </c>
      <c r="G82" s="1">
        <v>3764</v>
      </c>
      <c r="H82" s="1" t="s">
        <v>384</v>
      </c>
      <c r="I82" s="94">
        <v>155</v>
      </c>
      <c r="J82" s="2">
        <v>0.46</v>
      </c>
      <c r="L82" s="135">
        <v>46141</v>
      </c>
      <c r="M82" s="3" t="s">
        <v>392</v>
      </c>
      <c r="O82" s="1">
        <v>1</v>
      </c>
      <c r="P82" s="94">
        <v>2</v>
      </c>
      <c r="Q82" s="4">
        <v>0</v>
      </c>
      <c r="R82" s="2">
        <v>0</v>
      </c>
      <c r="S82" s="25" t="s">
        <v>744</v>
      </c>
      <c r="V82" s="41" t="s">
        <v>479</v>
      </c>
      <c r="W82" s="43" t="s">
        <v>469</v>
      </c>
      <c r="AB82" s="2">
        <v>3.21</v>
      </c>
      <c r="AC82" s="2">
        <v>8.3800000000000008</v>
      </c>
      <c r="AD82" s="2">
        <v>0.28000000000000003</v>
      </c>
    </row>
    <row r="83" spans="1:30" x14ac:dyDescent="0.25">
      <c r="A83" s="25" t="s">
        <v>745</v>
      </c>
      <c r="B83" s="134" t="s">
        <v>746</v>
      </c>
      <c r="C83" s="1">
        <v>1</v>
      </c>
      <c r="D83" s="1">
        <v>1</v>
      </c>
      <c r="E83" s="1">
        <v>1</v>
      </c>
      <c r="F83" s="1" t="s">
        <v>747</v>
      </c>
      <c r="G83" s="1">
        <v>6164</v>
      </c>
      <c r="H83" s="1" t="s">
        <v>384</v>
      </c>
      <c r="I83" s="94">
        <v>155</v>
      </c>
      <c r="J83" s="2">
        <v>0.54400000000000004</v>
      </c>
      <c r="L83" s="135">
        <v>46140</v>
      </c>
      <c r="M83" s="3" t="s">
        <v>392</v>
      </c>
      <c r="O83" s="1">
        <v>1</v>
      </c>
      <c r="P83" s="94">
        <v>2</v>
      </c>
      <c r="Q83" s="4">
        <v>0</v>
      </c>
      <c r="R83" s="2">
        <v>0</v>
      </c>
      <c r="S83" s="25" t="s">
        <v>748</v>
      </c>
      <c r="V83" s="41" t="s">
        <v>749</v>
      </c>
      <c r="W83" s="43" t="s">
        <v>408</v>
      </c>
      <c r="AB83" s="2">
        <v>3.21</v>
      </c>
      <c r="AC83" s="2">
        <v>12.93</v>
      </c>
      <c r="AD83" s="2">
        <v>0.28000000000000003</v>
      </c>
    </row>
    <row r="84" spans="1:30" x14ac:dyDescent="0.25">
      <c r="A84" s="25" t="s">
        <v>750</v>
      </c>
      <c r="B84" s="134" t="s">
        <v>751</v>
      </c>
      <c r="C84" s="1">
        <v>1</v>
      </c>
      <c r="D84" s="1">
        <v>2</v>
      </c>
      <c r="E84" s="1">
        <v>2</v>
      </c>
      <c r="F84" s="1" t="s">
        <v>752</v>
      </c>
      <c r="G84" s="1">
        <v>3020</v>
      </c>
      <c r="H84" s="1" t="s">
        <v>384</v>
      </c>
      <c r="I84" s="94">
        <v>155</v>
      </c>
      <c r="J84" s="2">
        <v>0.91400000000000003</v>
      </c>
      <c r="L84" s="135">
        <v>46140</v>
      </c>
      <c r="M84" s="3" t="s">
        <v>412</v>
      </c>
      <c r="O84" s="1">
        <v>1</v>
      </c>
      <c r="P84" s="94">
        <v>2</v>
      </c>
      <c r="Q84" s="4">
        <v>0</v>
      </c>
      <c r="R84" s="2">
        <v>0</v>
      </c>
      <c r="S84" s="25" t="s">
        <v>753</v>
      </c>
      <c r="V84" s="41" t="s">
        <v>754</v>
      </c>
      <c r="W84" s="43" t="s">
        <v>395</v>
      </c>
      <c r="AB84" s="2">
        <v>3.99</v>
      </c>
      <c r="AC84" s="2">
        <v>8.6</v>
      </c>
      <c r="AD84" s="2">
        <v>0.28000000000000003</v>
      </c>
    </row>
    <row r="85" spans="1:30" x14ac:dyDescent="0.25">
      <c r="A85" s="25" t="s">
        <v>755</v>
      </c>
      <c r="B85" s="134" t="s">
        <v>756</v>
      </c>
      <c r="C85" s="1">
        <v>1</v>
      </c>
      <c r="D85" s="1">
        <v>1</v>
      </c>
      <c r="E85" s="1">
        <v>1</v>
      </c>
      <c r="F85" s="1" t="s">
        <v>757</v>
      </c>
      <c r="G85" s="1">
        <v>4012</v>
      </c>
      <c r="H85" s="1" t="s">
        <v>384</v>
      </c>
      <c r="I85" s="94">
        <v>155</v>
      </c>
      <c r="J85" s="2">
        <v>0.21</v>
      </c>
      <c r="L85" s="135">
        <v>46140</v>
      </c>
      <c r="M85" s="3" t="s">
        <v>392</v>
      </c>
      <c r="O85" s="1">
        <v>1</v>
      </c>
      <c r="P85" s="94">
        <v>2</v>
      </c>
      <c r="Q85" s="4">
        <v>0</v>
      </c>
      <c r="R85" s="2">
        <v>0</v>
      </c>
      <c r="S85" s="25" t="s">
        <v>758</v>
      </c>
      <c r="V85" s="41" t="s">
        <v>759</v>
      </c>
      <c r="W85" s="43" t="s">
        <v>436</v>
      </c>
      <c r="AB85" s="2">
        <v>3.21</v>
      </c>
      <c r="AC85" s="2">
        <v>6.93</v>
      </c>
      <c r="AD85" s="2">
        <v>0.28000000000000003</v>
      </c>
    </row>
    <row r="86" spans="1:30" x14ac:dyDescent="0.25">
      <c r="A86" s="25" t="s">
        <v>760</v>
      </c>
      <c r="B86" s="134" t="s">
        <v>761</v>
      </c>
      <c r="C86" s="1">
        <v>1</v>
      </c>
      <c r="D86" s="1">
        <v>1</v>
      </c>
      <c r="E86" s="1">
        <v>1</v>
      </c>
      <c r="F86" s="1" t="s">
        <v>762</v>
      </c>
      <c r="G86" s="1">
        <v>3950</v>
      </c>
      <c r="H86" s="1" t="s">
        <v>384</v>
      </c>
      <c r="I86" s="94">
        <v>155</v>
      </c>
      <c r="J86" s="2">
        <v>0.47299999999999998</v>
      </c>
      <c r="L86" s="135">
        <v>46140</v>
      </c>
      <c r="M86" s="3" t="s">
        <v>392</v>
      </c>
      <c r="O86" s="1">
        <v>1</v>
      </c>
      <c r="P86" s="94">
        <v>2</v>
      </c>
      <c r="Q86" s="4">
        <v>0</v>
      </c>
      <c r="R86" s="2">
        <v>0</v>
      </c>
      <c r="S86" s="25" t="s">
        <v>763</v>
      </c>
      <c r="V86" s="41" t="s">
        <v>764</v>
      </c>
      <c r="W86" s="43" t="s">
        <v>402</v>
      </c>
      <c r="AB86" s="2">
        <v>3.21</v>
      </c>
      <c r="AC86" s="2">
        <v>11.57</v>
      </c>
      <c r="AD86" s="2">
        <v>0.28000000000000003</v>
      </c>
    </row>
    <row r="87" spans="1:30" x14ac:dyDescent="0.25">
      <c r="A87" s="25" t="s">
        <v>765</v>
      </c>
      <c r="B87" s="134" t="s">
        <v>766</v>
      </c>
      <c r="C87" s="1">
        <v>1</v>
      </c>
      <c r="D87" s="1">
        <v>8</v>
      </c>
      <c r="E87" s="1">
        <v>8</v>
      </c>
      <c r="F87" s="1" t="s">
        <v>767</v>
      </c>
      <c r="G87" s="1">
        <v>2103</v>
      </c>
      <c r="H87" s="1" t="s">
        <v>384</v>
      </c>
      <c r="I87" s="94">
        <v>155</v>
      </c>
      <c r="J87" s="2">
        <v>3.7549999999999999</v>
      </c>
      <c r="L87" s="135">
        <v>46140</v>
      </c>
      <c r="M87" s="3" t="s">
        <v>378</v>
      </c>
      <c r="O87" s="1">
        <v>1</v>
      </c>
      <c r="P87" s="94">
        <v>2</v>
      </c>
      <c r="Q87" s="4">
        <v>0</v>
      </c>
      <c r="R87" s="2">
        <v>0</v>
      </c>
      <c r="S87" s="25" t="s">
        <v>768</v>
      </c>
      <c r="V87" s="41" t="s">
        <v>769</v>
      </c>
      <c r="W87" s="43" t="s">
        <v>452</v>
      </c>
      <c r="AB87" s="2">
        <v>8.67</v>
      </c>
      <c r="AC87" s="2">
        <v>6.31</v>
      </c>
      <c r="AD87" s="2">
        <v>0.28000000000000003</v>
      </c>
    </row>
    <row r="88" spans="1:30" x14ac:dyDescent="0.25">
      <c r="A88" s="25" t="s">
        <v>770</v>
      </c>
      <c r="B88" s="134" t="s">
        <v>771</v>
      </c>
      <c r="C88" s="1">
        <v>1</v>
      </c>
      <c r="D88" s="1">
        <v>1</v>
      </c>
      <c r="E88" s="1">
        <v>1</v>
      </c>
      <c r="F88" s="1" t="s">
        <v>772</v>
      </c>
      <c r="G88" s="1">
        <v>3165</v>
      </c>
      <c r="H88" s="1" t="s">
        <v>384</v>
      </c>
      <c r="I88" s="94">
        <v>155</v>
      </c>
      <c r="J88" s="2">
        <v>0.46700000000000003</v>
      </c>
      <c r="L88" s="135">
        <v>46141</v>
      </c>
      <c r="M88" s="3" t="s">
        <v>392</v>
      </c>
      <c r="O88" s="1">
        <v>1</v>
      </c>
      <c r="P88" s="94">
        <v>2</v>
      </c>
      <c r="Q88" s="4">
        <v>0</v>
      </c>
      <c r="R88" s="2">
        <v>0</v>
      </c>
      <c r="S88" s="25" t="s">
        <v>773</v>
      </c>
      <c r="V88" s="41" t="s">
        <v>468</v>
      </c>
      <c r="W88" s="43" t="s">
        <v>395</v>
      </c>
      <c r="AB88" s="2">
        <v>3.21</v>
      </c>
      <c r="AC88" s="2">
        <v>6.93</v>
      </c>
      <c r="AD88" s="2">
        <v>0.28000000000000003</v>
      </c>
    </row>
    <row r="89" spans="1:30" x14ac:dyDescent="0.25">
      <c r="A89" s="25" t="s">
        <v>774</v>
      </c>
      <c r="B89" s="134" t="s">
        <v>775</v>
      </c>
      <c r="C89" s="1">
        <v>1</v>
      </c>
      <c r="D89" s="1">
        <v>3</v>
      </c>
      <c r="E89" s="1">
        <v>3</v>
      </c>
      <c r="F89" s="1" t="s">
        <v>776</v>
      </c>
      <c r="G89" s="1">
        <v>3094</v>
      </c>
      <c r="H89" s="1" t="s">
        <v>384</v>
      </c>
      <c r="I89" s="94">
        <v>155</v>
      </c>
      <c r="J89" s="2">
        <v>1.393</v>
      </c>
      <c r="L89" s="135">
        <v>46140</v>
      </c>
      <c r="M89" s="3" t="s">
        <v>378</v>
      </c>
      <c r="O89" s="1">
        <v>1</v>
      </c>
      <c r="P89" s="94">
        <v>2</v>
      </c>
      <c r="Q89" s="4">
        <v>0</v>
      </c>
      <c r="R89" s="2">
        <v>0</v>
      </c>
      <c r="S89" s="25" t="s">
        <v>777</v>
      </c>
      <c r="V89" s="41" t="s">
        <v>778</v>
      </c>
      <c r="W89" s="43" t="s">
        <v>395</v>
      </c>
      <c r="AB89" s="2">
        <v>4.7699999999999996</v>
      </c>
      <c r="AC89" s="2">
        <v>9.27</v>
      </c>
      <c r="AD89" s="2">
        <v>0.28000000000000003</v>
      </c>
    </row>
    <row r="90" spans="1:30" x14ac:dyDescent="0.25">
      <c r="A90" s="25" t="s">
        <v>779</v>
      </c>
      <c r="B90" s="134" t="s">
        <v>780</v>
      </c>
      <c r="C90" s="1">
        <v>1</v>
      </c>
      <c r="D90" s="1">
        <v>4</v>
      </c>
      <c r="E90" s="1">
        <v>4</v>
      </c>
      <c r="F90" s="1" t="s">
        <v>781</v>
      </c>
      <c r="G90" s="1">
        <v>5011</v>
      </c>
      <c r="H90" s="1" t="s">
        <v>384</v>
      </c>
      <c r="I90" s="94">
        <v>155</v>
      </c>
      <c r="J90" s="2">
        <v>1.78</v>
      </c>
      <c r="L90" s="135">
        <v>46140</v>
      </c>
      <c r="M90" s="3" t="s">
        <v>412</v>
      </c>
      <c r="O90" s="1">
        <v>1</v>
      </c>
      <c r="P90" s="94">
        <v>2</v>
      </c>
      <c r="Q90" s="4">
        <v>0</v>
      </c>
      <c r="R90" s="2">
        <v>0</v>
      </c>
      <c r="S90" s="25" t="s">
        <v>782</v>
      </c>
      <c r="V90" s="41" t="s">
        <v>783</v>
      </c>
      <c r="W90" s="43" t="s">
        <v>574</v>
      </c>
      <c r="AB90" s="2">
        <v>5.55</v>
      </c>
      <c r="AC90" s="2">
        <v>9.86</v>
      </c>
      <c r="AD90" s="2">
        <v>0.28000000000000003</v>
      </c>
    </row>
    <row r="91" spans="1:30" x14ac:dyDescent="0.25">
      <c r="A91" s="25" t="s">
        <v>784</v>
      </c>
      <c r="B91" s="134" t="s">
        <v>785</v>
      </c>
      <c r="C91" s="1">
        <v>1</v>
      </c>
      <c r="D91" s="1">
        <v>1</v>
      </c>
      <c r="E91" s="1">
        <v>1</v>
      </c>
      <c r="F91" s="1" t="s">
        <v>786</v>
      </c>
      <c r="G91" s="1">
        <v>5023</v>
      </c>
      <c r="H91" s="1" t="s">
        <v>384</v>
      </c>
      <c r="I91" s="94">
        <v>155</v>
      </c>
      <c r="J91" s="2">
        <v>0.45600000000000002</v>
      </c>
      <c r="L91" s="135">
        <v>46140</v>
      </c>
      <c r="M91" s="3" t="s">
        <v>392</v>
      </c>
      <c r="O91" s="1">
        <v>1</v>
      </c>
      <c r="P91" s="94">
        <v>2</v>
      </c>
      <c r="Q91" s="4">
        <v>0</v>
      </c>
      <c r="R91" s="2">
        <v>0</v>
      </c>
      <c r="S91" s="25" t="s">
        <v>787</v>
      </c>
      <c r="V91" s="41" t="s">
        <v>788</v>
      </c>
      <c r="W91" s="43" t="s">
        <v>574</v>
      </c>
      <c r="AB91" s="2">
        <v>3.21</v>
      </c>
      <c r="AC91" s="2">
        <v>7.14</v>
      </c>
      <c r="AD91" s="2">
        <v>0.28000000000000003</v>
      </c>
    </row>
    <row r="92" spans="1:30" x14ac:dyDescent="0.25">
      <c r="A92" s="25" t="s">
        <v>789</v>
      </c>
      <c r="B92" s="134" t="s">
        <v>790</v>
      </c>
      <c r="C92" s="1">
        <v>1</v>
      </c>
      <c r="D92" s="1">
        <v>1</v>
      </c>
      <c r="E92" s="1">
        <v>1</v>
      </c>
      <c r="F92" s="1" t="s">
        <v>791</v>
      </c>
      <c r="G92" s="1">
        <v>5022</v>
      </c>
      <c r="H92" s="1" t="s">
        <v>384</v>
      </c>
      <c r="I92" s="94">
        <v>155</v>
      </c>
      <c r="J92" s="2">
        <v>0.3</v>
      </c>
      <c r="L92" s="135">
        <v>46140</v>
      </c>
      <c r="M92" s="3" t="s">
        <v>412</v>
      </c>
      <c r="O92" s="1">
        <v>1</v>
      </c>
      <c r="P92" s="94">
        <v>2</v>
      </c>
      <c r="Q92" s="4">
        <v>0</v>
      </c>
      <c r="R92" s="2">
        <v>0</v>
      </c>
      <c r="S92" s="25" t="s">
        <v>792</v>
      </c>
      <c r="V92" s="41" t="s">
        <v>420</v>
      </c>
      <c r="W92" s="43" t="s">
        <v>574</v>
      </c>
      <c r="AB92" s="2">
        <v>3.21</v>
      </c>
      <c r="AC92" s="2">
        <v>7.14</v>
      </c>
      <c r="AD92" s="2">
        <v>0.28000000000000003</v>
      </c>
    </row>
    <row r="93" spans="1:30" x14ac:dyDescent="0.25">
      <c r="A93" s="25" t="s">
        <v>793</v>
      </c>
      <c r="B93" s="134" t="s">
        <v>794</v>
      </c>
      <c r="C93" s="1">
        <v>1</v>
      </c>
      <c r="D93" s="1">
        <v>2</v>
      </c>
      <c r="E93" s="1">
        <v>2</v>
      </c>
      <c r="F93" s="1" t="s">
        <v>795</v>
      </c>
      <c r="G93" s="1">
        <v>3977</v>
      </c>
      <c r="H93" s="1" t="s">
        <v>384</v>
      </c>
      <c r="I93" s="94">
        <v>155</v>
      </c>
      <c r="J93" s="2">
        <v>0.74</v>
      </c>
      <c r="L93" s="135">
        <v>46140</v>
      </c>
      <c r="M93" s="3" t="s">
        <v>412</v>
      </c>
      <c r="O93" s="1">
        <v>1</v>
      </c>
      <c r="P93" s="94">
        <v>2</v>
      </c>
      <c r="Q93" s="4">
        <v>0</v>
      </c>
      <c r="R93" s="2">
        <v>0</v>
      </c>
      <c r="S93" s="25" t="s">
        <v>796</v>
      </c>
      <c r="V93" s="41" t="s">
        <v>797</v>
      </c>
      <c r="W93" s="43" t="s">
        <v>469</v>
      </c>
      <c r="AB93" s="2">
        <v>3.99</v>
      </c>
      <c r="AC93" s="2">
        <v>10.38</v>
      </c>
      <c r="AD93" s="2">
        <v>0.28000000000000003</v>
      </c>
    </row>
    <row r="94" spans="1:30" x14ac:dyDescent="0.25">
      <c r="A94" s="25" t="s">
        <v>798</v>
      </c>
      <c r="B94" s="134" t="s">
        <v>799</v>
      </c>
      <c r="C94" s="1">
        <v>1</v>
      </c>
      <c r="D94" s="1">
        <v>1</v>
      </c>
      <c r="E94" s="1">
        <v>1</v>
      </c>
      <c r="F94" s="1" t="s">
        <v>800</v>
      </c>
      <c r="G94" s="1">
        <v>3195</v>
      </c>
      <c r="H94" s="1" t="s">
        <v>384</v>
      </c>
      <c r="I94" s="94">
        <v>155</v>
      </c>
      <c r="J94" s="2">
        <v>0.45</v>
      </c>
      <c r="L94" s="135">
        <v>46140</v>
      </c>
      <c r="M94" s="3" t="s">
        <v>392</v>
      </c>
      <c r="O94" s="1">
        <v>1</v>
      </c>
      <c r="P94" s="94">
        <v>2</v>
      </c>
      <c r="Q94" s="4">
        <v>0</v>
      </c>
      <c r="R94" s="2">
        <v>0</v>
      </c>
      <c r="S94" s="25" t="s">
        <v>801</v>
      </c>
      <c r="V94" s="41" t="s">
        <v>673</v>
      </c>
      <c r="W94" s="43" t="s">
        <v>395</v>
      </c>
      <c r="AB94" s="2">
        <v>3.21</v>
      </c>
      <c r="AC94" s="2">
        <v>6.93</v>
      </c>
      <c r="AD94" s="2">
        <v>0.28000000000000003</v>
      </c>
    </row>
    <row r="95" spans="1:30" x14ac:dyDescent="0.25">
      <c r="A95" s="25" t="s">
        <v>802</v>
      </c>
      <c r="B95" s="134" t="s">
        <v>803</v>
      </c>
      <c r="C95" s="1">
        <v>1</v>
      </c>
      <c r="D95" s="1">
        <v>1</v>
      </c>
      <c r="E95" s="1">
        <v>1</v>
      </c>
      <c r="F95" s="1" t="s">
        <v>466</v>
      </c>
      <c r="G95" s="1">
        <v>3807</v>
      </c>
      <c r="H95" s="1" t="s">
        <v>384</v>
      </c>
      <c r="I95" s="94">
        <v>155</v>
      </c>
      <c r="J95" s="2">
        <v>0.56499999999999995</v>
      </c>
      <c r="L95" s="135">
        <v>46140</v>
      </c>
      <c r="M95" s="3" t="s">
        <v>392</v>
      </c>
      <c r="O95" s="1">
        <v>1</v>
      </c>
      <c r="P95" s="94">
        <v>2</v>
      </c>
      <c r="Q95" s="4">
        <v>0</v>
      </c>
      <c r="R95" s="2">
        <v>0</v>
      </c>
      <c r="S95" s="25" t="s">
        <v>804</v>
      </c>
      <c r="V95" s="41" t="s">
        <v>805</v>
      </c>
      <c r="W95" s="43" t="s">
        <v>469</v>
      </c>
      <c r="AB95" s="2">
        <v>3.21</v>
      </c>
      <c r="AC95" s="2">
        <v>10.38</v>
      </c>
      <c r="AD95" s="2">
        <v>0.28000000000000003</v>
      </c>
    </row>
    <row r="96" spans="1:30" x14ac:dyDescent="0.25">
      <c r="A96" s="25" t="s">
        <v>806</v>
      </c>
      <c r="B96" s="134" t="s">
        <v>807</v>
      </c>
      <c r="C96" s="1">
        <v>1</v>
      </c>
      <c r="D96" s="1">
        <v>1</v>
      </c>
      <c r="E96" s="1">
        <v>1</v>
      </c>
      <c r="F96" s="1" t="s">
        <v>808</v>
      </c>
      <c r="G96" s="1">
        <v>2102</v>
      </c>
      <c r="H96" s="1" t="s">
        <v>384</v>
      </c>
      <c r="I96" s="94">
        <v>155</v>
      </c>
      <c r="J96" s="2">
        <v>0.46</v>
      </c>
      <c r="L96" s="135">
        <v>46141</v>
      </c>
      <c r="M96" s="3" t="s">
        <v>392</v>
      </c>
      <c r="O96" s="1">
        <v>1</v>
      </c>
      <c r="P96" s="94">
        <v>2</v>
      </c>
      <c r="Q96" s="4">
        <v>0</v>
      </c>
      <c r="R96" s="2">
        <v>0</v>
      </c>
      <c r="S96" s="25" t="s">
        <v>809</v>
      </c>
      <c r="V96" s="41" t="s">
        <v>479</v>
      </c>
      <c r="W96" s="43" t="s">
        <v>452</v>
      </c>
      <c r="AB96" s="2">
        <v>3.21</v>
      </c>
      <c r="AC96" s="2">
        <v>5.5</v>
      </c>
      <c r="AD96" s="2">
        <v>0.28000000000000003</v>
      </c>
    </row>
    <row r="97" spans="1:30" x14ac:dyDescent="0.25">
      <c r="A97" s="25" t="s">
        <v>810</v>
      </c>
      <c r="B97" s="134" t="s">
        <v>811</v>
      </c>
      <c r="C97" s="1">
        <v>1</v>
      </c>
      <c r="D97" s="1">
        <v>1</v>
      </c>
      <c r="E97" s="1">
        <v>1</v>
      </c>
      <c r="F97" s="1" t="s">
        <v>812</v>
      </c>
      <c r="G97" s="1">
        <v>4101</v>
      </c>
      <c r="H97" s="1" t="s">
        <v>384</v>
      </c>
      <c r="I97" s="94">
        <v>155</v>
      </c>
      <c r="J97" s="2">
        <v>0.44400000000000001</v>
      </c>
      <c r="L97" s="135">
        <v>46140</v>
      </c>
      <c r="M97" s="3" t="s">
        <v>392</v>
      </c>
      <c r="O97" s="1">
        <v>1</v>
      </c>
      <c r="P97" s="94">
        <v>2</v>
      </c>
      <c r="Q97" s="4">
        <v>0</v>
      </c>
      <c r="R97" s="2">
        <v>0</v>
      </c>
      <c r="S97" s="25" t="s">
        <v>813</v>
      </c>
      <c r="V97" s="41" t="s">
        <v>814</v>
      </c>
      <c r="W97" s="43" t="s">
        <v>436</v>
      </c>
      <c r="AB97" s="2">
        <v>3.21</v>
      </c>
      <c r="AC97" s="2">
        <v>6.93</v>
      </c>
      <c r="AD97" s="2">
        <v>0.28000000000000003</v>
      </c>
    </row>
    <row r="98" spans="1:30" x14ac:dyDescent="0.25">
      <c r="A98" s="25" t="s">
        <v>815</v>
      </c>
      <c r="B98" s="134" t="s">
        <v>816</v>
      </c>
      <c r="C98" s="1">
        <v>1</v>
      </c>
      <c r="D98" s="1">
        <v>2</v>
      </c>
      <c r="E98" s="1">
        <v>3</v>
      </c>
      <c r="F98" s="1" t="s">
        <v>817</v>
      </c>
      <c r="G98" s="1">
        <v>3088</v>
      </c>
      <c r="H98" s="1" t="s">
        <v>384</v>
      </c>
      <c r="I98" s="94">
        <v>155</v>
      </c>
      <c r="J98" s="2">
        <v>1.0660000000000001</v>
      </c>
      <c r="L98" s="135">
        <v>46140</v>
      </c>
      <c r="M98" s="3" t="s">
        <v>378</v>
      </c>
      <c r="O98" s="1">
        <v>1</v>
      </c>
      <c r="P98" s="94">
        <v>2</v>
      </c>
      <c r="Q98" s="4">
        <v>0</v>
      </c>
      <c r="R98" s="2">
        <v>0</v>
      </c>
      <c r="S98" s="25" t="s">
        <v>818</v>
      </c>
      <c r="V98" s="41" t="s">
        <v>819</v>
      </c>
      <c r="W98" s="43" t="s">
        <v>395</v>
      </c>
      <c r="AB98" s="2">
        <v>4.46</v>
      </c>
      <c r="AC98" s="2">
        <v>9.27</v>
      </c>
      <c r="AD98" s="2">
        <v>0.28000000000000003</v>
      </c>
    </row>
    <row r="99" spans="1:30" x14ac:dyDescent="0.25">
      <c r="A99" s="25" t="s">
        <v>820</v>
      </c>
      <c r="B99" s="134" t="s">
        <v>821</v>
      </c>
      <c r="C99" s="1">
        <v>1</v>
      </c>
      <c r="D99" s="1">
        <v>4</v>
      </c>
      <c r="E99" s="1">
        <v>4</v>
      </c>
      <c r="F99" s="1" t="s">
        <v>822</v>
      </c>
      <c r="G99" s="1">
        <v>2354</v>
      </c>
      <c r="H99" s="1" t="s">
        <v>384</v>
      </c>
      <c r="I99" s="94">
        <v>155</v>
      </c>
      <c r="J99" s="2">
        <v>1.6459999999999999</v>
      </c>
      <c r="L99" s="135">
        <v>46140</v>
      </c>
      <c r="M99" s="3" t="s">
        <v>412</v>
      </c>
      <c r="O99" s="1">
        <v>1</v>
      </c>
      <c r="P99" s="94">
        <v>2</v>
      </c>
      <c r="Q99" s="4">
        <v>0</v>
      </c>
      <c r="R99" s="2">
        <v>0</v>
      </c>
      <c r="S99" s="25" t="s">
        <v>823</v>
      </c>
      <c r="V99" s="41" t="s">
        <v>824</v>
      </c>
      <c r="W99" s="43" t="s">
        <v>415</v>
      </c>
      <c r="AB99" s="2">
        <v>5.55</v>
      </c>
      <c r="AC99" s="2">
        <v>15.23</v>
      </c>
      <c r="AD99" s="2">
        <v>0.28000000000000003</v>
      </c>
    </row>
    <row r="100" spans="1:30" x14ac:dyDescent="0.25">
      <c r="A100" s="25" t="s">
        <v>825</v>
      </c>
      <c r="B100" s="134" t="s">
        <v>826</v>
      </c>
      <c r="C100" s="1">
        <v>1</v>
      </c>
      <c r="D100" s="1">
        <v>2</v>
      </c>
      <c r="E100" s="1">
        <v>2</v>
      </c>
      <c r="F100" s="1" t="s">
        <v>827</v>
      </c>
      <c r="G100" s="1">
        <v>3079</v>
      </c>
      <c r="H100" s="1" t="s">
        <v>384</v>
      </c>
      <c r="I100" s="94">
        <v>155</v>
      </c>
      <c r="J100" s="2">
        <v>0.73199999999999998</v>
      </c>
      <c r="L100" s="135">
        <v>46140</v>
      </c>
      <c r="M100" s="3" t="s">
        <v>412</v>
      </c>
      <c r="O100" s="1">
        <v>1</v>
      </c>
      <c r="P100" s="94">
        <v>2</v>
      </c>
      <c r="Q100" s="4">
        <v>0</v>
      </c>
      <c r="R100" s="2">
        <v>0</v>
      </c>
      <c r="S100" s="25" t="s">
        <v>828</v>
      </c>
      <c r="V100" s="41" t="s">
        <v>829</v>
      </c>
      <c r="W100" s="43" t="s">
        <v>395</v>
      </c>
      <c r="AB100" s="2">
        <v>3.99</v>
      </c>
      <c r="AC100" s="2">
        <v>8.6</v>
      </c>
      <c r="AD100" s="2">
        <v>0.28000000000000003</v>
      </c>
    </row>
    <row r="101" spans="1:30" x14ac:dyDescent="0.25">
      <c r="A101" s="25" t="s">
        <v>830</v>
      </c>
      <c r="B101" s="134" t="s">
        <v>831</v>
      </c>
      <c r="C101" s="1">
        <v>1</v>
      </c>
      <c r="D101" s="1">
        <v>2</v>
      </c>
      <c r="E101" s="1">
        <v>2</v>
      </c>
      <c r="F101" s="1" t="s">
        <v>832</v>
      </c>
      <c r="G101" s="1">
        <v>3204</v>
      </c>
      <c r="H101" s="1" t="s">
        <v>384</v>
      </c>
      <c r="I101" s="94">
        <v>154</v>
      </c>
      <c r="J101" s="2">
        <v>1.069</v>
      </c>
      <c r="L101" s="135">
        <v>46140</v>
      </c>
      <c r="M101" s="3" t="s">
        <v>412</v>
      </c>
      <c r="O101" s="1">
        <v>1</v>
      </c>
      <c r="P101" s="94">
        <v>2</v>
      </c>
      <c r="Q101" s="4">
        <v>0</v>
      </c>
      <c r="R101" s="2">
        <v>0</v>
      </c>
      <c r="S101" s="25" t="s">
        <v>833</v>
      </c>
      <c r="V101" s="41" t="s">
        <v>834</v>
      </c>
      <c r="W101" s="43" t="s">
        <v>395</v>
      </c>
      <c r="AB101" s="2">
        <v>3.99</v>
      </c>
      <c r="AC101" s="2">
        <v>15.7</v>
      </c>
      <c r="AD101" s="2">
        <v>0.28000000000000003</v>
      </c>
    </row>
    <row r="102" spans="1:30" x14ac:dyDescent="0.25">
      <c r="A102" s="25" t="s">
        <v>835</v>
      </c>
      <c r="B102" s="134" t="s">
        <v>836</v>
      </c>
      <c r="C102" s="1">
        <v>1</v>
      </c>
      <c r="D102" s="1">
        <v>1</v>
      </c>
      <c r="E102" s="1">
        <v>1</v>
      </c>
      <c r="F102" s="1" t="s">
        <v>837</v>
      </c>
      <c r="G102" s="1">
        <v>3000</v>
      </c>
      <c r="H102" s="1" t="s">
        <v>384</v>
      </c>
      <c r="I102" s="94">
        <v>154</v>
      </c>
      <c r="J102" s="2">
        <v>0.95699999999999996</v>
      </c>
      <c r="L102" s="135">
        <v>46140</v>
      </c>
      <c r="M102" s="3" t="s">
        <v>392</v>
      </c>
      <c r="O102" s="1">
        <v>1</v>
      </c>
      <c r="P102" s="94">
        <v>2</v>
      </c>
      <c r="Q102" s="4">
        <v>0</v>
      </c>
      <c r="R102" s="2">
        <v>0</v>
      </c>
      <c r="S102" s="25" t="s">
        <v>838</v>
      </c>
      <c r="V102" s="41" t="s">
        <v>839</v>
      </c>
      <c r="W102" s="43" t="s">
        <v>395</v>
      </c>
      <c r="AB102" s="2">
        <v>3.21</v>
      </c>
      <c r="AC102" s="2">
        <v>13.11</v>
      </c>
      <c r="AD102" s="2">
        <v>0.28000000000000003</v>
      </c>
    </row>
    <row r="103" spans="1:30" x14ac:dyDescent="0.25">
      <c r="A103" s="25" t="s">
        <v>840</v>
      </c>
      <c r="B103" s="134" t="s">
        <v>841</v>
      </c>
      <c r="C103" s="1">
        <v>1</v>
      </c>
      <c r="D103" s="1">
        <v>3</v>
      </c>
      <c r="E103" s="1">
        <v>3</v>
      </c>
      <c r="F103" s="1" t="s">
        <v>842</v>
      </c>
      <c r="G103" s="1">
        <v>2040</v>
      </c>
      <c r="H103" s="1" t="s">
        <v>384</v>
      </c>
      <c r="I103" s="94">
        <v>155</v>
      </c>
      <c r="J103" s="2">
        <v>1.36</v>
      </c>
      <c r="L103" s="135">
        <v>46140</v>
      </c>
      <c r="M103" s="3" t="s">
        <v>378</v>
      </c>
      <c r="O103" s="1">
        <v>1</v>
      </c>
      <c r="P103" s="94">
        <v>2</v>
      </c>
      <c r="Q103" s="4">
        <v>0</v>
      </c>
      <c r="R103" s="2">
        <v>0</v>
      </c>
      <c r="S103" s="25" t="s">
        <v>843</v>
      </c>
      <c r="V103" s="41" t="s">
        <v>844</v>
      </c>
      <c r="W103" s="43" t="s">
        <v>452</v>
      </c>
      <c r="AB103" s="2">
        <v>4.7699999999999996</v>
      </c>
      <c r="AC103" s="2">
        <v>5.96</v>
      </c>
      <c r="AD103" s="2">
        <v>0.28000000000000003</v>
      </c>
    </row>
    <row r="104" spans="1:30" x14ac:dyDescent="0.25">
      <c r="A104" s="25" t="s">
        <v>845</v>
      </c>
      <c r="B104" s="134" t="s">
        <v>846</v>
      </c>
      <c r="C104" s="1">
        <v>1</v>
      </c>
      <c r="D104" s="1">
        <v>3</v>
      </c>
      <c r="E104" s="1">
        <v>3</v>
      </c>
      <c r="F104" s="1" t="s">
        <v>847</v>
      </c>
      <c r="G104" s="1">
        <v>2120</v>
      </c>
      <c r="H104" s="1" t="s">
        <v>384</v>
      </c>
      <c r="I104" s="94">
        <v>155</v>
      </c>
      <c r="J104" s="2">
        <v>0.94</v>
      </c>
      <c r="L104" s="135">
        <v>46140</v>
      </c>
      <c r="M104" s="3" t="s">
        <v>412</v>
      </c>
      <c r="O104" s="1">
        <v>1</v>
      </c>
      <c r="P104" s="94">
        <v>2</v>
      </c>
      <c r="Q104" s="4">
        <v>0</v>
      </c>
      <c r="R104" s="2">
        <v>0</v>
      </c>
      <c r="S104" s="25" t="s">
        <v>848</v>
      </c>
      <c r="V104" s="41" t="s">
        <v>849</v>
      </c>
      <c r="W104" s="43" t="s">
        <v>452</v>
      </c>
      <c r="AB104" s="2">
        <v>4.7699999999999996</v>
      </c>
      <c r="AC104" s="2">
        <v>5.96</v>
      </c>
      <c r="AD104" s="2">
        <v>0.28000000000000003</v>
      </c>
    </row>
    <row r="105" spans="1:30" x14ac:dyDescent="0.25">
      <c r="A105" s="25" t="s">
        <v>850</v>
      </c>
      <c r="B105" s="134" t="s">
        <v>851</v>
      </c>
      <c r="C105" s="1">
        <v>1</v>
      </c>
      <c r="D105" s="1">
        <v>3</v>
      </c>
      <c r="E105" s="1">
        <v>3</v>
      </c>
      <c r="F105" s="1" t="s">
        <v>852</v>
      </c>
      <c r="G105" s="1">
        <v>2070</v>
      </c>
      <c r="H105" s="1" t="s">
        <v>384</v>
      </c>
      <c r="I105" s="94">
        <v>155</v>
      </c>
      <c r="J105" s="2">
        <v>0.95199999999999996</v>
      </c>
      <c r="L105" s="135">
        <v>46140</v>
      </c>
      <c r="M105" s="3" t="s">
        <v>412</v>
      </c>
      <c r="O105" s="1">
        <v>1</v>
      </c>
      <c r="P105" s="94">
        <v>2</v>
      </c>
      <c r="Q105" s="4">
        <v>0</v>
      </c>
      <c r="R105" s="2">
        <v>0</v>
      </c>
      <c r="S105" s="25" t="s">
        <v>853</v>
      </c>
      <c r="V105" s="41" t="s">
        <v>854</v>
      </c>
      <c r="W105" s="43" t="s">
        <v>452</v>
      </c>
      <c r="AB105" s="2">
        <v>4.7699999999999996</v>
      </c>
      <c r="AC105" s="2">
        <v>5.96</v>
      </c>
      <c r="AD105" s="2">
        <v>0.28000000000000003</v>
      </c>
    </row>
    <row r="106" spans="1:30" x14ac:dyDescent="0.25">
      <c r="A106" s="25" t="s">
        <v>855</v>
      </c>
      <c r="B106" s="134" t="s">
        <v>856</v>
      </c>
      <c r="C106" s="1">
        <v>1</v>
      </c>
      <c r="D106" s="1">
        <v>5</v>
      </c>
      <c r="E106" s="1">
        <v>5</v>
      </c>
      <c r="F106" s="1" t="s">
        <v>857</v>
      </c>
      <c r="G106" s="1">
        <v>4051</v>
      </c>
      <c r="H106" s="1" t="s">
        <v>384</v>
      </c>
      <c r="I106" s="94">
        <v>155</v>
      </c>
      <c r="J106" s="2">
        <v>0.77100000000000002</v>
      </c>
      <c r="L106" s="135">
        <v>46140</v>
      </c>
      <c r="M106" s="3" t="s">
        <v>412</v>
      </c>
      <c r="O106" s="1">
        <v>1</v>
      </c>
      <c r="P106" s="94">
        <v>2</v>
      </c>
      <c r="Q106" s="4">
        <v>0</v>
      </c>
      <c r="R106" s="2">
        <v>0</v>
      </c>
      <c r="S106" s="25" t="s">
        <v>858</v>
      </c>
      <c r="V106" s="41" t="s">
        <v>859</v>
      </c>
      <c r="W106" s="43" t="s">
        <v>436</v>
      </c>
      <c r="AB106" s="2">
        <v>6.33</v>
      </c>
      <c r="AC106" s="2">
        <v>8.6</v>
      </c>
      <c r="AD106" s="2">
        <v>0.28000000000000003</v>
      </c>
    </row>
    <row r="107" spans="1:30" x14ac:dyDescent="0.25">
      <c r="A107" s="25" t="s">
        <v>860</v>
      </c>
      <c r="B107" s="134" t="s">
        <v>861</v>
      </c>
      <c r="C107" s="1">
        <v>1</v>
      </c>
      <c r="D107" s="1">
        <v>3</v>
      </c>
      <c r="E107" s="1">
        <v>3</v>
      </c>
      <c r="F107" s="1" t="s">
        <v>862</v>
      </c>
      <c r="G107" s="1">
        <v>2000</v>
      </c>
      <c r="H107" s="1" t="s">
        <v>384</v>
      </c>
      <c r="I107" s="94">
        <v>155</v>
      </c>
      <c r="J107" s="2">
        <v>1.1950000000000001</v>
      </c>
      <c r="L107" s="135">
        <v>46140</v>
      </c>
      <c r="M107" s="3" t="s">
        <v>378</v>
      </c>
      <c r="O107" s="1">
        <v>1</v>
      </c>
      <c r="P107" s="94">
        <v>2</v>
      </c>
      <c r="Q107" s="4">
        <v>0</v>
      </c>
      <c r="R107" s="2">
        <v>0</v>
      </c>
      <c r="S107" s="25" t="s">
        <v>863</v>
      </c>
      <c r="V107" s="41" t="s">
        <v>864</v>
      </c>
      <c r="W107" s="43" t="s">
        <v>452</v>
      </c>
      <c r="AB107" s="2">
        <v>4.7699999999999996</v>
      </c>
      <c r="AC107" s="2">
        <v>5.96</v>
      </c>
      <c r="AD107" s="2">
        <v>0.28000000000000003</v>
      </c>
    </row>
    <row r="108" spans="1:30" x14ac:dyDescent="0.25">
      <c r="A108" s="25" t="s">
        <v>865</v>
      </c>
      <c r="B108" s="134" t="s">
        <v>866</v>
      </c>
      <c r="C108" s="1">
        <v>1</v>
      </c>
      <c r="D108" s="1">
        <v>1</v>
      </c>
      <c r="E108" s="1">
        <v>1</v>
      </c>
      <c r="F108" s="1" t="s">
        <v>867</v>
      </c>
      <c r="G108" s="1">
        <v>2196</v>
      </c>
      <c r="H108" s="1" t="s">
        <v>384</v>
      </c>
      <c r="I108" s="94">
        <v>155</v>
      </c>
      <c r="J108" s="2">
        <v>0.59699999999999998</v>
      </c>
      <c r="L108" s="135">
        <v>46140</v>
      </c>
      <c r="M108" s="3" t="s">
        <v>412</v>
      </c>
      <c r="O108" s="1">
        <v>1</v>
      </c>
      <c r="P108" s="94">
        <v>2</v>
      </c>
      <c r="Q108" s="4">
        <v>0</v>
      </c>
      <c r="R108" s="2">
        <v>0</v>
      </c>
      <c r="S108" s="25" t="s">
        <v>868</v>
      </c>
      <c r="V108" s="41" t="s">
        <v>869</v>
      </c>
      <c r="W108" s="43" t="s">
        <v>452</v>
      </c>
      <c r="AB108" s="2">
        <v>3.21</v>
      </c>
      <c r="AC108" s="2">
        <v>5.96</v>
      </c>
      <c r="AD108" s="2">
        <v>0.28000000000000003</v>
      </c>
    </row>
    <row r="109" spans="1:30" x14ac:dyDescent="0.25">
      <c r="A109" s="25" t="s">
        <v>870</v>
      </c>
      <c r="B109" s="134" t="s">
        <v>871</v>
      </c>
      <c r="C109" s="1">
        <v>1</v>
      </c>
      <c r="D109" s="1">
        <v>6</v>
      </c>
      <c r="E109" s="1">
        <v>7</v>
      </c>
      <c r="F109" s="1" t="s">
        <v>872</v>
      </c>
      <c r="G109" s="1">
        <v>3227</v>
      </c>
      <c r="H109" s="1" t="s">
        <v>384</v>
      </c>
      <c r="I109" s="94">
        <v>155</v>
      </c>
      <c r="J109" s="2">
        <v>1.0820000000000001</v>
      </c>
      <c r="L109" s="135">
        <v>46140</v>
      </c>
      <c r="M109" s="3" t="s">
        <v>378</v>
      </c>
      <c r="O109" s="1">
        <v>1</v>
      </c>
      <c r="P109" s="94">
        <v>2</v>
      </c>
      <c r="Q109" s="4">
        <v>0</v>
      </c>
      <c r="R109" s="2">
        <v>0</v>
      </c>
      <c r="S109" s="25" t="s">
        <v>873</v>
      </c>
      <c r="V109" s="41" t="s">
        <v>874</v>
      </c>
      <c r="W109" s="43" t="s">
        <v>402</v>
      </c>
      <c r="AB109" s="2">
        <v>7.58</v>
      </c>
      <c r="AC109" s="2">
        <v>20.76</v>
      </c>
      <c r="AD109" s="2">
        <v>0.28000000000000003</v>
      </c>
    </row>
    <row r="110" spans="1:30" x14ac:dyDescent="0.25">
      <c r="A110" s="25" t="s">
        <v>875</v>
      </c>
      <c r="B110" s="134" t="s">
        <v>876</v>
      </c>
      <c r="C110" s="1">
        <v>1</v>
      </c>
      <c r="D110" s="1">
        <v>3</v>
      </c>
      <c r="E110" s="1">
        <v>3</v>
      </c>
      <c r="F110" s="1" t="s">
        <v>877</v>
      </c>
      <c r="G110" s="1">
        <v>3071</v>
      </c>
      <c r="H110" s="1" t="s">
        <v>384</v>
      </c>
      <c r="I110" s="94">
        <v>155</v>
      </c>
      <c r="J110" s="2">
        <v>0.53</v>
      </c>
      <c r="L110" s="135">
        <v>46140</v>
      </c>
      <c r="M110" s="3" t="s">
        <v>412</v>
      </c>
      <c r="O110" s="1">
        <v>1</v>
      </c>
      <c r="P110" s="94">
        <v>2</v>
      </c>
      <c r="Q110" s="4">
        <v>0</v>
      </c>
      <c r="R110" s="2">
        <v>0</v>
      </c>
      <c r="S110" s="25" t="s">
        <v>878</v>
      </c>
      <c r="V110" s="41" t="s">
        <v>879</v>
      </c>
      <c r="W110" s="43" t="s">
        <v>395</v>
      </c>
      <c r="AB110" s="2">
        <v>4.7699999999999996</v>
      </c>
      <c r="AC110" s="2">
        <v>8.6</v>
      </c>
      <c r="AD110" s="2">
        <v>0.28000000000000003</v>
      </c>
    </row>
    <row r="111" spans="1:30" x14ac:dyDescent="0.25">
      <c r="A111" s="25" t="s">
        <v>880</v>
      </c>
      <c r="B111" s="134" t="s">
        <v>881</v>
      </c>
      <c r="C111" s="1">
        <v>1</v>
      </c>
      <c r="D111" s="1">
        <v>1</v>
      </c>
      <c r="E111" s="1">
        <v>1</v>
      </c>
      <c r="F111" s="1" t="s">
        <v>882</v>
      </c>
      <c r="G111" s="1">
        <v>4151</v>
      </c>
      <c r="H111" s="1" t="s">
        <v>384</v>
      </c>
      <c r="I111" s="94">
        <v>155</v>
      </c>
      <c r="J111" s="2">
        <v>0.318</v>
      </c>
      <c r="L111" s="135">
        <v>46140</v>
      </c>
      <c r="M111" s="3" t="s">
        <v>392</v>
      </c>
      <c r="O111" s="1">
        <v>1</v>
      </c>
      <c r="P111" s="94">
        <v>2</v>
      </c>
      <c r="Q111" s="4">
        <v>0</v>
      </c>
      <c r="R111" s="2">
        <v>0</v>
      </c>
      <c r="S111" s="25" t="s">
        <v>883</v>
      </c>
      <c r="V111" s="41" t="s">
        <v>884</v>
      </c>
      <c r="W111" s="43" t="s">
        <v>436</v>
      </c>
      <c r="AB111" s="2">
        <v>3.21</v>
      </c>
      <c r="AC111" s="2">
        <v>6.93</v>
      </c>
      <c r="AD111" s="2">
        <v>0.28000000000000003</v>
      </c>
    </row>
    <row r="112" spans="1:30" x14ac:dyDescent="0.25">
      <c r="A112" s="25" t="s">
        <v>885</v>
      </c>
      <c r="B112" s="134" t="s">
        <v>886</v>
      </c>
      <c r="C112" s="1">
        <v>1</v>
      </c>
      <c r="D112" s="1">
        <v>2</v>
      </c>
      <c r="E112" s="1">
        <v>2</v>
      </c>
      <c r="F112" s="1" t="s">
        <v>887</v>
      </c>
      <c r="G112" s="1">
        <v>2824</v>
      </c>
      <c r="H112" s="1" t="s">
        <v>384</v>
      </c>
      <c r="I112" s="94">
        <v>155</v>
      </c>
      <c r="J112" s="2">
        <v>0.9</v>
      </c>
      <c r="L112" s="135">
        <v>46140</v>
      </c>
      <c r="M112" s="3" t="s">
        <v>412</v>
      </c>
      <c r="O112" s="1">
        <v>1</v>
      </c>
      <c r="P112" s="94">
        <v>2</v>
      </c>
      <c r="Q112" s="4">
        <v>0</v>
      </c>
      <c r="R112" s="2">
        <v>0</v>
      </c>
      <c r="S112" s="25" t="s">
        <v>888</v>
      </c>
      <c r="V112" s="41" t="s">
        <v>889</v>
      </c>
      <c r="W112" s="43" t="s">
        <v>415</v>
      </c>
      <c r="AB112" s="2">
        <v>3.99</v>
      </c>
      <c r="AC112" s="2">
        <v>13.77</v>
      </c>
      <c r="AD112" s="2">
        <v>0.28000000000000003</v>
      </c>
    </row>
    <row r="113" spans="1:30" x14ac:dyDescent="0.25">
      <c r="A113" s="25" t="s">
        <v>890</v>
      </c>
      <c r="B113" s="134" t="s">
        <v>891</v>
      </c>
      <c r="C113" s="1">
        <v>1</v>
      </c>
      <c r="D113" s="1">
        <v>1</v>
      </c>
      <c r="E113" s="1">
        <v>1</v>
      </c>
      <c r="F113" s="1" t="s">
        <v>892</v>
      </c>
      <c r="G113" s="1">
        <v>2038</v>
      </c>
      <c r="H113" s="1" t="s">
        <v>384</v>
      </c>
      <c r="I113" s="94">
        <v>155</v>
      </c>
      <c r="J113" s="2">
        <v>0.307</v>
      </c>
      <c r="L113" s="135">
        <v>46140</v>
      </c>
      <c r="M113" s="3" t="s">
        <v>392</v>
      </c>
      <c r="O113" s="1">
        <v>1</v>
      </c>
      <c r="P113" s="94">
        <v>2</v>
      </c>
      <c r="Q113" s="4">
        <v>0</v>
      </c>
      <c r="R113" s="2">
        <v>0</v>
      </c>
      <c r="S113" s="25" t="s">
        <v>893</v>
      </c>
      <c r="V113" s="41" t="s">
        <v>894</v>
      </c>
      <c r="W113" s="43" t="s">
        <v>452</v>
      </c>
      <c r="AB113" s="2">
        <v>3.21</v>
      </c>
      <c r="AC113" s="2">
        <v>5.5</v>
      </c>
      <c r="AD113" s="2">
        <v>0.28000000000000003</v>
      </c>
    </row>
    <row r="114" spans="1:30" x14ac:dyDescent="0.25">
      <c r="A114" s="25" t="s">
        <v>895</v>
      </c>
      <c r="B114" s="134" t="s">
        <v>896</v>
      </c>
      <c r="C114" s="1">
        <v>1</v>
      </c>
      <c r="D114" s="1">
        <v>1</v>
      </c>
      <c r="E114" s="1">
        <v>1</v>
      </c>
      <c r="F114" s="1" t="s">
        <v>897</v>
      </c>
      <c r="G114" s="1">
        <v>4053</v>
      </c>
      <c r="H114" s="1" t="s">
        <v>384</v>
      </c>
      <c r="I114" s="94">
        <v>155</v>
      </c>
      <c r="J114" s="2">
        <v>0.44</v>
      </c>
      <c r="L114" s="135">
        <v>46140</v>
      </c>
      <c r="M114" s="3" t="s">
        <v>392</v>
      </c>
      <c r="O114" s="1">
        <v>1</v>
      </c>
      <c r="P114" s="94">
        <v>2</v>
      </c>
      <c r="Q114" s="4">
        <v>0</v>
      </c>
      <c r="R114" s="2">
        <v>0</v>
      </c>
      <c r="S114" s="25" t="s">
        <v>898</v>
      </c>
      <c r="V114" s="41" t="s">
        <v>673</v>
      </c>
      <c r="W114" s="43" t="s">
        <v>436</v>
      </c>
      <c r="AB114" s="2">
        <v>3.21</v>
      </c>
      <c r="AC114" s="2">
        <v>6.93</v>
      </c>
      <c r="AD114" s="2">
        <v>0.28000000000000003</v>
      </c>
    </row>
    <row r="115" spans="1:30" x14ac:dyDescent="0.25">
      <c r="A115" s="25" t="s">
        <v>899</v>
      </c>
      <c r="B115" s="134" t="s">
        <v>900</v>
      </c>
      <c r="C115" s="1">
        <v>1</v>
      </c>
      <c r="D115" s="1">
        <v>1</v>
      </c>
      <c r="E115" s="1">
        <v>1</v>
      </c>
      <c r="F115" s="1" t="s">
        <v>901</v>
      </c>
      <c r="G115" s="1">
        <v>2022</v>
      </c>
      <c r="H115" s="1" t="s">
        <v>384</v>
      </c>
      <c r="I115" s="94">
        <v>155</v>
      </c>
      <c r="J115" s="2">
        <v>0.34</v>
      </c>
      <c r="L115" s="135">
        <v>46140</v>
      </c>
      <c r="M115" s="3" t="s">
        <v>392</v>
      </c>
      <c r="O115" s="1">
        <v>1</v>
      </c>
      <c r="P115" s="94">
        <v>2</v>
      </c>
      <c r="Q115" s="4">
        <v>0</v>
      </c>
      <c r="R115" s="2">
        <v>0</v>
      </c>
      <c r="S115" s="25" t="s">
        <v>902</v>
      </c>
      <c r="V115" s="41" t="s">
        <v>903</v>
      </c>
      <c r="W115" s="43" t="s">
        <v>452</v>
      </c>
      <c r="AB115" s="2">
        <v>3.21</v>
      </c>
      <c r="AC115" s="2">
        <v>5.5</v>
      </c>
      <c r="AD115" s="2">
        <v>0.28000000000000003</v>
      </c>
    </row>
    <row r="116" spans="1:30" x14ac:dyDescent="0.25">
      <c r="A116" s="25" t="s">
        <v>904</v>
      </c>
      <c r="B116" s="134" t="s">
        <v>905</v>
      </c>
      <c r="C116" s="1">
        <v>1</v>
      </c>
      <c r="D116" s="1">
        <v>3</v>
      </c>
      <c r="E116" s="1">
        <v>3</v>
      </c>
      <c r="F116" s="1" t="s">
        <v>906</v>
      </c>
      <c r="G116" s="1">
        <v>4305</v>
      </c>
      <c r="H116" s="1" t="s">
        <v>384</v>
      </c>
      <c r="I116" s="94">
        <v>155</v>
      </c>
      <c r="J116" s="2">
        <v>0.8</v>
      </c>
      <c r="L116" s="135">
        <v>46140</v>
      </c>
      <c r="M116" s="3" t="s">
        <v>412</v>
      </c>
      <c r="O116" s="1">
        <v>1</v>
      </c>
      <c r="P116" s="94">
        <v>2</v>
      </c>
      <c r="Q116" s="4">
        <v>0</v>
      </c>
      <c r="R116" s="2">
        <v>0</v>
      </c>
      <c r="S116" s="25" t="s">
        <v>907</v>
      </c>
      <c r="V116" s="41" t="s">
        <v>908</v>
      </c>
      <c r="W116" s="43" t="s">
        <v>909</v>
      </c>
      <c r="AB116" s="2">
        <v>4.7699999999999996</v>
      </c>
      <c r="AC116" s="2">
        <v>12.74</v>
      </c>
      <c r="AD116" s="2">
        <v>0.28000000000000003</v>
      </c>
    </row>
    <row r="117" spans="1:30" x14ac:dyDescent="0.25">
      <c r="A117" s="25" t="s">
        <v>910</v>
      </c>
      <c r="B117" s="134" t="s">
        <v>911</v>
      </c>
      <c r="C117" s="1">
        <v>1</v>
      </c>
      <c r="D117" s="1">
        <v>2</v>
      </c>
      <c r="E117" s="1">
        <v>2</v>
      </c>
      <c r="F117" s="1" t="s">
        <v>912</v>
      </c>
      <c r="G117" s="1">
        <v>4500</v>
      </c>
      <c r="H117" s="1" t="s">
        <v>384</v>
      </c>
      <c r="I117" s="94">
        <v>155</v>
      </c>
      <c r="J117" s="2">
        <v>1.0289999999999999</v>
      </c>
      <c r="L117" s="135">
        <v>46140</v>
      </c>
      <c r="M117" s="3" t="s">
        <v>412</v>
      </c>
      <c r="O117" s="1">
        <v>1</v>
      </c>
      <c r="P117" s="94">
        <v>2</v>
      </c>
      <c r="Q117" s="4">
        <v>0</v>
      </c>
      <c r="R117" s="2">
        <v>0</v>
      </c>
      <c r="S117" s="25" t="s">
        <v>913</v>
      </c>
      <c r="V117" s="41" t="s">
        <v>914</v>
      </c>
      <c r="W117" s="43" t="s">
        <v>740</v>
      </c>
      <c r="AB117" s="2">
        <v>3.99</v>
      </c>
      <c r="AC117" s="2">
        <v>11.17</v>
      </c>
      <c r="AD117" s="2">
        <v>0.28000000000000003</v>
      </c>
    </row>
    <row r="118" spans="1:30" x14ac:dyDescent="0.25">
      <c r="A118" s="25" t="s">
        <v>915</v>
      </c>
      <c r="B118" s="134" t="s">
        <v>916</v>
      </c>
      <c r="C118" s="1">
        <v>1</v>
      </c>
      <c r="D118" s="1">
        <v>1</v>
      </c>
      <c r="E118" s="1">
        <v>1</v>
      </c>
      <c r="F118" s="1" t="s">
        <v>917</v>
      </c>
      <c r="G118" s="1">
        <v>6028</v>
      </c>
      <c r="H118" s="1" t="s">
        <v>384</v>
      </c>
      <c r="I118" s="94">
        <v>155</v>
      </c>
      <c r="J118" s="2">
        <v>0.56999999999999995</v>
      </c>
      <c r="L118" s="135">
        <v>46140</v>
      </c>
      <c r="M118" s="3" t="s">
        <v>392</v>
      </c>
      <c r="O118" s="1">
        <v>1</v>
      </c>
      <c r="P118" s="94">
        <v>2</v>
      </c>
      <c r="Q118" s="4">
        <v>0</v>
      </c>
      <c r="R118" s="2">
        <v>0</v>
      </c>
      <c r="S118" s="25" t="s">
        <v>918</v>
      </c>
      <c r="V118" s="41" t="s">
        <v>919</v>
      </c>
      <c r="W118" s="43" t="s">
        <v>408</v>
      </c>
      <c r="AB118" s="2">
        <v>3.21</v>
      </c>
      <c r="AC118" s="2">
        <v>12.93</v>
      </c>
      <c r="AD118" s="2">
        <v>0.28000000000000003</v>
      </c>
    </row>
    <row r="119" spans="1:30" x14ac:dyDescent="0.25">
      <c r="A119" s="25" t="s">
        <v>920</v>
      </c>
      <c r="B119" s="134" t="s">
        <v>921</v>
      </c>
      <c r="C119" s="1">
        <v>1</v>
      </c>
      <c r="D119" s="1">
        <v>1</v>
      </c>
      <c r="E119" s="1">
        <v>1</v>
      </c>
      <c r="F119" s="1" t="s">
        <v>922</v>
      </c>
      <c r="G119" s="1">
        <v>5134</v>
      </c>
      <c r="H119" s="1" t="s">
        <v>384</v>
      </c>
      <c r="I119" s="94">
        <v>155</v>
      </c>
      <c r="J119" s="2">
        <v>0.56999999999999995</v>
      </c>
      <c r="L119" s="135">
        <v>46140</v>
      </c>
      <c r="M119" s="3" t="s">
        <v>392</v>
      </c>
      <c r="O119" s="1">
        <v>1</v>
      </c>
      <c r="P119" s="94">
        <v>2</v>
      </c>
      <c r="Q119" s="4">
        <v>0</v>
      </c>
      <c r="R119" s="2">
        <v>0</v>
      </c>
      <c r="S119" s="25" t="s">
        <v>923</v>
      </c>
      <c r="V119" s="41" t="s">
        <v>919</v>
      </c>
      <c r="W119" s="43" t="s">
        <v>924</v>
      </c>
      <c r="AB119" s="2">
        <v>3.21</v>
      </c>
      <c r="AC119" s="2">
        <v>10.54</v>
      </c>
      <c r="AD119" s="2">
        <v>0.28000000000000003</v>
      </c>
    </row>
    <row r="120" spans="1:30" x14ac:dyDescent="0.25">
      <c r="A120" s="25" t="s">
        <v>925</v>
      </c>
      <c r="B120" s="134" t="s">
        <v>926</v>
      </c>
      <c r="C120" s="1">
        <v>1</v>
      </c>
      <c r="D120" s="1">
        <v>4</v>
      </c>
      <c r="E120" s="1">
        <v>80</v>
      </c>
      <c r="F120" s="1" t="s">
        <v>927</v>
      </c>
      <c r="G120" s="1">
        <v>2178</v>
      </c>
      <c r="H120" s="1" t="s">
        <v>384</v>
      </c>
      <c r="I120" s="94">
        <v>55</v>
      </c>
      <c r="J120" s="2">
        <v>9.5</v>
      </c>
      <c r="L120" s="135">
        <v>46140</v>
      </c>
      <c r="M120" s="3" t="s">
        <v>928</v>
      </c>
      <c r="O120" s="1">
        <v>1</v>
      </c>
      <c r="P120" s="94">
        <v>2</v>
      </c>
      <c r="Q120" s="4">
        <v>0</v>
      </c>
      <c r="R120" s="2">
        <v>0</v>
      </c>
      <c r="S120" s="25" t="s">
        <v>929</v>
      </c>
      <c r="V120" s="41" t="s">
        <v>930</v>
      </c>
      <c r="W120" s="43" t="s">
        <v>452</v>
      </c>
      <c r="AB120" s="2">
        <v>41.27</v>
      </c>
      <c r="AC120" s="2">
        <v>9.64</v>
      </c>
      <c r="AD120" s="2">
        <v>5.36</v>
      </c>
    </row>
    <row r="121" spans="1:30" x14ac:dyDescent="0.25">
      <c r="A121" s="25" t="s">
        <v>925</v>
      </c>
      <c r="B121" s="134" t="s">
        <v>926</v>
      </c>
      <c r="C121" s="1">
        <v>0</v>
      </c>
      <c r="D121" s="1">
        <v>0</v>
      </c>
      <c r="E121" s="1">
        <v>0</v>
      </c>
      <c r="F121" s="1" t="s">
        <v>927</v>
      </c>
      <c r="G121" s="1">
        <v>2178</v>
      </c>
      <c r="H121" s="1" t="s">
        <v>384</v>
      </c>
      <c r="I121" s="94">
        <v>55</v>
      </c>
      <c r="J121" s="2">
        <v>15</v>
      </c>
      <c r="L121" s="135">
        <v>46140</v>
      </c>
      <c r="O121" s="1">
        <v>1</v>
      </c>
      <c r="S121" s="25" t="s">
        <v>929</v>
      </c>
      <c r="W121" s="43" t="s">
        <v>452</v>
      </c>
      <c r="AB121" s="2">
        <v>0</v>
      </c>
      <c r="AC121" s="2">
        <v>9.91</v>
      </c>
    </row>
    <row r="122" spans="1:30" x14ac:dyDescent="0.25">
      <c r="A122" s="25" t="s">
        <v>931</v>
      </c>
      <c r="B122" s="134" t="s">
        <v>932</v>
      </c>
      <c r="C122" s="1">
        <v>1</v>
      </c>
      <c r="D122" s="1">
        <v>6</v>
      </c>
      <c r="E122" s="1">
        <v>6</v>
      </c>
      <c r="F122" s="1" t="s">
        <v>933</v>
      </c>
      <c r="G122" s="1">
        <v>4078</v>
      </c>
      <c r="H122" s="1" t="s">
        <v>384</v>
      </c>
      <c r="I122" s="94">
        <v>155</v>
      </c>
      <c r="J122" s="2">
        <v>2.4</v>
      </c>
      <c r="L122" s="135">
        <v>46140</v>
      </c>
      <c r="M122" s="3" t="s">
        <v>378</v>
      </c>
      <c r="O122" s="1">
        <v>1</v>
      </c>
      <c r="P122" s="94">
        <v>2</v>
      </c>
      <c r="Q122" s="4">
        <v>0</v>
      </c>
      <c r="R122" s="2">
        <v>0</v>
      </c>
      <c r="S122" s="25" t="s">
        <v>934</v>
      </c>
      <c r="V122" s="41" t="s">
        <v>935</v>
      </c>
      <c r="W122" s="43" t="s">
        <v>436</v>
      </c>
      <c r="AB122" s="2">
        <v>7.11</v>
      </c>
      <c r="AC122" s="2">
        <v>9.9700000000000006</v>
      </c>
      <c r="AD122" s="2">
        <v>0.28000000000000003</v>
      </c>
    </row>
    <row r="123" spans="1:30" x14ac:dyDescent="0.25">
      <c r="A123" s="25" t="s">
        <v>936</v>
      </c>
      <c r="B123" s="134" t="s">
        <v>937</v>
      </c>
      <c r="C123" s="1">
        <v>1</v>
      </c>
      <c r="D123" s="1">
        <v>2</v>
      </c>
      <c r="E123" s="1">
        <v>2</v>
      </c>
      <c r="F123" s="1" t="s">
        <v>938</v>
      </c>
      <c r="G123" s="1">
        <v>3132</v>
      </c>
      <c r="H123" s="1" t="s">
        <v>384</v>
      </c>
      <c r="I123" s="94">
        <v>155</v>
      </c>
      <c r="J123" s="2">
        <v>1.06</v>
      </c>
      <c r="L123" s="135">
        <v>46140</v>
      </c>
      <c r="M123" s="3" t="s">
        <v>412</v>
      </c>
      <c r="O123" s="1">
        <v>1</v>
      </c>
      <c r="P123" s="94">
        <v>2</v>
      </c>
      <c r="Q123" s="4">
        <v>0</v>
      </c>
      <c r="R123" s="2">
        <v>0</v>
      </c>
      <c r="S123" s="25" t="s">
        <v>939</v>
      </c>
      <c r="V123" s="41" t="s">
        <v>940</v>
      </c>
      <c r="W123" s="43" t="s">
        <v>395</v>
      </c>
      <c r="AB123" s="2">
        <v>3.99</v>
      </c>
      <c r="AC123" s="2">
        <v>9.27</v>
      </c>
      <c r="AD123" s="2">
        <v>0.28000000000000003</v>
      </c>
    </row>
    <row r="124" spans="1:30" x14ac:dyDescent="0.25">
      <c r="A124" s="25" t="s">
        <v>941</v>
      </c>
      <c r="B124" s="134" t="s">
        <v>942</v>
      </c>
      <c r="C124" s="1">
        <v>1</v>
      </c>
      <c r="D124" s="1">
        <v>2</v>
      </c>
      <c r="E124" s="1">
        <v>2</v>
      </c>
      <c r="F124" s="1" t="s">
        <v>943</v>
      </c>
      <c r="G124" s="1">
        <v>2113</v>
      </c>
      <c r="H124" s="1" t="s">
        <v>384</v>
      </c>
      <c r="I124" s="94">
        <v>155</v>
      </c>
      <c r="J124" s="2">
        <v>0.33100000000000002</v>
      </c>
      <c r="L124" s="135">
        <v>46140</v>
      </c>
      <c r="M124" s="3" t="s">
        <v>392</v>
      </c>
      <c r="O124" s="1">
        <v>1</v>
      </c>
      <c r="P124" s="94">
        <v>2</v>
      </c>
      <c r="Q124" s="4">
        <v>0</v>
      </c>
      <c r="R124" s="2">
        <v>0</v>
      </c>
      <c r="S124" s="25" t="s">
        <v>944</v>
      </c>
      <c r="V124" s="41" t="s">
        <v>945</v>
      </c>
      <c r="W124" s="43" t="s">
        <v>452</v>
      </c>
      <c r="AB124" s="2">
        <v>3.99</v>
      </c>
      <c r="AC124" s="2">
        <v>5.5</v>
      </c>
      <c r="AD124" s="2">
        <v>0.28000000000000003</v>
      </c>
    </row>
    <row r="125" spans="1:30" x14ac:dyDescent="0.25">
      <c r="A125" s="25" t="s">
        <v>946</v>
      </c>
      <c r="B125" s="134" t="s">
        <v>947</v>
      </c>
      <c r="C125" s="1">
        <v>1</v>
      </c>
      <c r="D125" s="1">
        <v>1</v>
      </c>
      <c r="E125" s="1">
        <v>1</v>
      </c>
      <c r="F125" s="1" t="s">
        <v>948</v>
      </c>
      <c r="G125" s="1">
        <v>3977</v>
      </c>
      <c r="H125" s="1" t="s">
        <v>384</v>
      </c>
      <c r="I125" s="94">
        <v>155</v>
      </c>
      <c r="J125" s="2">
        <v>0.20599999999999999</v>
      </c>
      <c r="L125" s="135">
        <v>46140</v>
      </c>
      <c r="M125" s="3" t="s">
        <v>392</v>
      </c>
      <c r="O125" s="1">
        <v>1</v>
      </c>
      <c r="P125" s="94">
        <v>2</v>
      </c>
      <c r="Q125" s="4">
        <v>0</v>
      </c>
      <c r="R125" s="2">
        <v>0</v>
      </c>
      <c r="S125" s="25" t="s">
        <v>949</v>
      </c>
      <c r="V125" s="41" t="s">
        <v>950</v>
      </c>
      <c r="W125" s="43" t="s">
        <v>469</v>
      </c>
      <c r="AB125" s="2">
        <v>3.21</v>
      </c>
      <c r="AC125" s="2">
        <v>8.3800000000000008</v>
      </c>
      <c r="AD125" s="2">
        <v>0.28000000000000003</v>
      </c>
    </row>
    <row r="126" spans="1:30" x14ac:dyDescent="0.25">
      <c r="A126" s="25" t="s">
        <v>951</v>
      </c>
      <c r="B126" s="134" t="s">
        <v>952</v>
      </c>
      <c r="C126" s="1">
        <v>1</v>
      </c>
      <c r="D126" s="1">
        <v>3</v>
      </c>
      <c r="E126" s="1">
        <v>3</v>
      </c>
      <c r="F126" s="1" t="s">
        <v>953</v>
      </c>
      <c r="G126" s="1">
        <v>2016</v>
      </c>
      <c r="H126" s="1" t="s">
        <v>384</v>
      </c>
      <c r="I126" s="94">
        <v>155</v>
      </c>
      <c r="J126" s="2">
        <v>0.92600000000000005</v>
      </c>
      <c r="L126" s="135">
        <v>46140</v>
      </c>
      <c r="M126" s="3" t="s">
        <v>378</v>
      </c>
      <c r="O126" s="1">
        <v>1</v>
      </c>
      <c r="P126" s="94">
        <v>2</v>
      </c>
      <c r="Q126" s="4">
        <v>0</v>
      </c>
      <c r="R126" s="2">
        <v>0</v>
      </c>
      <c r="S126" s="25" t="s">
        <v>954</v>
      </c>
      <c r="V126" s="41" t="s">
        <v>955</v>
      </c>
      <c r="W126" s="43" t="s">
        <v>452</v>
      </c>
      <c r="AB126" s="2">
        <v>4.7699999999999996</v>
      </c>
      <c r="AC126" s="2">
        <v>5.96</v>
      </c>
      <c r="AD126" s="2">
        <v>0.28000000000000003</v>
      </c>
    </row>
    <row r="127" spans="1:30" x14ac:dyDescent="0.25">
      <c r="A127" s="25" t="s">
        <v>956</v>
      </c>
      <c r="B127" s="134" t="s">
        <v>957</v>
      </c>
      <c r="C127" s="1">
        <v>1</v>
      </c>
      <c r="D127" s="1">
        <v>2</v>
      </c>
      <c r="E127" s="1">
        <v>2</v>
      </c>
      <c r="F127" s="1" t="s">
        <v>958</v>
      </c>
      <c r="G127" s="1">
        <v>3039</v>
      </c>
      <c r="H127" s="1" t="s">
        <v>384</v>
      </c>
      <c r="I127" s="94">
        <v>154</v>
      </c>
      <c r="J127" s="2">
        <v>0.93700000000000006</v>
      </c>
      <c r="L127" s="135">
        <v>46140</v>
      </c>
      <c r="M127" s="3" t="s">
        <v>378</v>
      </c>
      <c r="O127" s="1">
        <v>1</v>
      </c>
      <c r="P127" s="94">
        <v>2</v>
      </c>
      <c r="Q127" s="4">
        <v>0</v>
      </c>
      <c r="R127" s="2">
        <v>0</v>
      </c>
      <c r="S127" s="25" t="s">
        <v>959</v>
      </c>
      <c r="V127" s="41" t="s">
        <v>960</v>
      </c>
      <c r="W127" s="43" t="s">
        <v>395</v>
      </c>
      <c r="AB127" s="2">
        <v>3.99</v>
      </c>
      <c r="AC127" s="2">
        <v>13.11</v>
      </c>
      <c r="AD127" s="2">
        <v>0.28000000000000003</v>
      </c>
    </row>
    <row r="128" spans="1:30" x14ac:dyDescent="0.25">
      <c r="A128" s="25" t="s">
        <v>961</v>
      </c>
      <c r="B128" s="134" t="s">
        <v>962</v>
      </c>
      <c r="C128" s="1">
        <v>1</v>
      </c>
      <c r="D128" s="1">
        <v>6</v>
      </c>
      <c r="E128" s="1">
        <v>8</v>
      </c>
      <c r="F128" s="1" t="s">
        <v>963</v>
      </c>
      <c r="G128" s="1">
        <v>2261</v>
      </c>
      <c r="H128" s="1" t="s">
        <v>384</v>
      </c>
      <c r="I128" s="94">
        <v>154</v>
      </c>
      <c r="J128" s="2">
        <v>3.7509999999999999</v>
      </c>
      <c r="L128" s="135">
        <v>46140</v>
      </c>
      <c r="M128" s="3" t="s">
        <v>964</v>
      </c>
      <c r="O128" s="1">
        <v>1</v>
      </c>
      <c r="P128" s="94">
        <v>2</v>
      </c>
      <c r="Q128" s="4">
        <v>0</v>
      </c>
      <c r="R128" s="2">
        <v>0</v>
      </c>
      <c r="S128" s="25" t="s">
        <v>965</v>
      </c>
      <c r="V128" s="41" t="s">
        <v>966</v>
      </c>
      <c r="W128" s="43" t="s">
        <v>568</v>
      </c>
      <c r="AB128" s="2">
        <v>8.0500000000000007</v>
      </c>
      <c r="AC128" s="2">
        <v>17.329999999999998</v>
      </c>
      <c r="AD128" s="2">
        <v>0.69</v>
      </c>
    </row>
    <row r="129" spans="1:30" x14ac:dyDescent="0.25">
      <c r="A129" s="25" t="s">
        <v>967</v>
      </c>
      <c r="B129" s="134" t="s">
        <v>968</v>
      </c>
      <c r="C129" s="1">
        <v>1</v>
      </c>
      <c r="D129" s="1">
        <v>4</v>
      </c>
      <c r="E129" s="1">
        <v>5</v>
      </c>
      <c r="F129" s="1" t="s">
        <v>892</v>
      </c>
      <c r="G129" s="1">
        <v>2038</v>
      </c>
      <c r="H129" s="1" t="s">
        <v>384</v>
      </c>
      <c r="I129" s="94">
        <v>155</v>
      </c>
      <c r="J129" s="2">
        <v>1.8919999999999999</v>
      </c>
      <c r="L129" s="135">
        <v>46141</v>
      </c>
      <c r="M129" s="3" t="s">
        <v>412</v>
      </c>
      <c r="O129" s="1">
        <v>1</v>
      </c>
      <c r="P129" s="94">
        <v>2</v>
      </c>
      <c r="Q129" s="4">
        <v>0</v>
      </c>
      <c r="R129" s="2">
        <v>0</v>
      </c>
      <c r="S129" s="25" t="s">
        <v>969</v>
      </c>
      <c r="V129" s="41" t="s">
        <v>970</v>
      </c>
      <c r="W129" s="43" t="s">
        <v>452</v>
      </c>
      <c r="AB129" s="2">
        <v>6.02</v>
      </c>
      <c r="AC129" s="2">
        <v>5.96</v>
      </c>
      <c r="AD129" s="2">
        <v>0.28000000000000003</v>
      </c>
    </row>
    <row r="130" spans="1:30" x14ac:dyDescent="0.25">
      <c r="A130" s="25" t="s">
        <v>971</v>
      </c>
      <c r="B130" s="134" t="s">
        <v>972</v>
      </c>
      <c r="C130" s="1">
        <v>1</v>
      </c>
      <c r="D130" s="1">
        <v>1</v>
      </c>
      <c r="E130" s="1">
        <v>1</v>
      </c>
      <c r="F130" s="1" t="s">
        <v>973</v>
      </c>
      <c r="G130" s="1">
        <v>3134</v>
      </c>
      <c r="H130" s="1" t="s">
        <v>384</v>
      </c>
      <c r="I130" s="94">
        <v>155</v>
      </c>
      <c r="J130" s="2">
        <v>0.54900000000000004</v>
      </c>
      <c r="L130" s="135">
        <v>46141</v>
      </c>
      <c r="M130" s="3" t="s">
        <v>392</v>
      </c>
      <c r="O130" s="1">
        <v>1</v>
      </c>
      <c r="P130" s="94">
        <v>2</v>
      </c>
      <c r="Q130" s="4">
        <v>0</v>
      </c>
      <c r="R130" s="2">
        <v>0</v>
      </c>
      <c r="S130" s="25" t="s">
        <v>974</v>
      </c>
      <c r="V130" s="41" t="s">
        <v>394</v>
      </c>
      <c r="W130" s="43" t="s">
        <v>395</v>
      </c>
      <c r="AB130" s="2">
        <v>3.21</v>
      </c>
      <c r="AC130" s="2">
        <v>8.6</v>
      </c>
      <c r="AD130" s="2">
        <v>0.28000000000000003</v>
      </c>
    </row>
    <row r="131" spans="1:30" x14ac:dyDescent="0.25">
      <c r="A131" s="25" t="s">
        <v>975</v>
      </c>
      <c r="B131" s="134" t="s">
        <v>976</v>
      </c>
      <c r="C131" s="1">
        <v>1</v>
      </c>
      <c r="D131" s="1">
        <v>1</v>
      </c>
      <c r="E131" s="1">
        <v>1</v>
      </c>
      <c r="F131" s="1" t="s">
        <v>953</v>
      </c>
      <c r="G131" s="1">
        <v>2016</v>
      </c>
      <c r="H131" s="1" t="s">
        <v>384</v>
      </c>
      <c r="I131" s="94">
        <v>155</v>
      </c>
      <c r="J131" s="2">
        <v>0.19</v>
      </c>
      <c r="L131" s="135">
        <v>46141</v>
      </c>
      <c r="M131" s="3" t="s">
        <v>392</v>
      </c>
      <c r="O131" s="1">
        <v>1</v>
      </c>
      <c r="P131" s="94">
        <v>2</v>
      </c>
      <c r="Q131" s="4">
        <v>0</v>
      </c>
      <c r="R131" s="2">
        <v>0</v>
      </c>
      <c r="S131" s="25" t="s">
        <v>977</v>
      </c>
      <c r="V131" s="41" t="s">
        <v>978</v>
      </c>
      <c r="W131" s="43" t="s">
        <v>452</v>
      </c>
      <c r="AB131" s="2">
        <v>3.21</v>
      </c>
      <c r="AC131" s="2">
        <v>5.5</v>
      </c>
      <c r="AD131" s="2">
        <v>0.28000000000000003</v>
      </c>
    </row>
    <row r="132" spans="1:30" x14ac:dyDescent="0.25">
      <c r="A132" s="25" t="s">
        <v>979</v>
      </c>
      <c r="B132" s="134" t="s">
        <v>980</v>
      </c>
      <c r="C132" s="1">
        <v>1</v>
      </c>
      <c r="D132" s="1">
        <v>2</v>
      </c>
      <c r="E132" s="1">
        <v>2</v>
      </c>
      <c r="F132" s="1" t="s">
        <v>981</v>
      </c>
      <c r="G132" s="1">
        <v>3155</v>
      </c>
      <c r="H132" s="1" t="s">
        <v>384</v>
      </c>
      <c r="I132" s="94">
        <v>155</v>
      </c>
      <c r="J132" s="2">
        <v>0.36</v>
      </c>
      <c r="L132" s="135">
        <v>46141</v>
      </c>
      <c r="M132" s="3" t="s">
        <v>392</v>
      </c>
      <c r="O132" s="1">
        <v>1</v>
      </c>
      <c r="P132" s="94">
        <v>2</v>
      </c>
      <c r="Q132" s="4">
        <v>0</v>
      </c>
      <c r="R132" s="2">
        <v>0</v>
      </c>
      <c r="S132" s="25" t="s">
        <v>982</v>
      </c>
      <c r="V132" s="41" t="s">
        <v>983</v>
      </c>
      <c r="W132" s="43" t="s">
        <v>395</v>
      </c>
      <c r="AB132" s="2">
        <v>3.99</v>
      </c>
      <c r="AC132" s="2">
        <v>6.93</v>
      </c>
      <c r="AD132" s="2">
        <v>0.28000000000000003</v>
      </c>
    </row>
    <row r="133" spans="1:30" x14ac:dyDescent="0.25">
      <c r="A133" s="25" t="s">
        <v>984</v>
      </c>
      <c r="B133" s="134" t="s">
        <v>985</v>
      </c>
      <c r="C133" s="1">
        <v>1</v>
      </c>
      <c r="D133" s="1">
        <v>1</v>
      </c>
      <c r="E133" s="1">
        <v>1</v>
      </c>
      <c r="F133" s="1" t="s">
        <v>986</v>
      </c>
      <c r="G133" s="1">
        <v>2042</v>
      </c>
      <c r="H133" s="1" t="s">
        <v>384</v>
      </c>
      <c r="I133" s="94">
        <v>155</v>
      </c>
      <c r="J133" s="2">
        <v>0.47899999999999998</v>
      </c>
      <c r="L133" s="135">
        <v>46141</v>
      </c>
      <c r="M133" s="3" t="s">
        <v>392</v>
      </c>
      <c r="O133" s="1">
        <v>1</v>
      </c>
      <c r="P133" s="94">
        <v>2</v>
      </c>
      <c r="Q133" s="4">
        <v>0</v>
      </c>
      <c r="R133" s="2">
        <v>0</v>
      </c>
      <c r="S133" s="25" t="s">
        <v>987</v>
      </c>
      <c r="V133" s="41" t="s">
        <v>764</v>
      </c>
      <c r="W133" s="43" t="s">
        <v>452</v>
      </c>
      <c r="AB133" s="2">
        <v>3.21</v>
      </c>
      <c r="AC133" s="2">
        <v>5.5</v>
      </c>
      <c r="AD133" s="2">
        <v>0.28000000000000003</v>
      </c>
    </row>
    <row r="134" spans="1:30" x14ac:dyDescent="0.25">
      <c r="A134" s="25" t="s">
        <v>988</v>
      </c>
      <c r="B134" s="134" t="s">
        <v>989</v>
      </c>
      <c r="C134" s="1">
        <v>1</v>
      </c>
      <c r="D134" s="1">
        <v>1</v>
      </c>
      <c r="E134" s="1">
        <v>1</v>
      </c>
      <c r="F134" s="1" t="s">
        <v>990</v>
      </c>
      <c r="G134" s="1">
        <v>2557</v>
      </c>
      <c r="H134" s="1" t="s">
        <v>384</v>
      </c>
      <c r="I134" s="94">
        <v>155</v>
      </c>
      <c r="J134" s="2">
        <v>0.435</v>
      </c>
      <c r="L134" s="135">
        <v>46141</v>
      </c>
      <c r="M134" s="3" t="s">
        <v>392</v>
      </c>
      <c r="O134" s="1">
        <v>1</v>
      </c>
      <c r="P134" s="94">
        <v>2</v>
      </c>
      <c r="Q134" s="4">
        <v>0</v>
      </c>
      <c r="R134" s="2">
        <v>0</v>
      </c>
      <c r="S134" s="25" t="s">
        <v>991</v>
      </c>
      <c r="V134" s="41" t="s">
        <v>992</v>
      </c>
      <c r="W134" s="43" t="s">
        <v>452</v>
      </c>
      <c r="AB134" s="2">
        <v>3.21</v>
      </c>
      <c r="AC134" s="2">
        <v>5.5</v>
      </c>
      <c r="AD134" s="2">
        <v>0.28000000000000003</v>
      </c>
    </row>
    <row r="135" spans="1:30" x14ac:dyDescent="0.25">
      <c r="A135" s="25" t="s">
        <v>993</v>
      </c>
      <c r="B135" s="134" t="s">
        <v>994</v>
      </c>
      <c r="C135" s="1">
        <v>1</v>
      </c>
      <c r="D135" s="1">
        <v>4</v>
      </c>
      <c r="E135" s="1">
        <v>4</v>
      </c>
      <c r="F135" s="1" t="s">
        <v>995</v>
      </c>
      <c r="G135" s="1">
        <v>2154</v>
      </c>
      <c r="H135" s="1" t="s">
        <v>384</v>
      </c>
      <c r="I135" s="94">
        <v>155</v>
      </c>
      <c r="J135" s="2">
        <v>2.1160000000000001</v>
      </c>
      <c r="L135" s="135">
        <v>46141</v>
      </c>
      <c r="M135" s="3" t="s">
        <v>412</v>
      </c>
      <c r="O135" s="1">
        <v>1</v>
      </c>
      <c r="P135" s="94">
        <v>2</v>
      </c>
      <c r="Q135" s="4">
        <v>0</v>
      </c>
      <c r="R135" s="2">
        <v>0</v>
      </c>
      <c r="S135" s="25" t="s">
        <v>996</v>
      </c>
      <c r="V135" s="41" t="s">
        <v>997</v>
      </c>
      <c r="W135" s="43" t="s">
        <v>452</v>
      </c>
      <c r="AB135" s="2">
        <v>5.55</v>
      </c>
      <c r="AC135" s="2">
        <v>6.01</v>
      </c>
      <c r="AD135" s="2">
        <v>0.28000000000000003</v>
      </c>
    </row>
    <row r="136" spans="1:30" x14ac:dyDescent="0.25">
      <c r="A136" s="25" t="s">
        <v>998</v>
      </c>
      <c r="B136" s="134" t="s">
        <v>999</v>
      </c>
      <c r="C136" s="1">
        <v>1</v>
      </c>
      <c r="D136" s="1">
        <v>1</v>
      </c>
      <c r="E136" s="1">
        <v>1</v>
      </c>
      <c r="F136" s="1" t="s">
        <v>1000</v>
      </c>
      <c r="G136" s="1">
        <v>3217</v>
      </c>
      <c r="H136" s="1" t="s">
        <v>384</v>
      </c>
      <c r="I136" s="94">
        <v>155</v>
      </c>
      <c r="J136" s="2">
        <v>0.53500000000000003</v>
      </c>
      <c r="L136" s="135">
        <v>46141</v>
      </c>
      <c r="M136" s="3" t="s">
        <v>392</v>
      </c>
      <c r="O136" s="1">
        <v>1</v>
      </c>
      <c r="P136" s="94">
        <v>2</v>
      </c>
      <c r="Q136" s="4">
        <v>0</v>
      </c>
      <c r="R136" s="2">
        <v>0</v>
      </c>
      <c r="S136" s="25" t="s">
        <v>1001</v>
      </c>
      <c r="V136" s="41" t="s">
        <v>1002</v>
      </c>
      <c r="W136" s="43" t="s">
        <v>458</v>
      </c>
      <c r="AB136" s="2">
        <v>3.21</v>
      </c>
      <c r="AC136" s="2">
        <v>12.5</v>
      </c>
      <c r="AD136" s="2">
        <v>0.28000000000000003</v>
      </c>
    </row>
    <row r="137" spans="1:30" x14ac:dyDescent="0.25">
      <c r="A137" s="25" t="s">
        <v>1003</v>
      </c>
      <c r="B137" s="134" t="s">
        <v>1004</v>
      </c>
      <c r="C137" s="1">
        <v>1</v>
      </c>
      <c r="D137" s="1">
        <v>1</v>
      </c>
      <c r="E137" s="1">
        <v>1</v>
      </c>
      <c r="F137" s="1" t="s">
        <v>1005</v>
      </c>
      <c r="G137" s="1">
        <v>2060</v>
      </c>
      <c r="H137" s="1" t="s">
        <v>384</v>
      </c>
      <c r="I137" s="94">
        <v>155</v>
      </c>
      <c r="J137" s="2">
        <v>0.20499999999999999</v>
      </c>
      <c r="L137" s="135">
        <v>46141</v>
      </c>
      <c r="M137" s="3" t="s">
        <v>392</v>
      </c>
      <c r="O137" s="1">
        <v>1</v>
      </c>
      <c r="P137" s="94">
        <v>2</v>
      </c>
      <c r="Q137" s="4">
        <v>0</v>
      </c>
      <c r="R137" s="2">
        <v>0</v>
      </c>
      <c r="S137" s="25" t="s">
        <v>1006</v>
      </c>
      <c r="V137" s="41" t="s">
        <v>1007</v>
      </c>
      <c r="W137" s="43" t="s">
        <v>452</v>
      </c>
      <c r="AB137" s="2">
        <v>3.21</v>
      </c>
      <c r="AC137" s="2">
        <v>5.5</v>
      </c>
      <c r="AD137" s="2">
        <v>0.28000000000000003</v>
      </c>
    </row>
    <row r="138" spans="1:30" x14ac:dyDescent="0.25">
      <c r="A138" s="25" t="s">
        <v>1008</v>
      </c>
      <c r="B138" s="134" t="s">
        <v>1009</v>
      </c>
      <c r="C138" s="1">
        <v>1</v>
      </c>
      <c r="D138" s="1">
        <v>1</v>
      </c>
      <c r="E138" s="1">
        <v>1</v>
      </c>
      <c r="F138" s="1" t="s">
        <v>1010</v>
      </c>
      <c r="G138" s="1">
        <v>3167</v>
      </c>
      <c r="H138" s="1" t="s">
        <v>384</v>
      </c>
      <c r="I138" s="94">
        <v>155</v>
      </c>
      <c r="J138" s="2">
        <v>0.54100000000000004</v>
      </c>
      <c r="L138" s="135">
        <v>46141</v>
      </c>
      <c r="M138" s="3" t="s">
        <v>392</v>
      </c>
      <c r="O138" s="1">
        <v>1</v>
      </c>
      <c r="P138" s="94">
        <v>2</v>
      </c>
      <c r="Q138" s="4">
        <v>0</v>
      </c>
      <c r="R138" s="2">
        <v>0</v>
      </c>
      <c r="S138" s="25" t="s">
        <v>1011</v>
      </c>
      <c r="V138" s="41" t="s">
        <v>1012</v>
      </c>
      <c r="W138" s="43" t="s">
        <v>395</v>
      </c>
      <c r="AB138" s="2">
        <v>3.21</v>
      </c>
      <c r="AC138" s="2">
        <v>8.6</v>
      </c>
      <c r="AD138" s="2">
        <v>0.28000000000000003</v>
      </c>
    </row>
    <row r="139" spans="1:30" x14ac:dyDescent="0.25">
      <c r="A139" s="25" t="s">
        <v>1013</v>
      </c>
      <c r="B139" s="134" t="s">
        <v>1014</v>
      </c>
      <c r="C139" s="1">
        <v>1</v>
      </c>
      <c r="D139" s="1">
        <v>2</v>
      </c>
      <c r="E139" s="1">
        <v>2</v>
      </c>
      <c r="F139" s="1" t="s">
        <v>1015</v>
      </c>
      <c r="G139" s="1">
        <v>2320</v>
      </c>
      <c r="H139" s="1" t="s">
        <v>384</v>
      </c>
      <c r="I139" s="94">
        <v>155</v>
      </c>
      <c r="J139" s="2">
        <v>0.435</v>
      </c>
      <c r="L139" s="135">
        <v>46141</v>
      </c>
      <c r="M139" s="3" t="s">
        <v>392</v>
      </c>
      <c r="O139" s="1">
        <v>1</v>
      </c>
      <c r="P139" s="94">
        <v>2</v>
      </c>
      <c r="Q139" s="4">
        <v>0</v>
      </c>
      <c r="R139" s="2">
        <v>0</v>
      </c>
      <c r="S139" s="25" t="s">
        <v>1016</v>
      </c>
      <c r="V139" s="41" t="s">
        <v>1017</v>
      </c>
      <c r="W139" s="43" t="s">
        <v>415</v>
      </c>
      <c r="AB139" s="2">
        <v>3.99</v>
      </c>
      <c r="AC139" s="2">
        <v>10.86</v>
      </c>
      <c r="AD139" s="2">
        <v>0.28000000000000003</v>
      </c>
    </row>
    <row r="140" spans="1:30" x14ac:dyDescent="0.25">
      <c r="A140" s="25" t="s">
        <v>1018</v>
      </c>
      <c r="B140" s="134" t="s">
        <v>1019</v>
      </c>
      <c r="C140" s="1">
        <v>1</v>
      </c>
      <c r="D140" s="1">
        <v>1</v>
      </c>
      <c r="E140" s="1">
        <v>1</v>
      </c>
      <c r="F140" s="1" t="s">
        <v>1020</v>
      </c>
      <c r="G140" s="1">
        <v>2092</v>
      </c>
      <c r="H140" s="1" t="s">
        <v>384</v>
      </c>
      <c r="I140" s="94">
        <v>155</v>
      </c>
      <c r="J140" s="2">
        <v>0.27</v>
      </c>
      <c r="L140" s="135">
        <v>46141</v>
      </c>
      <c r="M140" s="3" t="s">
        <v>392</v>
      </c>
      <c r="O140" s="1">
        <v>1</v>
      </c>
      <c r="P140" s="94">
        <v>2</v>
      </c>
      <c r="Q140" s="4">
        <v>0</v>
      </c>
      <c r="R140" s="2">
        <v>0</v>
      </c>
      <c r="S140" s="25" t="s">
        <v>1021</v>
      </c>
      <c r="V140" s="41" t="s">
        <v>420</v>
      </c>
      <c r="W140" s="43" t="s">
        <v>452</v>
      </c>
      <c r="AB140" s="2">
        <v>3.21</v>
      </c>
      <c r="AC140" s="2">
        <v>5.5</v>
      </c>
      <c r="AD140" s="2">
        <v>0.28000000000000003</v>
      </c>
    </row>
    <row r="141" spans="1:30" x14ac:dyDescent="0.25">
      <c r="A141" s="25" t="s">
        <v>1022</v>
      </c>
      <c r="B141" s="134" t="s">
        <v>1023</v>
      </c>
      <c r="C141" s="1">
        <v>1</v>
      </c>
      <c r="D141" s="1">
        <v>4</v>
      </c>
      <c r="E141" s="1">
        <v>4</v>
      </c>
      <c r="F141" s="1" t="s">
        <v>1024</v>
      </c>
      <c r="G141" s="1">
        <v>2017</v>
      </c>
      <c r="H141" s="1" t="s">
        <v>384</v>
      </c>
      <c r="I141" s="94">
        <v>155</v>
      </c>
      <c r="J141" s="2">
        <v>1.1359999999999999</v>
      </c>
      <c r="L141" s="135">
        <v>46141</v>
      </c>
      <c r="M141" s="3" t="s">
        <v>412</v>
      </c>
      <c r="O141" s="1">
        <v>1</v>
      </c>
      <c r="P141" s="94">
        <v>2</v>
      </c>
      <c r="Q141" s="4">
        <v>0</v>
      </c>
      <c r="R141" s="2">
        <v>0</v>
      </c>
      <c r="S141" s="25" t="s">
        <v>1025</v>
      </c>
      <c r="V141" s="41" t="s">
        <v>1026</v>
      </c>
      <c r="W141" s="43" t="s">
        <v>452</v>
      </c>
      <c r="AB141" s="2">
        <v>5.55</v>
      </c>
      <c r="AC141" s="2">
        <v>5.96</v>
      </c>
      <c r="AD141" s="2">
        <v>0.28000000000000003</v>
      </c>
    </row>
    <row r="142" spans="1:30" x14ac:dyDescent="0.25">
      <c r="A142" s="25" t="s">
        <v>1027</v>
      </c>
      <c r="B142" s="134" t="s">
        <v>1028</v>
      </c>
      <c r="C142" s="1">
        <v>1</v>
      </c>
      <c r="D142" s="1">
        <v>1</v>
      </c>
      <c r="E142" s="1">
        <v>1</v>
      </c>
      <c r="F142" s="1" t="s">
        <v>602</v>
      </c>
      <c r="G142" s="1">
        <v>2232</v>
      </c>
      <c r="H142" s="1" t="s">
        <v>384</v>
      </c>
      <c r="I142" s="94">
        <v>155</v>
      </c>
      <c r="J142" s="2">
        <v>0.49</v>
      </c>
      <c r="L142" s="135">
        <v>46141</v>
      </c>
      <c r="M142" s="3" t="s">
        <v>392</v>
      </c>
      <c r="O142" s="1">
        <v>1</v>
      </c>
      <c r="P142" s="94">
        <v>2</v>
      </c>
      <c r="Q142" s="4">
        <v>0</v>
      </c>
      <c r="R142" s="2">
        <v>0</v>
      </c>
      <c r="S142" s="25" t="s">
        <v>1029</v>
      </c>
      <c r="V142" s="41" t="s">
        <v>1030</v>
      </c>
      <c r="W142" s="43" t="s">
        <v>452</v>
      </c>
      <c r="AB142" s="2">
        <v>3.21</v>
      </c>
      <c r="AC142" s="2">
        <v>5.5</v>
      </c>
      <c r="AD142" s="2">
        <v>0.28000000000000003</v>
      </c>
    </row>
    <row r="143" spans="1:30" x14ac:dyDescent="0.25">
      <c r="A143" s="25" t="s">
        <v>1031</v>
      </c>
      <c r="B143" s="134" t="s">
        <v>1032</v>
      </c>
      <c r="C143" s="1">
        <v>1</v>
      </c>
      <c r="D143" s="1">
        <v>1</v>
      </c>
      <c r="E143" s="1">
        <v>1</v>
      </c>
      <c r="F143" s="1" t="s">
        <v>1033</v>
      </c>
      <c r="G143" s="1">
        <v>2224</v>
      </c>
      <c r="H143" s="1" t="s">
        <v>384</v>
      </c>
      <c r="I143" s="94">
        <v>155</v>
      </c>
      <c r="J143" s="2">
        <v>0.46</v>
      </c>
      <c r="L143" s="135">
        <v>46141</v>
      </c>
      <c r="M143" s="3" t="s">
        <v>392</v>
      </c>
      <c r="O143" s="1">
        <v>1</v>
      </c>
      <c r="P143" s="94">
        <v>2</v>
      </c>
      <c r="Q143" s="4">
        <v>0</v>
      </c>
      <c r="R143" s="2">
        <v>0</v>
      </c>
      <c r="S143" s="25" t="s">
        <v>1034</v>
      </c>
      <c r="V143" s="41" t="s">
        <v>673</v>
      </c>
      <c r="W143" s="43" t="s">
        <v>452</v>
      </c>
      <c r="AB143" s="2">
        <v>3.21</v>
      </c>
      <c r="AC143" s="2">
        <v>5.5</v>
      </c>
      <c r="AD143" s="2">
        <v>0.28000000000000003</v>
      </c>
    </row>
    <row r="144" spans="1:30" x14ac:dyDescent="0.25">
      <c r="A144" s="25" t="s">
        <v>1035</v>
      </c>
      <c r="B144" s="134" t="s">
        <v>1036</v>
      </c>
      <c r="C144" s="1">
        <v>1</v>
      </c>
      <c r="D144" s="1">
        <v>2</v>
      </c>
      <c r="E144" s="1">
        <v>2</v>
      </c>
      <c r="F144" s="1" t="s">
        <v>1037</v>
      </c>
      <c r="G144" s="1">
        <v>6210</v>
      </c>
      <c r="H144" s="1" t="s">
        <v>384</v>
      </c>
      <c r="I144" s="94">
        <v>155</v>
      </c>
      <c r="J144" s="2">
        <v>0.93500000000000005</v>
      </c>
      <c r="L144" s="135">
        <v>46141</v>
      </c>
      <c r="M144" s="3" t="s">
        <v>412</v>
      </c>
      <c r="O144" s="1">
        <v>1</v>
      </c>
      <c r="P144" s="94">
        <v>2</v>
      </c>
      <c r="Q144" s="4">
        <v>0</v>
      </c>
      <c r="R144" s="2">
        <v>0</v>
      </c>
      <c r="S144" s="25" t="s">
        <v>1038</v>
      </c>
      <c r="V144" s="41" t="s">
        <v>1039</v>
      </c>
      <c r="W144" s="43" t="s">
        <v>408</v>
      </c>
      <c r="AB144" s="2">
        <v>3.99</v>
      </c>
      <c r="AC144" s="2">
        <v>12.93</v>
      </c>
      <c r="AD144" s="2">
        <v>0.28000000000000003</v>
      </c>
    </row>
    <row r="145" spans="1:30" x14ac:dyDescent="0.25">
      <c r="A145" s="25" t="s">
        <v>1040</v>
      </c>
      <c r="B145" s="134" t="s">
        <v>1041</v>
      </c>
      <c r="C145" s="1">
        <v>1</v>
      </c>
      <c r="D145" s="1">
        <v>2</v>
      </c>
      <c r="E145" s="1">
        <v>2</v>
      </c>
      <c r="F145" s="1" t="s">
        <v>1042</v>
      </c>
      <c r="G145" s="1">
        <v>2257</v>
      </c>
      <c r="H145" s="1" t="s">
        <v>384</v>
      </c>
      <c r="I145" s="94">
        <v>155</v>
      </c>
      <c r="J145" s="2">
        <v>2.415</v>
      </c>
      <c r="L145" s="135">
        <v>46141</v>
      </c>
      <c r="M145" s="3" t="s">
        <v>378</v>
      </c>
      <c r="O145" s="1">
        <v>1</v>
      </c>
      <c r="P145" s="94">
        <v>2</v>
      </c>
      <c r="Q145" s="4">
        <v>0</v>
      </c>
      <c r="R145" s="2">
        <v>0</v>
      </c>
      <c r="S145" s="25" t="s">
        <v>1043</v>
      </c>
      <c r="V145" s="41" t="s">
        <v>1044</v>
      </c>
      <c r="W145" s="43" t="s">
        <v>568</v>
      </c>
      <c r="AB145" s="2">
        <v>3.99</v>
      </c>
      <c r="AC145" s="2">
        <v>9.01</v>
      </c>
      <c r="AD145" s="2">
        <v>0.28000000000000003</v>
      </c>
    </row>
    <row r="146" spans="1:30" x14ac:dyDescent="0.25">
      <c r="A146" s="25" t="s">
        <v>1045</v>
      </c>
      <c r="B146" s="134" t="s">
        <v>1046</v>
      </c>
      <c r="C146" s="1">
        <v>1</v>
      </c>
      <c r="D146" s="1">
        <v>1</v>
      </c>
      <c r="E146" s="1">
        <v>1</v>
      </c>
      <c r="F146" s="1" t="s">
        <v>1047</v>
      </c>
      <c r="G146" s="1">
        <v>6069</v>
      </c>
      <c r="H146" s="1" t="s">
        <v>384</v>
      </c>
      <c r="I146" s="94">
        <v>155</v>
      </c>
      <c r="J146" s="2">
        <v>0.46</v>
      </c>
      <c r="L146" s="135">
        <v>46141</v>
      </c>
      <c r="M146" s="3" t="s">
        <v>392</v>
      </c>
      <c r="O146" s="1">
        <v>1</v>
      </c>
      <c r="P146" s="94">
        <v>2</v>
      </c>
      <c r="Q146" s="4">
        <v>0</v>
      </c>
      <c r="R146" s="2">
        <v>0</v>
      </c>
      <c r="S146" s="25" t="s">
        <v>1048</v>
      </c>
      <c r="V146" s="41" t="s">
        <v>479</v>
      </c>
      <c r="W146" s="43" t="s">
        <v>408</v>
      </c>
      <c r="AB146" s="2">
        <v>3.21</v>
      </c>
      <c r="AC146" s="2">
        <v>8.24</v>
      </c>
      <c r="AD146" s="2">
        <v>0.28000000000000003</v>
      </c>
    </row>
    <row r="147" spans="1:30" x14ac:dyDescent="0.25">
      <c r="A147" s="25" t="s">
        <v>1049</v>
      </c>
      <c r="B147" s="134" t="s">
        <v>1050</v>
      </c>
      <c r="C147" s="1">
        <v>1</v>
      </c>
      <c r="D147" s="1">
        <v>1</v>
      </c>
      <c r="E147" s="1">
        <v>1</v>
      </c>
      <c r="F147" s="1" t="s">
        <v>1051</v>
      </c>
      <c r="G147" s="1">
        <v>2009</v>
      </c>
      <c r="H147" s="1" t="s">
        <v>384</v>
      </c>
      <c r="I147" s="94">
        <v>155</v>
      </c>
      <c r="J147" s="2">
        <v>0.53</v>
      </c>
      <c r="L147" s="135">
        <v>46141</v>
      </c>
      <c r="M147" s="3" t="s">
        <v>392</v>
      </c>
      <c r="O147" s="1">
        <v>1</v>
      </c>
      <c r="P147" s="94">
        <v>2</v>
      </c>
      <c r="Q147" s="4">
        <v>0</v>
      </c>
      <c r="R147" s="2">
        <v>0</v>
      </c>
      <c r="S147" s="25" t="s">
        <v>1052</v>
      </c>
      <c r="V147" s="41" t="s">
        <v>1053</v>
      </c>
      <c r="W147" s="43" t="s">
        <v>452</v>
      </c>
      <c r="AB147" s="2">
        <v>3.21</v>
      </c>
      <c r="AC147" s="2">
        <v>5.96</v>
      </c>
      <c r="AD147" s="2">
        <v>0.28000000000000003</v>
      </c>
    </row>
    <row r="148" spans="1:30" x14ac:dyDescent="0.25">
      <c r="A148" s="25" t="s">
        <v>1054</v>
      </c>
      <c r="B148" s="134" t="s">
        <v>1055</v>
      </c>
      <c r="C148" s="1">
        <v>1</v>
      </c>
      <c r="D148" s="1">
        <v>1</v>
      </c>
      <c r="E148" s="1">
        <v>1</v>
      </c>
      <c r="F148" s="1" t="s">
        <v>1056</v>
      </c>
      <c r="G148" s="1">
        <v>3082</v>
      </c>
      <c r="H148" s="1" t="s">
        <v>384</v>
      </c>
      <c r="I148" s="94">
        <v>155</v>
      </c>
      <c r="J148" s="2">
        <v>0.54200000000000004</v>
      </c>
      <c r="L148" s="135">
        <v>46141</v>
      </c>
      <c r="M148" s="3" t="s">
        <v>392</v>
      </c>
      <c r="O148" s="1">
        <v>1</v>
      </c>
      <c r="P148" s="94">
        <v>2</v>
      </c>
      <c r="Q148" s="4">
        <v>0</v>
      </c>
      <c r="R148" s="2">
        <v>0</v>
      </c>
      <c r="S148" s="25" t="s">
        <v>1057</v>
      </c>
      <c r="V148" s="41" t="s">
        <v>1058</v>
      </c>
      <c r="W148" s="43" t="s">
        <v>395</v>
      </c>
      <c r="AB148" s="2">
        <v>3.21</v>
      </c>
      <c r="AC148" s="2">
        <v>8.6</v>
      </c>
      <c r="AD148" s="2">
        <v>0.28000000000000003</v>
      </c>
    </row>
    <row r="149" spans="1:30" x14ac:dyDescent="0.25">
      <c r="A149" s="25" t="s">
        <v>1059</v>
      </c>
      <c r="B149" s="134" t="s">
        <v>1060</v>
      </c>
      <c r="C149" s="1">
        <v>1</v>
      </c>
      <c r="D149" s="1">
        <v>1</v>
      </c>
      <c r="E149" s="1">
        <v>1</v>
      </c>
      <c r="F149" s="1" t="s">
        <v>1061</v>
      </c>
      <c r="G149" s="1">
        <v>2151</v>
      </c>
      <c r="H149" s="1" t="s">
        <v>384</v>
      </c>
      <c r="I149" s="94">
        <v>155</v>
      </c>
      <c r="J149" s="2">
        <v>0.54500000000000004</v>
      </c>
      <c r="L149" s="135">
        <v>46141</v>
      </c>
      <c r="M149" s="3" t="s">
        <v>392</v>
      </c>
      <c r="O149" s="1">
        <v>1</v>
      </c>
      <c r="P149" s="94">
        <v>2</v>
      </c>
      <c r="Q149" s="4">
        <v>0</v>
      </c>
      <c r="R149" s="2">
        <v>0</v>
      </c>
      <c r="S149" s="25" t="s">
        <v>1062</v>
      </c>
      <c r="V149" s="41" t="s">
        <v>508</v>
      </c>
      <c r="W149" s="43" t="s">
        <v>452</v>
      </c>
      <c r="AB149" s="2">
        <v>3.21</v>
      </c>
      <c r="AC149" s="2">
        <v>5.96</v>
      </c>
      <c r="AD149" s="2">
        <v>0.28000000000000003</v>
      </c>
    </row>
    <row r="150" spans="1:30" x14ac:dyDescent="0.25">
      <c r="A150" s="25" t="s">
        <v>1063</v>
      </c>
      <c r="B150" s="134" t="s">
        <v>1064</v>
      </c>
      <c r="C150" s="1">
        <v>1</v>
      </c>
      <c r="D150" s="1">
        <v>1</v>
      </c>
      <c r="E150" s="1">
        <v>1</v>
      </c>
      <c r="F150" s="1" t="s">
        <v>1065</v>
      </c>
      <c r="G150" s="1">
        <v>3842</v>
      </c>
      <c r="H150" s="1" t="s">
        <v>384</v>
      </c>
      <c r="I150" s="94">
        <v>155</v>
      </c>
      <c r="J150" s="2">
        <v>0.19500000000000001</v>
      </c>
      <c r="L150" s="135">
        <v>46141</v>
      </c>
      <c r="M150" s="3" t="s">
        <v>392</v>
      </c>
      <c r="O150" s="1">
        <v>1</v>
      </c>
      <c r="P150" s="94">
        <v>2</v>
      </c>
      <c r="Q150" s="4">
        <v>0</v>
      </c>
      <c r="R150" s="2">
        <v>0</v>
      </c>
      <c r="S150" s="25" t="s">
        <v>1066</v>
      </c>
      <c r="V150" s="41" t="s">
        <v>978</v>
      </c>
      <c r="W150" s="43" t="s">
        <v>402</v>
      </c>
      <c r="AB150" s="2">
        <v>3.21</v>
      </c>
      <c r="AC150" s="2">
        <v>11.57</v>
      </c>
      <c r="AD150" s="2">
        <v>0.28000000000000003</v>
      </c>
    </row>
    <row r="151" spans="1:30" x14ac:dyDescent="0.25">
      <c r="A151" s="25" t="s">
        <v>1067</v>
      </c>
      <c r="B151" s="134" t="s">
        <v>1068</v>
      </c>
      <c r="C151" s="1">
        <v>1</v>
      </c>
      <c r="D151" s="1">
        <v>2</v>
      </c>
      <c r="E151" s="1">
        <v>2</v>
      </c>
      <c r="F151" s="1" t="s">
        <v>1069</v>
      </c>
      <c r="G151" s="1">
        <v>3629</v>
      </c>
      <c r="H151" s="1" t="s">
        <v>384</v>
      </c>
      <c r="I151" s="94">
        <v>155</v>
      </c>
      <c r="J151" s="2">
        <v>1.1000000000000001</v>
      </c>
      <c r="L151" s="135">
        <v>46141</v>
      </c>
      <c r="M151" s="3" t="s">
        <v>412</v>
      </c>
      <c r="O151" s="1">
        <v>1</v>
      </c>
      <c r="P151" s="94">
        <v>2</v>
      </c>
      <c r="Q151" s="4">
        <v>0</v>
      </c>
      <c r="R151" s="2">
        <v>0</v>
      </c>
      <c r="S151" s="25" t="s">
        <v>1070</v>
      </c>
      <c r="V151" s="41" t="s">
        <v>1071</v>
      </c>
      <c r="W151" s="43" t="s">
        <v>402</v>
      </c>
      <c r="AB151" s="2">
        <v>3.99</v>
      </c>
      <c r="AC151" s="2">
        <v>20.76</v>
      </c>
      <c r="AD151" s="2">
        <v>0.28000000000000003</v>
      </c>
    </row>
    <row r="152" spans="1:30" x14ac:dyDescent="0.25">
      <c r="A152" s="25" t="s">
        <v>1072</v>
      </c>
      <c r="B152" s="134" t="s">
        <v>1073</v>
      </c>
      <c r="C152" s="1">
        <v>1</v>
      </c>
      <c r="D152" s="1">
        <v>1</v>
      </c>
      <c r="E152" s="1">
        <v>1</v>
      </c>
      <c r="F152" s="1" t="s">
        <v>1074</v>
      </c>
      <c r="G152" s="1">
        <v>3171</v>
      </c>
      <c r="H152" s="1" t="s">
        <v>384</v>
      </c>
      <c r="I152" s="94">
        <v>155</v>
      </c>
      <c r="J152" s="2">
        <v>0.54300000000000004</v>
      </c>
      <c r="L152" s="135">
        <v>46141</v>
      </c>
      <c r="M152" s="3" t="s">
        <v>392</v>
      </c>
      <c r="O152" s="1">
        <v>1</v>
      </c>
      <c r="P152" s="94">
        <v>2</v>
      </c>
      <c r="Q152" s="4">
        <v>0</v>
      </c>
      <c r="R152" s="2">
        <v>0</v>
      </c>
      <c r="S152" s="25" t="s">
        <v>1075</v>
      </c>
      <c r="V152" s="41" t="s">
        <v>1076</v>
      </c>
      <c r="W152" s="43" t="s">
        <v>395</v>
      </c>
      <c r="AB152" s="2">
        <v>3.21</v>
      </c>
      <c r="AC152" s="2">
        <v>8.6</v>
      </c>
      <c r="AD152" s="2">
        <v>0.28000000000000003</v>
      </c>
    </row>
    <row r="153" spans="1:30" x14ac:dyDescent="0.25">
      <c r="A153" s="25" t="s">
        <v>1077</v>
      </c>
      <c r="B153" s="134" t="s">
        <v>1078</v>
      </c>
      <c r="C153" s="1">
        <v>1</v>
      </c>
      <c r="D153" s="1">
        <v>6</v>
      </c>
      <c r="E153" s="1">
        <v>6</v>
      </c>
      <c r="F153" s="1" t="s">
        <v>1079</v>
      </c>
      <c r="G153" s="1">
        <v>2110</v>
      </c>
      <c r="H153" s="1" t="s">
        <v>384</v>
      </c>
      <c r="I153" s="94">
        <v>155</v>
      </c>
      <c r="J153" s="2">
        <v>2.4969999999999999</v>
      </c>
      <c r="L153" s="135">
        <v>46141</v>
      </c>
      <c r="M153" s="3" t="s">
        <v>412</v>
      </c>
      <c r="O153" s="1">
        <v>1</v>
      </c>
      <c r="P153" s="94">
        <v>2</v>
      </c>
      <c r="Q153" s="4">
        <v>0</v>
      </c>
      <c r="R153" s="2">
        <v>0</v>
      </c>
      <c r="S153" s="25" t="s">
        <v>1080</v>
      </c>
      <c r="V153" s="41" t="s">
        <v>1081</v>
      </c>
      <c r="W153" s="43" t="s">
        <v>452</v>
      </c>
      <c r="AB153" s="2">
        <v>7.11</v>
      </c>
      <c r="AC153" s="2">
        <v>6.01</v>
      </c>
      <c r="AD153" s="2">
        <v>0.28000000000000003</v>
      </c>
    </row>
    <row r="154" spans="1:30" x14ac:dyDescent="0.25">
      <c r="A154" s="25" t="s">
        <v>1082</v>
      </c>
      <c r="B154" s="134" t="s">
        <v>1083</v>
      </c>
      <c r="C154" s="1">
        <v>1</v>
      </c>
      <c r="D154" s="1">
        <v>2</v>
      </c>
      <c r="E154" s="1">
        <v>2</v>
      </c>
      <c r="F154" s="1" t="s">
        <v>1084</v>
      </c>
      <c r="G154" s="1">
        <v>5453</v>
      </c>
      <c r="H154" s="1" t="s">
        <v>384</v>
      </c>
      <c r="I154" s="94">
        <v>155</v>
      </c>
      <c r="J154" s="2">
        <v>0.89200000000000002</v>
      </c>
      <c r="L154" s="135">
        <v>46141</v>
      </c>
      <c r="M154" s="3" t="s">
        <v>412</v>
      </c>
      <c r="O154" s="1">
        <v>1</v>
      </c>
      <c r="P154" s="94">
        <v>2</v>
      </c>
      <c r="Q154" s="4">
        <v>0</v>
      </c>
      <c r="R154" s="2">
        <v>0</v>
      </c>
      <c r="S154" s="25" t="s">
        <v>1085</v>
      </c>
      <c r="V154" s="41" t="s">
        <v>1086</v>
      </c>
      <c r="W154" s="43" t="s">
        <v>556</v>
      </c>
      <c r="AB154" s="2">
        <v>3.99</v>
      </c>
      <c r="AC154" s="2">
        <v>20.36</v>
      </c>
      <c r="AD154" s="2">
        <v>0.28000000000000003</v>
      </c>
    </row>
    <row r="155" spans="1:30" x14ac:dyDescent="0.25">
      <c r="A155" s="25" t="s">
        <v>1087</v>
      </c>
      <c r="B155" s="134" t="s">
        <v>1088</v>
      </c>
      <c r="C155" s="1">
        <v>1</v>
      </c>
      <c r="D155" s="1">
        <v>2</v>
      </c>
      <c r="E155" s="1">
        <v>2</v>
      </c>
      <c r="F155" s="1" t="s">
        <v>1089</v>
      </c>
      <c r="G155" s="1">
        <v>2046</v>
      </c>
      <c r="H155" s="1" t="s">
        <v>384</v>
      </c>
      <c r="I155" s="94">
        <v>155</v>
      </c>
      <c r="J155" s="2">
        <v>0.33400000000000002</v>
      </c>
      <c r="L155" s="135">
        <v>46141</v>
      </c>
      <c r="M155" s="3" t="s">
        <v>392</v>
      </c>
      <c r="O155" s="1">
        <v>1</v>
      </c>
      <c r="P155" s="94">
        <v>2</v>
      </c>
      <c r="Q155" s="4">
        <v>0</v>
      </c>
      <c r="R155" s="2">
        <v>0</v>
      </c>
      <c r="S155" s="25" t="s">
        <v>1090</v>
      </c>
      <c r="V155" s="41" t="s">
        <v>1091</v>
      </c>
      <c r="W155" s="43" t="s">
        <v>452</v>
      </c>
      <c r="AB155" s="2">
        <v>3.99</v>
      </c>
      <c r="AC155" s="2">
        <v>5.5</v>
      </c>
      <c r="AD155" s="2">
        <v>0.28000000000000003</v>
      </c>
    </row>
    <row r="156" spans="1:30" x14ac:dyDescent="0.25">
      <c r="A156" s="25" t="s">
        <v>1092</v>
      </c>
      <c r="B156" s="134" t="s">
        <v>1093</v>
      </c>
      <c r="C156" s="1">
        <v>1</v>
      </c>
      <c r="D156" s="1">
        <v>1</v>
      </c>
      <c r="E156" s="1">
        <v>1</v>
      </c>
      <c r="F156" s="1" t="s">
        <v>1094</v>
      </c>
      <c r="G156" s="1">
        <v>3134</v>
      </c>
      <c r="H156" s="1" t="s">
        <v>384</v>
      </c>
      <c r="I156" s="94">
        <v>155</v>
      </c>
      <c r="J156" s="2">
        <v>0.315</v>
      </c>
      <c r="L156" s="135">
        <v>46141</v>
      </c>
      <c r="M156" s="3" t="s">
        <v>392</v>
      </c>
      <c r="O156" s="1">
        <v>1</v>
      </c>
      <c r="P156" s="94">
        <v>2</v>
      </c>
      <c r="Q156" s="4">
        <v>0</v>
      </c>
      <c r="R156" s="2">
        <v>0</v>
      </c>
      <c r="S156" s="25" t="s">
        <v>1095</v>
      </c>
      <c r="V156" s="41" t="s">
        <v>1096</v>
      </c>
      <c r="W156" s="43" t="s">
        <v>395</v>
      </c>
      <c r="AB156" s="2">
        <v>3.21</v>
      </c>
      <c r="AC156" s="2">
        <v>6.93</v>
      </c>
      <c r="AD156" s="2">
        <v>0.28000000000000003</v>
      </c>
    </row>
    <row r="157" spans="1:30" x14ac:dyDescent="0.25">
      <c r="A157" s="25" t="s">
        <v>1097</v>
      </c>
      <c r="B157" s="134" t="s">
        <v>1098</v>
      </c>
      <c r="C157" s="1">
        <v>1</v>
      </c>
      <c r="D157" s="1">
        <v>4</v>
      </c>
      <c r="E157" s="1">
        <v>4</v>
      </c>
      <c r="F157" s="1" t="s">
        <v>1099</v>
      </c>
      <c r="G157" s="1">
        <v>6208</v>
      </c>
      <c r="H157" s="1" t="s">
        <v>384</v>
      </c>
      <c r="I157" s="94">
        <v>155</v>
      </c>
      <c r="J157" s="2">
        <v>1.238</v>
      </c>
      <c r="L157" s="135">
        <v>46142</v>
      </c>
      <c r="M157" s="3" t="s">
        <v>412</v>
      </c>
      <c r="O157" s="1">
        <v>1</v>
      </c>
      <c r="P157" s="94">
        <v>2</v>
      </c>
      <c r="Q157" s="4">
        <v>0</v>
      </c>
      <c r="R157" s="2">
        <v>0</v>
      </c>
      <c r="S157" s="25" t="s">
        <v>1100</v>
      </c>
      <c r="V157" s="41" t="s">
        <v>1101</v>
      </c>
      <c r="W157" s="43" t="s">
        <v>1102</v>
      </c>
      <c r="AB157" s="2">
        <v>5.55</v>
      </c>
      <c r="AC157" s="2">
        <v>15.84</v>
      </c>
      <c r="AD157" s="2">
        <v>0.28000000000000003</v>
      </c>
    </row>
    <row r="158" spans="1:30" x14ac:dyDescent="0.25">
      <c r="A158" s="25" t="s">
        <v>1103</v>
      </c>
      <c r="B158" s="134" t="s">
        <v>1104</v>
      </c>
      <c r="C158" s="1">
        <v>1</v>
      </c>
      <c r="D158" s="1">
        <v>4</v>
      </c>
      <c r="E158" s="1">
        <v>4</v>
      </c>
      <c r="F158" s="1" t="s">
        <v>1105</v>
      </c>
      <c r="G158" s="1">
        <v>2483</v>
      </c>
      <c r="H158" s="1" t="s">
        <v>384</v>
      </c>
      <c r="I158" s="94">
        <v>155</v>
      </c>
      <c r="J158" s="2">
        <v>2.0550000000000002</v>
      </c>
      <c r="L158" s="135">
        <v>46142</v>
      </c>
      <c r="M158" s="3" t="s">
        <v>412</v>
      </c>
      <c r="O158" s="1">
        <v>1</v>
      </c>
      <c r="P158" s="94">
        <v>2</v>
      </c>
      <c r="Q158" s="4">
        <v>0</v>
      </c>
      <c r="R158" s="2">
        <v>0</v>
      </c>
      <c r="S158" s="25" t="s">
        <v>1106</v>
      </c>
      <c r="V158" s="41" t="s">
        <v>1107</v>
      </c>
      <c r="W158" s="43" t="s">
        <v>415</v>
      </c>
      <c r="AB158" s="2">
        <v>5.55</v>
      </c>
      <c r="AC158" s="2">
        <v>16.66</v>
      </c>
      <c r="AD158" s="2">
        <v>0.28000000000000003</v>
      </c>
    </row>
    <row r="159" spans="1:30" x14ac:dyDescent="0.25">
      <c r="A159" s="25" t="s">
        <v>1108</v>
      </c>
      <c r="B159" s="134" t="s">
        <v>1109</v>
      </c>
      <c r="C159" s="1">
        <v>1</v>
      </c>
      <c r="D159" s="1">
        <v>1</v>
      </c>
      <c r="E159" s="1">
        <v>1</v>
      </c>
      <c r="F159" s="1" t="s">
        <v>1110</v>
      </c>
      <c r="G159" s="1">
        <v>6158</v>
      </c>
      <c r="H159" s="1" t="s">
        <v>384</v>
      </c>
      <c r="I159" s="94">
        <v>155</v>
      </c>
      <c r="J159" s="2">
        <v>0.45300000000000001</v>
      </c>
      <c r="L159" s="135">
        <v>46142</v>
      </c>
      <c r="M159" s="3" t="s">
        <v>392</v>
      </c>
      <c r="O159" s="1">
        <v>1</v>
      </c>
      <c r="P159" s="94">
        <v>2</v>
      </c>
      <c r="Q159" s="4">
        <v>0</v>
      </c>
      <c r="R159" s="2">
        <v>0</v>
      </c>
      <c r="S159" s="25" t="s">
        <v>1111</v>
      </c>
      <c r="V159" s="41" t="s">
        <v>1058</v>
      </c>
      <c r="W159" s="43" t="s">
        <v>408</v>
      </c>
      <c r="AB159" s="2">
        <v>3.21</v>
      </c>
      <c r="AC159" s="2">
        <v>8.24</v>
      </c>
      <c r="AD159" s="2">
        <v>0.28000000000000003</v>
      </c>
    </row>
    <row r="160" spans="1:30" x14ac:dyDescent="0.25">
      <c r="A160" s="25" t="s">
        <v>1112</v>
      </c>
      <c r="B160" s="134" t="s">
        <v>1113</v>
      </c>
      <c r="C160" s="1">
        <v>1</v>
      </c>
      <c r="D160" s="1">
        <v>2</v>
      </c>
      <c r="E160" s="1">
        <v>2</v>
      </c>
      <c r="F160" s="1" t="s">
        <v>1114</v>
      </c>
      <c r="G160" s="1">
        <v>2358</v>
      </c>
      <c r="H160" s="1" t="s">
        <v>384</v>
      </c>
      <c r="I160" s="94">
        <v>155</v>
      </c>
      <c r="J160" s="2">
        <v>0.39600000000000002</v>
      </c>
      <c r="L160" s="135">
        <v>46142</v>
      </c>
      <c r="M160" s="3" t="s">
        <v>392</v>
      </c>
      <c r="O160" s="1">
        <v>1</v>
      </c>
      <c r="P160" s="94">
        <v>2</v>
      </c>
      <c r="Q160" s="4">
        <v>0</v>
      </c>
      <c r="R160" s="2">
        <v>0</v>
      </c>
      <c r="S160" s="25" t="s">
        <v>1115</v>
      </c>
      <c r="V160" s="41" t="s">
        <v>1116</v>
      </c>
      <c r="W160" s="43" t="s">
        <v>415</v>
      </c>
      <c r="AB160" s="2">
        <v>3.99</v>
      </c>
      <c r="AC160" s="2">
        <v>10.86</v>
      </c>
      <c r="AD160" s="2">
        <v>0.28000000000000003</v>
      </c>
    </row>
    <row r="161" spans="1:30" x14ac:dyDescent="0.25">
      <c r="A161" s="25" t="s">
        <v>1117</v>
      </c>
      <c r="B161" s="134" t="s">
        <v>1118</v>
      </c>
      <c r="C161" s="1">
        <v>1</v>
      </c>
      <c r="D161" s="1">
        <v>6</v>
      </c>
      <c r="E161" s="1">
        <v>6</v>
      </c>
      <c r="F161" s="1" t="s">
        <v>1119</v>
      </c>
      <c r="G161" s="1">
        <v>2233</v>
      </c>
      <c r="H161" s="1" t="s">
        <v>384</v>
      </c>
      <c r="I161" s="94">
        <v>155</v>
      </c>
      <c r="J161" s="2">
        <v>0.93700000000000006</v>
      </c>
      <c r="L161" s="135">
        <v>46142</v>
      </c>
      <c r="M161" s="3" t="s">
        <v>412</v>
      </c>
      <c r="O161" s="1">
        <v>1</v>
      </c>
      <c r="P161" s="94">
        <v>2</v>
      </c>
      <c r="Q161" s="4">
        <v>0</v>
      </c>
      <c r="R161" s="2">
        <v>0</v>
      </c>
      <c r="S161" s="25" t="s">
        <v>1120</v>
      </c>
      <c r="V161" s="41" t="s">
        <v>1121</v>
      </c>
      <c r="W161" s="43" t="s">
        <v>452</v>
      </c>
      <c r="AB161" s="2">
        <v>7.11</v>
      </c>
      <c r="AC161" s="2">
        <v>5.96</v>
      </c>
      <c r="AD161" s="2">
        <v>0.28000000000000003</v>
      </c>
    </row>
    <row r="162" spans="1:30" x14ac:dyDescent="0.25">
      <c r="A162" s="25" t="s">
        <v>1122</v>
      </c>
      <c r="B162" s="134" t="s">
        <v>1123</v>
      </c>
      <c r="C162" s="1">
        <v>1</v>
      </c>
      <c r="D162" s="1">
        <v>1</v>
      </c>
      <c r="E162" s="1">
        <v>1</v>
      </c>
      <c r="F162" s="1" t="s">
        <v>1124</v>
      </c>
      <c r="G162" s="1">
        <v>2227</v>
      </c>
      <c r="H162" s="1" t="s">
        <v>384</v>
      </c>
      <c r="I162" s="94">
        <v>155</v>
      </c>
      <c r="J162" s="2">
        <v>0.20200000000000001</v>
      </c>
      <c r="L162" s="135">
        <v>46142</v>
      </c>
      <c r="M162" s="3" t="s">
        <v>392</v>
      </c>
      <c r="O162" s="1">
        <v>1</v>
      </c>
      <c r="P162" s="94">
        <v>2</v>
      </c>
      <c r="Q162" s="4">
        <v>0</v>
      </c>
      <c r="R162" s="2">
        <v>0</v>
      </c>
      <c r="S162" s="25" t="s">
        <v>1125</v>
      </c>
      <c r="V162" s="41" t="s">
        <v>567</v>
      </c>
      <c r="W162" s="43" t="s">
        <v>452</v>
      </c>
      <c r="AB162" s="2">
        <v>3.21</v>
      </c>
      <c r="AC162" s="2">
        <v>5.5</v>
      </c>
      <c r="AD162" s="2">
        <v>0.28000000000000003</v>
      </c>
    </row>
    <row r="163" spans="1:30" x14ac:dyDescent="0.25">
      <c r="A163" s="25" t="s">
        <v>1126</v>
      </c>
      <c r="B163" s="134" t="s">
        <v>1127</v>
      </c>
      <c r="C163" s="1">
        <v>1</v>
      </c>
      <c r="D163" s="1">
        <v>2</v>
      </c>
      <c r="E163" s="1">
        <v>2</v>
      </c>
      <c r="F163" s="1" t="s">
        <v>1128</v>
      </c>
      <c r="G163" s="1">
        <v>4218</v>
      </c>
      <c r="H163" s="1" t="s">
        <v>384</v>
      </c>
      <c r="I163" s="94">
        <v>155</v>
      </c>
      <c r="J163" s="2">
        <v>0.60499999999999998</v>
      </c>
      <c r="L163" s="135">
        <v>46142</v>
      </c>
      <c r="M163" s="3" t="s">
        <v>392</v>
      </c>
      <c r="O163" s="1">
        <v>1</v>
      </c>
      <c r="P163" s="94">
        <v>2</v>
      </c>
      <c r="Q163" s="4">
        <v>0</v>
      </c>
      <c r="R163" s="2">
        <v>0</v>
      </c>
      <c r="S163" s="25" t="s">
        <v>1129</v>
      </c>
      <c r="V163" s="41" t="s">
        <v>1130</v>
      </c>
      <c r="W163" s="43" t="s">
        <v>1131</v>
      </c>
      <c r="AB163" s="2">
        <v>3.99</v>
      </c>
      <c r="AC163" s="2">
        <v>10.82</v>
      </c>
      <c r="AD163" s="2">
        <v>0.28000000000000003</v>
      </c>
    </row>
    <row r="164" spans="1:30" x14ac:dyDescent="0.25">
      <c r="A164" s="25" t="s">
        <v>1132</v>
      </c>
      <c r="B164" s="134" t="s">
        <v>1133</v>
      </c>
      <c r="C164" s="1">
        <v>1</v>
      </c>
      <c r="D164" s="1">
        <v>1</v>
      </c>
      <c r="E164" s="1">
        <v>1</v>
      </c>
      <c r="F164" s="1" t="s">
        <v>1134</v>
      </c>
      <c r="G164" s="1">
        <v>2450</v>
      </c>
      <c r="H164" s="1" t="s">
        <v>384</v>
      </c>
      <c r="I164" s="94">
        <v>155</v>
      </c>
      <c r="J164" s="2">
        <v>0.45700000000000002</v>
      </c>
      <c r="L164" s="135">
        <v>46142</v>
      </c>
      <c r="M164" s="3" t="s">
        <v>392</v>
      </c>
      <c r="O164" s="1">
        <v>1</v>
      </c>
      <c r="P164" s="94">
        <v>2</v>
      </c>
      <c r="Q164" s="4">
        <v>0</v>
      </c>
      <c r="R164" s="2">
        <v>0</v>
      </c>
      <c r="S164" s="25" t="s">
        <v>1135</v>
      </c>
      <c r="V164" s="41" t="s">
        <v>1136</v>
      </c>
      <c r="W164" s="43" t="s">
        <v>415</v>
      </c>
      <c r="AB164" s="2">
        <v>3.21</v>
      </c>
      <c r="AC164" s="2">
        <v>10.86</v>
      </c>
      <c r="AD164" s="2">
        <v>0.28000000000000003</v>
      </c>
    </row>
    <row r="165" spans="1:30" x14ac:dyDescent="0.25">
      <c r="A165" s="25" t="s">
        <v>1137</v>
      </c>
      <c r="B165" s="134" t="s">
        <v>1138</v>
      </c>
      <c r="C165" s="1">
        <v>1</v>
      </c>
      <c r="D165" s="1">
        <v>1</v>
      </c>
      <c r="E165" s="1">
        <v>1</v>
      </c>
      <c r="F165" s="1" t="s">
        <v>1139</v>
      </c>
      <c r="G165" s="1">
        <v>2126</v>
      </c>
      <c r="H165" s="1" t="s">
        <v>384</v>
      </c>
      <c r="I165" s="94">
        <v>155</v>
      </c>
      <c r="J165" s="2">
        <v>0.17699999999999999</v>
      </c>
      <c r="L165" s="135">
        <v>46142</v>
      </c>
      <c r="M165" s="3" t="s">
        <v>392</v>
      </c>
      <c r="O165" s="1">
        <v>1</v>
      </c>
      <c r="P165" s="94">
        <v>2</v>
      </c>
      <c r="Q165" s="4">
        <v>0</v>
      </c>
      <c r="R165" s="2">
        <v>0</v>
      </c>
      <c r="S165" s="25" t="s">
        <v>1140</v>
      </c>
      <c r="V165" s="41" t="s">
        <v>1141</v>
      </c>
      <c r="W165" s="43" t="s">
        <v>452</v>
      </c>
      <c r="AB165" s="2">
        <v>3.21</v>
      </c>
      <c r="AC165" s="2">
        <v>5.5</v>
      </c>
      <c r="AD165" s="2">
        <v>0.28000000000000003</v>
      </c>
    </row>
    <row r="166" spans="1:30" x14ac:dyDescent="0.25">
      <c r="A166" s="25" t="s">
        <v>1142</v>
      </c>
      <c r="B166" s="134" t="s">
        <v>1143</v>
      </c>
      <c r="C166" s="1">
        <v>1</v>
      </c>
      <c r="D166" s="1">
        <v>1</v>
      </c>
      <c r="E166" s="1">
        <v>1</v>
      </c>
      <c r="F166" s="1" t="s">
        <v>1144</v>
      </c>
      <c r="G166" s="1">
        <v>2000</v>
      </c>
      <c r="H166" s="1" t="s">
        <v>384</v>
      </c>
      <c r="I166" s="94">
        <v>155</v>
      </c>
      <c r="J166" s="2">
        <v>0.45900000000000002</v>
      </c>
      <c r="L166" s="135">
        <v>46142</v>
      </c>
      <c r="M166" s="3" t="s">
        <v>392</v>
      </c>
      <c r="O166" s="1">
        <v>1</v>
      </c>
      <c r="P166" s="94">
        <v>2</v>
      </c>
      <c r="Q166" s="4">
        <v>0</v>
      </c>
      <c r="R166" s="2">
        <v>0</v>
      </c>
      <c r="S166" s="25" t="s">
        <v>1145</v>
      </c>
      <c r="V166" s="41" t="s">
        <v>724</v>
      </c>
      <c r="W166" s="43" t="s">
        <v>452</v>
      </c>
      <c r="AB166" s="2">
        <v>3.21</v>
      </c>
      <c r="AC166" s="2">
        <v>5.5</v>
      </c>
      <c r="AD166" s="2">
        <v>0.28000000000000003</v>
      </c>
    </row>
    <row r="167" spans="1:30" x14ac:dyDescent="0.25">
      <c r="A167" s="25" t="s">
        <v>1146</v>
      </c>
      <c r="B167" s="134" t="s">
        <v>1147</v>
      </c>
      <c r="C167" s="1">
        <v>1</v>
      </c>
      <c r="D167" s="1">
        <v>6</v>
      </c>
      <c r="E167" s="1">
        <v>6</v>
      </c>
      <c r="F167" s="1" t="s">
        <v>1148</v>
      </c>
      <c r="G167" s="1">
        <v>4314</v>
      </c>
      <c r="H167" s="1" t="s">
        <v>384</v>
      </c>
      <c r="I167" s="94">
        <v>155</v>
      </c>
      <c r="J167" s="2">
        <v>0.93899999999999995</v>
      </c>
      <c r="L167" s="135">
        <v>46142</v>
      </c>
      <c r="M167" s="3" t="s">
        <v>412</v>
      </c>
      <c r="O167" s="1">
        <v>1</v>
      </c>
      <c r="P167" s="94">
        <v>2</v>
      </c>
      <c r="Q167" s="4">
        <v>0</v>
      </c>
      <c r="R167" s="2">
        <v>0</v>
      </c>
      <c r="S167" s="25" t="s">
        <v>1149</v>
      </c>
      <c r="V167" s="41" t="s">
        <v>1150</v>
      </c>
      <c r="W167" s="43" t="s">
        <v>519</v>
      </c>
      <c r="AB167" s="2">
        <v>7.11</v>
      </c>
      <c r="AC167" s="2">
        <v>19.649999999999999</v>
      </c>
      <c r="AD167" s="2">
        <v>0.28000000000000003</v>
      </c>
    </row>
    <row r="168" spans="1:30" x14ac:dyDescent="0.25">
      <c r="A168" s="25" t="s">
        <v>1151</v>
      </c>
      <c r="B168" s="134" t="s">
        <v>1152</v>
      </c>
      <c r="C168" s="1">
        <v>1</v>
      </c>
      <c r="D168" s="1">
        <v>1</v>
      </c>
      <c r="E168" s="1">
        <v>1</v>
      </c>
      <c r="F168" s="1" t="s">
        <v>1153</v>
      </c>
      <c r="G168" s="1">
        <v>7011</v>
      </c>
      <c r="H168" s="1" t="s">
        <v>384</v>
      </c>
      <c r="I168" s="94">
        <v>155</v>
      </c>
      <c r="J168" s="2">
        <v>0.27300000000000002</v>
      </c>
      <c r="L168" s="135">
        <v>46142</v>
      </c>
      <c r="M168" s="3" t="s">
        <v>392</v>
      </c>
      <c r="O168" s="1">
        <v>1</v>
      </c>
      <c r="P168" s="94">
        <v>2</v>
      </c>
      <c r="Q168" s="4">
        <v>0</v>
      </c>
      <c r="R168" s="2">
        <v>0</v>
      </c>
      <c r="S168" s="25" t="s">
        <v>1154</v>
      </c>
      <c r="V168" s="41" t="s">
        <v>420</v>
      </c>
      <c r="W168" s="43" t="s">
        <v>653</v>
      </c>
      <c r="AB168" s="2">
        <v>3.21</v>
      </c>
      <c r="AC168" s="2">
        <v>8.73</v>
      </c>
      <c r="AD168" s="2">
        <v>0.28000000000000003</v>
      </c>
    </row>
    <row r="169" spans="1:30" x14ac:dyDescent="0.25">
      <c r="A169" s="25" t="s">
        <v>1155</v>
      </c>
      <c r="B169" s="134" t="s">
        <v>1156</v>
      </c>
      <c r="C169" s="1">
        <v>1</v>
      </c>
      <c r="D169" s="1">
        <v>4</v>
      </c>
      <c r="E169" s="1">
        <v>4</v>
      </c>
      <c r="F169" s="1" t="s">
        <v>1157</v>
      </c>
      <c r="G169" s="1">
        <v>2570</v>
      </c>
      <c r="H169" s="1" t="s">
        <v>384</v>
      </c>
      <c r="I169" s="94">
        <v>155</v>
      </c>
      <c r="J169" s="2">
        <v>1.756</v>
      </c>
      <c r="L169" s="135">
        <v>46142</v>
      </c>
      <c r="M169" s="3" t="s">
        <v>412</v>
      </c>
      <c r="O169" s="1">
        <v>1</v>
      </c>
      <c r="P169" s="94">
        <v>2</v>
      </c>
      <c r="Q169" s="4">
        <v>0</v>
      </c>
      <c r="R169" s="2">
        <v>0</v>
      </c>
      <c r="S169" s="25" t="s">
        <v>1158</v>
      </c>
      <c r="V169" s="41" t="s">
        <v>1159</v>
      </c>
      <c r="W169" s="43" t="s">
        <v>1160</v>
      </c>
      <c r="AB169" s="2">
        <v>5.55</v>
      </c>
      <c r="AC169" s="2">
        <v>8.51</v>
      </c>
      <c r="AD169" s="2">
        <v>0.28000000000000003</v>
      </c>
    </row>
    <row r="170" spans="1:30" x14ac:dyDescent="0.25">
      <c r="A170" s="25" t="s">
        <v>1161</v>
      </c>
      <c r="B170" s="134" t="s">
        <v>1162</v>
      </c>
      <c r="C170" s="1">
        <v>1</v>
      </c>
      <c r="D170" s="1">
        <v>2</v>
      </c>
      <c r="E170" s="1">
        <v>2</v>
      </c>
      <c r="F170" s="1" t="s">
        <v>1163</v>
      </c>
      <c r="G170" s="1">
        <v>845</v>
      </c>
      <c r="H170" s="1" t="s">
        <v>384</v>
      </c>
      <c r="I170" s="94">
        <v>155</v>
      </c>
      <c r="J170" s="2">
        <v>1.9550000000000001</v>
      </c>
      <c r="L170" s="135">
        <v>46142</v>
      </c>
      <c r="M170" s="3" t="s">
        <v>378</v>
      </c>
      <c r="O170" s="1">
        <v>1</v>
      </c>
      <c r="P170" s="94">
        <v>2</v>
      </c>
      <c r="Q170" s="4">
        <v>0</v>
      </c>
      <c r="R170" s="2">
        <v>0</v>
      </c>
      <c r="S170" s="25" t="s">
        <v>1164</v>
      </c>
      <c r="V170" s="41" t="s">
        <v>1165</v>
      </c>
      <c r="W170" s="43" t="s">
        <v>683</v>
      </c>
      <c r="AB170" s="2">
        <v>3.99</v>
      </c>
      <c r="AC170" s="2">
        <v>29.42</v>
      </c>
      <c r="AD170" s="2">
        <v>0.28000000000000003</v>
      </c>
    </row>
    <row r="171" spans="1:30" x14ac:dyDescent="0.25">
      <c r="A171" s="25" t="s">
        <v>1166</v>
      </c>
      <c r="B171" s="134" t="s">
        <v>1167</v>
      </c>
      <c r="C171" s="1">
        <v>1</v>
      </c>
      <c r="D171" s="1">
        <v>5</v>
      </c>
      <c r="E171" s="1">
        <v>5</v>
      </c>
      <c r="F171" s="1" t="s">
        <v>1168</v>
      </c>
      <c r="G171" s="1">
        <v>6014</v>
      </c>
      <c r="H171" s="1" t="s">
        <v>384</v>
      </c>
      <c r="I171" s="94">
        <v>155</v>
      </c>
      <c r="J171" s="2">
        <v>1.25</v>
      </c>
      <c r="L171" s="135">
        <v>46142</v>
      </c>
      <c r="M171" s="3" t="s">
        <v>378</v>
      </c>
      <c r="O171" s="1">
        <v>1</v>
      </c>
      <c r="P171" s="94">
        <v>2</v>
      </c>
      <c r="Q171" s="4">
        <v>0</v>
      </c>
      <c r="R171" s="2">
        <v>0</v>
      </c>
      <c r="S171" s="25" t="s">
        <v>1169</v>
      </c>
      <c r="V171" s="41" t="s">
        <v>1170</v>
      </c>
      <c r="W171" s="43" t="s">
        <v>408</v>
      </c>
      <c r="AB171" s="2">
        <v>6.33</v>
      </c>
      <c r="AC171" s="2">
        <v>15.52</v>
      </c>
      <c r="AD171" s="2">
        <v>0.28000000000000003</v>
      </c>
    </row>
    <row r="172" spans="1:30" x14ac:dyDescent="0.25">
      <c r="A172" s="25" t="s">
        <v>1171</v>
      </c>
      <c r="B172" s="134" t="s">
        <v>1172</v>
      </c>
      <c r="C172" s="1">
        <v>1</v>
      </c>
      <c r="D172" s="1">
        <v>1</v>
      </c>
      <c r="E172" s="1">
        <v>1</v>
      </c>
      <c r="F172" s="1" t="s">
        <v>1173</v>
      </c>
      <c r="G172" s="1">
        <v>3029</v>
      </c>
      <c r="H172" s="1" t="s">
        <v>384</v>
      </c>
      <c r="I172" s="94">
        <v>155</v>
      </c>
      <c r="J172" s="2">
        <v>0.53100000000000003</v>
      </c>
      <c r="L172" s="135">
        <v>46142</v>
      </c>
      <c r="M172" s="3" t="s">
        <v>1174</v>
      </c>
      <c r="O172" s="1">
        <v>1</v>
      </c>
      <c r="P172" s="94">
        <v>2</v>
      </c>
      <c r="Q172" s="4">
        <v>0</v>
      </c>
      <c r="R172" s="2">
        <v>0</v>
      </c>
      <c r="S172" s="25" t="s">
        <v>1175</v>
      </c>
      <c r="V172" s="41" t="s">
        <v>394</v>
      </c>
      <c r="W172" s="43" t="s">
        <v>395</v>
      </c>
      <c r="AB172" s="2">
        <v>3.21</v>
      </c>
      <c r="AC172" s="2">
        <v>8.6</v>
      </c>
      <c r="AD172" s="2">
        <v>0.61</v>
      </c>
    </row>
    <row r="173" spans="1:30" x14ac:dyDescent="0.25">
      <c r="A173" s="25" t="s">
        <v>1176</v>
      </c>
      <c r="B173" s="134" t="s">
        <v>1177</v>
      </c>
      <c r="C173" s="1">
        <v>1</v>
      </c>
      <c r="D173" s="1">
        <v>5</v>
      </c>
      <c r="E173" s="1">
        <v>5</v>
      </c>
      <c r="F173" s="1" t="s">
        <v>1178</v>
      </c>
      <c r="G173" s="1">
        <v>2260</v>
      </c>
      <c r="H173" s="1" t="s">
        <v>384</v>
      </c>
      <c r="I173" s="94">
        <v>155</v>
      </c>
      <c r="J173" s="2">
        <v>1.089</v>
      </c>
      <c r="L173" s="135">
        <v>46142</v>
      </c>
      <c r="M173" s="3" t="s">
        <v>412</v>
      </c>
      <c r="O173" s="1">
        <v>1</v>
      </c>
      <c r="P173" s="94">
        <v>2</v>
      </c>
      <c r="Q173" s="4">
        <v>0</v>
      </c>
      <c r="R173" s="2">
        <v>0</v>
      </c>
      <c r="S173" s="25" t="s">
        <v>1179</v>
      </c>
      <c r="V173" s="41" t="s">
        <v>1180</v>
      </c>
      <c r="W173" s="43" t="s">
        <v>568</v>
      </c>
      <c r="AB173" s="2">
        <v>6.33</v>
      </c>
      <c r="AC173" s="2">
        <v>8.51</v>
      </c>
      <c r="AD173" s="2">
        <v>0.28000000000000003</v>
      </c>
    </row>
    <row r="174" spans="1:30" x14ac:dyDescent="0.25">
      <c r="A174" s="25" t="s">
        <v>1181</v>
      </c>
      <c r="B174" s="134" t="s">
        <v>1182</v>
      </c>
      <c r="C174" s="1">
        <v>1</v>
      </c>
      <c r="D174" s="1">
        <v>4</v>
      </c>
      <c r="E174" s="1">
        <v>28</v>
      </c>
      <c r="F174" s="1" t="s">
        <v>862</v>
      </c>
      <c r="G174" s="1">
        <v>2000</v>
      </c>
      <c r="H174" s="1" t="s">
        <v>384</v>
      </c>
      <c r="I174" s="94">
        <v>154</v>
      </c>
      <c r="J174" s="2">
        <v>11.67</v>
      </c>
      <c r="L174" s="135">
        <v>46143</v>
      </c>
      <c r="M174" s="3" t="s">
        <v>1183</v>
      </c>
      <c r="O174" s="1">
        <v>1</v>
      </c>
      <c r="P174" s="94">
        <v>2</v>
      </c>
      <c r="Q174" s="4">
        <v>0</v>
      </c>
      <c r="R174" s="2">
        <v>0</v>
      </c>
      <c r="S174" s="25" t="s">
        <v>1184</v>
      </c>
      <c r="V174" s="41" t="s">
        <v>1185</v>
      </c>
      <c r="W174" s="43" t="s">
        <v>452</v>
      </c>
      <c r="AB174" s="2">
        <v>16.829999999999998</v>
      </c>
      <c r="AC174" s="2">
        <v>16.63</v>
      </c>
      <c r="AD174" s="2">
        <v>1.43</v>
      </c>
    </row>
    <row r="175" spans="1:30" x14ac:dyDescent="0.25">
      <c r="A175" s="25" t="s">
        <v>1186</v>
      </c>
      <c r="B175" s="134" t="s">
        <v>1187</v>
      </c>
      <c r="C175" s="1">
        <v>1</v>
      </c>
      <c r="D175" s="1">
        <v>4</v>
      </c>
      <c r="E175" s="1">
        <v>4</v>
      </c>
      <c r="F175" s="1" t="s">
        <v>1188</v>
      </c>
      <c r="G175" s="1">
        <v>4179</v>
      </c>
      <c r="H175" s="1" t="s">
        <v>384</v>
      </c>
      <c r="I175" s="94">
        <v>155</v>
      </c>
      <c r="J175" s="2">
        <v>1.675</v>
      </c>
      <c r="L175" s="135">
        <v>46143</v>
      </c>
      <c r="M175" s="3" t="s">
        <v>412</v>
      </c>
      <c r="O175" s="1">
        <v>1</v>
      </c>
      <c r="P175" s="94">
        <v>2</v>
      </c>
      <c r="Q175" s="4">
        <v>0</v>
      </c>
      <c r="R175" s="2">
        <v>0</v>
      </c>
      <c r="S175" s="25" t="s">
        <v>1189</v>
      </c>
      <c r="V175" s="41" t="s">
        <v>1190</v>
      </c>
      <c r="W175" s="43" t="s">
        <v>436</v>
      </c>
      <c r="AB175" s="2">
        <v>5.55</v>
      </c>
      <c r="AC175" s="2">
        <v>9.27</v>
      </c>
      <c r="AD175" s="2">
        <v>0.28000000000000003</v>
      </c>
    </row>
    <row r="176" spans="1:30" x14ac:dyDescent="0.25">
      <c r="A176" s="25" t="s">
        <v>1191</v>
      </c>
      <c r="B176" s="134" t="s">
        <v>1192</v>
      </c>
      <c r="C176" s="1">
        <v>1</v>
      </c>
      <c r="D176" s="1">
        <v>1</v>
      </c>
      <c r="E176" s="1">
        <v>1</v>
      </c>
      <c r="F176" s="1" t="s">
        <v>1193</v>
      </c>
      <c r="G176" s="1">
        <v>4304</v>
      </c>
      <c r="H176" s="1" t="s">
        <v>384</v>
      </c>
      <c r="I176" s="94">
        <v>155</v>
      </c>
      <c r="J176" s="2">
        <v>0.21</v>
      </c>
      <c r="L176" s="135">
        <v>46143</v>
      </c>
      <c r="M176" s="3" t="s">
        <v>392</v>
      </c>
      <c r="O176" s="1">
        <v>1</v>
      </c>
      <c r="P176" s="94">
        <v>2</v>
      </c>
      <c r="Q176" s="4">
        <v>0</v>
      </c>
      <c r="R176" s="2">
        <v>0</v>
      </c>
      <c r="S176" s="25" t="s">
        <v>1194</v>
      </c>
      <c r="V176" s="41" t="s">
        <v>1195</v>
      </c>
      <c r="W176" s="43" t="s">
        <v>909</v>
      </c>
      <c r="AB176" s="2">
        <v>3.21</v>
      </c>
      <c r="AC176" s="2">
        <v>8.3800000000000008</v>
      </c>
      <c r="AD176" s="2">
        <v>0.28000000000000003</v>
      </c>
    </row>
    <row r="177" spans="1:30" x14ac:dyDescent="0.25">
      <c r="A177" s="25" t="s">
        <v>1196</v>
      </c>
      <c r="B177" s="134" t="s">
        <v>1197</v>
      </c>
      <c r="C177" s="1">
        <v>1</v>
      </c>
      <c r="D177" s="1">
        <v>4</v>
      </c>
      <c r="E177" s="1">
        <v>4</v>
      </c>
      <c r="F177" s="1" t="s">
        <v>1198</v>
      </c>
      <c r="G177" s="1">
        <v>3722</v>
      </c>
      <c r="H177" s="1" t="s">
        <v>384</v>
      </c>
      <c r="I177" s="94">
        <v>155</v>
      </c>
      <c r="J177" s="2">
        <v>2.073</v>
      </c>
      <c r="L177" s="135">
        <v>46143</v>
      </c>
      <c r="M177" s="3" t="s">
        <v>412</v>
      </c>
      <c r="O177" s="1">
        <v>1</v>
      </c>
      <c r="P177" s="94">
        <v>2</v>
      </c>
      <c r="Q177" s="4">
        <v>0</v>
      </c>
      <c r="R177" s="2">
        <v>0</v>
      </c>
      <c r="S177" s="25" t="s">
        <v>1199</v>
      </c>
      <c r="V177" s="41" t="s">
        <v>1200</v>
      </c>
      <c r="W177" s="43" t="s">
        <v>402</v>
      </c>
      <c r="AB177" s="2">
        <v>5.55</v>
      </c>
      <c r="AC177" s="2">
        <v>22.3</v>
      </c>
      <c r="AD177" s="2">
        <v>0.28000000000000003</v>
      </c>
    </row>
    <row r="178" spans="1:30" x14ac:dyDescent="0.25">
      <c r="A178" s="25" t="s">
        <v>1201</v>
      </c>
      <c r="B178" s="134" t="s">
        <v>1202</v>
      </c>
      <c r="C178" s="1">
        <v>1</v>
      </c>
      <c r="D178" s="1">
        <v>1</v>
      </c>
      <c r="E178" s="1">
        <v>1</v>
      </c>
      <c r="F178" s="1" t="s">
        <v>1203</v>
      </c>
      <c r="G178" s="1">
        <v>4012</v>
      </c>
      <c r="H178" s="1" t="s">
        <v>384</v>
      </c>
      <c r="I178" s="94">
        <v>155</v>
      </c>
      <c r="J178" s="2">
        <v>0.21</v>
      </c>
      <c r="L178" s="135">
        <v>46143</v>
      </c>
      <c r="M178" s="3" t="s">
        <v>392</v>
      </c>
      <c r="O178" s="1">
        <v>1</v>
      </c>
      <c r="P178" s="94">
        <v>2</v>
      </c>
      <c r="Q178" s="4">
        <v>0</v>
      </c>
      <c r="R178" s="2">
        <v>0</v>
      </c>
      <c r="S178" s="25" t="s">
        <v>1204</v>
      </c>
      <c r="V178" s="41" t="s">
        <v>1205</v>
      </c>
      <c r="W178" s="43" t="s">
        <v>436</v>
      </c>
      <c r="AB178" s="2">
        <v>3.21</v>
      </c>
      <c r="AC178" s="2">
        <v>6.93</v>
      </c>
      <c r="AD178" s="2">
        <v>0.28000000000000003</v>
      </c>
    </row>
    <row r="179" spans="1:30" x14ac:dyDescent="0.25">
      <c r="A179" s="25" t="s">
        <v>1206</v>
      </c>
      <c r="B179" s="134" t="s">
        <v>1207</v>
      </c>
      <c r="C179" s="1">
        <v>1</v>
      </c>
      <c r="D179" s="1">
        <v>1</v>
      </c>
      <c r="E179" s="1">
        <v>1</v>
      </c>
      <c r="F179" s="1" t="s">
        <v>1208</v>
      </c>
      <c r="G179" s="1">
        <v>3300</v>
      </c>
      <c r="H179" s="1" t="s">
        <v>384</v>
      </c>
      <c r="I179" s="94">
        <v>155</v>
      </c>
      <c r="J179" s="2">
        <v>0.54</v>
      </c>
      <c r="L179" s="135">
        <v>46143</v>
      </c>
      <c r="M179" s="3" t="s">
        <v>392</v>
      </c>
      <c r="O179" s="1">
        <v>1</v>
      </c>
      <c r="P179" s="94">
        <v>2</v>
      </c>
      <c r="Q179" s="4">
        <v>0</v>
      </c>
      <c r="R179" s="2">
        <v>0</v>
      </c>
      <c r="S179" s="25" t="s">
        <v>1209</v>
      </c>
      <c r="V179" s="41" t="s">
        <v>1210</v>
      </c>
      <c r="W179" s="43" t="s">
        <v>402</v>
      </c>
      <c r="AB179" s="2">
        <v>3.21</v>
      </c>
      <c r="AC179" s="2">
        <v>19.25</v>
      </c>
      <c r="AD179" s="2">
        <v>0.28000000000000003</v>
      </c>
    </row>
    <row r="180" spans="1:30" x14ac:dyDescent="0.25">
      <c r="A180" s="25" t="s">
        <v>1211</v>
      </c>
      <c r="B180" s="134" t="s">
        <v>1212</v>
      </c>
      <c r="C180" s="1">
        <v>1</v>
      </c>
      <c r="D180" s="1">
        <v>2</v>
      </c>
      <c r="E180" s="1">
        <v>2</v>
      </c>
      <c r="F180" s="1" t="s">
        <v>1213</v>
      </c>
      <c r="G180" s="1">
        <v>3123</v>
      </c>
      <c r="H180" s="1" t="s">
        <v>384</v>
      </c>
      <c r="I180" s="94">
        <v>155</v>
      </c>
      <c r="J180" s="2">
        <v>0.73499999999999999</v>
      </c>
      <c r="L180" s="135">
        <v>46143</v>
      </c>
      <c r="M180" s="3" t="s">
        <v>412</v>
      </c>
      <c r="O180" s="1">
        <v>1</v>
      </c>
      <c r="P180" s="94">
        <v>2</v>
      </c>
      <c r="Q180" s="4">
        <v>0</v>
      </c>
      <c r="R180" s="2">
        <v>0</v>
      </c>
      <c r="S180" s="25" t="s">
        <v>1214</v>
      </c>
      <c r="V180" s="41" t="s">
        <v>1215</v>
      </c>
      <c r="W180" s="43" t="s">
        <v>395</v>
      </c>
      <c r="AB180" s="2">
        <v>3.99</v>
      </c>
      <c r="AC180" s="2">
        <v>8.6</v>
      </c>
      <c r="AD180" s="2">
        <v>0.28000000000000003</v>
      </c>
    </row>
    <row r="181" spans="1:30" x14ac:dyDescent="0.25">
      <c r="A181" s="25" t="s">
        <v>1216</v>
      </c>
      <c r="B181" s="134" t="s">
        <v>1217</v>
      </c>
      <c r="C181" s="1">
        <v>1</v>
      </c>
      <c r="D181" s="1">
        <v>2</v>
      </c>
      <c r="E181" s="1">
        <v>2</v>
      </c>
      <c r="F181" s="1" t="s">
        <v>686</v>
      </c>
      <c r="G181" s="1">
        <v>4413</v>
      </c>
      <c r="H181" s="1" t="s">
        <v>384</v>
      </c>
      <c r="I181" s="94">
        <v>155</v>
      </c>
      <c r="J181" s="2">
        <v>0.33</v>
      </c>
      <c r="L181" s="135">
        <v>46143</v>
      </c>
      <c r="M181" s="3" t="s">
        <v>392</v>
      </c>
      <c r="O181" s="1">
        <v>1</v>
      </c>
      <c r="P181" s="94">
        <v>2</v>
      </c>
      <c r="Q181" s="4">
        <v>0</v>
      </c>
      <c r="R181" s="2">
        <v>0</v>
      </c>
      <c r="S181" s="25" t="s">
        <v>1218</v>
      </c>
      <c r="V181" s="41" t="s">
        <v>1219</v>
      </c>
      <c r="W181" s="43" t="s">
        <v>519</v>
      </c>
      <c r="AB181" s="2">
        <v>3.99</v>
      </c>
      <c r="AC181" s="2">
        <v>11.57</v>
      </c>
      <c r="AD181" s="2">
        <v>0.28000000000000003</v>
      </c>
    </row>
    <row r="182" spans="1:30" x14ac:dyDescent="0.25">
      <c r="A182" s="25" t="s">
        <v>1220</v>
      </c>
      <c r="B182" s="134" t="s">
        <v>1221</v>
      </c>
      <c r="C182" s="1">
        <v>1</v>
      </c>
      <c r="D182" s="1">
        <v>2</v>
      </c>
      <c r="E182" s="1">
        <v>2</v>
      </c>
      <c r="F182" s="1" t="s">
        <v>1222</v>
      </c>
      <c r="G182" s="1">
        <v>6153</v>
      </c>
      <c r="H182" s="1" t="s">
        <v>384</v>
      </c>
      <c r="I182" s="94">
        <v>155</v>
      </c>
      <c r="J182" s="2">
        <v>0.91</v>
      </c>
      <c r="L182" s="135">
        <v>46143</v>
      </c>
      <c r="M182" s="3" t="s">
        <v>412</v>
      </c>
      <c r="O182" s="1">
        <v>1</v>
      </c>
      <c r="P182" s="94">
        <v>2</v>
      </c>
      <c r="Q182" s="4">
        <v>0</v>
      </c>
      <c r="R182" s="2">
        <v>0</v>
      </c>
      <c r="S182" s="25" t="s">
        <v>1223</v>
      </c>
      <c r="V182" s="41" t="s">
        <v>1224</v>
      </c>
      <c r="W182" s="43" t="s">
        <v>408</v>
      </c>
      <c r="AB182" s="2">
        <v>3.99</v>
      </c>
      <c r="AC182" s="2">
        <v>12.93</v>
      </c>
      <c r="AD182" s="2">
        <v>0.28000000000000003</v>
      </c>
    </row>
    <row r="183" spans="1:30" x14ac:dyDescent="0.25">
      <c r="A183" s="25" t="s">
        <v>1225</v>
      </c>
      <c r="B183" s="134" t="s">
        <v>1226</v>
      </c>
      <c r="C183" s="1">
        <v>1</v>
      </c>
      <c r="D183" s="1">
        <v>1</v>
      </c>
      <c r="E183" s="1">
        <v>1</v>
      </c>
      <c r="F183" s="1" t="s">
        <v>1227</v>
      </c>
      <c r="G183" s="1">
        <v>5204</v>
      </c>
      <c r="H183" s="1" t="s">
        <v>384</v>
      </c>
      <c r="I183" s="94">
        <v>155</v>
      </c>
      <c r="J183" s="2">
        <v>0.38</v>
      </c>
      <c r="L183" s="135">
        <v>46143</v>
      </c>
      <c r="M183" s="3" t="s">
        <v>392</v>
      </c>
      <c r="O183" s="1">
        <v>1</v>
      </c>
      <c r="P183" s="94">
        <v>2</v>
      </c>
      <c r="Q183" s="4">
        <v>0</v>
      </c>
      <c r="R183" s="2">
        <v>0</v>
      </c>
      <c r="S183" s="25" t="s">
        <v>1228</v>
      </c>
      <c r="V183" s="41" t="s">
        <v>1229</v>
      </c>
      <c r="W183" s="43" t="s">
        <v>556</v>
      </c>
      <c r="AB183" s="2">
        <v>3.21</v>
      </c>
      <c r="AC183" s="2">
        <v>11.57</v>
      </c>
      <c r="AD183" s="2">
        <v>0.28000000000000003</v>
      </c>
    </row>
    <row r="184" spans="1:30" x14ac:dyDescent="0.25">
      <c r="A184" s="25" t="s">
        <v>1230</v>
      </c>
      <c r="B184" s="134" t="s">
        <v>1231</v>
      </c>
      <c r="C184" s="1">
        <v>1</v>
      </c>
      <c r="D184" s="1">
        <v>4</v>
      </c>
      <c r="E184" s="1">
        <v>4</v>
      </c>
      <c r="F184" s="1" t="s">
        <v>1232</v>
      </c>
      <c r="G184" s="1">
        <v>3122</v>
      </c>
      <c r="H184" s="1" t="s">
        <v>384</v>
      </c>
      <c r="I184" s="94">
        <v>155</v>
      </c>
      <c r="J184" s="2">
        <v>1.744</v>
      </c>
      <c r="L184" s="135">
        <v>46143</v>
      </c>
      <c r="M184" s="3" t="s">
        <v>412</v>
      </c>
      <c r="O184" s="1">
        <v>1</v>
      </c>
      <c r="P184" s="94">
        <v>2</v>
      </c>
      <c r="Q184" s="4">
        <v>0</v>
      </c>
      <c r="R184" s="2">
        <v>0</v>
      </c>
      <c r="S184" s="25" t="s">
        <v>1233</v>
      </c>
      <c r="V184" s="41" t="s">
        <v>1234</v>
      </c>
      <c r="W184" s="43" t="s">
        <v>395</v>
      </c>
      <c r="AB184" s="2">
        <v>5.55</v>
      </c>
      <c r="AC184" s="2">
        <v>9.27</v>
      </c>
      <c r="AD184" s="2">
        <v>0.28000000000000003</v>
      </c>
    </row>
    <row r="185" spans="1:30" x14ac:dyDescent="0.25">
      <c r="A185" s="25" t="s">
        <v>1235</v>
      </c>
      <c r="B185" s="134" t="s">
        <v>1236</v>
      </c>
      <c r="C185" s="1">
        <v>1</v>
      </c>
      <c r="D185" s="1">
        <v>1</v>
      </c>
      <c r="E185" s="1">
        <v>1</v>
      </c>
      <c r="F185" s="1" t="s">
        <v>1237</v>
      </c>
      <c r="G185" s="1">
        <v>6025</v>
      </c>
      <c r="H185" s="1" t="s">
        <v>384</v>
      </c>
      <c r="I185" s="94">
        <v>155</v>
      </c>
      <c r="J185" s="2">
        <v>0.55000000000000004</v>
      </c>
      <c r="L185" s="135">
        <v>46143</v>
      </c>
      <c r="M185" s="3" t="s">
        <v>392</v>
      </c>
      <c r="O185" s="1">
        <v>1</v>
      </c>
      <c r="P185" s="94">
        <v>2</v>
      </c>
      <c r="Q185" s="4">
        <v>0</v>
      </c>
      <c r="R185" s="2">
        <v>0</v>
      </c>
      <c r="S185" s="25" t="s">
        <v>1238</v>
      </c>
      <c r="V185" s="41" t="s">
        <v>1239</v>
      </c>
      <c r="W185" s="43" t="s">
        <v>408</v>
      </c>
      <c r="AB185" s="2">
        <v>3.21</v>
      </c>
      <c r="AC185" s="2">
        <v>12.93</v>
      </c>
      <c r="AD185" s="2">
        <v>0.28000000000000003</v>
      </c>
    </row>
    <row r="186" spans="1:30" x14ac:dyDescent="0.25">
      <c r="A186" s="25" t="s">
        <v>1240</v>
      </c>
      <c r="B186" s="134" t="s">
        <v>1241</v>
      </c>
      <c r="C186" s="1">
        <v>1</v>
      </c>
      <c r="D186" s="1">
        <v>1</v>
      </c>
      <c r="E186" s="1">
        <v>3</v>
      </c>
      <c r="F186" s="1" t="s">
        <v>1242</v>
      </c>
      <c r="G186" s="1">
        <v>3195</v>
      </c>
      <c r="H186" s="1" t="s">
        <v>384</v>
      </c>
      <c r="I186" s="94">
        <v>155</v>
      </c>
      <c r="J186" s="2">
        <v>0.49</v>
      </c>
      <c r="L186" s="135">
        <v>46143</v>
      </c>
      <c r="M186" s="3" t="s">
        <v>412</v>
      </c>
      <c r="O186" s="1">
        <v>1</v>
      </c>
      <c r="P186" s="94">
        <v>2</v>
      </c>
      <c r="Q186" s="4">
        <v>0</v>
      </c>
      <c r="R186" s="2">
        <v>0</v>
      </c>
      <c r="S186" s="25" t="s">
        <v>1243</v>
      </c>
      <c r="V186" s="41" t="s">
        <v>1244</v>
      </c>
      <c r="W186" s="43" t="s">
        <v>395</v>
      </c>
      <c r="AB186" s="2">
        <v>4.1500000000000004</v>
      </c>
      <c r="AC186" s="2">
        <v>6.93</v>
      </c>
      <c r="AD186" s="2">
        <v>0.28000000000000003</v>
      </c>
    </row>
    <row r="187" spans="1:30" x14ac:dyDescent="0.25">
      <c r="A187" s="25" t="s">
        <v>1245</v>
      </c>
      <c r="B187" s="134" t="s">
        <v>1246</v>
      </c>
      <c r="C187" s="1">
        <v>1</v>
      </c>
      <c r="D187" s="1">
        <v>1</v>
      </c>
      <c r="E187" s="1">
        <v>1</v>
      </c>
      <c r="F187" s="1" t="s">
        <v>1247</v>
      </c>
      <c r="G187" s="1">
        <v>3224</v>
      </c>
      <c r="H187" s="1" t="s">
        <v>384</v>
      </c>
      <c r="I187" s="94">
        <v>155</v>
      </c>
      <c r="J187" s="2">
        <v>0.46</v>
      </c>
      <c r="L187" s="135">
        <v>46143</v>
      </c>
      <c r="M187" s="3" t="s">
        <v>392</v>
      </c>
      <c r="O187" s="1">
        <v>1</v>
      </c>
      <c r="P187" s="94">
        <v>2</v>
      </c>
      <c r="Q187" s="4">
        <v>0</v>
      </c>
      <c r="R187" s="2">
        <v>0</v>
      </c>
      <c r="S187" s="25" t="s">
        <v>1248</v>
      </c>
      <c r="V187" s="41" t="s">
        <v>673</v>
      </c>
      <c r="W187" s="43" t="s">
        <v>402</v>
      </c>
      <c r="AB187" s="2">
        <v>3.21</v>
      </c>
      <c r="AC187" s="2">
        <v>11.57</v>
      </c>
      <c r="AD187" s="2">
        <v>0.28000000000000003</v>
      </c>
    </row>
    <row r="188" spans="1:30" x14ac:dyDescent="0.25">
      <c r="A188" s="25" t="s">
        <v>1249</v>
      </c>
      <c r="B188" s="134" t="s">
        <v>1250</v>
      </c>
      <c r="C188" s="1">
        <v>1</v>
      </c>
      <c r="D188" s="1">
        <v>3</v>
      </c>
      <c r="E188" s="1">
        <v>3</v>
      </c>
      <c r="F188" s="1" t="s">
        <v>1251</v>
      </c>
      <c r="G188" s="1">
        <v>2035</v>
      </c>
      <c r="H188" s="1" t="s">
        <v>384</v>
      </c>
      <c r="I188" s="94">
        <v>155</v>
      </c>
      <c r="J188" s="2">
        <v>0.61099999999999999</v>
      </c>
      <c r="L188" s="135">
        <v>46143</v>
      </c>
      <c r="M188" s="3" t="s">
        <v>412</v>
      </c>
      <c r="O188" s="1">
        <v>1</v>
      </c>
      <c r="P188" s="94">
        <v>2</v>
      </c>
      <c r="Q188" s="4">
        <v>0</v>
      </c>
      <c r="R188" s="2">
        <v>0</v>
      </c>
      <c r="S188" s="25" t="s">
        <v>1252</v>
      </c>
      <c r="V188" s="41" t="s">
        <v>1253</v>
      </c>
      <c r="W188" s="43" t="s">
        <v>452</v>
      </c>
      <c r="AB188" s="2">
        <v>4.7699999999999996</v>
      </c>
      <c r="AC188" s="2">
        <v>5.96</v>
      </c>
      <c r="AD188" s="2">
        <v>0.28000000000000003</v>
      </c>
    </row>
    <row r="189" spans="1:30" x14ac:dyDescent="0.25">
      <c r="A189" s="25" t="s">
        <v>1254</v>
      </c>
      <c r="B189" s="134" t="s">
        <v>1255</v>
      </c>
      <c r="C189" s="1">
        <v>1</v>
      </c>
      <c r="D189" s="1">
        <v>4</v>
      </c>
      <c r="E189" s="1">
        <v>4</v>
      </c>
      <c r="F189" s="1" t="s">
        <v>1256</v>
      </c>
      <c r="G189" s="1">
        <v>4034</v>
      </c>
      <c r="H189" s="1" t="s">
        <v>384</v>
      </c>
      <c r="I189" s="94">
        <v>155</v>
      </c>
      <c r="J189" s="2">
        <v>1.2529999999999999</v>
      </c>
      <c r="L189" s="135">
        <v>46143</v>
      </c>
      <c r="M189" s="3" t="s">
        <v>412</v>
      </c>
      <c r="O189" s="1">
        <v>1</v>
      </c>
      <c r="P189" s="94">
        <v>2</v>
      </c>
      <c r="Q189" s="4">
        <v>0</v>
      </c>
      <c r="R189" s="2">
        <v>0</v>
      </c>
      <c r="S189" s="25" t="s">
        <v>1257</v>
      </c>
      <c r="V189" s="41" t="s">
        <v>1258</v>
      </c>
      <c r="W189" s="43" t="s">
        <v>436</v>
      </c>
      <c r="AB189" s="2">
        <v>5.55</v>
      </c>
      <c r="AC189" s="2">
        <v>9.27</v>
      </c>
      <c r="AD189" s="2">
        <v>0.28000000000000003</v>
      </c>
    </row>
    <row r="190" spans="1:30" x14ac:dyDescent="0.25">
      <c r="A190" s="25" t="s">
        <v>1259</v>
      </c>
      <c r="B190" s="134" t="s">
        <v>1260</v>
      </c>
      <c r="C190" s="1">
        <v>1</v>
      </c>
      <c r="D190" s="1">
        <v>2</v>
      </c>
      <c r="E190" s="1">
        <v>3</v>
      </c>
      <c r="F190" s="1" t="s">
        <v>1261</v>
      </c>
      <c r="G190" s="1">
        <v>3207</v>
      </c>
      <c r="H190" s="1" t="s">
        <v>384</v>
      </c>
      <c r="I190" s="94">
        <v>55</v>
      </c>
      <c r="J190" s="2">
        <v>1.514</v>
      </c>
      <c r="L190" s="135">
        <v>46143</v>
      </c>
      <c r="M190" s="3" t="s">
        <v>378</v>
      </c>
      <c r="O190" s="1">
        <v>1</v>
      </c>
      <c r="P190" s="94">
        <v>2</v>
      </c>
      <c r="Q190" s="4">
        <v>0</v>
      </c>
      <c r="R190" s="2">
        <v>0</v>
      </c>
      <c r="S190" s="25" t="s">
        <v>1262</v>
      </c>
      <c r="V190" s="41" t="s">
        <v>1263</v>
      </c>
      <c r="W190" s="43" t="s">
        <v>395</v>
      </c>
      <c r="AB190" s="2">
        <v>4.46</v>
      </c>
      <c r="AC190" s="2">
        <v>9.27</v>
      </c>
      <c r="AD190" s="2">
        <v>0.28000000000000003</v>
      </c>
    </row>
    <row r="191" spans="1:30" x14ac:dyDescent="0.25">
      <c r="A191" s="25" t="s">
        <v>1264</v>
      </c>
      <c r="B191" s="134" t="s">
        <v>1265</v>
      </c>
      <c r="C191" s="1">
        <v>1</v>
      </c>
      <c r="D191" s="1">
        <v>1</v>
      </c>
      <c r="E191" s="1">
        <v>1</v>
      </c>
      <c r="F191" s="1" t="s">
        <v>1232</v>
      </c>
      <c r="G191" s="1">
        <v>3122</v>
      </c>
      <c r="H191" s="1" t="s">
        <v>384</v>
      </c>
      <c r="I191" s="94">
        <v>155</v>
      </c>
      <c r="J191" s="2">
        <v>0.54300000000000004</v>
      </c>
      <c r="L191" s="135">
        <v>46143</v>
      </c>
      <c r="M191" s="3" t="s">
        <v>392</v>
      </c>
      <c r="O191" s="1">
        <v>1</v>
      </c>
      <c r="P191" s="94">
        <v>2</v>
      </c>
      <c r="Q191" s="4">
        <v>0</v>
      </c>
      <c r="R191" s="2">
        <v>0</v>
      </c>
      <c r="S191" s="25" t="s">
        <v>1266</v>
      </c>
      <c r="V191" s="41" t="s">
        <v>508</v>
      </c>
      <c r="W191" s="43" t="s">
        <v>395</v>
      </c>
      <c r="AB191" s="2">
        <v>3.21</v>
      </c>
      <c r="AC191" s="2">
        <v>8.6</v>
      </c>
      <c r="AD191" s="2">
        <v>0.28000000000000003</v>
      </c>
    </row>
    <row r="192" spans="1:30" x14ac:dyDescent="0.25">
      <c r="A192" s="25" t="s">
        <v>1267</v>
      </c>
      <c r="B192" s="134" t="s">
        <v>1268</v>
      </c>
      <c r="C192" s="1">
        <v>1</v>
      </c>
      <c r="D192" s="1">
        <v>1</v>
      </c>
      <c r="E192" s="1">
        <v>1</v>
      </c>
      <c r="F192" s="1" t="s">
        <v>1269</v>
      </c>
      <c r="G192" s="1">
        <v>2074</v>
      </c>
      <c r="H192" s="1" t="s">
        <v>384</v>
      </c>
      <c r="I192" s="94">
        <v>155</v>
      </c>
      <c r="J192" s="2">
        <v>0.27100000000000002</v>
      </c>
      <c r="L192" s="135">
        <v>46143</v>
      </c>
      <c r="M192" s="3" t="s">
        <v>392</v>
      </c>
      <c r="O192" s="1">
        <v>1</v>
      </c>
      <c r="P192" s="94">
        <v>2</v>
      </c>
      <c r="Q192" s="4">
        <v>0</v>
      </c>
      <c r="R192" s="2">
        <v>0</v>
      </c>
      <c r="S192" s="25" t="s">
        <v>1270</v>
      </c>
      <c r="V192" s="41" t="s">
        <v>420</v>
      </c>
      <c r="W192" s="43" t="s">
        <v>452</v>
      </c>
      <c r="AB192" s="2">
        <v>3.21</v>
      </c>
      <c r="AC192" s="2">
        <v>5.5</v>
      </c>
      <c r="AD192" s="2">
        <v>0.28000000000000003</v>
      </c>
    </row>
    <row r="193" spans="1:30" x14ac:dyDescent="0.25">
      <c r="A193" s="25" t="s">
        <v>1271</v>
      </c>
      <c r="B193" s="134" t="s">
        <v>1272</v>
      </c>
      <c r="C193" s="1">
        <v>1</v>
      </c>
      <c r="D193" s="1">
        <v>1</v>
      </c>
      <c r="E193" s="1">
        <v>1</v>
      </c>
      <c r="F193" s="1" t="s">
        <v>1273</v>
      </c>
      <c r="G193" s="1">
        <v>5049</v>
      </c>
      <c r="H193" s="1" t="s">
        <v>384</v>
      </c>
      <c r="I193" s="94">
        <v>155</v>
      </c>
      <c r="J193" s="2">
        <v>0.44800000000000001</v>
      </c>
      <c r="L193" s="135">
        <v>46143</v>
      </c>
      <c r="M193" s="3" t="s">
        <v>392</v>
      </c>
      <c r="O193" s="1">
        <v>1</v>
      </c>
      <c r="P193" s="94">
        <v>2</v>
      </c>
      <c r="Q193" s="4">
        <v>0</v>
      </c>
      <c r="R193" s="2">
        <v>0</v>
      </c>
      <c r="S193" s="25" t="s">
        <v>1274</v>
      </c>
      <c r="V193" s="41" t="s">
        <v>1058</v>
      </c>
      <c r="W193" s="43" t="s">
        <v>574</v>
      </c>
      <c r="AB193" s="2">
        <v>3.21</v>
      </c>
      <c r="AC193" s="2">
        <v>7.14</v>
      </c>
      <c r="AD193" s="2">
        <v>0.28000000000000003</v>
      </c>
    </row>
  </sheetData>
  <sheetProtection algorithmName="SHA-512" hashValue="1h7TK8MHhALCsSaqi4ue7xyuDHQPHpWwmDreHmkdYVHGojk56ImSo+wJEsRDvdaEFG9vvsASfwugDvEqtvCx0A==" saltValue="Y2hWKlCYvv/1TR4/IuiN+A==" spinCount="100000" sheet="1" objects="1" scenarios="1"/>
  <pageMargins left="0.23622047244094491" right="0.23622047244094491" top="0.74803149606299213" bottom="0.74803149606299213" header="0.31496062992125984" footer="0.31496062992125984"/>
  <pageSetup paperSize="9" scale="76" fitToHeight="100" orientation="landscape" r:id="rId1"/>
  <headerFooter>
    <oddFooter>&amp;L&amp;A&amp;RPage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pageSetUpPr fitToPage="1"/>
  </sheetPr>
  <dimension ref="A1:N70"/>
  <sheetViews>
    <sheetView workbookViewId="0"/>
  </sheetViews>
  <sheetFormatPr defaultColWidth="9.140625" defaultRowHeight="15" x14ac:dyDescent="0.25"/>
  <cols>
    <col min="1" max="1" width="11.140625" style="101" customWidth="1"/>
    <col min="2" max="2" width="5.85546875" style="14" hidden="1" customWidth="1"/>
    <col min="3" max="3" width="8.7109375" style="34" customWidth="1"/>
    <col min="4" max="4" width="12.7109375" style="14" customWidth="1"/>
    <col min="5" max="5" width="23.7109375" style="20" customWidth="1"/>
    <col min="6" max="6" width="27.28515625" style="20" customWidth="1"/>
    <col min="7" max="7" width="8.140625" style="15" bestFit="1" customWidth="1"/>
    <col min="8" max="8" width="17.140625" style="20" customWidth="1"/>
    <col min="9" max="9" width="6.28515625" style="96" customWidth="1"/>
    <col min="10" max="10" width="11.7109375" style="16" customWidth="1"/>
    <col min="11" max="11" width="24.28515625" style="20" customWidth="1"/>
    <col min="12" max="12" width="9" style="17" bestFit="1" customWidth="1"/>
    <col min="13" max="13" width="8.85546875" style="18" bestFit="1" customWidth="1"/>
    <col min="14" max="14" width="9.5703125" style="17" customWidth="1"/>
    <col min="15" max="16384" width="9.140625" style="14"/>
  </cols>
  <sheetData>
    <row r="1" spans="1:14" s="49" customFormat="1" ht="12" x14ac:dyDescent="0.2">
      <c r="A1" s="95" t="s">
        <v>7</v>
      </c>
      <c r="C1" s="72"/>
      <c r="F1" s="52" t="s">
        <v>61</v>
      </c>
      <c r="G1" s="73">
        <f>SUMIF('Coghlan Settings'!J:J,"8.1",'Coghlan Settings'!M:M)</f>
        <v>56.72</v>
      </c>
      <c r="H1" s="74" t="s">
        <v>79</v>
      </c>
      <c r="I1" s="97"/>
      <c r="J1" s="75"/>
      <c r="K1" s="74"/>
      <c r="L1" s="76"/>
      <c r="M1" s="76"/>
      <c r="N1" s="76"/>
    </row>
    <row r="2" spans="1:14" s="49" customFormat="1" ht="12" x14ac:dyDescent="0.2">
      <c r="A2" s="68" t="str">
        <f>Invoice!$G$3 &amp; Invoice!$H$3</f>
        <v>Inv # : DOK50347</v>
      </c>
      <c r="C2" s="72"/>
      <c r="D2" s="77"/>
      <c r="G2" s="73">
        <f>SUMIF('Coghlan Settings'!J:J,"8.2",'Coghlan Settings'!M:M)</f>
        <v>56.72</v>
      </c>
      <c r="H2" s="74" t="s">
        <v>81</v>
      </c>
      <c r="I2" s="97"/>
      <c r="J2" s="75"/>
      <c r="K2" s="74"/>
      <c r="L2" s="76"/>
      <c r="M2" s="76"/>
      <c r="N2" s="76"/>
    </row>
    <row r="3" spans="1:14" s="49" customFormat="1" ht="12" x14ac:dyDescent="0.2">
      <c r="A3" s="68" t="str">
        <f>Invoice!$G$4&amp;TEXT(Invoice!$H$4,"dd mmm yy")</f>
        <v>Period End : 01 May 26</v>
      </c>
      <c r="C3" s="72"/>
      <c r="D3" s="77"/>
      <c r="G3" s="73">
        <f>SUMIF('Coghlan Settings'!J:J,"8.3",'Coghlan Settings'!M:M)</f>
        <v>210.35</v>
      </c>
      <c r="H3" s="74" t="s">
        <v>80</v>
      </c>
      <c r="I3" s="97"/>
      <c r="J3" s="75"/>
      <c r="K3" s="74"/>
      <c r="L3" s="76"/>
      <c r="M3" s="76"/>
      <c r="N3" s="76"/>
    </row>
    <row r="4" spans="1:14" s="49" customFormat="1" ht="12" x14ac:dyDescent="0.2">
      <c r="A4" s="68"/>
      <c r="C4" s="72"/>
      <c r="D4" s="77"/>
      <c r="G4" s="78"/>
      <c r="H4" s="74" t="s">
        <v>82</v>
      </c>
      <c r="I4" s="97"/>
      <c r="J4" s="75"/>
      <c r="K4" s="74"/>
      <c r="L4" s="76"/>
      <c r="M4" s="76"/>
      <c r="N4" s="76"/>
    </row>
    <row r="5" spans="1:14" s="49" customFormat="1" ht="12" x14ac:dyDescent="0.2">
      <c r="A5" s="68"/>
      <c r="C5" s="72"/>
      <c r="D5" s="77"/>
      <c r="G5" s="78"/>
      <c r="H5" s="74" t="s">
        <v>83</v>
      </c>
      <c r="I5" s="97"/>
      <c r="J5" s="75"/>
      <c r="K5" s="74"/>
      <c r="L5" s="76"/>
      <c r="M5" s="76"/>
      <c r="N5" s="76"/>
    </row>
    <row r="6" spans="1:14" s="49" customFormat="1" ht="12" x14ac:dyDescent="0.2">
      <c r="A6" s="68"/>
      <c r="C6" s="72"/>
      <c r="D6" s="77"/>
      <c r="G6" s="74"/>
      <c r="H6" s="74" t="s">
        <v>84</v>
      </c>
      <c r="I6" s="97"/>
      <c r="J6" s="75"/>
      <c r="K6" s="74"/>
      <c r="L6" s="76"/>
      <c r="M6" s="76"/>
      <c r="N6" s="76"/>
    </row>
    <row r="7" spans="1:14" s="49" customFormat="1" ht="12" x14ac:dyDescent="0.2">
      <c r="A7" s="68"/>
      <c r="C7" s="72"/>
      <c r="E7" s="74"/>
      <c r="F7" s="74"/>
      <c r="G7" s="77"/>
      <c r="H7" s="74"/>
      <c r="I7" s="97"/>
      <c r="J7" s="75"/>
      <c r="K7" s="74"/>
      <c r="L7" s="76"/>
      <c r="M7" s="76"/>
      <c r="N7" s="76"/>
    </row>
    <row r="8" spans="1:14" s="49" customFormat="1" ht="12" x14ac:dyDescent="0.2">
      <c r="A8" s="68"/>
      <c r="C8" s="72"/>
      <c r="E8" s="74"/>
      <c r="F8" s="79"/>
      <c r="G8" s="80"/>
      <c r="H8" s="79"/>
      <c r="I8" s="98"/>
      <c r="J8" s="75"/>
      <c r="K8" s="74"/>
      <c r="L8" s="76"/>
      <c r="M8" s="58" t="s">
        <v>94</v>
      </c>
      <c r="N8" s="81">
        <f>SUM(N11:N1048576)</f>
        <v>1647.52</v>
      </c>
    </row>
    <row r="9" spans="1:14" s="49" customFormat="1" ht="12" x14ac:dyDescent="0.2">
      <c r="A9" s="68"/>
      <c r="C9" s="72"/>
      <c r="E9" s="74"/>
      <c r="F9" s="74"/>
      <c r="G9" s="77"/>
      <c r="H9" s="79"/>
      <c r="I9" s="98"/>
      <c r="J9" s="82"/>
      <c r="K9" s="79"/>
      <c r="L9" s="83"/>
      <c r="M9" s="76"/>
      <c r="N9" s="83"/>
    </row>
    <row r="10" spans="1:14" s="5" customFormat="1" ht="36" x14ac:dyDescent="0.2">
      <c r="A10" s="45" t="s">
        <v>92</v>
      </c>
      <c r="B10" s="6" t="s">
        <v>85</v>
      </c>
      <c r="C10" s="33" t="s">
        <v>68</v>
      </c>
      <c r="D10" s="6" t="s">
        <v>86</v>
      </c>
      <c r="E10" s="19" t="s">
        <v>87</v>
      </c>
      <c r="F10" s="19" t="s">
        <v>88</v>
      </c>
      <c r="G10" s="31" t="s">
        <v>89</v>
      </c>
      <c r="H10" s="6" t="s">
        <v>91</v>
      </c>
      <c r="I10" s="44" t="s">
        <v>207</v>
      </c>
      <c r="J10" s="13" t="s">
        <v>90</v>
      </c>
      <c r="K10" s="19" t="s">
        <v>15</v>
      </c>
      <c r="L10" s="12" t="s">
        <v>93</v>
      </c>
      <c r="M10" s="7" t="s">
        <v>17</v>
      </c>
      <c r="N10" s="12" t="s">
        <v>77</v>
      </c>
    </row>
    <row r="11" spans="1:14" ht="12" x14ac:dyDescent="0.25">
      <c r="M11" s="17"/>
    </row>
    <row r="12" spans="1:14" ht="12" x14ac:dyDescent="0.25">
      <c r="M12" s="17"/>
    </row>
    <row r="13" spans="1:14" ht="24" x14ac:dyDescent="0.25">
      <c r="A13" s="101" t="s">
        <v>1278</v>
      </c>
      <c r="C13" s="34">
        <v>46142</v>
      </c>
      <c r="D13" s="14" t="s">
        <v>1275</v>
      </c>
      <c r="E13" s="20" t="s">
        <v>1276</v>
      </c>
      <c r="F13" s="20" t="s">
        <v>1277</v>
      </c>
      <c r="G13" s="15">
        <v>0</v>
      </c>
      <c r="I13" s="96">
        <v>8.1999999999999993</v>
      </c>
      <c r="J13" s="16" t="s">
        <v>1279</v>
      </c>
      <c r="K13" s="20" t="s">
        <v>1280</v>
      </c>
      <c r="L13" s="17">
        <v>0.17</v>
      </c>
      <c r="M13" s="17">
        <v>56.72</v>
      </c>
      <c r="N13" s="17">
        <v>9.64</v>
      </c>
    </row>
    <row r="14" spans="1:14" ht="12" x14ac:dyDescent="0.25">
      <c r="A14" s="101" t="s">
        <v>1278</v>
      </c>
      <c r="I14" s="96">
        <v>8.1</v>
      </c>
      <c r="J14" s="16" t="s">
        <v>1281</v>
      </c>
      <c r="K14" s="20" t="s">
        <v>1282</v>
      </c>
      <c r="L14" s="17">
        <v>0.08</v>
      </c>
      <c r="M14" s="17">
        <v>56.72</v>
      </c>
      <c r="N14" s="17">
        <v>4.54</v>
      </c>
    </row>
    <row r="15" spans="1:14" ht="12" x14ac:dyDescent="0.25">
      <c r="M15" s="17"/>
    </row>
    <row r="16" spans="1:14" ht="12" x14ac:dyDescent="0.25">
      <c r="A16" s="101" t="s">
        <v>1285</v>
      </c>
      <c r="C16" s="34">
        <v>46143</v>
      </c>
      <c r="D16" s="14" t="s">
        <v>1283</v>
      </c>
      <c r="E16" s="20" t="s">
        <v>130</v>
      </c>
      <c r="F16" s="20" t="s">
        <v>1284</v>
      </c>
      <c r="G16" s="15">
        <v>0</v>
      </c>
      <c r="I16" s="96">
        <v>10.1</v>
      </c>
      <c r="J16" s="16" t="s">
        <v>1286</v>
      </c>
      <c r="K16" s="20" t="s">
        <v>321</v>
      </c>
      <c r="L16" s="17">
        <v>370</v>
      </c>
      <c r="M16" s="17">
        <v>0.36</v>
      </c>
      <c r="N16" s="17">
        <v>133.19999999999999</v>
      </c>
    </row>
    <row r="17" spans="1:14" ht="24" x14ac:dyDescent="0.25">
      <c r="A17" s="101" t="s">
        <v>1285</v>
      </c>
      <c r="I17" s="96">
        <v>10.199999999999999</v>
      </c>
      <c r="J17" s="16" t="s">
        <v>1287</v>
      </c>
      <c r="K17" s="20" t="s">
        <v>1288</v>
      </c>
      <c r="L17" s="17">
        <v>75007</v>
      </c>
      <c r="M17" s="17">
        <v>0.02</v>
      </c>
      <c r="N17" s="17">
        <v>1500.14</v>
      </c>
    </row>
    <row r="18" spans="1:14" ht="12" x14ac:dyDescent="0.25">
      <c r="M18" s="17"/>
    </row>
    <row r="19" spans="1:14" ht="12" x14ac:dyDescent="0.25">
      <c r="M19" s="17"/>
    </row>
    <row r="20" spans="1:14" ht="12" x14ac:dyDescent="0.25">
      <c r="M20" s="17"/>
    </row>
    <row r="21" spans="1:14" ht="12" x14ac:dyDescent="0.25">
      <c r="M21" s="17"/>
    </row>
    <row r="22" spans="1:14" ht="12" x14ac:dyDescent="0.25">
      <c r="M22" s="17"/>
    </row>
    <row r="23" spans="1:14" ht="12" x14ac:dyDescent="0.25">
      <c r="M23" s="17"/>
    </row>
    <row r="24" spans="1:14" ht="12" x14ac:dyDescent="0.25">
      <c r="M24" s="17"/>
    </row>
    <row r="25" spans="1:14" ht="12" x14ac:dyDescent="0.25">
      <c r="M25" s="17"/>
    </row>
    <row r="26" spans="1:14" ht="12" x14ac:dyDescent="0.25">
      <c r="M26" s="17"/>
    </row>
    <row r="27" spans="1:14" ht="12" x14ac:dyDescent="0.25">
      <c r="M27" s="17"/>
    </row>
    <row r="28" spans="1:14" ht="12" x14ac:dyDescent="0.25">
      <c r="M28" s="17"/>
    </row>
    <row r="29" spans="1:14" ht="12" x14ac:dyDescent="0.25">
      <c r="M29" s="17"/>
    </row>
    <row r="30" spans="1:14" ht="12" x14ac:dyDescent="0.25">
      <c r="M30" s="17"/>
    </row>
    <row r="31" spans="1:14" ht="12" x14ac:dyDescent="0.25">
      <c r="M31" s="17"/>
    </row>
    <row r="32" spans="1:14" ht="12" x14ac:dyDescent="0.25">
      <c r="M32" s="17"/>
    </row>
    <row r="33" spans="13:13" ht="12" x14ac:dyDescent="0.25">
      <c r="M33" s="17"/>
    </row>
    <row r="34" spans="13:13" ht="12" x14ac:dyDescent="0.25">
      <c r="M34" s="17"/>
    </row>
    <row r="35" spans="13:13" ht="12" x14ac:dyDescent="0.25">
      <c r="M35" s="17"/>
    </row>
    <row r="36" spans="13:13" ht="12" x14ac:dyDescent="0.25">
      <c r="M36" s="17"/>
    </row>
    <row r="37" spans="13:13" ht="12" x14ac:dyDescent="0.25">
      <c r="M37" s="17"/>
    </row>
    <row r="38" spans="13:13" ht="12" x14ac:dyDescent="0.25">
      <c r="M38" s="17"/>
    </row>
    <row r="39" spans="13:13" ht="12" x14ac:dyDescent="0.25">
      <c r="M39" s="17"/>
    </row>
    <row r="40" spans="13:13" ht="12" x14ac:dyDescent="0.25">
      <c r="M40" s="17"/>
    </row>
    <row r="41" spans="13:13" ht="12" x14ac:dyDescent="0.25">
      <c r="M41" s="17"/>
    </row>
    <row r="42" spans="13:13" ht="12" x14ac:dyDescent="0.25">
      <c r="M42" s="17"/>
    </row>
    <row r="43" spans="13:13" ht="12" x14ac:dyDescent="0.25">
      <c r="M43" s="17"/>
    </row>
    <row r="44" spans="13:13" ht="12" x14ac:dyDescent="0.25">
      <c r="M44" s="17"/>
    </row>
    <row r="45" spans="13:13" ht="12" x14ac:dyDescent="0.25">
      <c r="M45" s="17"/>
    </row>
    <row r="46" spans="13:13" ht="12" x14ac:dyDescent="0.25">
      <c r="M46" s="17"/>
    </row>
    <row r="47" spans="13:13" ht="12" x14ac:dyDescent="0.25">
      <c r="M47" s="17"/>
    </row>
    <row r="48" spans="13:13" ht="12" x14ac:dyDescent="0.25">
      <c r="M48" s="17"/>
    </row>
    <row r="49" spans="13:13" ht="12" x14ac:dyDescent="0.25">
      <c r="M49" s="17"/>
    </row>
    <row r="50" spans="13:13" ht="12" x14ac:dyDescent="0.25">
      <c r="M50" s="17"/>
    </row>
    <row r="51" spans="13:13" ht="12" x14ac:dyDescent="0.25">
      <c r="M51" s="17"/>
    </row>
    <row r="52" spans="13:13" ht="12" x14ac:dyDescent="0.25">
      <c r="M52" s="17"/>
    </row>
    <row r="53" spans="13:13" ht="12" x14ac:dyDescent="0.25">
      <c r="M53" s="17"/>
    </row>
    <row r="54" spans="13:13" ht="12" x14ac:dyDescent="0.25">
      <c r="M54" s="17"/>
    </row>
    <row r="55" spans="13:13" ht="12" x14ac:dyDescent="0.25">
      <c r="M55" s="17"/>
    </row>
    <row r="56" spans="13:13" ht="12" x14ac:dyDescent="0.25">
      <c r="M56" s="17"/>
    </row>
    <row r="57" spans="13:13" ht="12" x14ac:dyDescent="0.25">
      <c r="M57" s="17"/>
    </row>
    <row r="58" spans="13:13" ht="12" x14ac:dyDescent="0.25">
      <c r="M58" s="17"/>
    </row>
    <row r="59" spans="13:13" ht="12" x14ac:dyDescent="0.25">
      <c r="M59" s="17"/>
    </row>
    <row r="60" spans="13:13" ht="12" x14ac:dyDescent="0.25">
      <c r="M60" s="17"/>
    </row>
    <row r="61" spans="13:13" ht="12" x14ac:dyDescent="0.25">
      <c r="M61" s="17"/>
    </row>
    <row r="62" spans="13:13" ht="12" x14ac:dyDescent="0.25">
      <c r="M62" s="17"/>
    </row>
    <row r="63" spans="13:13" ht="12" x14ac:dyDescent="0.25">
      <c r="M63" s="17"/>
    </row>
    <row r="64" spans="13:13" ht="12" x14ac:dyDescent="0.25">
      <c r="M64" s="17"/>
    </row>
    <row r="65" spans="13:13" ht="12" x14ac:dyDescent="0.25">
      <c r="M65" s="17"/>
    </row>
    <row r="66" spans="13:13" ht="12" x14ac:dyDescent="0.25">
      <c r="M66" s="17"/>
    </row>
    <row r="67" spans="13:13" ht="12" x14ac:dyDescent="0.25">
      <c r="M67" s="17"/>
    </row>
    <row r="68" spans="13:13" ht="12" x14ac:dyDescent="0.25">
      <c r="M68" s="17"/>
    </row>
    <row r="69" spans="13:13" ht="12" x14ac:dyDescent="0.25">
      <c r="M69" s="17"/>
    </row>
    <row r="70" spans="13:13" ht="12" x14ac:dyDescent="0.25">
      <c r="M70" s="17"/>
    </row>
  </sheetData>
  <sheetProtection algorithmName="SHA-512" hashValue="UObVKrU/14bPMD/3ZG3cK9j1krXORLP2KxXVGiRzSLsPBRzHi5yzeZ9VLM+qqi78KeqBk/IyN3XJDkEUsNEeLg==" saltValue="scbHtsoUXn8gjFO7/x93OQ==" spinCount="100000" sheet="1" objects="1" scenarios="1"/>
  <pageMargins left="0.23622047244094491" right="0.23622047244094491" top="0.74803149606299213" bottom="0.74803149606299213" header="0.31496062992125984" footer="0.31496062992125984"/>
  <pageSetup paperSize="9" scale="80" fitToHeight="10" orientation="landscape" r:id="rId1"/>
  <headerFooter>
    <oddFooter>&amp;L&amp;A&amp;RPage &amp;P of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6">
    <pageSetUpPr fitToPage="1"/>
  </sheetPr>
  <dimension ref="A1:E18"/>
  <sheetViews>
    <sheetView workbookViewId="0"/>
  </sheetViews>
  <sheetFormatPr defaultRowHeight="15" x14ac:dyDescent="0.25"/>
  <cols>
    <col min="1" max="1" width="32.7109375" style="23" customWidth="1"/>
    <col min="2" max="2" width="20.7109375" style="23" customWidth="1"/>
    <col min="3" max="3" width="32.7109375" style="23" customWidth="1"/>
    <col min="4" max="4" width="10.7109375" style="21" customWidth="1"/>
    <col min="5" max="5" width="10.7109375" style="28" customWidth="1"/>
  </cols>
  <sheetData>
    <row r="1" spans="1:5" x14ac:dyDescent="0.25">
      <c r="A1" s="24" t="s">
        <v>103</v>
      </c>
    </row>
    <row r="2" spans="1:5" x14ac:dyDescent="0.25">
      <c r="A2" s="25" t="str">
        <f>Invoice!$G$3 &amp; Invoice!$H$3</f>
        <v>Inv # : DOK50347</v>
      </c>
    </row>
    <row r="3" spans="1:5" x14ac:dyDescent="0.25">
      <c r="A3" s="25" t="str">
        <f>Invoice!$G$4&amp;TEXT(Invoice!$H$4,"dd mmm yy")</f>
        <v>Period End : 01 May 26</v>
      </c>
    </row>
    <row r="5" spans="1:5" x14ac:dyDescent="0.25">
      <c r="A5" s="23" t="s">
        <v>238</v>
      </c>
    </row>
    <row r="6" spans="1:5" x14ac:dyDescent="0.25">
      <c r="A6" s="23" t="s">
        <v>125</v>
      </c>
    </row>
    <row r="8" spans="1:5" x14ac:dyDescent="0.25">
      <c r="A8" s="26" t="s">
        <v>15</v>
      </c>
      <c r="B8" s="26" t="s">
        <v>100</v>
      </c>
      <c r="C8" s="26" t="s">
        <v>101</v>
      </c>
      <c r="D8" s="27" t="s">
        <v>102</v>
      </c>
      <c r="E8" s="29" t="s">
        <v>16</v>
      </c>
    </row>
    <row r="10" spans="1:5" x14ac:dyDescent="0.25">
      <c r="A10" s="23" t="s">
        <v>349</v>
      </c>
      <c r="B10" s="23" t="s">
        <v>350</v>
      </c>
      <c r="C10" s="23" t="s">
        <v>351</v>
      </c>
      <c r="D10" s="39">
        <v>1.04</v>
      </c>
      <c r="E10" s="40">
        <v>3</v>
      </c>
    </row>
    <row r="11" spans="1:5" x14ac:dyDescent="0.25">
      <c r="A11" s="23" t="s">
        <v>352</v>
      </c>
      <c r="B11" s="23" t="s">
        <v>353</v>
      </c>
      <c r="C11" s="23" t="s">
        <v>354</v>
      </c>
      <c r="D11" s="39">
        <v>1.43</v>
      </c>
      <c r="E11" s="40">
        <v>1</v>
      </c>
    </row>
    <row r="12" spans="1:5" x14ac:dyDescent="0.25">
      <c r="A12" s="23" t="s">
        <v>355</v>
      </c>
      <c r="B12" s="23" t="s">
        <v>356</v>
      </c>
      <c r="C12" s="23" t="s">
        <v>357</v>
      </c>
      <c r="D12" s="39">
        <v>2.68</v>
      </c>
      <c r="E12" s="40">
        <v>2</v>
      </c>
    </row>
    <row r="13" spans="1:5" x14ac:dyDescent="0.25">
      <c r="A13" s="23" t="s">
        <v>358</v>
      </c>
      <c r="B13" s="23" t="s">
        <v>360</v>
      </c>
      <c r="C13" s="23" t="s">
        <v>359</v>
      </c>
      <c r="D13" s="39">
        <v>0.61</v>
      </c>
      <c r="E13" s="40">
        <v>1</v>
      </c>
    </row>
    <row r="14" spans="1:5" x14ac:dyDescent="0.25">
      <c r="A14" s="23" t="s">
        <v>361</v>
      </c>
      <c r="B14" s="23" t="s">
        <v>363</v>
      </c>
      <c r="C14" s="23" t="s">
        <v>362</v>
      </c>
      <c r="D14" s="39">
        <v>0.81</v>
      </c>
      <c r="E14" s="40">
        <v>1</v>
      </c>
    </row>
    <row r="15" spans="1:5" x14ac:dyDescent="0.25">
      <c r="A15" s="23" t="s">
        <v>364</v>
      </c>
      <c r="B15" s="23" t="s">
        <v>366</v>
      </c>
      <c r="C15" s="23" t="s">
        <v>365</v>
      </c>
      <c r="D15" s="39">
        <v>0.69</v>
      </c>
      <c r="E15" s="40">
        <v>1</v>
      </c>
    </row>
    <row r="16" spans="1:5" x14ac:dyDescent="0.25">
      <c r="A16" s="23" t="s">
        <v>367</v>
      </c>
      <c r="B16" s="23" t="s">
        <v>368</v>
      </c>
      <c r="C16" s="23" t="s">
        <v>369</v>
      </c>
      <c r="D16" s="21">
        <v>0.28000000000000003</v>
      </c>
      <c r="E16" s="28">
        <v>81</v>
      </c>
    </row>
    <row r="17" spans="1:5" x14ac:dyDescent="0.25">
      <c r="A17" s="23" t="s">
        <v>370</v>
      </c>
      <c r="B17" s="23" t="s">
        <v>371</v>
      </c>
      <c r="C17" s="23" t="s">
        <v>369</v>
      </c>
      <c r="D17" s="21">
        <v>0.28000000000000003</v>
      </c>
      <c r="E17" s="28">
        <v>58</v>
      </c>
    </row>
    <row r="18" spans="1:5" x14ac:dyDescent="0.25">
      <c r="A18" s="23" t="s">
        <v>372</v>
      </c>
      <c r="B18" s="23" t="s">
        <v>373</v>
      </c>
      <c r="C18" s="23" t="s">
        <v>369</v>
      </c>
      <c r="D18" s="21">
        <v>0.28000000000000003</v>
      </c>
      <c r="E18" s="28">
        <v>33</v>
      </c>
    </row>
  </sheetData>
  <sheetProtection algorithmName="SHA-512" hashValue="hjbIidOJuhaPYBfWEcLNBbdg+2ICEWPBJGU9sXiNJ7GHV3b6ma+j8Zqut3ixvw/EGShWZniZsZDWfN942svedw==" saltValue="l36IAZjP4vmP2V2fGB8eVw==" spinCount="100000" sheet="1" objects="1" scenarios="1"/>
  <pageMargins left="0.23622047244094491" right="0.23622047244094491" top="0.74803149606299213" bottom="0.74803149606299213" header="0.31496062992125984" footer="0.31496062992125984"/>
  <pageSetup paperSize="9" fitToHeight="10" orientation="landscape" r:id="rId1"/>
  <headerFooter>
    <oddFooter>&amp;L&amp;A&amp;RPage &amp;P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7"/>
  <dimension ref="A1:E29"/>
  <sheetViews>
    <sheetView workbookViewId="0"/>
  </sheetViews>
  <sheetFormatPr defaultColWidth="9.140625" defaultRowHeight="15" x14ac:dyDescent="0.25"/>
  <cols>
    <col min="1" max="1" width="11.85546875" style="86" bestFit="1" customWidth="1"/>
    <col min="2" max="2" width="38" style="84" customWidth="1"/>
    <col min="3" max="3" width="9.28515625" style="85" bestFit="1" customWidth="1"/>
    <col min="4" max="4" width="10.5703125" style="85" bestFit="1" customWidth="1"/>
    <col min="5" max="5" width="9.28515625" style="85" bestFit="1" customWidth="1"/>
    <col min="6" max="16384" width="9.140625" style="84"/>
  </cols>
  <sheetData>
    <row r="1" spans="1:5" x14ac:dyDescent="0.25">
      <c r="A1" s="48" t="s">
        <v>107</v>
      </c>
    </row>
    <row r="2" spans="1:5" x14ac:dyDescent="0.25">
      <c r="A2" s="49" t="str">
        <f>Invoice!$G$3 &amp; Invoice!$H$3</f>
        <v>Inv # : DOK50347</v>
      </c>
    </row>
    <row r="3" spans="1:5" x14ac:dyDescent="0.25">
      <c r="A3" s="49" t="str">
        <f>Invoice!$G$4&amp;TEXT(Invoice!$H$4,"dd mmm yy")</f>
        <v>Period End : 01 May 26</v>
      </c>
    </row>
    <row r="5" spans="1:5" x14ac:dyDescent="0.25">
      <c r="A5" s="86" t="s">
        <v>239</v>
      </c>
    </row>
    <row r="6" spans="1:5" x14ac:dyDescent="0.25">
      <c r="A6" s="86" t="s">
        <v>251</v>
      </c>
    </row>
    <row r="7" spans="1:5" x14ac:dyDescent="0.25">
      <c r="A7" s="86" t="s">
        <v>241</v>
      </c>
    </row>
    <row r="8" spans="1:5" x14ac:dyDescent="0.25">
      <c r="A8" s="86" t="s">
        <v>108</v>
      </c>
    </row>
    <row r="10" spans="1:5" ht="36.75" x14ac:dyDescent="0.25">
      <c r="A10" s="87" t="s">
        <v>104</v>
      </c>
      <c r="B10" s="88" t="s">
        <v>15</v>
      </c>
      <c r="C10" s="89" t="s">
        <v>57</v>
      </c>
      <c r="D10" s="89" t="s">
        <v>58</v>
      </c>
      <c r="E10" s="89" t="s">
        <v>59</v>
      </c>
    </row>
    <row r="12" spans="1:5" x14ac:dyDescent="0.25">
      <c r="A12" s="90" t="s">
        <v>18</v>
      </c>
      <c r="B12" s="91" t="s">
        <v>240</v>
      </c>
      <c r="C12" s="92">
        <f>+'Order Processing'!AB9</f>
        <v>820.80000000000064</v>
      </c>
      <c r="D12" s="92">
        <f>+'Order Processing'!AC9</f>
        <v>1971.0999999999995</v>
      </c>
      <c r="E12" s="92">
        <f>+'Order Processing'!AD9</f>
        <v>60.180000000000128</v>
      </c>
    </row>
    <row r="13" spans="1:5" x14ac:dyDescent="0.25">
      <c r="A13" s="86" t="s">
        <v>105</v>
      </c>
      <c r="B13" s="84" t="s">
        <v>106</v>
      </c>
      <c r="C13" s="85">
        <f>C12-SUM('Layout Summary'!C14:C141)</f>
        <v>820.80000000000064</v>
      </c>
      <c r="D13" s="85">
        <f>D12-SUM('Layout Summary'!D14:D141)</f>
        <v>1971.0999999999995</v>
      </c>
      <c r="E13" s="85">
        <f>E12-SUM('Layout Summary'!E14:E141)</f>
        <v>60.180000000000128</v>
      </c>
    </row>
    <row r="14" spans="1:5" x14ac:dyDescent="0.25">
      <c r="C14" s="85">
        <f>SUMIF('Order Processing'!$P:$P,$A14,'Order Processing'!AB:AB)</f>
        <v>0</v>
      </c>
      <c r="D14" s="85">
        <f>SUMIF('Order Processing'!$P:$P,$A14,'Order Processing'!AC:AC)</f>
        <v>0</v>
      </c>
      <c r="E14" s="85">
        <f>SUMIF('Order Processing'!$P:$P,$A14,'Order Processing'!AD:AD)</f>
        <v>0</v>
      </c>
    </row>
    <row r="15" spans="1:5" x14ac:dyDescent="0.25">
      <c r="C15" s="85">
        <f>SUMIF('Order Processing'!$P:$P,$A15,'Order Processing'!AB:AB)</f>
        <v>0</v>
      </c>
      <c r="D15" s="85">
        <f>SUMIF('Order Processing'!$P:$P,$A15,'Order Processing'!AC:AC)</f>
        <v>0</v>
      </c>
      <c r="E15" s="85">
        <f>SUMIF('Order Processing'!$P:$P,$A15,'Order Processing'!AD:AD)</f>
        <v>0</v>
      </c>
    </row>
    <row r="16" spans="1:5" x14ac:dyDescent="0.25">
      <c r="C16" s="85">
        <f>SUMIF('Order Processing'!$P:$P,$A16,'Order Processing'!AB:AB)</f>
        <v>0</v>
      </c>
      <c r="D16" s="85">
        <f>SUMIF('Order Processing'!$P:$P,$A16,'Order Processing'!AC:AC)</f>
        <v>0</v>
      </c>
      <c r="E16" s="85">
        <f>SUMIF('Order Processing'!$P:$P,$A16,'Order Processing'!AD:AD)</f>
        <v>0</v>
      </c>
    </row>
    <row r="17" spans="3:5" x14ac:dyDescent="0.25">
      <c r="C17" s="85">
        <f>SUMIF('Order Processing'!$P:$P,$A17,'Order Processing'!AB:AB)</f>
        <v>0</v>
      </c>
      <c r="D17" s="85">
        <f>SUMIF('Order Processing'!$P:$P,$A17,'Order Processing'!AC:AC)</f>
        <v>0</v>
      </c>
      <c r="E17" s="85">
        <f>SUMIF('Order Processing'!$P:$P,$A17,'Order Processing'!AD:AD)</f>
        <v>0</v>
      </c>
    </row>
    <row r="18" spans="3:5" x14ac:dyDescent="0.25">
      <c r="C18" s="85">
        <f>SUMIF('Order Processing'!$P:$P,$A18,'Order Processing'!AB:AB)</f>
        <v>0</v>
      </c>
      <c r="D18" s="85">
        <f>SUMIF('Order Processing'!$P:$P,$A18,'Order Processing'!AC:AC)</f>
        <v>0</v>
      </c>
      <c r="E18" s="85">
        <f>SUMIF('Order Processing'!$P:$P,$A18,'Order Processing'!AD:AD)</f>
        <v>0</v>
      </c>
    </row>
    <row r="19" spans="3:5" x14ac:dyDescent="0.25">
      <c r="C19" s="85">
        <f>SUMIF('Order Processing'!$P:$P,$A19,'Order Processing'!AB:AB)</f>
        <v>0</v>
      </c>
      <c r="D19" s="85">
        <f>SUMIF('Order Processing'!$P:$P,$A19,'Order Processing'!AC:AC)</f>
        <v>0</v>
      </c>
      <c r="E19" s="85">
        <f>SUMIF('Order Processing'!$P:$P,$A19,'Order Processing'!AD:AD)</f>
        <v>0</v>
      </c>
    </row>
    <row r="20" spans="3:5" x14ac:dyDescent="0.25">
      <c r="C20" s="85">
        <f>SUMIF('Order Processing'!$P:$P,$A20,'Order Processing'!AB:AB)</f>
        <v>0</v>
      </c>
      <c r="D20" s="85">
        <f>SUMIF('Order Processing'!$P:$P,$A20,'Order Processing'!AC:AC)</f>
        <v>0</v>
      </c>
      <c r="E20" s="85">
        <f>SUMIF('Order Processing'!$P:$P,$A20,'Order Processing'!AD:AD)</f>
        <v>0</v>
      </c>
    </row>
    <row r="21" spans="3:5" x14ac:dyDescent="0.25">
      <c r="C21" s="85">
        <f>SUMIF('Order Processing'!$P:$P,$A21,'Order Processing'!AB:AB)</f>
        <v>0</v>
      </c>
      <c r="D21" s="85">
        <f>SUMIF('Order Processing'!$P:$P,$A21,'Order Processing'!AC:AC)</f>
        <v>0</v>
      </c>
      <c r="E21" s="85">
        <f>SUMIF('Order Processing'!$P:$P,$A21,'Order Processing'!AD:AD)</f>
        <v>0</v>
      </c>
    </row>
    <row r="22" spans="3:5" x14ac:dyDescent="0.25">
      <c r="C22" s="85">
        <f>SUMIF('Order Processing'!$P:$P,$A22,'Order Processing'!AB:AB)</f>
        <v>0</v>
      </c>
      <c r="D22" s="85">
        <f>SUMIF('Order Processing'!$P:$P,$A22,'Order Processing'!AC:AC)</f>
        <v>0</v>
      </c>
      <c r="E22" s="85">
        <f>SUMIF('Order Processing'!$P:$P,$A22,'Order Processing'!AD:AD)</f>
        <v>0</v>
      </c>
    </row>
    <row r="23" spans="3:5" x14ac:dyDescent="0.25">
      <c r="C23" s="85">
        <f>SUMIF('Order Processing'!$P:$P,$A23,'Order Processing'!AB:AB)</f>
        <v>0</v>
      </c>
      <c r="D23" s="85">
        <f>SUMIF('Order Processing'!$P:$P,$A23,'Order Processing'!AC:AC)</f>
        <v>0</v>
      </c>
      <c r="E23" s="85">
        <f>SUMIF('Order Processing'!$P:$P,$A23,'Order Processing'!AD:AD)</f>
        <v>0</v>
      </c>
    </row>
    <row r="24" spans="3:5" x14ac:dyDescent="0.25">
      <c r="C24" s="85">
        <f>SUMIF('Order Processing'!$P:$P,$A24,'Order Processing'!AB:AB)</f>
        <v>0</v>
      </c>
      <c r="D24" s="85">
        <f>SUMIF('Order Processing'!$P:$P,$A24,'Order Processing'!AC:AC)</f>
        <v>0</v>
      </c>
      <c r="E24" s="85">
        <f>SUMIF('Order Processing'!$P:$P,$A24,'Order Processing'!AD:AD)</f>
        <v>0</v>
      </c>
    </row>
    <row r="25" spans="3:5" x14ac:dyDescent="0.25">
      <c r="C25" s="85">
        <f>SUMIF('Order Processing'!$P:$P,$A25,'Order Processing'!AB:AB)</f>
        <v>0</v>
      </c>
      <c r="D25" s="85">
        <f>SUMIF('Order Processing'!$P:$P,$A25,'Order Processing'!AC:AC)</f>
        <v>0</v>
      </c>
      <c r="E25" s="85">
        <f>SUMIF('Order Processing'!$P:$P,$A25,'Order Processing'!AD:AD)</f>
        <v>0</v>
      </c>
    </row>
    <row r="26" spans="3:5" x14ac:dyDescent="0.25">
      <c r="C26" s="85">
        <f>SUMIF('Order Processing'!$P:$P,$A26,'Order Processing'!AB:AB)</f>
        <v>0</v>
      </c>
      <c r="D26" s="85">
        <f>SUMIF('Order Processing'!$P:$P,$A26,'Order Processing'!AC:AC)</f>
        <v>0</v>
      </c>
      <c r="E26" s="85">
        <f>SUMIF('Order Processing'!$P:$P,$A26,'Order Processing'!AD:AD)</f>
        <v>0</v>
      </c>
    </row>
    <row r="27" spans="3:5" x14ac:dyDescent="0.25">
      <c r="C27" s="85">
        <f>SUMIF('Order Processing'!$P:$P,$A27,'Order Processing'!AB:AB)</f>
        <v>0</v>
      </c>
      <c r="D27" s="85">
        <f>SUMIF('Order Processing'!$P:$P,$A27,'Order Processing'!AC:AC)</f>
        <v>0</v>
      </c>
      <c r="E27" s="85">
        <f>SUMIF('Order Processing'!$P:$P,$A27,'Order Processing'!AD:AD)</f>
        <v>0</v>
      </c>
    </row>
    <row r="28" spans="3:5" x14ac:dyDescent="0.25">
      <c r="C28" s="85">
        <f>SUMIF('Order Processing'!$P:$P,$A28,'Order Processing'!AB:AB)</f>
        <v>0</v>
      </c>
      <c r="D28" s="85">
        <f>SUMIF('Order Processing'!$P:$P,$A28,'Order Processing'!AC:AC)</f>
        <v>0</v>
      </c>
      <c r="E28" s="85">
        <f>SUMIF('Order Processing'!$P:$P,$A28,'Order Processing'!AD:AD)</f>
        <v>0</v>
      </c>
    </row>
    <row r="29" spans="3:5" x14ac:dyDescent="0.25">
      <c r="C29" s="85">
        <f>SUMIF('Order Processing'!$P:$P,$A29,'Order Processing'!AB:AB)</f>
        <v>0</v>
      </c>
      <c r="D29" s="85">
        <f>SUMIF('Order Processing'!$P:$P,$A29,'Order Processing'!AC:AC)</f>
        <v>0</v>
      </c>
      <c r="E29" s="85">
        <f>SUMIF('Order Processing'!$P:$P,$A29,'Order Processing'!AD:AD)</f>
        <v>0</v>
      </c>
    </row>
  </sheetData>
  <sheetProtection algorithmName="SHA-512" hashValue="fDMNwCCl/GmIK3hlK57snAwBcyC4IiQjq4Xr17muvsw2tlA5D5dxkOdntIV0/I53d7nWSOZxDY3pE04bEFLAyg==" saltValue="BG+S16X/VF2asgN9YLvGXQ==" spinCount="100000" sheet="1" objects="1" scenarios="1"/>
  <pageMargins left="0.23622047244094491" right="0.23622047244094491" top="0.74803149606299213" bottom="0.74803149606299213" header="0.31496062992125984" footer="0.31496062992125984"/>
  <pageSetup paperSize="9" orientation="landscape" r:id="rId1"/>
  <headerFooter>
    <oddFooter>&amp;L&amp;A&amp;RPage &amp;P of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5"/>
  <dimension ref="A1:M144"/>
  <sheetViews>
    <sheetView topLeftCell="A21" workbookViewId="0">
      <selection activeCell="B53" sqref="B53"/>
    </sheetView>
  </sheetViews>
  <sheetFormatPr defaultRowHeight="15" x14ac:dyDescent="0.25"/>
  <cols>
    <col min="1" max="1" width="21" customWidth="1"/>
    <col min="2" max="2" width="16.5703125" style="23" bestFit="1" customWidth="1"/>
    <col min="4" max="4" width="18.28515625" bestFit="1" customWidth="1"/>
    <col min="5" max="5" width="21.85546875" style="23" bestFit="1" customWidth="1"/>
    <col min="6" max="6" width="5.7109375" customWidth="1"/>
    <col min="7" max="7" width="17.7109375" bestFit="1" customWidth="1"/>
    <col min="8" max="8" width="22" style="23" bestFit="1" customWidth="1"/>
    <col min="9" max="9" width="5.7109375" style="23" customWidth="1"/>
    <col min="10" max="10" width="9.140625" style="99"/>
    <col min="11" max="11" width="62.140625" bestFit="1" customWidth="1"/>
    <col min="12" max="12" width="13.7109375" bestFit="1" customWidth="1"/>
    <col min="13" max="13" width="9.140625" style="21"/>
  </cols>
  <sheetData>
    <row r="1" spans="1:2" x14ac:dyDescent="0.25">
      <c r="A1" s="84" t="s">
        <v>97</v>
      </c>
    </row>
    <row r="2" spans="1:2" x14ac:dyDescent="0.25">
      <c r="A2" s="1" t="str">
        <f>Invoice!$G$3 &amp; Invoice!$H$3</f>
        <v>Inv # : DOK50347</v>
      </c>
    </row>
    <row r="3" spans="1:2" x14ac:dyDescent="0.25">
      <c r="A3" s="1" t="str">
        <f>Invoice!$G$4&amp;TEXT(Invoice!$H$4,"dd mmm yy")</f>
        <v>Period End : 01 May 26</v>
      </c>
    </row>
    <row r="5" spans="1:2" x14ac:dyDescent="0.25">
      <c r="A5" s="22" t="s">
        <v>126</v>
      </c>
    </row>
    <row r="6" spans="1:2" x14ac:dyDescent="0.25">
      <c r="A6" t="s">
        <v>68</v>
      </c>
      <c r="B6" s="35">
        <v>46146</v>
      </c>
    </row>
    <row r="7" spans="1:2" x14ac:dyDescent="0.25">
      <c r="A7" t="s">
        <v>127</v>
      </c>
      <c r="B7" s="36" t="s">
        <v>295</v>
      </c>
    </row>
    <row r="8" spans="1:2" x14ac:dyDescent="0.25">
      <c r="A8" t="s">
        <v>128</v>
      </c>
      <c r="B8" s="35">
        <v>46143</v>
      </c>
    </row>
    <row r="9" spans="1:2" x14ac:dyDescent="0.25">
      <c r="B9" t="str">
        <f>IF(MONTH(B8)&gt;=7,"WK"&amp;(YEAR(B8)-2000)*100+ROUNDUP((B8+5-WEEKDAY(B8,2)-DATE(YEAR(B8),7,1))/7,0),"WK"&amp;(YEAR(B8)-2000-1)*100+ROUNDUP((B8+5-WEEKDAY(B8,2)-DATE(YEAR(B8)-1,7,1))/7,0))</f>
        <v>WK2544</v>
      </c>
    </row>
    <row r="10" spans="1:2" x14ac:dyDescent="0.25">
      <c r="A10" t="s">
        <v>130</v>
      </c>
      <c r="B10" s="37">
        <f>+SUM(Invoice!H12:H16)</f>
        <v>0</v>
      </c>
    </row>
    <row r="11" spans="1:2" x14ac:dyDescent="0.25">
      <c r="A11" t="s">
        <v>129</v>
      </c>
      <c r="B11" s="37">
        <f>+B13-B10-B12</f>
        <v>2669.6100000000006</v>
      </c>
    </row>
    <row r="12" spans="1:2" x14ac:dyDescent="0.25">
      <c r="A12" t="s">
        <v>131</v>
      </c>
      <c r="B12" s="37">
        <f>Invoice!H20</f>
        <v>1971.0999999999995</v>
      </c>
    </row>
    <row r="13" spans="1:2" x14ac:dyDescent="0.25">
      <c r="A13" t="s">
        <v>132</v>
      </c>
      <c r="B13" s="37">
        <f>Invoice!H27</f>
        <v>4640.71</v>
      </c>
    </row>
    <row r="14" spans="1:2" x14ac:dyDescent="0.25">
      <c r="A14" t="s">
        <v>40</v>
      </c>
      <c r="B14" s="37">
        <f>Invoice!H28</f>
        <v>464.07</v>
      </c>
    </row>
    <row r="15" spans="1:2" x14ac:dyDescent="0.25">
      <c r="A15" t="s">
        <v>133</v>
      </c>
      <c r="B15" s="37">
        <f>Invoice!H29</f>
        <v>5104.78</v>
      </c>
    </row>
    <row r="25" spans="1:13" x14ac:dyDescent="0.25">
      <c r="A25" s="22" t="s">
        <v>111</v>
      </c>
      <c r="D25" s="22" t="s">
        <v>110</v>
      </c>
      <c r="G25" s="22" t="s">
        <v>112</v>
      </c>
      <c r="J25" s="100" t="s">
        <v>186</v>
      </c>
    </row>
    <row r="26" spans="1:13" x14ac:dyDescent="0.25">
      <c r="A26" t="s">
        <v>135</v>
      </c>
      <c r="B26" s="23" t="s">
        <v>296</v>
      </c>
      <c r="D26" t="s">
        <v>124</v>
      </c>
      <c r="E26" s="23" t="s">
        <v>308</v>
      </c>
      <c r="G26" t="s">
        <v>113</v>
      </c>
      <c r="H26" s="23" t="s">
        <v>313</v>
      </c>
      <c r="J26" s="99">
        <v>1</v>
      </c>
      <c r="K26" t="s">
        <v>146</v>
      </c>
    </row>
    <row r="27" spans="1:13" x14ac:dyDescent="0.25">
      <c r="A27" t="s">
        <v>136</v>
      </c>
      <c r="B27" s="23" t="s">
        <v>297</v>
      </c>
      <c r="D27" t="s">
        <v>117</v>
      </c>
      <c r="E27" s="23" t="s">
        <v>313</v>
      </c>
      <c r="G27" t="s">
        <v>114</v>
      </c>
      <c r="H27" s="23" t="s">
        <v>318</v>
      </c>
      <c r="J27" s="99">
        <v>1.1000000000000001</v>
      </c>
      <c r="K27" t="s">
        <v>147</v>
      </c>
      <c r="L27" t="s">
        <v>148</v>
      </c>
      <c r="M27" s="21">
        <v>4.62</v>
      </c>
    </row>
    <row r="28" spans="1:13" x14ac:dyDescent="0.25">
      <c r="A28" t="s">
        <v>193</v>
      </c>
      <c r="B28" s="23" t="s">
        <v>298</v>
      </c>
      <c r="D28" t="s">
        <v>118</v>
      </c>
      <c r="E28" s="23" t="s">
        <v>300</v>
      </c>
      <c r="G28" t="s">
        <v>115</v>
      </c>
      <c r="H28" s="23" t="s">
        <v>319</v>
      </c>
      <c r="J28" s="99">
        <v>1.2</v>
      </c>
      <c r="K28" t="s">
        <v>149</v>
      </c>
      <c r="L28" t="s">
        <v>148</v>
      </c>
      <c r="M28" s="21">
        <v>5.72</v>
      </c>
    </row>
    <row r="29" spans="1:13" x14ac:dyDescent="0.25">
      <c r="A29" t="s">
        <v>137</v>
      </c>
      <c r="B29" s="23" t="s">
        <v>299</v>
      </c>
      <c r="D29" t="s">
        <v>119</v>
      </c>
      <c r="E29" s="23" t="s">
        <v>314</v>
      </c>
      <c r="G29" t="s">
        <v>116</v>
      </c>
      <c r="H29" s="23" t="s">
        <v>320</v>
      </c>
      <c r="J29" s="99">
        <v>1.3</v>
      </c>
      <c r="K29" t="s">
        <v>150</v>
      </c>
      <c r="L29" t="s">
        <v>148</v>
      </c>
      <c r="M29" s="21">
        <v>3.53</v>
      </c>
    </row>
    <row r="30" spans="1:13" x14ac:dyDescent="0.25">
      <c r="A30" t="s">
        <v>138</v>
      </c>
      <c r="B30" s="23" t="s">
        <v>300</v>
      </c>
      <c r="D30" t="s">
        <v>120</v>
      </c>
      <c r="E30" s="23" t="s">
        <v>315</v>
      </c>
      <c r="J30" s="99">
        <v>1.4</v>
      </c>
      <c r="K30" t="s">
        <v>151</v>
      </c>
      <c r="L30" t="s">
        <v>148</v>
      </c>
      <c r="M30" s="21">
        <v>2.11</v>
      </c>
    </row>
    <row r="31" spans="1:13" x14ac:dyDescent="0.25">
      <c r="A31" t="s">
        <v>139</v>
      </c>
      <c r="B31" s="23" t="s">
        <v>301</v>
      </c>
      <c r="D31" t="s">
        <v>121</v>
      </c>
      <c r="E31" s="23" t="s">
        <v>316</v>
      </c>
      <c r="J31" s="99">
        <v>1.5</v>
      </c>
      <c r="K31" t="s">
        <v>152</v>
      </c>
      <c r="L31" t="s">
        <v>148</v>
      </c>
      <c r="M31" s="21">
        <v>0.12</v>
      </c>
    </row>
    <row r="32" spans="1:13" x14ac:dyDescent="0.25">
      <c r="A32" t="s">
        <v>140</v>
      </c>
      <c r="B32" s="23" t="s">
        <v>302</v>
      </c>
      <c r="D32" t="s">
        <v>122</v>
      </c>
      <c r="E32" s="23" t="s">
        <v>304</v>
      </c>
      <c r="J32" s="99">
        <v>2</v>
      </c>
      <c r="K32" t="s">
        <v>153</v>
      </c>
    </row>
    <row r="33" spans="1:13" x14ac:dyDescent="0.25">
      <c r="A33" t="s">
        <v>141</v>
      </c>
      <c r="B33" s="23" t="s">
        <v>303</v>
      </c>
      <c r="D33" t="s">
        <v>123</v>
      </c>
      <c r="E33" s="23" t="s">
        <v>317</v>
      </c>
      <c r="J33" s="99">
        <v>2.1</v>
      </c>
      <c r="K33" t="s">
        <v>62</v>
      </c>
      <c r="L33" t="s">
        <v>154</v>
      </c>
      <c r="M33" s="21">
        <v>10.37</v>
      </c>
    </row>
    <row r="34" spans="1:13" x14ac:dyDescent="0.25">
      <c r="A34" t="s">
        <v>142</v>
      </c>
      <c r="B34" s="23" t="s">
        <v>304</v>
      </c>
      <c r="J34" s="99" t="s">
        <v>196</v>
      </c>
      <c r="K34" t="s">
        <v>63</v>
      </c>
      <c r="L34" t="s">
        <v>155</v>
      </c>
      <c r="M34" s="21">
        <v>0</v>
      </c>
    </row>
    <row r="35" spans="1:13" x14ac:dyDescent="0.25">
      <c r="A35" t="s">
        <v>143</v>
      </c>
      <c r="B35" t="s">
        <v>305</v>
      </c>
      <c r="J35" s="99" t="s">
        <v>197</v>
      </c>
      <c r="K35" t="s">
        <v>198</v>
      </c>
      <c r="L35" t="s">
        <v>164</v>
      </c>
      <c r="M35" s="21">
        <v>0</v>
      </c>
    </row>
    <row r="36" spans="1:13" x14ac:dyDescent="0.25">
      <c r="A36" t="s">
        <v>194</v>
      </c>
      <c r="B36"/>
      <c r="J36" s="99">
        <v>2.2999999999999998</v>
      </c>
      <c r="K36" t="s">
        <v>64</v>
      </c>
      <c r="L36" t="s">
        <v>156</v>
      </c>
      <c r="M36" s="21">
        <v>9.75</v>
      </c>
    </row>
    <row r="37" spans="1:13" x14ac:dyDescent="0.25">
      <c r="A37" t="s">
        <v>195</v>
      </c>
      <c r="B37"/>
      <c r="J37" s="99">
        <v>2.4</v>
      </c>
      <c r="K37" t="s">
        <v>65</v>
      </c>
      <c r="L37" t="s">
        <v>157</v>
      </c>
      <c r="M37" s="21">
        <v>1.19</v>
      </c>
    </row>
    <row r="38" spans="1:13" x14ac:dyDescent="0.25">
      <c r="A38" t="s">
        <v>144</v>
      </c>
      <c r="B38" s="30">
        <v>46241</v>
      </c>
      <c r="J38" s="99">
        <v>2.5</v>
      </c>
      <c r="K38" t="s">
        <v>158</v>
      </c>
      <c r="L38" t="s">
        <v>159</v>
      </c>
      <c r="M38" s="21">
        <v>56.72</v>
      </c>
    </row>
    <row r="39" spans="1:13" x14ac:dyDescent="0.25">
      <c r="A39" t="s">
        <v>145</v>
      </c>
      <c r="B39" s="23" t="s">
        <v>306</v>
      </c>
      <c r="J39" s="99">
        <v>2.6</v>
      </c>
    </row>
    <row r="40" spans="1:13" x14ac:dyDescent="0.25">
      <c r="A40" t="s">
        <v>134</v>
      </c>
      <c r="B40" s="23" t="s">
        <v>297</v>
      </c>
      <c r="J40" s="99">
        <v>4</v>
      </c>
      <c r="K40" t="s">
        <v>160</v>
      </c>
    </row>
    <row r="41" spans="1:13" x14ac:dyDescent="0.25">
      <c r="A41" t="s">
        <v>183</v>
      </c>
      <c r="B41" s="23" t="s">
        <v>300</v>
      </c>
      <c r="J41" s="99">
        <v>4.0999999999999996</v>
      </c>
      <c r="K41" t="s">
        <v>161</v>
      </c>
      <c r="L41" t="s">
        <v>148</v>
      </c>
      <c r="M41" s="21">
        <v>136.47</v>
      </c>
    </row>
    <row r="42" spans="1:13" x14ac:dyDescent="0.25">
      <c r="A42" t="s">
        <v>184</v>
      </c>
      <c r="B42" s="23" t="s">
        <v>307</v>
      </c>
      <c r="J42" s="99">
        <v>5</v>
      </c>
      <c r="K42" t="s">
        <v>4</v>
      </c>
    </row>
    <row r="43" spans="1:13" x14ac:dyDescent="0.25">
      <c r="A43" t="s">
        <v>124</v>
      </c>
      <c r="B43" s="23" t="s">
        <v>308</v>
      </c>
      <c r="J43" s="99">
        <v>5.0999999999999996</v>
      </c>
      <c r="K43" t="s">
        <v>49</v>
      </c>
      <c r="L43" t="s">
        <v>162</v>
      </c>
      <c r="M43" s="21">
        <v>2.4300000000000002</v>
      </c>
    </row>
    <row r="44" spans="1:13" x14ac:dyDescent="0.25">
      <c r="A44" t="s">
        <v>185</v>
      </c>
      <c r="B44" s="23" t="s">
        <v>309</v>
      </c>
      <c r="J44" s="99">
        <v>5.2</v>
      </c>
      <c r="K44" t="s">
        <v>50</v>
      </c>
      <c r="L44" t="s">
        <v>163</v>
      </c>
      <c r="M44" s="21">
        <v>0.31</v>
      </c>
    </row>
    <row r="45" spans="1:13" x14ac:dyDescent="0.25">
      <c r="A45" t="s">
        <v>187</v>
      </c>
      <c r="B45" s="23" t="s">
        <v>300</v>
      </c>
      <c r="J45" s="99">
        <v>5.3</v>
      </c>
      <c r="K45" t="s">
        <v>51</v>
      </c>
      <c r="L45" t="s">
        <v>164</v>
      </c>
      <c r="M45" s="21">
        <v>0.47</v>
      </c>
    </row>
    <row r="46" spans="1:13" x14ac:dyDescent="0.25">
      <c r="A46" t="s">
        <v>188</v>
      </c>
      <c r="B46" s="23" t="s">
        <v>310</v>
      </c>
      <c r="J46" s="99" t="s">
        <v>165</v>
      </c>
      <c r="K46" t="s">
        <v>52</v>
      </c>
      <c r="L46" t="s">
        <v>157</v>
      </c>
      <c r="M46" s="21">
        <v>0</v>
      </c>
    </row>
    <row r="47" spans="1:13" x14ac:dyDescent="0.25">
      <c r="A47" t="s">
        <v>189</v>
      </c>
      <c r="B47" s="23" t="s">
        <v>311</v>
      </c>
      <c r="J47" s="99" t="s">
        <v>166</v>
      </c>
      <c r="K47" t="s">
        <v>53</v>
      </c>
      <c r="L47" t="s">
        <v>167</v>
      </c>
      <c r="M47" s="21">
        <v>0</v>
      </c>
    </row>
    <row r="48" spans="1:13" x14ac:dyDescent="0.25">
      <c r="A48" t="s">
        <v>190</v>
      </c>
      <c r="B48" s="23" t="s">
        <v>300</v>
      </c>
      <c r="J48" s="99">
        <v>5.9</v>
      </c>
      <c r="K48" t="s">
        <v>168</v>
      </c>
    </row>
    <row r="49" spans="1:13" x14ac:dyDescent="0.25">
      <c r="A49" t="s">
        <v>191</v>
      </c>
      <c r="B49" s="38"/>
      <c r="K49" t="s">
        <v>169</v>
      </c>
    </row>
    <row r="50" spans="1:13" x14ac:dyDescent="0.25">
      <c r="A50" t="s">
        <v>192</v>
      </c>
      <c r="B50" s="23" t="s">
        <v>300</v>
      </c>
      <c r="J50" s="99">
        <v>5.5</v>
      </c>
      <c r="K50" t="s">
        <v>54</v>
      </c>
      <c r="L50" t="s">
        <v>162</v>
      </c>
      <c r="M50" s="21">
        <v>0</v>
      </c>
    </row>
    <row r="51" spans="1:13" x14ac:dyDescent="0.25">
      <c r="A51" t="s">
        <v>199</v>
      </c>
      <c r="B51" s="23" t="s">
        <v>312</v>
      </c>
      <c r="J51" s="99">
        <v>5.7</v>
      </c>
      <c r="K51" t="s">
        <v>55</v>
      </c>
      <c r="L51" t="s">
        <v>162</v>
      </c>
      <c r="M51" s="21">
        <v>0</v>
      </c>
    </row>
    <row r="52" spans="1:13" x14ac:dyDescent="0.25">
      <c r="A52" t="s">
        <v>200</v>
      </c>
      <c r="B52" s="23" t="s">
        <v>300</v>
      </c>
      <c r="J52" s="99">
        <v>5.8</v>
      </c>
      <c r="K52" t="s">
        <v>56</v>
      </c>
      <c r="L52" t="s">
        <v>162</v>
      </c>
      <c r="M52" s="21">
        <v>0</v>
      </c>
    </row>
    <row r="53" spans="1:13" x14ac:dyDescent="0.25">
      <c r="A53" t="s">
        <v>287</v>
      </c>
      <c r="B53" s="23" t="s">
        <v>300</v>
      </c>
      <c r="J53" s="99">
        <v>6</v>
      </c>
      <c r="K53" t="s">
        <v>6</v>
      </c>
    </row>
    <row r="54" spans="1:13" x14ac:dyDescent="0.25">
      <c r="A54" t="s">
        <v>288</v>
      </c>
      <c r="B54" s="23" t="s">
        <v>300</v>
      </c>
      <c r="J54" s="99">
        <v>6.1</v>
      </c>
      <c r="K54" t="s">
        <v>170</v>
      </c>
      <c r="L54" t="s">
        <v>171</v>
      </c>
      <c r="M54" s="21">
        <v>4.6399999999999997</v>
      </c>
    </row>
    <row r="55" spans="1:13" x14ac:dyDescent="0.25">
      <c r="A55" t="s">
        <v>289</v>
      </c>
      <c r="B55" s="23" t="s">
        <v>300</v>
      </c>
      <c r="J55" s="99">
        <v>7</v>
      </c>
      <c r="K55" t="s">
        <v>172</v>
      </c>
    </row>
    <row r="56" spans="1:13" x14ac:dyDescent="0.25">
      <c r="A56" t="s">
        <v>290</v>
      </c>
      <c r="B56" s="23" t="s">
        <v>300</v>
      </c>
      <c r="J56" s="99">
        <v>7.1</v>
      </c>
      <c r="K56" t="s">
        <v>173</v>
      </c>
    </row>
    <row r="57" spans="1:13" x14ac:dyDescent="0.25">
      <c r="A57" t="s">
        <v>291</v>
      </c>
      <c r="B57" s="23" t="s">
        <v>300</v>
      </c>
      <c r="J57" s="99">
        <v>8</v>
      </c>
      <c r="K57" t="s">
        <v>174</v>
      </c>
    </row>
    <row r="58" spans="1:13" x14ac:dyDescent="0.25">
      <c r="A58" t="s">
        <v>292</v>
      </c>
      <c r="B58" s="23" t="s">
        <v>300</v>
      </c>
      <c r="J58" s="99">
        <v>8.1</v>
      </c>
      <c r="K58" t="s">
        <v>175</v>
      </c>
      <c r="L58" t="s">
        <v>176</v>
      </c>
      <c r="M58" s="21">
        <v>56.72</v>
      </c>
    </row>
    <row r="59" spans="1:13" x14ac:dyDescent="0.25">
      <c r="A59" t="s">
        <v>293</v>
      </c>
      <c r="B59" s="23" t="s">
        <v>300</v>
      </c>
      <c r="J59" s="99">
        <v>8.1999999999999993</v>
      </c>
      <c r="K59" t="s">
        <v>177</v>
      </c>
      <c r="L59" t="s">
        <v>176</v>
      </c>
      <c r="M59" s="21">
        <v>56.72</v>
      </c>
    </row>
    <row r="60" spans="1:13" x14ac:dyDescent="0.25">
      <c r="A60" t="s">
        <v>294</v>
      </c>
      <c r="B60" s="23" t="s">
        <v>300</v>
      </c>
      <c r="J60" s="99">
        <v>8.3000000000000007</v>
      </c>
      <c r="K60" t="s">
        <v>178</v>
      </c>
      <c r="L60" t="s">
        <v>176</v>
      </c>
      <c r="M60" s="21">
        <v>210.35</v>
      </c>
    </row>
    <row r="61" spans="1:13" x14ac:dyDescent="0.25">
      <c r="J61" s="99">
        <v>9</v>
      </c>
      <c r="K61" t="s">
        <v>179</v>
      </c>
    </row>
    <row r="62" spans="1:13" x14ac:dyDescent="0.25">
      <c r="J62" s="99">
        <v>9.1</v>
      </c>
      <c r="K62" t="s">
        <v>180</v>
      </c>
      <c r="L62" t="s">
        <v>181</v>
      </c>
    </row>
    <row r="63" spans="1:13" x14ac:dyDescent="0.25">
      <c r="J63" s="99">
        <v>9.1999999999999993</v>
      </c>
      <c r="K63" t="s">
        <v>182</v>
      </c>
      <c r="L63" t="s">
        <v>181</v>
      </c>
      <c r="M63" s="21">
        <v>121.94</v>
      </c>
    </row>
    <row r="64" spans="1:13" x14ac:dyDescent="0.25">
      <c r="J64" s="99">
        <v>10</v>
      </c>
      <c r="K64" t="s">
        <v>204</v>
      </c>
    </row>
    <row r="65" spans="10:13" x14ac:dyDescent="0.25">
      <c r="J65" s="99">
        <v>10.1</v>
      </c>
      <c r="K65" t="s">
        <v>321</v>
      </c>
      <c r="L65" t="s">
        <v>322</v>
      </c>
      <c r="M65" s="21">
        <v>0.36</v>
      </c>
    </row>
    <row r="66" spans="10:13" x14ac:dyDescent="0.25">
      <c r="J66" s="99">
        <v>10.199999999999999</v>
      </c>
      <c r="K66" t="s">
        <v>323</v>
      </c>
      <c r="L66" t="s">
        <v>324</v>
      </c>
      <c r="M66" s="21">
        <v>0.02</v>
      </c>
    </row>
    <row r="67" spans="10:13" x14ac:dyDescent="0.25">
      <c r="J67" s="99">
        <v>10.3</v>
      </c>
      <c r="K67" t="s">
        <v>332</v>
      </c>
      <c r="L67" t="s">
        <v>333</v>
      </c>
      <c r="M67" s="21">
        <v>0</v>
      </c>
    </row>
    <row r="68" spans="10:13" x14ac:dyDescent="0.25">
      <c r="J68" s="99">
        <v>10.4</v>
      </c>
      <c r="M68" s="21">
        <v>0</v>
      </c>
    </row>
    <row r="69" spans="10:13" x14ac:dyDescent="0.25">
      <c r="J69" s="99">
        <v>10.5</v>
      </c>
      <c r="M69" s="21">
        <v>0</v>
      </c>
    </row>
    <row r="70" spans="10:13" x14ac:dyDescent="0.25">
      <c r="J70" s="99">
        <v>10.6</v>
      </c>
      <c r="M70" s="21">
        <v>0</v>
      </c>
    </row>
    <row r="71" spans="10:13" x14ac:dyDescent="0.25">
      <c r="J71" s="99">
        <v>10.7</v>
      </c>
      <c r="M71" s="21">
        <v>0</v>
      </c>
    </row>
    <row r="72" spans="10:13" x14ac:dyDescent="0.25">
      <c r="J72" s="99">
        <v>10.8</v>
      </c>
      <c r="M72" s="21">
        <v>0</v>
      </c>
    </row>
    <row r="73" spans="10:13" x14ac:dyDescent="0.25">
      <c r="J73" s="99">
        <v>10.9</v>
      </c>
      <c r="M73" s="21">
        <v>0</v>
      </c>
    </row>
    <row r="74" spans="10:13" x14ac:dyDescent="0.25">
      <c r="J74" s="99" t="s">
        <v>205</v>
      </c>
      <c r="K74" t="s">
        <v>206</v>
      </c>
    </row>
    <row r="75" spans="10:13" x14ac:dyDescent="0.25">
      <c r="J75" s="99" t="s">
        <v>208</v>
      </c>
      <c r="K75" t="s">
        <v>325</v>
      </c>
      <c r="L75" t="s">
        <v>326</v>
      </c>
      <c r="M75" s="21">
        <v>0</v>
      </c>
    </row>
    <row r="76" spans="10:13" x14ac:dyDescent="0.25">
      <c r="J76" s="99" t="s">
        <v>209</v>
      </c>
      <c r="K76" t="s">
        <v>327</v>
      </c>
      <c r="L76" t="s">
        <v>328</v>
      </c>
      <c r="M76" s="21">
        <v>0</v>
      </c>
    </row>
    <row r="77" spans="10:13" x14ac:dyDescent="0.25">
      <c r="J77" s="99" t="s">
        <v>210</v>
      </c>
      <c r="K77" t="s">
        <v>329</v>
      </c>
      <c r="L77" t="s">
        <v>330</v>
      </c>
      <c r="M77" s="21">
        <v>0</v>
      </c>
    </row>
    <row r="78" spans="10:13" x14ac:dyDescent="0.25">
      <c r="J78" s="99" t="s">
        <v>211</v>
      </c>
      <c r="K78" t="s">
        <v>331</v>
      </c>
      <c r="L78" t="s">
        <v>157</v>
      </c>
      <c r="M78" s="21">
        <v>0</v>
      </c>
    </row>
    <row r="79" spans="10:13" x14ac:dyDescent="0.25">
      <c r="J79" s="99" t="s">
        <v>212</v>
      </c>
      <c r="M79" s="21">
        <v>0</v>
      </c>
    </row>
    <row r="80" spans="10:13" x14ac:dyDescent="0.25">
      <c r="J80" s="99" t="s">
        <v>213</v>
      </c>
      <c r="M80" s="21">
        <v>0</v>
      </c>
    </row>
    <row r="81" spans="10:13" x14ac:dyDescent="0.25">
      <c r="J81" s="99" t="s">
        <v>214</v>
      </c>
      <c r="M81" s="21">
        <v>0</v>
      </c>
    </row>
    <row r="82" spans="10:13" x14ac:dyDescent="0.25">
      <c r="J82" s="99" t="s">
        <v>215</v>
      </c>
      <c r="M82" s="21">
        <v>0</v>
      </c>
    </row>
    <row r="83" spans="10:13" x14ac:dyDescent="0.25">
      <c r="J83" s="99" t="s">
        <v>216</v>
      </c>
      <c r="M83" s="21">
        <v>0</v>
      </c>
    </row>
    <row r="84" spans="10:13" x14ac:dyDescent="0.25">
      <c r="J84" s="99" t="s">
        <v>217</v>
      </c>
      <c r="K84" t="s">
        <v>206</v>
      </c>
    </row>
    <row r="85" spans="10:13" x14ac:dyDescent="0.25">
      <c r="J85" s="99" t="s">
        <v>218</v>
      </c>
      <c r="M85" s="21">
        <v>0</v>
      </c>
    </row>
    <row r="86" spans="10:13" x14ac:dyDescent="0.25">
      <c r="J86" s="99" t="s">
        <v>219</v>
      </c>
      <c r="M86" s="21">
        <v>0</v>
      </c>
    </row>
    <row r="87" spans="10:13" x14ac:dyDescent="0.25">
      <c r="J87" s="99" t="s">
        <v>220</v>
      </c>
      <c r="M87" s="21">
        <v>0</v>
      </c>
    </row>
    <row r="88" spans="10:13" x14ac:dyDescent="0.25">
      <c r="J88" s="99" t="s">
        <v>221</v>
      </c>
      <c r="M88" s="21">
        <v>0</v>
      </c>
    </row>
    <row r="89" spans="10:13" x14ac:dyDescent="0.25">
      <c r="J89" s="99" t="s">
        <v>222</v>
      </c>
      <c r="M89" s="21">
        <v>0</v>
      </c>
    </row>
    <row r="90" spans="10:13" x14ac:dyDescent="0.25">
      <c r="J90" s="99" t="s">
        <v>223</v>
      </c>
      <c r="M90" s="21">
        <v>0</v>
      </c>
    </row>
    <row r="91" spans="10:13" x14ac:dyDescent="0.25">
      <c r="J91" s="99" t="s">
        <v>224</v>
      </c>
      <c r="M91" s="21">
        <v>0</v>
      </c>
    </row>
    <row r="92" spans="10:13" x14ac:dyDescent="0.25">
      <c r="J92" s="99" t="s">
        <v>225</v>
      </c>
      <c r="M92" s="21">
        <v>0</v>
      </c>
    </row>
    <row r="93" spans="10:13" x14ac:dyDescent="0.25">
      <c r="J93" s="99" t="s">
        <v>226</v>
      </c>
      <c r="M93" s="21">
        <v>0</v>
      </c>
    </row>
    <row r="94" spans="10:13" x14ac:dyDescent="0.25">
      <c r="J94" s="99" t="s">
        <v>227</v>
      </c>
      <c r="K94" t="s">
        <v>206</v>
      </c>
    </row>
    <row r="95" spans="10:13" x14ac:dyDescent="0.25">
      <c r="J95" s="99" t="s">
        <v>228</v>
      </c>
      <c r="M95" s="21">
        <v>0</v>
      </c>
    </row>
    <row r="96" spans="10:13" x14ac:dyDescent="0.25">
      <c r="J96" s="99" t="s">
        <v>229</v>
      </c>
      <c r="M96" s="21">
        <v>0</v>
      </c>
    </row>
    <row r="97" spans="10:13" x14ac:dyDescent="0.25">
      <c r="J97" s="99" t="s">
        <v>230</v>
      </c>
      <c r="M97" s="21">
        <v>0</v>
      </c>
    </row>
    <row r="98" spans="10:13" x14ac:dyDescent="0.25">
      <c r="J98" s="99" t="s">
        <v>231</v>
      </c>
      <c r="M98" s="21">
        <v>0</v>
      </c>
    </row>
    <row r="99" spans="10:13" x14ac:dyDescent="0.25">
      <c r="J99" s="99" t="s">
        <v>232</v>
      </c>
      <c r="M99" s="21">
        <v>0</v>
      </c>
    </row>
    <row r="100" spans="10:13" x14ac:dyDescent="0.25">
      <c r="J100" s="99" t="s">
        <v>233</v>
      </c>
      <c r="M100" s="21">
        <v>0</v>
      </c>
    </row>
    <row r="101" spans="10:13" x14ac:dyDescent="0.25">
      <c r="J101" s="99" t="s">
        <v>234</v>
      </c>
      <c r="M101" s="21">
        <v>0</v>
      </c>
    </row>
    <row r="102" spans="10:13" x14ac:dyDescent="0.25">
      <c r="J102" s="99" t="s">
        <v>235</v>
      </c>
      <c r="M102" s="21">
        <v>0</v>
      </c>
    </row>
    <row r="103" spans="10:13" x14ac:dyDescent="0.25">
      <c r="J103" s="99" t="s">
        <v>236</v>
      </c>
      <c r="M103" s="21">
        <v>0</v>
      </c>
    </row>
    <row r="104" spans="10:13" x14ac:dyDescent="0.25">
      <c r="J104" s="99" t="s">
        <v>237</v>
      </c>
      <c r="K104" t="s">
        <v>206</v>
      </c>
    </row>
    <row r="105" spans="10:13" x14ac:dyDescent="0.25">
      <c r="J105" s="99" t="s">
        <v>242</v>
      </c>
      <c r="M105" s="21">
        <v>0</v>
      </c>
    </row>
    <row r="106" spans="10:13" x14ac:dyDescent="0.25">
      <c r="J106" s="99" t="s">
        <v>243</v>
      </c>
      <c r="M106" s="21">
        <v>0</v>
      </c>
    </row>
    <row r="107" spans="10:13" x14ac:dyDescent="0.25">
      <c r="J107" s="99" t="s">
        <v>244</v>
      </c>
      <c r="M107" s="21">
        <v>0</v>
      </c>
    </row>
    <row r="108" spans="10:13" x14ac:dyDescent="0.25">
      <c r="J108" s="99" t="s">
        <v>245</v>
      </c>
      <c r="M108" s="21">
        <v>0</v>
      </c>
    </row>
    <row r="109" spans="10:13" x14ac:dyDescent="0.25">
      <c r="J109" s="99" t="s">
        <v>246</v>
      </c>
      <c r="M109" s="21">
        <v>0</v>
      </c>
    </row>
    <row r="110" spans="10:13" x14ac:dyDescent="0.25">
      <c r="J110" s="99" t="s">
        <v>247</v>
      </c>
      <c r="M110" s="21">
        <v>0</v>
      </c>
    </row>
    <row r="111" spans="10:13" x14ac:dyDescent="0.25">
      <c r="J111" s="99" t="s">
        <v>248</v>
      </c>
      <c r="M111" s="21">
        <v>0</v>
      </c>
    </row>
    <row r="112" spans="10:13" x14ac:dyDescent="0.25">
      <c r="J112" s="99" t="s">
        <v>249</v>
      </c>
      <c r="M112" s="21">
        <v>0</v>
      </c>
    </row>
    <row r="113" spans="10:13" x14ac:dyDescent="0.25">
      <c r="J113" s="99" t="s">
        <v>250</v>
      </c>
      <c r="M113" s="21">
        <v>0</v>
      </c>
    </row>
    <row r="114" spans="10:13" x14ac:dyDescent="0.25">
      <c r="J114" s="99" t="s">
        <v>253</v>
      </c>
      <c r="K114" t="s">
        <v>206</v>
      </c>
    </row>
    <row r="115" spans="10:13" x14ac:dyDescent="0.25">
      <c r="J115" s="99" t="s">
        <v>254</v>
      </c>
      <c r="K115" t="s">
        <v>206</v>
      </c>
    </row>
    <row r="116" spans="10:13" x14ac:dyDescent="0.25">
      <c r="J116" s="99" t="s">
        <v>255</v>
      </c>
      <c r="K116" t="s">
        <v>206</v>
      </c>
    </row>
    <row r="117" spans="10:13" x14ac:dyDescent="0.25">
      <c r="J117" s="99" t="s">
        <v>256</v>
      </c>
      <c r="K117" t="s">
        <v>206</v>
      </c>
    </row>
    <row r="118" spans="10:13" x14ac:dyDescent="0.25">
      <c r="J118" s="99" t="s">
        <v>257</v>
      </c>
      <c r="K118" t="s">
        <v>206</v>
      </c>
    </row>
    <row r="119" spans="10:13" x14ac:dyDescent="0.25">
      <c r="J119" s="99" t="s">
        <v>258</v>
      </c>
      <c r="K119" t="s">
        <v>206</v>
      </c>
    </row>
    <row r="120" spans="10:13" x14ac:dyDescent="0.25">
      <c r="J120" s="99" t="s">
        <v>259</v>
      </c>
      <c r="K120" t="s">
        <v>206</v>
      </c>
    </row>
    <row r="121" spans="10:13" x14ac:dyDescent="0.25">
      <c r="J121" s="99" t="s">
        <v>260</v>
      </c>
      <c r="K121" t="s">
        <v>206</v>
      </c>
    </row>
    <row r="122" spans="10:13" x14ac:dyDescent="0.25">
      <c r="J122" s="99" t="s">
        <v>261</v>
      </c>
      <c r="K122" t="s">
        <v>206</v>
      </c>
    </row>
    <row r="123" spans="10:13" x14ac:dyDescent="0.25">
      <c r="J123" s="99" t="s">
        <v>262</v>
      </c>
      <c r="K123" t="s">
        <v>206</v>
      </c>
    </row>
    <row r="124" spans="10:13" x14ac:dyDescent="0.25">
      <c r="J124" s="99" t="s">
        <v>263</v>
      </c>
      <c r="K124" t="s">
        <v>206</v>
      </c>
    </row>
    <row r="125" spans="10:13" x14ac:dyDescent="0.25">
      <c r="J125" s="99" t="s">
        <v>264</v>
      </c>
      <c r="K125" t="s">
        <v>206</v>
      </c>
    </row>
    <row r="126" spans="10:13" x14ac:dyDescent="0.25">
      <c r="J126" s="99" t="s">
        <v>265</v>
      </c>
      <c r="K126" t="s">
        <v>206</v>
      </c>
    </row>
    <row r="127" spans="10:13" x14ac:dyDescent="0.25">
      <c r="J127" s="99" t="s">
        <v>266</v>
      </c>
      <c r="K127" t="s">
        <v>206</v>
      </c>
    </row>
    <row r="128" spans="10:13" x14ac:dyDescent="0.25">
      <c r="J128" s="99" t="s">
        <v>267</v>
      </c>
      <c r="K128" t="s">
        <v>206</v>
      </c>
    </row>
    <row r="129" spans="10:13" x14ac:dyDescent="0.25">
      <c r="J129" s="99" t="s">
        <v>268</v>
      </c>
      <c r="K129" t="s">
        <v>206</v>
      </c>
    </row>
    <row r="130" spans="10:13" x14ac:dyDescent="0.25">
      <c r="J130" s="99" t="s">
        <v>269</v>
      </c>
      <c r="K130" t="s">
        <v>206</v>
      </c>
    </row>
    <row r="131" spans="10:13" x14ac:dyDescent="0.25">
      <c r="J131" s="99" t="s">
        <v>270</v>
      </c>
      <c r="K131" t="s">
        <v>206</v>
      </c>
    </row>
    <row r="132" spans="10:13" x14ac:dyDescent="0.25">
      <c r="J132" s="99" t="s">
        <v>271</v>
      </c>
      <c r="K132" t="s">
        <v>206</v>
      </c>
    </row>
    <row r="133" spans="10:13" x14ac:dyDescent="0.25">
      <c r="J133" s="99" t="s">
        <v>272</v>
      </c>
      <c r="K133" t="s">
        <v>206</v>
      </c>
    </row>
    <row r="134" spans="10:13" x14ac:dyDescent="0.25">
      <c r="J134" s="99" t="s">
        <v>273</v>
      </c>
      <c r="K134" t="s">
        <v>206</v>
      </c>
    </row>
    <row r="135" spans="10:13" x14ac:dyDescent="0.25">
      <c r="J135" s="99" t="s">
        <v>274</v>
      </c>
      <c r="K135" t="s">
        <v>334</v>
      </c>
      <c r="L135" t="s">
        <v>162</v>
      </c>
      <c r="M135" s="21">
        <v>5.0999999999999996</v>
      </c>
    </row>
    <row r="136" spans="10:13" x14ac:dyDescent="0.25">
      <c r="J136" s="99" t="s">
        <v>275</v>
      </c>
      <c r="K136" t="s">
        <v>335</v>
      </c>
      <c r="L136" t="s">
        <v>162</v>
      </c>
      <c r="M136" s="21">
        <v>0</v>
      </c>
    </row>
    <row r="137" spans="10:13" x14ac:dyDescent="0.25">
      <c r="J137" s="99" t="s">
        <v>276</v>
      </c>
      <c r="K137" t="s">
        <v>336</v>
      </c>
      <c r="L137" t="s">
        <v>337</v>
      </c>
      <c r="M137" s="21">
        <v>5.0999999999999996</v>
      </c>
    </row>
    <row r="138" spans="10:13" x14ac:dyDescent="0.25">
      <c r="J138" s="99" t="s">
        <v>277</v>
      </c>
      <c r="K138" t="s">
        <v>338</v>
      </c>
      <c r="L138" t="s">
        <v>339</v>
      </c>
      <c r="M138" s="21">
        <v>8.66</v>
      </c>
    </row>
    <row r="139" spans="10:13" x14ac:dyDescent="0.25">
      <c r="J139" s="99" t="s">
        <v>278</v>
      </c>
      <c r="K139" t="s">
        <v>340</v>
      </c>
      <c r="L139" t="s">
        <v>341</v>
      </c>
      <c r="M139" s="21">
        <v>8.66</v>
      </c>
    </row>
    <row r="140" spans="10:13" x14ac:dyDescent="0.25">
      <c r="J140" s="99" t="s">
        <v>279</v>
      </c>
      <c r="K140" t="s">
        <v>342</v>
      </c>
      <c r="L140" t="s">
        <v>341</v>
      </c>
      <c r="M140" s="21">
        <v>8.66</v>
      </c>
    </row>
    <row r="141" spans="10:13" x14ac:dyDescent="0.25">
      <c r="J141" s="99" t="s">
        <v>280</v>
      </c>
      <c r="K141" t="s">
        <v>343</v>
      </c>
      <c r="L141" t="s">
        <v>164</v>
      </c>
      <c r="M141" s="21">
        <v>8.1</v>
      </c>
    </row>
    <row r="142" spans="10:13" x14ac:dyDescent="0.25">
      <c r="J142" s="99" t="s">
        <v>281</v>
      </c>
      <c r="K142" t="s">
        <v>344</v>
      </c>
      <c r="L142" t="s">
        <v>345</v>
      </c>
      <c r="M142" s="21">
        <v>11.8</v>
      </c>
    </row>
    <row r="143" spans="10:13" x14ac:dyDescent="0.25">
      <c r="J143" s="99" t="s">
        <v>282</v>
      </c>
      <c r="K143" t="s">
        <v>346</v>
      </c>
      <c r="L143" t="s">
        <v>347</v>
      </c>
      <c r="M143" s="21">
        <v>9.35</v>
      </c>
    </row>
    <row r="144" spans="10:13" x14ac:dyDescent="0.25">
      <c r="J144" s="99" t="s">
        <v>283</v>
      </c>
      <c r="K144" t="s">
        <v>348</v>
      </c>
      <c r="L144" t="s">
        <v>337</v>
      </c>
      <c r="M144" s="21">
        <v>14.5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4</vt:i4>
      </vt:variant>
    </vt:vector>
  </HeadingPairs>
  <TitlesOfParts>
    <vt:vector size="10" baseType="lpstr">
      <vt:lpstr>Invoice</vt:lpstr>
      <vt:lpstr>Goods Into Store</vt:lpstr>
      <vt:lpstr>Order Processing</vt:lpstr>
      <vt:lpstr>Other Requests</vt:lpstr>
      <vt:lpstr>Packaging</vt:lpstr>
      <vt:lpstr>Layout Summary</vt:lpstr>
      <vt:lpstr>'Goods Into Store'!Print_Titles</vt:lpstr>
      <vt:lpstr>'Order Processing'!Print_Titles</vt:lpstr>
      <vt:lpstr>'Other Requests'!Print_Titles</vt:lpstr>
      <vt:lpstr>Packaging!Print_Titles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Rolf Kater</dc:creator>
  <cp:lastModifiedBy>Dee Habib</cp:lastModifiedBy>
  <cp:lastPrinted>2025-05-26T01:16:56Z</cp:lastPrinted>
  <dcterms:created xsi:type="dcterms:W3CDTF">2014-08-26T07:35:24Z</dcterms:created>
  <dcterms:modified xsi:type="dcterms:W3CDTF">2026-05-05T07:22:36Z</dcterms:modified>
</cp:coreProperties>
</file>