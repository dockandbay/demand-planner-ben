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fulfilment.sharepoint.com/sites/AccountsTeam/Shared Documents/Fulfilment Invoices/Dock and Bay/2026/"/>
    </mc:Choice>
  </mc:AlternateContent>
  <xr:revisionPtr revIDLastSave="0" documentId="8_{DDCD2278-944B-4396-B627-0F18B6F4DF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s Bocholt" sheetId="1" r:id="rId1"/>
    <sheet name="Goods In BOC" sheetId="2" r:id="rId2"/>
    <sheet name="Returns BOC" sheetId="3" r:id="rId3"/>
    <sheet name="Storage BOC" sheetId="4" r:id="rId4"/>
    <sheet name="Other Charges GBP" sheetId="7" r:id="rId5"/>
  </sheets>
  <definedNames>
    <definedName name="_xlnm._FilterDatabase" localSheetId="1" hidden="1">'Goods In BOC'!$A$1:$U$1</definedName>
    <definedName name="_xlnm._FilterDatabase" localSheetId="0" hidden="1">'Orders Bocholt'!$A$1:$AK$2614</definedName>
    <definedName name="_xlnm._FilterDatabase" localSheetId="4" hidden="1">'Other Charges GBP'!$A$1:$K$1</definedName>
    <definedName name="_xlnm._FilterDatabase" localSheetId="2" hidden="1">'Returns BOC'!$A$1:$Q$1</definedName>
    <definedName name="_xlnm._FilterDatabase" localSheetId="3" hidden="1">'Storage BOC'!$A$1:$N$1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2" i="3"/>
  <c r="N33" i="4"/>
  <c r="L87" i="3"/>
  <c r="M87" i="3"/>
  <c r="K87" i="3"/>
  <c r="O5" i="2"/>
  <c r="P5" i="2"/>
  <c r="Q5" i="2"/>
  <c r="R5" i="2"/>
  <c r="S5" i="2"/>
  <c r="N5" i="2"/>
  <c r="U2616" i="1"/>
  <c r="V2616" i="1"/>
  <c r="Y2616" i="1"/>
  <c r="AC2616" i="1"/>
  <c r="AD2616" i="1"/>
  <c r="AE2616" i="1"/>
  <c r="AF2616" i="1"/>
  <c r="AG2616" i="1"/>
  <c r="AH2616" i="1"/>
  <c r="AI2616" i="1"/>
  <c r="T2616" i="1"/>
  <c r="AJ7" i="1"/>
  <c r="AK7" i="1" s="1"/>
  <c r="AJ2532" i="1"/>
  <c r="AK2532" i="1" s="1"/>
  <c r="AJ2565" i="1"/>
  <c r="AK2565" i="1" s="1"/>
  <c r="AJ2212" i="1"/>
  <c r="AK2212" i="1" s="1"/>
  <c r="AJ2352" i="1"/>
  <c r="AK2352" i="1" s="1"/>
  <c r="AJ2391" i="1"/>
  <c r="AK2391" i="1" s="1"/>
  <c r="AJ2174" i="1"/>
  <c r="AK2174" i="1" s="1"/>
  <c r="AJ1738" i="1"/>
  <c r="AK1738" i="1" s="1"/>
  <c r="AJ1975" i="1"/>
  <c r="AK1975" i="1" s="1"/>
  <c r="AJ2105" i="1"/>
  <c r="AK2105" i="1" s="1"/>
  <c r="AJ1599" i="1"/>
  <c r="AK1599" i="1" s="1"/>
  <c r="AJ1479" i="1"/>
  <c r="AK1479" i="1" s="1"/>
  <c r="AJ1514" i="1"/>
  <c r="AK1514" i="1" s="1"/>
  <c r="AJ1644" i="1"/>
  <c r="AK1644" i="1" s="1"/>
  <c r="AJ559" i="1"/>
  <c r="AK559" i="1" s="1"/>
  <c r="AJ551" i="1"/>
  <c r="AK551" i="1" s="1"/>
  <c r="AJ1664" i="1"/>
  <c r="AK1664" i="1" s="1"/>
  <c r="AJ1740" i="1"/>
  <c r="AK1740" i="1" s="1"/>
  <c r="AJ1399" i="1"/>
  <c r="AK1399" i="1" s="1"/>
  <c r="AJ635" i="1"/>
  <c r="AK635" i="1" s="1"/>
  <c r="AJ542" i="1"/>
  <c r="AK542" i="1" s="1"/>
  <c r="AJ868" i="1"/>
  <c r="AK868" i="1" s="1"/>
  <c r="AJ1182" i="1"/>
  <c r="AK1182" i="1" s="1"/>
  <c r="AJ991" i="1"/>
  <c r="AK991" i="1" s="1"/>
  <c r="AJ1172" i="1"/>
  <c r="AK1172" i="1" s="1"/>
  <c r="AJ1174" i="1"/>
  <c r="AK1174" i="1" s="1"/>
  <c r="AJ1303" i="1"/>
  <c r="AK1303" i="1" s="1"/>
  <c r="AJ382" i="1"/>
  <c r="AK382" i="1" s="1"/>
  <c r="AJ743" i="1"/>
  <c r="AK743" i="1" s="1"/>
  <c r="AJ1071" i="1"/>
  <c r="AK1071" i="1" s="1"/>
  <c r="AJ912" i="1"/>
  <c r="AK912" i="1" s="1"/>
  <c r="AJ2387" i="1"/>
  <c r="AK2387" i="1" s="1"/>
  <c r="AJ1506" i="1"/>
  <c r="AK1506" i="1" s="1"/>
  <c r="AJ469" i="1"/>
  <c r="AK469" i="1" s="1"/>
  <c r="AJ694" i="1"/>
  <c r="AK694" i="1" s="1"/>
  <c r="AJ2248" i="1"/>
  <c r="AK2248" i="1" s="1"/>
  <c r="AJ2393" i="1"/>
  <c r="AK2393" i="1" s="1"/>
  <c r="AJ2101" i="1"/>
  <c r="AK2101" i="1" s="1"/>
  <c r="AJ243" i="1"/>
  <c r="AK243" i="1" s="1"/>
  <c r="AJ1596" i="1"/>
  <c r="AK1596" i="1" s="1"/>
  <c r="AJ2106" i="1"/>
  <c r="AK2106" i="1" s="1"/>
  <c r="AJ1491" i="1"/>
  <c r="AK1491" i="1" s="1"/>
  <c r="AJ969" i="1"/>
  <c r="AK969" i="1" s="1"/>
  <c r="AJ353" i="1"/>
  <c r="AK353" i="1" s="1"/>
  <c r="AJ1004" i="1"/>
  <c r="AK1004" i="1" s="1"/>
  <c r="AJ2472" i="1"/>
  <c r="AK2472" i="1" s="1"/>
  <c r="AJ2399" i="1"/>
  <c r="AK2399" i="1" s="1"/>
  <c r="AJ1470" i="1"/>
  <c r="AK1470" i="1" s="1"/>
  <c r="AJ1529" i="1"/>
  <c r="AK1529" i="1" s="1"/>
  <c r="AJ1290" i="1"/>
  <c r="AK1290" i="1" s="1"/>
  <c r="AJ930" i="1"/>
  <c r="AK930" i="1" s="1"/>
  <c r="AJ1224" i="1"/>
  <c r="AK1224" i="1" s="1"/>
  <c r="AJ432" i="1"/>
  <c r="AK432" i="1" s="1"/>
  <c r="AJ1024" i="1"/>
  <c r="AK1024" i="1" s="1"/>
  <c r="AJ1319" i="1"/>
  <c r="AK1319" i="1" s="1"/>
  <c r="AJ224" i="1"/>
  <c r="AK224" i="1" s="1"/>
  <c r="AJ1195" i="1"/>
  <c r="AK1195" i="1" s="1"/>
  <c r="AJ1766" i="1"/>
  <c r="AK1766" i="1" s="1"/>
  <c r="AJ1032" i="1"/>
  <c r="AK1032" i="1" s="1"/>
  <c r="AJ857" i="1"/>
  <c r="AK857" i="1" s="1"/>
  <c r="AJ60" i="1"/>
  <c r="AK60" i="1" s="1"/>
  <c r="AJ71" i="1"/>
  <c r="AK71" i="1" s="1"/>
  <c r="AJ76" i="1"/>
  <c r="AK76" i="1" s="1"/>
  <c r="AJ99" i="1"/>
  <c r="AK99" i="1" s="1"/>
  <c r="AJ84" i="1"/>
  <c r="AK84" i="1" s="1"/>
  <c r="AJ82" i="1"/>
  <c r="AK82" i="1" s="1"/>
  <c r="AJ88" i="1"/>
  <c r="AK88" i="1" s="1"/>
  <c r="AJ64" i="1"/>
  <c r="AK64" i="1" s="1"/>
  <c r="AJ92" i="1"/>
  <c r="AK92" i="1" s="1"/>
  <c r="AJ25" i="1"/>
  <c r="AK25" i="1" s="1"/>
  <c r="AJ17" i="1"/>
  <c r="AK17" i="1" s="1"/>
  <c r="AJ104" i="1"/>
  <c r="AK104" i="1" s="1"/>
  <c r="AJ90" i="1"/>
  <c r="AK90" i="1" s="1"/>
  <c r="AJ43" i="1"/>
  <c r="AK43" i="1" s="1"/>
  <c r="AJ49" i="1"/>
  <c r="AK49" i="1" s="1"/>
  <c r="AJ117" i="1"/>
  <c r="AK117" i="1" s="1"/>
  <c r="AJ103" i="1"/>
  <c r="AK103" i="1" s="1"/>
  <c r="AJ51" i="1"/>
  <c r="AK51" i="1" s="1"/>
  <c r="AJ78" i="1"/>
  <c r="AK78" i="1" s="1"/>
  <c r="AJ115" i="1"/>
  <c r="AK115" i="1" s="1"/>
  <c r="AJ54" i="1"/>
  <c r="AK54" i="1" s="1"/>
  <c r="AJ105" i="1"/>
  <c r="AK105" i="1" s="1"/>
  <c r="AJ85" i="1"/>
  <c r="AK85" i="1" s="1"/>
  <c r="AJ50" i="1"/>
  <c r="AK50" i="1" s="1"/>
  <c r="AJ36" i="1"/>
  <c r="AK36" i="1" s="1"/>
  <c r="AJ113" i="1"/>
  <c r="AK113" i="1" s="1"/>
  <c r="AJ26" i="1"/>
  <c r="AK26" i="1" s="1"/>
  <c r="AJ2317" i="1"/>
  <c r="AK2317" i="1" s="1"/>
  <c r="AJ717" i="1"/>
  <c r="AK717" i="1" s="1"/>
  <c r="AJ781" i="1"/>
  <c r="AK781" i="1" s="1"/>
  <c r="AJ2295" i="1"/>
  <c r="AK2295" i="1" s="1"/>
  <c r="AJ2526" i="1"/>
  <c r="AK2526" i="1" s="1"/>
  <c r="AJ2496" i="1"/>
  <c r="AK2496" i="1" s="1"/>
  <c r="AJ2298" i="1"/>
  <c r="AK2298" i="1" s="1"/>
  <c r="AJ2389" i="1"/>
  <c r="AK2389" i="1" s="1"/>
  <c r="AJ2533" i="1"/>
  <c r="AK2533" i="1" s="1"/>
  <c r="AJ606" i="1"/>
  <c r="AK606" i="1" s="1"/>
  <c r="AJ755" i="1"/>
  <c r="AK755" i="1" s="1"/>
  <c r="AJ659" i="1"/>
  <c r="AK659" i="1" s="1"/>
  <c r="AJ675" i="1"/>
  <c r="AK675" i="1" s="1"/>
  <c r="AJ698" i="1"/>
  <c r="AK698" i="1" s="1"/>
  <c r="AJ764" i="1"/>
  <c r="AK764" i="1" s="1"/>
  <c r="AJ762" i="1"/>
  <c r="AK762" i="1" s="1"/>
  <c r="AJ789" i="1"/>
  <c r="AK789" i="1" s="1"/>
  <c r="AJ784" i="1"/>
  <c r="AK784" i="1" s="1"/>
  <c r="AJ803" i="1"/>
  <c r="AK803" i="1" s="1"/>
  <c r="AJ809" i="1"/>
  <c r="AK809" i="1" s="1"/>
  <c r="AJ928" i="1"/>
  <c r="AK928" i="1" s="1"/>
  <c r="AJ850" i="1"/>
  <c r="AK850" i="1" s="1"/>
  <c r="AJ910" i="1"/>
  <c r="AK910" i="1" s="1"/>
  <c r="AJ922" i="1"/>
  <c r="AK922" i="1" s="1"/>
  <c r="AJ954" i="1"/>
  <c r="AK954" i="1" s="1"/>
  <c r="AJ981" i="1"/>
  <c r="AK981" i="1" s="1"/>
  <c r="AJ1023" i="1"/>
  <c r="AK1023" i="1" s="1"/>
  <c r="AJ2274" i="1"/>
  <c r="AK2274" i="1" s="1"/>
  <c r="AJ2395" i="1"/>
  <c r="AK2395" i="1" s="1"/>
  <c r="AJ637" i="1"/>
  <c r="AK637" i="1" s="1"/>
  <c r="AJ699" i="1"/>
  <c r="AK699" i="1" s="1"/>
  <c r="AJ721" i="1"/>
  <c r="AK721" i="1" s="1"/>
  <c r="AJ759" i="1"/>
  <c r="AK759" i="1" s="1"/>
  <c r="AJ791" i="1"/>
  <c r="AK791" i="1" s="1"/>
  <c r="AJ963" i="1"/>
  <c r="AK963" i="1" s="1"/>
  <c r="AJ1022" i="1"/>
  <c r="AK1022" i="1" s="1"/>
  <c r="AJ1038" i="1"/>
  <c r="AK1038" i="1" s="1"/>
  <c r="AJ1053" i="1"/>
  <c r="AK1053" i="1" s="1"/>
  <c r="AJ2406" i="1"/>
  <c r="AK2406" i="1" s="1"/>
  <c r="AJ524" i="1"/>
  <c r="AK524" i="1" s="1"/>
  <c r="AJ601" i="1"/>
  <c r="AK601" i="1" s="1"/>
  <c r="AJ631" i="1"/>
  <c r="AK631" i="1" s="1"/>
  <c r="AJ639" i="1"/>
  <c r="AK639" i="1" s="1"/>
  <c r="AJ638" i="1"/>
  <c r="AK638" i="1" s="1"/>
  <c r="AJ641" i="1"/>
  <c r="AK641" i="1" s="1"/>
  <c r="AJ702" i="1"/>
  <c r="AK702" i="1" s="1"/>
  <c r="AJ772" i="1"/>
  <c r="AK772" i="1" s="1"/>
  <c r="AJ765" i="1"/>
  <c r="AK765" i="1" s="1"/>
  <c r="AJ774" i="1"/>
  <c r="AK774" i="1" s="1"/>
  <c r="AJ771" i="1"/>
  <c r="AK771" i="1" s="1"/>
  <c r="AJ795" i="1"/>
  <c r="AK795" i="1" s="1"/>
  <c r="AJ808" i="1"/>
  <c r="AK808" i="1" s="1"/>
  <c r="AJ806" i="1"/>
  <c r="AK806" i="1" s="1"/>
  <c r="AJ840" i="1"/>
  <c r="AK840" i="1" s="1"/>
  <c r="AJ917" i="1"/>
  <c r="AK917" i="1" s="1"/>
  <c r="AJ918" i="1"/>
  <c r="AK918" i="1" s="1"/>
  <c r="AJ950" i="1"/>
  <c r="AK950" i="1" s="1"/>
  <c r="AJ952" i="1"/>
  <c r="AK952" i="1" s="1"/>
  <c r="AJ948" i="1"/>
  <c r="AK948" i="1" s="1"/>
  <c r="AJ1015" i="1"/>
  <c r="AK1015" i="1" s="1"/>
  <c r="AJ2288" i="1"/>
  <c r="AK2288" i="1" s="1"/>
  <c r="AJ2302" i="1"/>
  <c r="AK2302" i="1" s="1"/>
  <c r="AJ2551" i="1"/>
  <c r="AK2551" i="1" s="1"/>
  <c r="AJ894" i="1"/>
  <c r="AK894" i="1" s="1"/>
  <c r="AJ889" i="1"/>
  <c r="AK889" i="1" s="1"/>
  <c r="AJ651" i="1"/>
  <c r="AK651" i="1" s="1"/>
  <c r="AJ682" i="1"/>
  <c r="AK682" i="1" s="1"/>
  <c r="AJ678" i="1"/>
  <c r="AK678" i="1" s="1"/>
  <c r="AJ684" i="1"/>
  <c r="AK684" i="1" s="1"/>
  <c r="AJ686" i="1"/>
  <c r="AK686" i="1" s="1"/>
  <c r="AJ687" i="1"/>
  <c r="AK687" i="1" s="1"/>
  <c r="AJ814" i="1"/>
  <c r="AK814" i="1" s="1"/>
  <c r="AJ896" i="1"/>
  <c r="AK896" i="1" s="1"/>
  <c r="AJ901" i="1"/>
  <c r="AK901" i="1" s="1"/>
  <c r="AJ893" i="1"/>
  <c r="AK893" i="1" s="1"/>
  <c r="AJ902" i="1"/>
  <c r="AK902" i="1" s="1"/>
  <c r="AJ915" i="1"/>
  <c r="AK915" i="1" s="1"/>
  <c r="AJ960" i="1"/>
  <c r="AK960" i="1" s="1"/>
  <c r="AJ974" i="1"/>
  <c r="AK974" i="1" s="1"/>
  <c r="AJ984" i="1"/>
  <c r="AK984" i="1" s="1"/>
  <c r="AJ1028" i="1"/>
  <c r="AK1028" i="1" s="1"/>
  <c r="AJ1428" i="1"/>
  <c r="AK1428" i="1" s="1"/>
  <c r="AJ2112" i="1"/>
  <c r="AK2112" i="1" s="1"/>
  <c r="AJ2360" i="1"/>
  <c r="AK2360" i="1" s="1"/>
  <c r="AJ1530" i="1"/>
  <c r="AK1530" i="1" s="1"/>
  <c r="AJ1355" i="1"/>
  <c r="AK1355" i="1" s="1"/>
  <c r="AJ1415" i="1"/>
  <c r="AK1415" i="1" s="1"/>
  <c r="AJ1520" i="1"/>
  <c r="AK1520" i="1" s="1"/>
  <c r="AJ1987" i="1"/>
  <c r="AK1987" i="1" s="1"/>
  <c r="AJ1816" i="1"/>
  <c r="AK1816" i="1" s="1"/>
  <c r="AJ2201" i="1"/>
  <c r="AK2201" i="1" s="1"/>
  <c r="AJ378" i="1"/>
  <c r="AK378" i="1" s="1"/>
  <c r="AJ156" i="1"/>
  <c r="AK156" i="1" s="1"/>
  <c r="AJ284" i="1"/>
  <c r="AK284" i="1" s="1"/>
  <c r="AJ283" i="1"/>
  <c r="AK283" i="1" s="1"/>
  <c r="AJ291" i="1"/>
  <c r="AK291" i="1" s="1"/>
  <c r="AJ1146" i="1"/>
  <c r="AK1146" i="1" s="1"/>
  <c r="AJ1231" i="1"/>
  <c r="AK1231" i="1" s="1"/>
  <c r="AJ1666" i="1"/>
  <c r="AK1666" i="1" s="1"/>
  <c r="AJ1747" i="1"/>
  <c r="AK1747" i="1" s="1"/>
  <c r="AJ161" i="1"/>
  <c r="AK161" i="1" s="1"/>
  <c r="AJ268" i="1"/>
  <c r="AK268" i="1" s="1"/>
  <c r="AJ270" i="1"/>
  <c r="AK270" i="1" s="1"/>
  <c r="AJ561" i="1"/>
  <c r="AK561" i="1" s="1"/>
  <c r="AJ1307" i="1"/>
  <c r="AK1307" i="1" s="1"/>
  <c r="AJ1359" i="1"/>
  <c r="AK1359" i="1" s="1"/>
  <c r="AJ1365" i="1"/>
  <c r="AK1365" i="1" s="1"/>
  <c r="AJ1406" i="1"/>
  <c r="AK1406" i="1" s="1"/>
  <c r="AJ1518" i="1"/>
  <c r="AK1518" i="1" s="1"/>
  <c r="AJ1741" i="1"/>
  <c r="AK1741" i="1" s="1"/>
  <c r="AJ1761" i="1"/>
  <c r="AK1761" i="1" s="1"/>
  <c r="AJ2032" i="1"/>
  <c r="AK2032" i="1" s="1"/>
  <c r="AJ2381" i="1"/>
  <c r="AK2381" i="1" s="1"/>
  <c r="AJ2458" i="1"/>
  <c r="AK2458" i="1" s="1"/>
  <c r="AJ148" i="1"/>
  <c r="AK148" i="1" s="1"/>
  <c r="AJ159" i="1"/>
  <c r="AK159" i="1" s="1"/>
  <c r="AJ211" i="1"/>
  <c r="AK211" i="1" s="1"/>
  <c r="AJ227" i="1"/>
  <c r="AK227" i="1" s="1"/>
  <c r="AJ337" i="1"/>
  <c r="AK337" i="1" s="1"/>
  <c r="AJ408" i="1"/>
  <c r="AK408" i="1" s="1"/>
  <c r="AJ493" i="1"/>
  <c r="AK493" i="1" s="1"/>
  <c r="AJ509" i="1"/>
  <c r="AK509" i="1" s="1"/>
  <c r="AJ500" i="1"/>
  <c r="AK500" i="1" s="1"/>
  <c r="AJ555" i="1"/>
  <c r="AK555" i="1" s="1"/>
  <c r="AJ499" i="1"/>
  <c r="AK499" i="1" s="1"/>
  <c r="AJ585" i="1"/>
  <c r="AK585" i="1" s="1"/>
  <c r="AJ627" i="1"/>
  <c r="AK627" i="1" s="1"/>
  <c r="AJ619" i="1"/>
  <c r="AK619" i="1" s="1"/>
  <c r="AJ628" i="1"/>
  <c r="AK628" i="1" s="1"/>
  <c r="AJ1084" i="1"/>
  <c r="AK1084" i="1" s="1"/>
  <c r="AJ1132" i="1"/>
  <c r="AK1132" i="1" s="1"/>
  <c r="AJ1255" i="1"/>
  <c r="AK1255" i="1" s="1"/>
  <c r="AJ1208" i="1"/>
  <c r="AK1208" i="1" s="1"/>
  <c r="AJ1189" i="1"/>
  <c r="AK1189" i="1" s="1"/>
  <c r="AJ1190" i="1"/>
  <c r="AK1190" i="1" s="1"/>
  <c r="AJ1194" i="1"/>
  <c r="AK1194" i="1" s="1"/>
  <c r="AJ1283" i="1"/>
  <c r="AK1283" i="1" s="1"/>
  <c r="AJ1275" i="1"/>
  <c r="AK1275" i="1" s="1"/>
  <c r="AJ1273" i="1"/>
  <c r="AK1273" i="1" s="1"/>
  <c r="AJ1223" i="1"/>
  <c r="AK1223" i="1" s="1"/>
  <c r="AJ1339" i="1"/>
  <c r="AK1339" i="1" s="1"/>
  <c r="AJ1366" i="1"/>
  <c r="AK1366" i="1" s="1"/>
  <c r="AJ1390" i="1"/>
  <c r="AK1390" i="1" s="1"/>
  <c r="AJ1451" i="1"/>
  <c r="AK1451" i="1" s="1"/>
  <c r="AJ1450" i="1"/>
  <c r="AK1450" i="1" s="1"/>
  <c r="AJ1913" i="1"/>
  <c r="AK1913" i="1" s="1"/>
  <c r="AJ2324" i="1"/>
  <c r="AK2324" i="1" s="1"/>
  <c r="AJ2323" i="1"/>
  <c r="AK2323" i="1" s="1"/>
  <c r="AJ153" i="1"/>
  <c r="AK153" i="1" s="1"/>
  <c r="AJ206" i="1"/>
  <c r="AK206" i="1" s="1"/>
  <c r="AJ158" i="1"/>
  <c r="AK158" i="1" s="1"/>
  <c r="AJ229" i="1"/>
  <c r="AK229" i="1" s="1"/>
  <c r="AJ256" i="1"/>
  <c r="AK256" i="1" s="1"/>
  <c r="AJ280" i="1"/>
  <c r="AK280" i="1" s="1"/>
  <c r="AJ312" i="1"/>
  <c r="AK312" i="1" s="1"/>
  <c r="AJ299" i="1"/>
  <c r="AK299" i="1" s="1"/>
  <c r="AJ296" i="1"/>
  <c r="AK296" i="1" s="1"/>
  <c r="AJ384" i="1"/>
  <c r="AK384" i="1" s="1"/>
  <c r="AJ406" i="1"/>
  <c r="AK406" i="1" s="1"/>
  <c r="AJ394" i="1"/>
  <c r="AK394" i="1" s="1"/>
  <c r="AJ506" i="1"/>
  <c r="AK506" i="1" s="1"/>
  <c r="AJ502" i="1"/>
  <c r="AK502" i="1" s="1"/>
  <c r="AJ592" i="1"/>
  <c r="AK592" i="1" s="1"/>
  <c r="AJ1105" i="1"/>
  <c r="AK1105" i="1" s="1"/>
  <c r="AJ1280" i="1"/>
  <c r="AK1280" i="1" s="1"/>
  <c r="AJ1150" i="1"/>
  <c r="AK1150" i="1" s="1"/>
  <c r="AJ1147" i="1"/>
  <c r="AK1147" i="1" s="1"/>
  <c r="AJ1203" i="1"/>
  <c r="AK1203" i="1" s="1"/>
  <c r="AJ1187" i="1"/>
  <c r="AK1187" i="1" s="1"/>
  <c r="AJ1220" i="1"/>
  <c r="AK1220" i="1" s="1"/>
  <c r="AJ1279" i="1"/>
  <c r="AK1279" i="1" s="1"/>
  <c r="AJ1242" i="1"/>
  <c r="AK1242" i="1" s="1"/>
  <c r="AJ1226" i="1"/>
  <c r="AK1226" i="1" s="1"/>
  <c r="AJ1321" i="1"/>
  <c r="AK1321" i="1" s="1"/>
  <c r="AJ1385" i="1"/>
  <c r="AK1385" i="1" s="1"/>
  <c r="AJ1672" i="1"/>
  <c r="AK1672" i="1" s="1"/>
  <c r="AJ1821" i="1"/>
  <c r="AK1821" i="1" s="1"/>
  <c r="AJ2098" i="1"/>
  <c r="AK2098" i="1" s="1"/>
  <c r="AJ185" i="1"/>
  <c r="AK185" i="1" s="1"/>
  <c r="AJ381" i="1"/>
  <c r="AK381" i="1" s="1"/>
  <c r="AJ518" i="1"/>
  <c r="AK518" i="1" s="1"/>
  <c r="AJ517" i="1"/>
  <c r="AK517" i="1" s="1"/>
  <c r="AJ1091" i="1"/>
  <c r="AK1091" i="1" s="1"/>
  <c r="AJ1131" i="1"/>
  <c r="AK1131" i="1" s="1"/>
  <c r="AJ1117" i="1"/>
  <c r="AK1117" i="1" s="1"/>
  <c r="AJ1119" i="1"/>
  <c r="AK1119" i="1" s="1"/>
  <c r="AJ1143" i="1"/>
  <c r="AK1143" i="1" s="1"/>
  <c r="AJ1180" i="1"/>
  <c r="AK1180" i="1" s="1"/>
  <c r="AJ1183" i="1"/>
  <c r="AK1183" i="1" s="1"/>
  <c r="AJ1344" i="1"/>
  <c r="AK1344" i="1" s="1"/>
  <c r="AJ1343" i="1"/>
  <c r="AK1343" i="1" s="1"/>
  <c r="AJ1341" i="1"/>
  <c r="AK1341" i="1" s="1"/>
  <c r="AJ1345" i="1"/>
  <c r="AK1345" i="1" s="1"/>
  <c r="AJ1395" i="1"/>
  <c r="AK1395" i="1" s="1"/>
  <c r="AJ1386" i="1"/>
  <c r="AK1386" i="1" s="1"/>
  <c r="AJ1389" i="1"/>
  <c r="AK1389" i="1" s="1"/>
  <c r="AJ1401" i="1"/>
  <c r="AK1401" i="1" s="1"/>
  <c r="AJ1422" i="1"/>
  <c r="AK1422" i="1" s="1"/>
  <c r="AJ1616" i="1"/>
  <c r="AK1616" i="1" s="1"/>
  <c r="AJ1823" i="1"/>
  <c r="AK1823" i="1" s="1"/>
  <c r="AJ2478" i="1"/>
  <c r="AK2478" i="1" s="1"/>
  <c r="AJ167" i="1"/>
  <c r="AK167" i="1" s="1"/>
  <c r="AJ165" i="1"/>
  <c r="AK165" i="1" s="1"/>
  <c r="AJ233" i="1"/>
  <c r="AK233" i="1" s="1"/>
  <c r="AJ226" i="1"/>
  <c r="AK226" i="1" s="1"/>
  <c r="AJ273" i="1"/>
  <c r="AK273" i="1" s="1"/>
  <c r="AJ275" i="1"/>
  <c r="AK275" i="1" s="1"/>
  <c r="AJ366" i="1"/>
  <c r="AK366" i="1" s="1"/>
  <c r="AJ547" i="1"/>
  <c r="AK547" i="1" s="1"/>
  <c r="AJ576" i="1"/>
  <c r="AK576" i="1" s="1"/>
  <c r="AJ572" i="1"/>
  <c r="AK572" i="1" s="1"/>
  <c r="AJ1108" i="1"/>
  <c r="AK1108" i="1" s="1"/>
  <c r="AJ1116" i="1"/>
  <c r="AK1116" i="1" s="1"/>
  <c r="AJ1098" i="1"/>
  <c r="AK1098" i="1" s="1"/>
  <c r="AJ1096" i="1"/>
  <c r="AK1096" i="1" s="1"/>
  <c r="AJ1100" i="1"/>
  <c r="AK1100" i="1" s="1"/>
  <c r="AJ1268" i="1"/>
  <c r="AK1268" i="1" s="1"/>
  <c r="AJ1270" i="1"/>
  <c r="AK1270" i="1" s="1"/>
  <c r="AJ1292" i="1"/>
  <c r="AK1292" i="1" s="1"/>
  <c r="AJ1377" i="1"/>
  <c r="AK1377" i="1" s="1"/>
  <c r="AJ1298" i="1"/>
  <c r="AK1298" i="1" s="1"/>
  <c r="AJ1306" i="1"/>
  <c r="AK1306" i="1" s="1"/>
  <c r="AJ1308" i="1"/>
  <c r="AK1308" i="1" s="1"/>
  <c r="AJ1304" i="1"/>
  <c r="AK1304" i="1" s="1"/>
  <c r="AJ1369" i="1"/>
  <c r="AK1369" i="1" s="1"/>
  <c r="AJ1372" i="1"/>
  <c r="AK1372" i="1" s="1"/>
  <c r="AJ1367" i="1"/>
  <c r="AK1367" i="1" s="1"/>
  <c r="AJ1379" i="1"/>
  <c r="AK1379" i="1" s="1"/>
  <c r="AJ1374" i="1"/>
  <c r="AK1374" i="1" s="1"/>
  <c r="AJ1441" i="1"/>
  <c r="AK1441" i="1" s="1"/>
  <c r="AJ1702" i="1"/>
  <c r="AK1702" i="1" s="1"/>
  <c r="AJ2502" i="1"/>
  <c r="AK2502" i="1" s="1"/>
  <c r="AJ819" i="1"/>
  <c r="AK819" i="1" s="1"/>
  <c r="AJ788" i="1"/>
  <c r="AK788" i="1" s="1"/>
  <c r="AJ794" i="1"/>
  <c r="AK794" i="1" s="1"/>
  <c r="AJ820" i="1"/>
  <c r="AK820" i="1" s="1"/>
  <c r="AJ716" i="1"/>
  <c r="AK716" i="1" s="1"/>
  <c r="AJ736" i="1"/>
  <c r="AK736" i="1" s="1"/>
  <c r="AJ2314" i="1"/>
  <c r="AK2314" i="1" s="1"/>
  <c r="AJ1703" i="1"/>
  <c r="AK1703" i="1" s="1"/>
  <c r="AJ209" i="1"/>
  <c r="AK209" i="1" s="1"/>
  <c r="AJ1674" i="1"/>
  <c r="AK1674" i="1" s="1"/>
  <c r="AJ1843" i="1"/>
  <c r="AK1843" i="1" s="1"/>
  <c r="AJ308" i="1"/>
  <c r="AK308" i="1" s="1"/>
  <c r="AJ1219" i="1"/>
  <c r="AK1219" i="1" s="1"/>
  <c r="AJ2455" i="1"/>
  <c r="AK2455" i="1" s="1"/>
  <c r="AJ2529" i="1"/>
  <c r="AK2529" i="1" s="1"/>
  <c r="AJ254" i="1"/>
  <c r="AK254" i="1" s="1"/>
  <c r="AJ282" i="1"/>
  <c r="AK282" i="1" s="1"/>
  <c r="AJ1347" i="1"/>
  <c r="AK1347" i="1" s="1"/>
  <c r="AJ1744" i="1"/>
  <c r="AK1744" i="1" s="1"/>
  <c r="AJ425" i="1"/>
  <c r="AK425" i="1" s="1"/>
  <c r="AJ1522" i="1"/>
  <c r="AK1522" i="1" s="1"/>
  <c r="AJ1654" i="1"/>
  <c r="AK1654" i="1" s="1"/>
  <c r="AJ2181" i="1"/>
  <c r="AK2181" i="1" s="1"/>
  <c r="AJ2159" i="1"/>
  <c r="AK2159" i="1" s="1"/>
  <c r="AJ525" i="1"/>
  <c r="AK525" i="1" s="1"/>
  <c r="AJ590" i="1"/>
  <c r="AK590" i="1" s="1"/>
  <c r="AJ1350" i="1"/>
  <c r="AK1350" i="1" s="1"/>
  <c r="AJ1453" i="1"/>
  <c r="AK1453" i="1" s="1"/>
  <c r="AJ1489" i="1"/>
  <c r="AK1489" i="1" s="1"/>
  <c r="AJ1759" i="1"/>
  <c r="AK1759" i="1" s="1"/>
  <c r="AJ1818" i="1"/>
  <c r="AK1818" i="1" s="1"/>
  <c r="AJ563" i="1"/>
  <c r="AK563" i="1" s="1"/>
  <c r="AJ2176" i="1"/>
  <c r="AK2176" i="1" s="1"/>
  <c r="AJ1734" i="1"/>
  <c r="AK1734" i="1" s="1"/>
  <c r="AJ1719" i="1"/>
  <c r="AK1719" i="1" s="1"/>
  <c r="AJ228" i="1"/>
  <c r="AK228" i="1" s="1"/>
  <c r="AJ906" i="1"/>
  <c r="AK906" i="1" s="1"/>
  <c r="AJ1001" i="1"/>
  <c r="AK1001" i="1" s="1"/>
  <c r="AJ861" i="1"/>
  <c r="AK861" i="1" s="1"/>
  <c r="AJ1040" i="1"/>
  <c r="AK1040" i="1" s="1"/>
  <c r="AJ770" i="1"/>
  <c r="AK770" i="1" s="1"/>
  <c r="AJ1064" i="1"/>
  <c r="AK1064" i="1" s="1"/>
  <c r="AJ1054" i="1"/>
  <c r="AK1054" i="1" s="1"/>
  <c r="AJ728" i="1"/>
  <c r="AK728" i="1" s="1"/>
  <c r="AJ1045" i="1"/>
  <c r="AK1045" i="1" s="1"/>
  <c r="AJ486" i="1"/>
  <c r="AK486" i="1" s="1"/>
  <c r="AJ269" i="1"/>
  <c r="AK269" i="1" s="1"/>
  <c r="AJ540" i="1"/>
  <c r="AK540" i="1" s="1"/>
  <c r="AJ569" i="1"/>
  <c r="AK569" i="1" s="1"/>
  <c r="AJ360" i="1"/>
  <c r="AK360" i="1" s="1"/>
  <c r="AJ374" i="1"/>
  <c r="AK374" i="1" s="1"/>
  <c r="AJ552" i="1"/>
  <c r="AK552" i="1" s="1"/>
  <c r="AJ577" i="1"/>
  <c r="AK577" i="1" s="1"/>
  <c r="AJ1276" i="1"/>
  <c r="AK1276" i="1" s="1"/>
  <c r="AJ1317" i="1"/>
  <c r="AK1317" i="1" s="1"/>
  <c r="AJ215" i="1"/>
  <c r="AK215" i="1" s="1"/>
  <c r="AJ248" i="1"/>
  <c r="AK248" i="1" s="1"/>
  <c r="AJ252" i="1"/>
  <c r="AK252" i="1" s="1"/>
  <c r="AJ311" i="1"/>
  <c r="AK311" i="1" s="1"/>
  <c r="AJ386" i="1"/>
  <c r="AK386" i="1" s="1"/>
  <c r="AJ1135" i="1"/>
  <c r="AK1135" i="1" s="1"/>
  <c r="AJ1412" i="1"/>
  <c r="AK1412" i="1" s="1"/>
  <c r="AJ2114" i="1"/>
  <c r="AK2114" i="1" s="1"/>
  <c r="AJ302" i="1"/>
  <c r="AK302" i="1" s="1"/>
  <c r="AJ300" i="1"/>
  <c r="AK300" i="1" s="1"/>
  <c r="AJ301" i="1"/>
  <c r="AK301" i="1" s="1"/>
  <c r="AJ404" i="1"/>
  <c r="AK404" i="1" s="1"/>
  <c r="AJ489" i="1"/>
  <c r="AK489" i="1" s="1"/>
  <c r="AJ1363" i="1"/>
  <c r="AK1363" i="1" s="1"/>
  <c r="AJ220" i="1"/>
  <c r="AK220" i="1" s="1"/>
  <c r="AJ417" i="1"/>
  <c r="AK417" i="1" s="1"/>
  <c r="AJ478" i="1"/>
  <c r="AK478" i="1" s="1"/>
  <c r="AJ480" i="1"/>
  <c r="AK480" i="1" s="1"/>
  <c r="AJ1115" i="1"/>
  <c r="AK1115" i="1" s="1"/>
  <c r="AJ1087" i="1"/>
  <c r="AK1087" i="1" s="1"/>
  <c r="AJ1259" i="1"/>
  <c r="AK1259" i="1" s="1"/>
  <c r="AJ1310" i="1"/>
  <c r="AK1310" i="1" s="1"/>
  <c r="AJ1698" i="1"/>
  <c r="AK1698" i="1" s="1"/>
  <c r="AJ2031" i="1"/>
  <c r="AK2031" i="1" s="1"/>
  <c r="AJ1413" i="1"/>
  <c r="AK1413" i="1" s="1"/>
  <c r="AJ1206" i="1"/>
  <c r="AK1206" i="1" s="1"/>
  <c r="AJ471" i="1"/>
  <c r="AK471" i="1" s="1"/>
  <c r="AJ1245" i="1"/>
  <c r="AK1245" i="1" s="1"/>
  <c r="AJ2182" i="1"/>
  <c r="AK2182" i="1" s="1"/>
  <c r="AJ528" i="1"/>
  <c r="AK528" i="1" s="1"/>
  <c r="AJ415" i="1"/>
  <c r="AK415" i="1" s="1"/>
  <c r="AJ152" i="1"/>
  <c r="AK152" i="1" s="1"/>
  <c r="AJ307" i="1"/>
  <c r="AK307" i="1" s="1"/>
  <c r="AJ335" i="1"/>
  <c r="AK335" i="1" s="1"/>
  <c r="AJ1407" i="1"/>
  <c r="AK1407" i="1" s="1"/>
  <c r="AJ1712" i="1"/>
  <c r="AK1712" i="1" s="1"/>
  <c r="AJ1796" i="1"/>
  <c r="AK1796" i="1" s="1"/>
  <c r="AJ457" i="1"/>
  <c r="AK457" i="1" s="1"/>
  <c r="AJ2583" i="1"/>
  <c r="AK2583" i="1" s="1"/>
  <c r="AJ2424" i="1"/>
  <c r="AK2424" i="1" s="1"/>
  <c r="AJ1073" i="1"/>
  <c r="AK1073" i="1" s="1"/>
  <c r="AJ376" i="1"/>
  <c r="AK376" i="1" s="1"/>
  <c r="AJ897" i="1"/>
  <c r="AK897" i="1" s="1"/>
  <c r="AJ891" i="1"/>
  <c r="AK891" i="1" s="1"/>
  <c r="AJ1130" i="1"/>
  <c r="AK1130" i="1" s="1"/>
  <c r="AJ288" i="1"/>
  <c r="AK288" i="1" s="1"/>
  <c r="AJ213" i="1"/>
  <c r="AK213" i="1" s="1"/>
  <c r="AJ1112" i="1"/>
  <c r="AK1112" i="1" s="1"/>
  <c r="AJ4" i="1"/>
  <c r="AK4" i="1" s="1"/>
  <c r="AJ45" i="1"/>
  <c r="AK45" i="1" s="1"/>
  <c r="AJ900" i="1"/>
  <c r="AK900" i="1" s="1"/>
  <c r="AJ1360" i="1"/>
  <c r="AK1360" i="1" s="1"/>
  <c r="AJ2588" i="1"/>
  <c r="AK2588" i="1" s="1"/>
  <c r="AJ1417" i="1"/>
  <c r="AK1417" i="1" s="1"/>
  <c r="AJ1058" i="1"/>
  <c r="AK1058" i="1" s="1"/>
  <c r="AJ100" i="1"/>
  <c r="AK100" i="1" s="1"/>
  <c r="AJ475" i="1"/>
  <c r="AK475" i="1" s="1"/>
  <c r="AJ164" i="1"/>
  <c r="AK164" i="1" s="1"/>
  <c r="AJ418" i="1"/>
  <c r="AK418" i="1" s="1"/>
  <c r="AJ701" i="1"/>
  <c r="AK701" i="1" s="1"/>
  <c r="AJ523" i="1"/>
  <c r="AK523" i="1" s="1"/>
  <c r="AJ1278" i="1"/>
  <c r="AK1278" i="1" s="1"/>
  <c r="AJ467" i="1"/>
  <c r="AK467" i="1" s="1"/>
  <c r="AJ571" i="1"/>
  <c r="AK571" i="1" s="1"/>
  <c r="AJ938" i="1"/>
  <c r="AK938" i="1" s="1"/>
  <c r="AJ1030" i="1"/>
  <c r="AK1030" i="1" s="1"/>
  <c r="AJ1697" i="1"/>
  <c r="AK1697" i="1" s="1"/>
  <c r="AJ852" i="1"/>
  <c r="AK852" i="1" s="1"/>
  <c r="AJ1427" i="1"/>
  <c r="AK1427" i="1" s="1"/>
  <c r="AJ1315" i="1"/>
  <c r="AK1315" i="1" s="1"/>
  <c r="AJ230" i="1"/>
  <c r="AK230" i="1" s="1"/>
  <c r="AJ1879" i="1"/>
  <c r="AK1879" i="1" s="1"/>
  <c r="AJ2068" i="1"/>
  <c r="AK2068" i="1" s="1"/>
  <c r="AJ2587" i="1"/>
  <c r="AK2587" i="1" s="1"/>
  <c r="AJ2527" i="1"/>
  <c r="AK2527" i="1" s="1"/>
  <c r="AJ1012" i="1"/>
  <c r="AK1012" i="1" s="1"/>
  <c r="AJ1334" i="1"/>
  <c r="AK1334" i="1" s="1"/>
  <c r="AJ1136" i="1"/>
  <c r="AK1136" i="1" s="1"/>
  <c r="AJ2548" i="1"/>
  <c r="AK2548" i="1" s="1"/>
  <c r="AJ608" i="1"/>
  <c r="AK608" i="1" s="1"/>
  <c r="AJ483" i="1"/>
  <c r="AK483" i="1" s="1"/>
  <c r="AJ1772" i="1"/>
  <c r="AK1772" i="1" s="1"/>
  <c r="AJ422" i="1"/>
  <c r="AK422" i="1" s="1"/>
  <c r="AJ2582" i="1"/>
  <c r="AK2582" i="1" s="1"/>
  <c r="AJ93" i="1"/>
  <c r="AK93" i="1" s="1"/>
  <c r="AJ74" i="1"/>
  <c r="AK74" i="1" s="1"/>
  <c r="AJ59" i="1"/>
  <c r="AK59" i="1" s="1"/>
  <c r="AJ98" i="1"/>
  <c r="AK98" i="1" s="1"/>
  <c r="AJ68" i="1"/>
  <c r="AK68" i="1" s="1"/>
  <c r="AJ72" i="1"/>
  <c r="AK72" i="1" s="1"/>
  <c r="AJ75" i="1"/>
  <c r="AK75" i="1" s="1"/>
  <c r="AJ124" i="1"/>
  <c r="AK124" i="1" s="1"/>
  <c r="AJ87" i="1"/>
  <c r="AK87" i="1" s="1"/>
  <c r="AJ80" i="1"/>
  <c r="AK80" i="1" s="1"/>
  <c r="AJ86" i="1"/>
  <c r="AK86" i="1" s="1"/>
  <c r="AJ89" i="1"/>
  <c r="AK89" i="1" s="1"/>
  <c r="AJ58" i="1"/>
  <c r="AK58" i="1" s="1"/>
  <c r="AJ77" i="1"/>
  <c r="AK77" i="1" s="1"/>
  <c r="AJ121" i="1"/>
  <c r="AK121" i="1" s="1"/>
  <c r="AJ62" i="1"/>
  <c r="AK62" i="1" s="1"/>
  <c r="AJ67" i="1"/>
  <c r="AK67" i="1" s="1"/>
  <c r="AJ79" i="1"/>
  <c r="AK79" i="1" s="1"/>
  <c r="AJ70" i="1"/>
  <c r="AK70" i="1" s="1"/>
  <c r="AJ63" i="1"/>
  <c r="AK63" i="1" s="1"/>
  <c r="AJ69" i="1"/>
  <c r="AK69" i="1" s="1"/>
  <c r="AJ73" i="1"/>
  <c r="AK73" i="1" s="1"/>
  <c r="AJ95" i="1"/>
  <c r="AK95" i="1" s="1"/>
  <c r="AJ128" i="1"/>
  <c r="AK128" i="1" s="1"/>
  <c r="AJ129" i="1"/>
  <c r="AK129" i="1" s="1"/>
  <c r="AJ118" i="1"/>
  <c r="AK118" i="1" s="1"/>
  <c r="AJ120" i="1"/>
  <c r="AK120" i="1" s="1"/>
  <c r="AJ137" i="1"/>
  <c r="AK137" i="1" s="1"/>
  <c r="AJ13" i="1"/>
  <c r="AK13" i="1" s="1"/>
  <c r="AJ138" i="1"/>
  <c r="AK138" i="1" s="1"/>
  <c r="AJ34" i="1"/>
  <c r="AK34" i="1" s="1"/>
  <c r="AJ38" i="1"/>
  <c r="AK38" i="1" s="1"/>
  <c r="AJ44" i="1"/>
  <c r="AK44" i="1" s="1"/>
  <c r="AJ106" i="1"/>
  <c r="AK106" i="1" s="1"/>
  <c r="AJ15" i="1"/>
  <c r="AK15" i="1" s="1"/>
  <c r="AJ30" i="1"/>
  <c r="AK30" i="1" s="1"/>
  <c r="AJ31" i="1"/>
  <c r="AK31" i="1" s="1"/>
  <c r="AJ66" i="1"/>
  <c r="AK66" i="1" s="1"/>
  <c r="AJ111" i="1"/>
  <c r="AK111" i="1" s="1"/>
  <c r="AJ134" i="1"/>
  <c r="AK134" i="1" s="1"/>
  <c r="AJ143" i="1"/>
  <c r="AK143" i="1" s="1"/>
  <c r="AJ41" i="1"/>
  <c r="AK41" i="1" s="1"/>
  <c r="AJ114" i="1"/>
  <c r="AK114" i="1" s="1"/>
  <c r="AJ28" i="1"/>
  <c r="AK28" i="1" s="1"/>
  <c r="AJ83" i="1"/>
  <c r="AK83" i="1" s="1"/>
  <c r="AJ32" i="1"/>
  <c r="AK32" i="1" s="1"/>
  <c r="AJ37" i="1"/>
  <c r="AK37" i="1" s="1"/>
  <c r="AJ35" i="1"/>
  <c r="AK35" i="1" s="1"/>
  <c r="AJ53" i="1"/>
  <c r="AK53" i="1" s="1"/>
  <c r="AJ116" i="1"/>
  <c r="AK116" i="1" s="1"/>
  <c r="AJ33" i="1"/>
  <c r="AK33" i="1" s="1"/>
  <c r="AJ29" i="1"/>
  <c r="AK29" i="1" s="1"/>
  <c r="AJ52" i="1"/>
  <c r="AK52" i="1" s="1"/>
  <c r="AJ81" i="1"/>
  <c r="AK81" i="1" s="1"/>
  <c r="AJ55" i="1"/>
  <c r="AK55" i="1" s="1"/>
  <c r="AJ23" i="1"/>
  <c r="AK23" i="1" s="1"/>
  <c r="AJ21" i="1"/>
  <c r="AK21" i="1" s="1"/>
  <c r="AJ101" i="1"/>
  <c r="AK101" i="1" s="1"/>
  <c r="AJ109" i="1"/>
  <c r="AK109" i="1" s="1"/>
  <c r="AJ61" i="1"/>
  <c r="AK61" i="1" s="1"/>
  <c r="AJ56" i="1"/>
  <c r="AK56" i="1" s="1"/>
  <c r="AJ110" i="1"/>
  <c r="AK110" i="1" s="1"/>
  <c r="AJ126" i="1"/>
  <c r="AK126" i="1" s="1"/>
  <c r="AJ57" i="1"/>
  <c r="AK57" i="1" s="1"/>
  <c r="AJ97" i="1"/>
  <c r="AK97" i="1" s="1"/>
  <c r="AJ39" i="1"/>
  <c r="AK39" i="1" s="1"/>
  <c r="AJ40" i="1"/>
  <c r="AK40" i="1" s="1"/>
  <c r="AJ18" i="1"/>
  <c r="AK18" i="1" s="1"/>
  <c r="AJ46" i="1"/>
  <c r="AK46" i="1" s="1"/>
  <c r="AJ22" i="1"/>
  <c r="AK22" i="1" s="1"/>
  <c r="AJ140" i="1"/>
  <c r="AK140" i="1" s="1"/>
  <c r="AJ136" i="1"/>
  <c r="AK136" i="1" s="1"/>
  <c r="AJ47" i="1"/>
  <c r="AK47" i="1" s="1"/>
  <c r="AJ851" i="1"/>
  <c r="AK851" i="1" s="1"/>
  <c r="AJ355" i="1"/>
  <c r="AK355" i="1" s="1"/>
  <c r="AJ1750" i="1"/>
  <c r="AK1750" i="1" s="1"/>
  <c r="AJ362" i="1"/>
  <c r="AK362" i="1" s="1"/>
  <c r="AJ961" i="1"/>
  <c r="AK961" i="1" s="1"/>
  <c r="AJ624" i="1"/>
  <c r="AK624" i="1" s="1"/>
  <c r="AJ554" i="1"/>
  <c r="AK554" i="1" s="1"/>
  <c r="AJ1282" i="1"/>
  <c r="AK1282" i="1" s="1"/>
  <c r="AJ1218" i="1"/>
  <c r="AK1218" i="1" s="1"/>
  <c r="AJ1332" i="1"/>
  <c r="AK1332" i="1" s="1"/>
  <c r="AJ1383" i="1"/>
  <c r="AK1383" i="1" s="1"/>
  <c r="AJ313" i="1"/>
  <c r="AK313" i="1" s="1"/>
  <c r="AJ920" i="1"/>
  <c r="AK920" i="1" s="1"/>
  <c r="AJ1232" i="1"/>
  <c r="AK1232" i="1" s="1"/>
  <c r="AJ1789" i="1"/>
  <c r="AK1789" i="1" s="1"/>
  <c r="AJ873" i="1"/>
  <c r="AK873" i="1" s="1"/>
  <c r="AJ1330" i="1"/>
  <c r="AK1330" i="1" s="1"/>
  <c r="AJ1623" i="1"/>
  <c r="AK1623" i="1" s="1"/>
  <c r="AJ1689" i="1"/>
  <c r="AK1689" i="1" s="1"/>
  <c r="AJ1847" i="1"/>
  <c r="AK1847" i="1" s="1"/>
  <c r="AJ2522" i="1"/>
  <c r="AK2522" i="1" s="1"/>
  <c r="AJ2313" i="1"/>
  <c r="AK2313" i="1" s="1"/>
  <c r="AJ2386" i="1"/>
  <c r="AK2386" i="1" s="1"/>
  <c r="AJ407" i="1"/>
  <c r="AK407" i="1" s="1"/>
  <c r="AJ584" i="1"/>
  <c r="AK584" i="1" s="1"/>
  <c r="AJ602" i="1"/>
  <c r="AK602" i="1" s="1"/>
  <c r="AJ632" i="1"/>
  <c r="AK632" i="1" s="1"/>
  <c r="AJ756" i="1"/>
  <c r="AK756" i="1" s="1"/>
  <c r="AJ760" i="1"/>
  <c r="AK760" i="1" s="1"/>
  <c r="AJ921" i="1"/>
  <c r="AK921" i="1" s="1"/>
  <c r="AJ966" i="1"/>
  <c r="AK966" i="1" s="1"/>
  <c r="AJ980" i="1"/>
  <c r="AK980" i="1" s="1"/>
  <c r="AJ1021" i="1"/>
  <c r="AK1021" i="1" s="1"/>
  <c r="AJ1197" i="1"/>
  <c r="AK1197" i="1" s="1"/>
  <c r="AJ1313" i="1"/>
  <c r="AK1313" i="1" s="1"/>
  <c r="AJ1677" i="1"/>
  <c r="AK1677" i="1" s="1"/>
  <c r="AJ1757" i="1"/>
  <c r="AK1757" i="1" s="1"/>
  <c r="AJ2523" i="1"/>
  <c r="AK2523" i="1" s="1"/>
  <c r="AJ2030" i="1"/>
  <c r="AK2030" i="1" s="1"/>
  <c r="AJ207" i="1"/>
  <c r="AK207" i="1" s="1"/>
  <c r="AJ271" i="1"/>
  <c r="AK271" i="1" s="1"/>
  <c r="AJ449" i="1"/>
  <c r="AK449" i="1" s="1"/>
  <c r="AJ441" i="1"/>
  <c r="AK441" i="1" s="1"/>
  <c r="AJ510" i="1"/>
  <c r="AK510" i="1" s="1"/>
  <c r="AJ512" i="1"/>
  <c r="AK512" i="1" s="1"/>
  <c r="AJ504" i="1"/>
  <c r="AK504" i="1" s="1"/>
  <c r="AJ503" i="1"/>
  <c r="AK503" i="1" s="1"/>
  <c r="AJ583" i="1"/>
  <c r="AK583" i="1" s="1"/>
  <c r="AJ903" i="1"/>
  <c r="AK903" i="1" s="1"/>
  <c r="AJ1287" i="1"/>
  <c r="AK1287" i="1" s="1"/>
  <c r="AJ1173" i="1"/>
  <c r="AK1173" i="1" s="1"/>
  <c r="AJ1320" i="1"/>
  <c r="AK1320" i="1" s="1"/>
  <c r="AJ1244" i="1"/>
  <c r="AK1244" i="1" s="1"/>
  <c r="AJ1314" i="1"/>
  <c r="AK1314" i="1" s="1"/>
  <c r="AJ1544" i="1"/>
  <c r="AK1544" i="1" s="1"/>
  <c r="AJ1631" i="1"/>
  <c r="AK1631" i="1" s="1"/>
  <c r="AJ1687" i="1"/>
  <c r="AK1687" i="1" s="1"/>
  <c r="AJ1705" i="1"/>
  <c r="AK1705" i="1" s="1"/>
  <c r="AJ2026" i="1"/>
  <c r="AK2026" i="1" s="1"/>
  <c r="AJ2027" i="1"/>
  <c r="AK2027" i="1" s="1"/>
  <c r="AJ2033" i="1"/>
  <c r="AK2033" i="1" s="1"/>
  <c r="AJ2233" i="1"/>
  <c r="AK2233" i="1" s="1"/>
  <c r="AJ2239" i="1"/>
  <c r="AK2239" i="1" s="1"/>
  <c r="AJ2231" i="1"/>
  <c r="AK2231" i="1" s="1"/>
  <c r="AJ2407" i="1"/>
  <c r="AK2407" i="1" s="1"/>
  <c r="AJ2530" i="1"/>
  <c r="AK2530" i="1" s="1"/>
  <c r="AJ186" i="1"/>
  <c r="AK186" i="1" s="1"/>
  <c r="AJ190" i="1"/>
  <c r="AK190" i="1" s="1"/>
  <c r="AJ201" i="1"/>
  <c r="AK201" i="1" s="1"/>
  <c r="AJ286" i="1"/>
  <c r="AK286" i="1" s="1"/>
  <c r="AJ329" i="1"/>
  <c r="AK329" i="1" s="1"/>
  <c r="AJ350" i="1"/>
  <c r="AK350" i="1" s="1"/>
  <c r="AJ383" i="1"/>
  <c r="AK383" i="1" s="1"/>
  <c r="AJ537" i="1"/>
  <c r="AK537" i="1" s="1"/>
  <c r="AJ468" i="1"/>
  <c r="AK468" i="1" s="1"/>
  <c r="AJ472" i="1"/>
  <c r="AK472" i="1" s="1"/>
  <c r="AJ513" i="1"/>
  <c r="AK513" i="1" s="1"/>
  <c r="AJ529" i="1"/>
  <c r="AK529" i="1" s="1"/>
  <c r="AJ560" i="1"/>
  <c r="AK560" i="1" s="1"/>
  <c r="AJ626" i="1"/>
  <c r="AK626" i="1" s="1"/>
  <c r="AJ753" i="1"/>
  <c r="AK753" i="1" s="1"/>
  <c r="AJ676" i="1"/>
  <c r="AK676" i="1" s="1"/>
  <c r="AJ681" i="1"/>
  <c r="AK681" i="1" s="1"/>
  <c r="AJ712" i="1"/>
  <c r="AK712" i="1" s="1"/>
  <c r="AJ727" i="1"/>
  <c r="AK727" i="1" s="1"/>
  <c r="AJ732" i="1"/>
  <c r="AK732" i="1" s="1"/>
  <c r="AJ779" i="1"/>
  <c r="AK779" i="1" s="1"/>
  <c r="AJ783" i="1"/>
  <c r="AK783" i="1" s="1"/>
  <c r="AJ787" i="1"/>
  <c r="AK787" i="1" s="1"/>
  <c r="AJ722" i="1"/>
  <c r="AK722" i="1" s="1"/>
  <c r="AJ782" i="1"/>
  <c r="AK782" i="1" s="1"/>
  <c r="AJ872" i="1"/>
  <c r="AK872" i="1" s="1"/>
  <c r="AJ855" i="1"/>
  <c r="AK855" i="1" s="1"/>
  <c r="AJ870" i="1"/>
  <c r="AK870" i="1" s="1"/>
  <c r="AJ869" i="1"/>
  <c r="AK869" i="1" s="1"/>
  <c r="AJ924" i="1"/>
  <c r="AK924" i="1" s="1"/>
  <c r="AJ971" i="1"/>
  <c r="AK971" i="1" s="1"/>
  <c r="AJ978" i="1"/>
  <c r="AK978" i="1" s="1"/>
  <c r="AJ979" i="1"/>
  <c r="AK979" i="1" s="1"/>
  <c r="AJ977" i="1"/>
  <c r="AK977" i="1" s="1"/>
  <c r="AJ1000" i="1"/>
  <c r="AK1000" i="1" s="1"/>
  <c r="AJ1056" i="1"/>
  <c r="AK1056" i="1" s="1"/>
  <c r="AJ1059" i="1"/>
  <c r="AK1059" i="1" s="1"/>
  <c r="AJ1067" i="1"/>
  <c r="AK1067" i="1" s="1"/>
  <c r="AJ1109" i="1"/>
  <c r="AK1109" i="1" s="1"/>
  <c r="AJ1213" i="1"/>
  <c r="AK1213" i="1" s="1"/>
  <c r="AJ1210" i="1"/>
  <c r="AK1210" i="1" s="1"/>
  <c r="AJ1175" i="1"/>
  <c r="AK1175" i="1" s="1"/>
  <c r="AJ1221" i="1"/>
  <c r="AK1221" i="1" s="1"/>
  <c r="AJ1277" i="1"/>
  <c r="AK1277" i="1" s="1"/>
  <c r="AJ1233" i="1"/>
  <c r="AK1233" i="1" s="1"/>
  <c r="AJ1227" i="1"/>
  <c r="AK1227" i="1" s="1"/>
  <c r="AJ1228" i="1"/>
  <c r="AK1228" i="1" s="1"/>
  <c r="AJ1239" i="1"/>
  <c r="AK1239" i="1" s="1"/>
  <c r="AJ1247" i="1"/>
  <c r="AK1247" i="1" s="1"/>
  <c r="AJ1241" i="1"/>
  <c r="AK1241" i="1" s="1"/>
  <c r="AJ1222" i="1"/>
  <c r="AK1222" i="1" s="1"/>
  <c r="AJ1322" i="1"/>
  <c r="AK1322" i="1" s="1"/>
  <c r="AJ1309" i="1"/>
  <c r="AK1309" i="1" s="1"/>
  <c r="AJ1396" i="1"/>
  <c r="AK1396" i="1" s="1"/>
  <c r="AJ1460" i="1"/>
  <c r="AK1460" i="1" s="1"/>
  <c r="AJ1465" i="1"/>
  <c r="AK1465" i="1" s="1"/>
  <c r="AJ1478" i="1"/>
  <c r="AK1478" i="1" s="1"/>
  <c r="AJ1488" i="1"/>
  <c r="AK1488" i="1" s="1"/>
  <c r="AJ1494" i="1"/>
  <c r="AK1494" i="1" s="1"/>
  <c r="AJ1541" i="1"/>
  <c r="AK1541" i="1" s="1"/>
  <c r="AJ1549" i="1"/>
  <c r="AK1549" i="1" s="1"/>
  <c r="AJ1699" i="1"/>
  <c r="AK1699" i="1" s="1"/>
  <c r="AJ1600" i="1"/>
  <c r="AK1600" i="1" s="1"/>
  <c r="AJ1652" i="1"/>
  <c r="AK1652" i="1" s="1"/>
  <c r="AJ1655" i="1"/>
  <c r="AK1655" i="1" s="1"/>
  <c r="AJ1667" i="1"/>
  <c r="AK1667" i="1" s="1"/>
  <c r="AJ1657" i="1"/>
  <c r="AK1657" i="1" s="1"/>
  <c r="AJ1668" i="1"/>
  <c r="AK1668" i="1" s="1"/>
  <c r="AJ1663" i="1"/>
  <c r="AK1663" i="1" s="1"/>
  <c r="AJ1690" i="1"/>
  <c r="AK1690" i="1" s="1"/>
  <c r="AJ1671" i="1"/>
  <c r="AK1671" i="1" s="1"/>
  <c r="AJ1840" i="1"/>
  <c r="AK1840" i="1" s="1"/>
  <c r="AJ1848" i="1"/>
  <c r="AK1848" i="1" s="1"/>
  <c r="AJ1853" i="1"/>
  <c r="AK1853" i="1" s="1"/>
  <c r="AJ2271" i="1"/>
  <c r="AK2271" i="1" s="1"/>
  <c r="AJ2237" i="1"/>
  <c r="AK2237" i="1" s="1"/>
  <c r="AJ2232" i="1"/>
  <c r="AK2232" i="1" s="1"/>
  <c r="AJ2405" i="1"/>
  <c r="AK2405" i="1" s="1"/>
  <c r="AJ2525" i="1"/>
  <c r="AK2525" i="1" s="1"/>
  <c r="AJ2531" i="1"/>
  <c r="AK2531" i="1" s="1"/>
  <c r="AJ2542" i="1"/>
  <c r="AK2542" i="1" s="1"/>
  <c r="AJ2606" i="1"/>
  <c r="AK2606" i="1" s="1"/>
  <c r="AJ253" i="1"/>
  <c r="AK253" i="1" s="1"/>
  <c r="AJ314" i="1"/>
  <c r="AK314" i="1" s="1"/>
  <c r="AJ451" i="1"/>
  <c r="AK451" i="1" s="1"/>
  <c r="AJ752" i="1"/>
  <c r="AK752" i="1" s="1"/>
  <c r="AJ758" i="1"/>
  <c r="AK758" i="1" s="1"/>
  <c r="AJ768" i="1"/>
  <c r="AK768" i="1" s="1"/>
  <c r="AJ780" i="1"/>
  <c r="AK780" i="1" s="1"/>
  <c r="AJ876" i="1"/>
  <c r="AK876" i="1" s="1"/>
  <c r="AJ859" i="1"/>
  <c r="AK859" i="1" s="1"/>
  <c r="AJ860" i="1"/>
  <c r="AK860" i="1" s="1"/>
  <c r="AJ935" i="1"/>
  <c r="AK935" i="1" s="1"/>
  <c r="AJ973" i="1"/>
  <c r="AK973" i="1" s="1"/>
  <c r="AJ1019" i="1"/>
  <c r="AK1019" i="1" s="1"/>
  <c r="AJ1140" i="1"/>
  <c r="AK1140" i="1" s="1"/>
  <c r="AJ1212" i="1"/>
  <c r="AK1212" i="1" s="1"/>
  <c r="AJ1207" i="1"/>
  <c r="AK1207" i="1" s="1"/>
  <c r="AJ1192" i="1"/>
  <c r="AK1192" i="1" s="1"/>
  <c r="AJ1387" i="1"/>
  <c r="AK1387" i="1" s="1"/>
  <c r="AJ1225" i="1"/>
  <c r="AK1225" i="1" s="1"/>
  <c r="AJ1433" i="1"/>
  <c r="AK1433" i="1" s="1"/>
  <c r="AJ1331" i="1"/>
  <c r="AK1331" i="1" s="1"/>
  <c r="AJ1333" i="1"/>
  <c r="AK1333" i="1" s="1"/>
  <c r="AJ1400" i="1"/>
  <c r="AK1400" i="1" s="1"/>
  <c r="AJ1405" i="1"/>
  <c r="AK1405" i="1" s="1"/>
  <c r="AJ1421" i="1"/>
  <c r="AK1421" i="1" s="1"/>
  <c r="AJ1454" i="1"/>
  <c r="AK1454" i="1" s="1"/>
  <c r="AJ1527" i="1"/>
  <c r="AK1527" i="1" s="1"/>
  <c r="AJ1532" i="1"/>
  <c r="AK1532" i="1" s="1"/>
  <c r="AJ1545" i="1"/>
  <c r="AK1545" i="1" s="1"/>
  <c r="AJ1817" i="1"/>
  <c r="AK1817" i="1" s="1"/>
  <c r="AJ1603" i="1"/>
  <c r="AK1603" i="1" s="1"/>
  <c r="AJ1597" i="1"/>
  <c r="AK1597" i="1" s="1"/>
  <c r="AJ1833" i="1"/>
  <c r="AK1833" i="1" s="1"/>
  <c r="AJ1832" i="1"/>
  <c r="AK1832" i="1" s="1"/>
  <c r="AJ1658" i="1"/>
  <c r="AK1658" i="1" s="1"/>
  <c r="AJ1678" i="1"/>
  <c r="AK1678" i="1" s="1"/>
  <c r="AJ1691" i="1"/>
  <c r="AK1691" i="1" s="1"/>
  <c r="AJ1785" i="1"/>
  <c r="AK1785" i="1" s="1"/>
  <c r="AJ1838" i="1"/>
  <c r="AK1838" i="1" s="1"/>
  <c r="AJ1836" i="1"/>
  <c r="AK1836" i="1" s="1"/>
  <c r="AJ1856" i="1"/>
  <c r="AK1856" i="1" s="1"/>
  <c r="AJ2276" i="1"/>
  <c r="AK2276" i="1" s="1"/>
  <c r="AJ2495" i="1"/>
  <c r="AK2495" i="1" s="1"/>
  <c r="AJ2316" i="1"/>
  <c r="AK2316" i="1" s="1"/>
  <c r="AJ2322" i="1"/>
  <c r="AK2322" i="1" s="1"/>
  <c r="AJ2608" i="1"/>
  <c r="AK2608" i="1" s="1"/>
  <c r="AJ191" i="1"/>
  <c r="AK191" i="1" s="1"/>
  <c r="AJ195" i="1"/>
  <c r="AK195" i="1" s="1"/>
  <c r="AJ193" i="1"/>
  <c r="AK193" i="1" s="1"/>
  <c r="AJ242" i="1"/>
  <c r="AK242" i="1" s="1"/>
  <c r="AJ240" i="1"/>
  <c r="AK240" i="1" s="1"/>
  <c r="AJ244" i="1"/>
  <c r="AK244" i="1" s="1"/>
  <c r="AJ263" i="1"/>
  <c r="AK263" i="1" s="1"/>
  <c r="AJ255" i="1"/>
  <c r="AK255" i="1" s="1"/>
  <c r="AJ258" i="1"/>
  <c r="AK258" i="1" s="1"/>
  <c r="AJ322" i="1"/>
  <c r="AK322" i="1" s="1"/>
  <c r="AJ365" i="1"/>
  <c r="AK365" i="1" s="1"/>
  <c r="AJ409" i="1"/>
  <c r="AK409" i="1" s="1"/>
  <c r="AJ439" i="1"/>
  <c r="AK439" i="1" s="1"/>
  <c r="AJ446" i="1"/>
  <c r="AK446" i="1" s="1"/>
  <c r="AJ476" i="1"/>
  <c r="AK476" i="1" s="1"/>
  <c r="AJ530" i="1"/>
  <c r="AK530" i="1" s="1"/>
  <c r="AJ521" i="1"/>
  <c r="AK521" i="1" s="1"/>
  <c r="AJ519" i="1"/>
  <c r="AK519" i="1" s="1"/>
  <c r="AJ597" i="1"/>
  <c r="AK597" i="1" s="1"/>
  <c r="AJ616" i="1"/>
  <c r="AK616" i="1" s="1"/>
  <c r="AJ634" i="1"/>
  <c r="AK634" i="1" s="1"/>
  <c r="AJ633" i="1"/>
  <c r="AK633" i="1" s="1"/>
  <c r="AJ642" i="1"/>
  <c r="AK642" i="1" s="1"/>
  <c r="AJ707" i="1"/>
  <c r="AK707" i="1" s="1"/>
  <c r="AJ706" i="1"/>
  <c r="AK706" i="1" s="1"/>
  <c r="AJ775" i="1"/>
  <c r="AK775" i="1" s="1"/>
  <c r="AJ773" i="1"/>
  <c r="AK773" i="1" s="1"/>
  <c r="AJ769" i="1"/>
  <c r="AK769" i="1" s="1"/>
  <c r="AJ767" i="1"/>
  <c r="AK767" i="1" s="1"/>
  <c r="AJ798" i="1"/>
  <c r="AK798" i="1" s="1"/>
  <c r="AJ790" i="1"/>
  <c r="AK790" i="1" s="1"/>
  <c r="AJ799" i="1"/>
  <c r="AK799" i="1" s="1"/>
  <c r="AJ801" i="1"/>
  <c r="AK801" i="1" s="1"/>
  <c r="AJ811" i="1"/>
  <c r="AK811" i="1" s="1"/>
  <c r="AJ854" i="1"/>
  <c r="AK854" i="1" s="1"/>
  <c r="AJ864" i="1"/>
  <c r="AK864" i="1" s="1"/>
  <c r="AJ881" i="1"/>
  <c r="AK881" i="1" s="1"/>
  <c r="AJ919" i="1"/>
  <c r="AK919" i="1" s="1"/>
  <c r="AJ946" i="1"/>
  <c r="AK946" i="1" s="1"/>
  <c r="AJ957" i="1"/>
  <c r="AK957" i="1" s="1"/>
  <c r="AJ953" i="1"/>
  <c r="AK953" i="1" s="1"/>
  <c r="AJ951" i="1"/>
  <c r="AK951" i="1" s="1"/>
  <c r="AJ1013" i="1"/>
  <c r="AK1013" i="1" s="1"/>
  <c r="AJ1014" i="1"/>
  <c r="AK1014" i="1" s="1"/>
  <c r="AJ1016" i="1"/>
  <c r="AK1016" i="1" s="1"/>
  <c r="AJ1035" i="1"/>
  <c r="AK1035" i="1" s="1"/>
  <c r="AJ1121" i="1"/>
  <c r="AK1121" i="1" s="1"/>
  <c r="AJ1127" i="1"/>
  <c r="AK1127" i="1" s="1"/>
  <c r="AJ1113" i="1"/>
  <c r="AK1113" i="1" s="1"/>
  <c r="AJ1111" i="1"/>
  <c r="AK1111" i="1" s="1"/>
  <c r="AJ1124" i="1"/>
  <c r="AK1124" i="1" s="1"/>
  <c r="AJ1122" i="1"/>
  <c r="AK1122" i="1" s="1"/>
  <c r="AJ1141" i="1"/>
  <c r="AK1141" i="1" s="1"/>
  <c r="AJ1144" i="1"/>
  <c r="AK1144" i="1" s="1"/>
  <c r="AJ1139" i="1"/>
  <c r="AK1139" i="1" s="1"/>
  <c r="AJ1138" i="1"/>
  <c r="AK1138" i="1" s="1"/>
  <c r="AJ1178" i="1"/>
  <c r="AK1178" i="1" s="1"/>
  <c r="AJ1184" i="1"/>
  <c r="AK1184" i="1" s="1"/>
  <c r="AJ1177" i="1"/>
  <c r="AK1177" i="1" s="1"/>
  <c r="AJ1249" i="1"/>
  <c r="AK1249" i="1" s="1"/>
  <c r="AJ1253" i="1"/>
  <c r="AK1253" i="1" s="1"/>
  <c r="AJ1250" i="1"/>
  <c r="AK1250" i="1" s="1"/>
  <c r="AJ1252" i="1"/>
  <c r="AK1252" i="1" s="1"/>
  <c r="AJ1254" i="1"/>
  <c r="AK1254" i="1" s="1"/>
  <c r="AJ1337" i="1"/>
  <c r="AK1337" i="1" s="1"/>
  <c r="AJ1342" i="1"/>
  <c r="AK1342" i="1" s="1"/>
  <c r="AJ1397" i="1"/>
  <c r="AK1397" i="1" s="1"/>
  <c r="AJ1393" i="1"/>
  <c r="AK1393" i="1" s="1"/>
  <c r="AJ1449" i="1"/>
  <c r="AK1449" i="1" s="1"/>
  <c r="AJ1474" i="1"/>
  <c r="AK1474" i="1" s="1"/>
  <c r="AJ1482" i="1"/>
  <c r="AK1482" i="1" s="1"/>
  <c r="AJ1486" i="1"/>
  <c r="AK1486" i="1" s="1"/>
  <c r="AJ1513" i="1"/>
  <c r="AK1513" i="1" s="1"/>
  <c r="AJ1512" i="1"/>
  <c r="AK1512" i="1" s="1"/>
  <c r="AJ1490" i="1"/>
  <c r="AK1490" i="1" s="1"/>
  <c r="AJ1515" i="1"/>
  <c r="AK1515" i="1" s="1"/>
  <c r="AJ1517" i="1"/>
  <c r="AK1517" i="1" s="1"/>
  <c r="AJ1526" i="1"/>
  <c r="AK1526" i="1" s="1"/>
  <c r="AJ1539" i="1"/>
  <c r="AK1539" i="1" s="1"/>
  <c r="AJ1579" i="1"/>
  <c r="AK1579" i="1" s="1"/>
  <c r="AJ1593" i="1"/>
  <c r="AK1593" i="1" s="1"/>
  <c r="AJ1624" i="1"/>
  <c r="AK1624" i="1" s="1"/>
  <c r="AJ1570" i="1"/>
  <c r="AK1570" i="1" s="1"/>
  <c r="AJ1588" i="1"/>
  <c r="AK1588" i="1" s="1"/>
  <c r="AJ1619" i="1"/>
  <c r="AK1619" i="1" s="1"/>
  <c r="AJ1573" i="1"/>
  <c r="AK1573" i="1" s="1"/>
  <c r="AJ1776" i="1"/>
  <c r="AK1776" i="1" s="1"/>
  <c r="AJ1590" i="1"/>
  <c r="AK1590" i="1" s="1"/>
  <c r="AJ1572" i="1"/>
  <c r="AK1572" i="1" s="1"/>
  <c r="AJ1635" i="1"/>
  <c r="AK1635" i="1" s="1"/>
  <c r="AJ1648" i="1"/>
  <c r="AK1648" i="1" s="1"/>
  <c r="AJ1647" i="1"/>
  <c r="AK1647" i="1" s="1"/>
  <c r="AJ1622" i="1"/>
  <c r="AK1622" i="1" s="1"/>
  <c r="AJ1625" i="1"/>
  <c r="AK1625" i="1" s="1"/>
  <c r="AJ1695" i="1"/>
  <c r="AK1695" i="1" s="1"/>
  <c r="AJ1729" i="1"/>
  <c r="AK1729" i="1" s="1"/>
  <c r="AJ1768" i="1"/>
  <c r="AK1768" i="1" s="1"/>
  <c r="AJ1765" i="1"/>
  <c r="AK1765" i="1" s="1"/>
  <c r="AJ1737" i="1"/>
  <c r="AK1737" i="1" s="1"/>
  <c r="AJ1777" i="1"/>
  <c r="AK1777" i="1" s="1"/>
  <c r="AJ1739" i="1"/>
  <c r="AK1739" i="1" s="1"/>
  <c r="AJ1754" i="1"/>
  <c r="AK1754" i="1" s="1"/>
  <c r="AJ1764" i="1"/>
  <c r="AK1764" i="1" s="1"/>
  <c r="AJ1782" i="1"/>
  <c r="AK1782" i="1" s="1"/>
  <c r="AJ1827" i="1"/>
  <c r="AK1827" i="1" s="1"/>
  <c r="AJ1829" i="1"/>
  <c r="AK1829" i="1" s="1"/>
  <c r="AJ1830" i="1"/>
  <c r="AK1830" i="1" s="1"/>
  <c r="AJ1854" i="1"/>
  <c r="AK1854" i="1" s="1"/>
  <c r="AJ1855" i="1"/>
  <c r="AK1855" i="1" s="1"/>
  <c r="AJ1851" i="1"/>
  <c r="AK1851" i="1" s="1"/>
  <c r="AJ1969" i="1"/>
  <c r="AK1969" i="1" s="1"/>
  <c r="AJ1971" i="1"/>
  <c r="AK1971" i="1" s="1"/>
  <c r="AJ2036" i="1"/>
  <c r="AK2036" i="1" s="1"/>
  <c r="AJ2038" i="1"/>
  <c r="AK2038" i="1" s="1"/>
  <c r="AJ2039" i="1"/>
  <c r="AK2039" i="1" s="1"/>
  <c r="AJ2064" i="1"/>
  <c r="AK2064" i="1" s="1"/>
  <c r="AJ2063" i="1"/>
  <c r="AK2063" i="1" s="1"/>
  <c r="AJ2281" i="1"/>
  <c r="AK2281" i="1" s="1"/>
  <c r="AJ2256" i="1"/>
  <c r="AK2256" i="1" s="1"/>
  <c r="AJ2267" i="1"/>
  <c r="AK2267" i="1" s="1"/>
  <c r="AJ2258" i="1"/>
  <c r="AK2258" i="1" s="1"/>
  <c r="AJ2273" i="1"/>
  <c r="AK2273" i="1" s="1"/>
  <c r="AJ2278" i="1"/>
  <c r="AK2278" i="1" s="1"/>
  <c r="AJ2279" i="1"/>
  <c r="AK2279" i="1" s="1"/>
  <c r="AJ2280" i="1"/>
  <c r="AK2280" i="1" s="1"/>
  <c r="AJ2283" i="1"/>
  <c r="AK2283" i="1" s="1"/>
  <c r="AJ2307" i="1"/>
  <c r="AK2307" i="1" s="1"/>
  <c r="AJ2289" i="1"/>
  <c r="AK2289" i="1" s="1"/>
  <c r="AJ2287" i="1"/>
  <c r="AK2287" i="1" s="1"/>
  <c r="AJ2306" i="1"/>
  <c r="AK2306" i="1" s="1"/>
  <c r="AJ2301" i="1"/>
  <c r="AK2301" i="1" s="1"/>
  <c r="AJ2550" i="1"/>
  <c r="AK2550" i="1" s="1"/>
  <c r="AJ2558" i="1"/>
  <c r="AK2558" i="1" s="1"/>
  <c r="AJ2569" i="1"/>
  <c r="AK2569" i="1" s="1"/>
  <c r="AJ2564" i="1"/>
  <c r="AK2564" i="1" s="1"/>
  <c r="AJ369" i="1"/>
  <c r="AK369" i="1" s="1"/>
  <c r="AJ175" i="1"/>
  <c r="AK175" i="1" s="1"/>
  <c r="AJ166" i="1"/>
  <c r="AK166" i="1" s="1"/>
  <c r="AJ178" i="1"/>
  <c r="AK178" i="1" s="1"/>
  <c r="AJ222" i="1"/>
  <c r="AK222" i="1" s="1"/>
  <c r="AJ241" i="1"/>
  <c r="AK241" i="1" s="1"/>
  <c r="AJ276" i="1"/>
  <c r="AK276" i="1" s="1"/>
  <c r="AJ367" i="1"/>
  <c r="AK367" i="1" s="1"/>
  <c r="AJ428" i="1"/>
  <c r="AK428" i="1" s="1"/>
  <c r="AJ470" i="1"/>
  <c r="AK470" i="1" s="1"/>
  <c r="AJ533" i="1"/>
  <c r="AK533" i="1" s="1"/>
  <c r="AJ558" i="1"/>
  <c r="AK558" i="1" s="1"/>
  <c r="AJ553" i="1"/>
  <c r="AK553" i="1" s="1"/>
  <c r="AJ568" i="1"/>
  <c r="AK568" i="1" s="1"/>
  <c r="AJ578" i="1"/>
  <c r="AK578" i="1" s="1"/>
  <c r="AJ579" i="1"/>
  <c r="AK579" i="1" s="1"/>
  <c r="AJ588" i="1"/>
  <c r="AK588" i="1" s="1"/>
  <c r="AJ648" i="1"/>
  <c r="AK648" i="1" s="1"/>
  <c r="AJ664" i="1"/>
  <c r="AK664" i="1" s="1"/>
  <c r="AJ644" i="1"/>
  <c r="AK644" i="1" s="1"/>
  <c r="AJ649" i="1"/>
  <c r="AK649" i="1" s="1"/>
  <c r="AJ647" i="1"/>
  <c r="AK647" i="1" s="1"/>
  <c r="AJ646" i="1"/>
  <c r="AK646" i="1" s="1"/>
  <c r="AJ666" i="1"/>
  <c r="AK666" i="1" s="1"/>
  <c r="AJ672" i="1"/>
  <c r="AK672" i="1" s="1"/>
  <c r="AJ677" i="1"/>
  <c r="AK677" i="1" s="1"/>
  <c r="AJ742" i="1"/>
  <c r="AK742" i="1" s="1"/>
  <c r="AJ749" i="1"/>
  <c r="AK749" i="1" s="1"/>
  <c r="AJ665" i="1"/>
  <c r="AK665" i="1" s="1"/>
  <c r="AJ670" i="1"/>
  <c r="AK670" i="1" s="1"/>
  <c r="AJ734" i="1"/>
  <c r="AK734" i="1" s="1"/>
  <c r="AJ726" i="1"/>
  <c r="AK726" i="1" s="1"/>
  <c r="AJ738" i="1"/>
  <c r="AK738" i="1" s="1"/>
  <c r="AJ741" i="1"/>
  <c r="AK741" i="1" s="1"/>
  <c r="AJ816" i="1"/>
  <c r="AK816" i="1" s="1"/>
  <c r="AJ888" i="1"/>
  <c r="AK888" i="1" s="1"/>
  <c r="AJ898" i="1"/>
  <c r="AK898" i="1" s="1"/>
  <c r="AJ899" i="1"/>
  <c r="AK899" i="1" s="1"/>
  <c r="AJ895" i="1"/>
  <c r="AK895" i="1" s="1"/>
  <c r="AJ967" i="1"/>
  <c r="AK967" i="1" s="1"/>
  <c r="AJ968" i="1"/>
  <c r="AK968" i="1" s="1"/>
  <c r="AJ1006" i="1"/>
  <c r="AK1006" i="1" s="1"/>
  <c r="AJ1042" i="1"/>
  <c r="AK1042" i="1" s="1"/>
  <c r="AJ1069" i="1"/>
  <c r="AK1069" i="1" s="1"/>
  <c r="AJ1110" i="1"/>
  <c r="AK1110" i="1" s="1"/>
  <c r="AJ1085" i="1"/>
  <c r="AK1085" i="1" s="1"/>
  <c r="AJ1093" i="1"/>
  <c r="AK1093" i="1" s="1"/>
  <c r="AJ1090" i="1"/>
  <c r="AK1090" i="1" s="1"/>
  <c r="AJ1155" i="1"/>
  <c r="AK1155" i="1" s="1"/>
  <c r="AJ1161" i="1"/>
  <c r="AK1161" i="1" s="1"/>
  <c r="AJ1166" i="1"/>
  <c r="AK1166" i="1" s="1"/>
  <c r="AJ1163" i="1"/>
  <c r="AK1163" i="1" s="1"/>
  <c r="AJ1263" i="1"/>
  <c r="AK1263" i="1" s="1"/>
  <c r="AJ1271" i="1"/>
  <c r="AK1271" i="1" s="1"/>
  <c r="AJ1260" i="1"/>
  <c r="AK1260" i="1" s="1"/>
  <c r="AJ1156" i="1"/>
  <c r="AK1156" i="1" s="1"/>
  <c r="AJ1323" i="1"/>
  <c r="AK1323" i="1" s="1"/>
  <c r="AJ1257" i="1"/>
  <c r="AK1257" i="1" s="1"/>
  <c r="AJ1295" i="1"/>
  <c r="AK1295" i="1" s="1"/>
  <c r="AJ1311" i="1"/>
  <c r="AK1311" i="1" s="1"/>
  <c r="AJ1297" i="1"/>
  <c r="AK1297" i="1" s="1"/>
  <c r="AJ1326" i="1"/>
  <c r="AK1326" i="1" s="1"/>
  <c r="AJ1352" i="1"/>
  <c r="AK1352" i="1" s="1"/>
  <c r="AJ1375" i="1"/>
  <c r="AK1375" i="1" s="1"/>
  <c r="AJ1384" i="1"/>
  <c r="AK1384" i="1" s="1"/>
  <c r="AJ1380" i="1"/>
  <c r="AK1380" i="1" s="1"/>
  <c r="AJ1423" i="1"/>
  <c r="AK1423" i="1" s="1"/>
  <c r="AJ1425" i="1"/>
  <c r="AK1425" i="1" s="1"/>
  <c r="AJ1431" i="1"/>
  <c r="AK1431" i="1" s="1"/>
  <c r="AJ1438" i="1"/>
  <c r="AK1438" i="1" s="1"/>
  <c r="AJ1443" i="1"/>
  <c r="AK1443" i="1" s="1"/>
  <c r="AJ1464" i="1"/>
  <c r="AK1464" i="1" s="1"/>
  <c r="AJ1473" i="1"/>
  <c r="AK1473" i="1" s="1"/>
  <c r="AJ1508" i="1"/>
  <c r="AK1508" i="1" s="1"/>
  <c r="AJ1500" i="1"/>
  <c r="AK1500" i="1" s="1"/>
  <c r="AJ1501" i="1"/>
  <c r="AK1501" i="1" s="1"/>
  <c r="AJ1507" i="1"/>
  <c r="AK1507" i="1" s="1"/>
  <c r="AJ1505" i="1"/>
  <c r="AK1505" i="1" s="1"/>
  <c r="AJ1519" i="1"/>
  <c r="AK1519" i="1" s="1"/>
  <c r="AJ1536" i="1"/>
  <c r="AK1536" i="1" s="1"/>
  <c r="AJ1533" i="1"/>
  <c r="AK1533" i="1" s="1"/>
  <c r="AJ1554" i="1"/>
  <c r="AK1554" i="1" s="1"/>
  <c r="AJ1551" i="1"/>
  <c r="AK1551" i="1" s="1"/>
  <c r="AJ1569" i="1"/>
  <c r="AK1569" i="1" s="1"/>
  <c r="AJ1609" i="1"/>
  <c r="AK1609" i="1" s="1"/>
  <c r="AJ1646" i="1"/>
  <c r="AK1646" i="1" s="1"/>
  <c r="AJ1563" i="1"/>
  <c r="AK1563" i="1" s="1"/>
  <c r="AJ1618" i="1"/>
  <c r="AK1618" i="1" s="1"/>
  <c r="AJ1613" i="1"/>
  <c r="AK1613" i="1" s="1"/>
  <c r="AJ1612" i="1"/>
  <c r="AK1612" i="1" s="1"/>
  <c r="AJ1604" i="1"/>
  <c r="AK1604" i="1" s="1"/>
  <c r="AJ1614" i="1"/>
  <c r="AK1614" i="1" s="1"/>
  <c r="AJ1686" i="1"/>
  <c r="AK1686" i="1" s="1"/>
  <c r="AJ1718" i="1"/>
  <c r="AK1718" i="1" s="1"/>
  <c r="AJ1728" i="1"/>
  <c r="AK1728" i="1" s="1"/>
  <c r="AJ1799" i="1"/>
  <c r="AK1799" i="1" s="1"/>
  <c r="AJ1770" i="1"/>
  <c r="AK1770" i="1" s="1"/>
  <c r="AJ1811" i="1"/>
  <c r="AK1811" i="1" s="1"/>
  <c r="AJ1804" i="1"/>
  <c r="AK1804" i="1" s="1"/>
  <c r="AJ1808" i="1"/>
  <c r="AK1808" i="1" s="1"/>
  <c r="AJ2242" i="1"/>
  <c r="AK2242" i="1" s="1"/>
  <c r="AJ2366" i="1"/>
  <c r="AK2366" i="1" s="1"/>
  <c r="AJ2375" i="1"/>
  <c r="AK2375" i="1" s="1"/>
  <c r="AJ2420" i="1"/>
  <c r="AK2420" i="1" s="1"/>
  <c r="AJ2158" i="1"/>
  <c r="AK2158" i="1" s="1"/>
  <c r="AJ2189" i="1"/>
  <c r="AK2189" i="1" s="1"/>
  <c r="AJ2371" i="1"/>
  <c r="AK2371" i="1" s="1"/>
  <c r="AJ2492" i="1"/>
  <c r="AK2492" i="1" s="1"/>
  <c r="AJ2069" i="1"/>
  <c r="AK2069" i="1" s="1"/>
  <c r="AJ2156" i="1"/>
  <c r="AK2156" i="1" s="1"/>
  <c r="AJ2312" i="1"/>
  <c r="AK2312" i="1" s="1"/>
  <c r="AJ1914" i="1"/>
  <c r="AK1914" i="1" s="1"/>
  <c r="AJ1972" i="1"/>
  <c r="AK1972" i="1" s="1"/>
  <c r="AJ2183" i="1"/>
  <c r="AK2183" i="1" s="1"/>
  <c r="AJ2175" i="1"/>
  <c r="AK2175" i="1" s="1"/>
  <c r="AJ2160" i="1"/>
  <c r="AK2160" i="1" s="1"/>
  <c r="AJ2118" i="1"/>
  <c r="AK2118" i="1" s="1"/>
  <c r="AJ2206" i="1"/>
  <c r="AK2206" i="1" s="1"/>
  <c r="AJ2463" i="1"/>
  <c r="AK2463" i="1" s="1"/>
  <c r="AJ2467" i="1"/>
  <c r="AK2467" i="1" s="1"/>
  <c r="AJ2528" i="1"/>
  <c r="AK2528" i="1" s="1"/>
  <c r="AJ2538" i="1"/>
  <c r="AK2538" i="1" s="1"/>
  <c r="AJ2594" i="1"/>
  <c r="AK2594" i="1" s="1"/>
  <c r="AJ1880" i="1"/>
  <c r="AK1880" i="1" s="1"/>
  <c r="AJ1882" i="1"/>
  <c r="AK1882" i="1" s="1"/>
  <c r="AJ1973" i="1"/>
  <c r="AK1973" i="1" s="1"/>
  <c r="AJ1940" i="1"/>
  <c r="AK1940" i="1" s="1"/>
  <c r="AJ2172" i="1"/>
  <c r="AK2172" i="1" s="1"/>
  <c r="AJ2165" i="1"/>
  <c r="AK2165" i="1" s="1"/>
  <c r="AJ2162" i="1"/>
  <c r="AK2162" i="1" s="1"/>
  <c r="AJ2198" i="1"/>
  <c r="AK2198" i="1" s="1"/>
  <c r="AJ2453" i="1"/>
  <c r="AK2453" i="1" s="1"/>
  <c r="AJ2474" i="1"/>
  <c r="AK2474" i="1" s="1"/>
  <c r="AJ2464" i="1"/>
  <c r="AK2464" i="1" s="1"/>
  <c r="AJ2462" i="1"/>
  <c r="AK2462" i="1" s="1"/>
  <c r="AJ2595" i="1"/>
  <c r="AK2595" i="1" s="1"/>
  <c r="AJ2102" i="1"/>
  <c r="AK2102" i="1" s="1"/>
  <c r="AJ2130" i="1"/>
  <c r="AK2130" i="1" s="1"/>
  <c r="AJ2122" i="1"/>
  <c r="AK2122" i="1" s="1"/>
  <c r="AJ2152" i="1"/>
  <c r="AK2152" i="1" s="1"/>
  <c r="AJ2194" i="1"/>
  <c r="AK2194" i="1" s="1"/>
  <c r="AJ2195" i="1"/>
  <c r="AK2195" i="1" s="1"/>
  <c r="AJ2196" i="1"/>
  <c r="AK2196" i="1" s="1"/>
  <c r="AJ2179" i="1"/>
  <c r="AK2179" i="1" s="1"/>
  <c r="AJ2240" i="1"/>
  <c r="AK2240" i="1" s="1"/>
  <c r="AJ2224" i="1"/>
  <c r="AK2224" i="1" s="1"/>
  <c r="AJ2404" i="1"/>
  <c r="AK2404" i="1" s="1"/>
  <c r="AJ2400" i="1"/>
  <c r="AK2400" i="1" s="1"/>
  <c r="AJ2442" i="1"/>
  <c r="AK2442" i="1" s="1"/>
  <c r="AJ2439" i="1"/>
  <c r="AK2439" i="1" s="1"/>
  <c r="AJ2433" i="1"/>
  <c r="AK2433" i="1" s="1"/>
  <c r="AJ2484" i="1"/>
  <c r="AK2484" i="1" s="1"/>
  <c r="AJ2477" i="1"/>
  <c r="AK2477" i="1" s="1"/>
  <c r="AJ2480" i="1"/>
  <c r="AK2480" i="1" s="1"/>
  <c r="AJ2591" i="1"/>
  <c r="AK2591" i="1" s="1"/>
  <c r="AJ1865" i="1"/>
  <c r="AK1865" i="1" s="1"/>
  <c r="AJ1866" i="1"/>
  <c r="AK1866" i="1" s="1"/>
  <c r="AJ1867" i="1"/>
  <c r="AK1867" i="1" s="1"/>
  <c r="AJ1868" i="1"/>
  <c r="AK1868" i="1" s="1"/>
  <c r="AJ1869" i="1"/>
  <c r="AK1869" i="1" s="1"/>
  <c r="AJ1955" i="1"/>
  <c r="AK1955" i="1" s="1"/>
  <c r="AJ1924" i="1"/>
  <c r="AK1924" i="1" s="1"/>
  <c r="AJ2077" i="1"/>
  <c r="AK2077" i="1" s="1"/>
  <c r="AJ2116" i="1"/>
  <c r="AK2116" i="1" s="1"/>
  <c r="AJ2133" i="1"/>
  <c r="AK2133" i="1" s="1"/>
  <c r="AJ2153" i="1"/>
  <c r="AK2153" i="1" s="1"/>
  <c r="AJ2506" i="1"/>
  <c r="AK2506" i="1" s="1"/>
  <c r="AJ2213" i="1"/>
  <c r="AK2213" i="1" s="1"/>
  <c r="AJ2344" i="1"/>
  <c r="AK2344" i="1" s="1"/>
  <c r="AJ2329" i="1"/>
  <c r="AK2329" i="1" s="1"/>
  <c r="AJ2340" i="1"/>
  <c r="AK2340" i="1" s="1"/>
  <c r="AJ2335" i="1"/>
  <c r="AK2335" i="1" s="1"/>
  <c r="AJ2488" i="1"/>
  <c r="AK2488" i="1" s="1"/>
  <c r="AJ2486" i="1"/>
  <c r="AK2486" i="1" s="1"/>
  <c r="AJ2514" i="1"/>
  <c r="AK2514" i="1" s="1"/>
  <c r="AJ2518" i="1"/>
  <c r="AK2518" i="1" s="1"/>
  <c r="AJ2520" i="1"/>
  <c r="AK2520" i="1" s="1"/>
  <c r="AJ2604" i="1"/>
  <c r="AK2604" i="1" s="1"/>
  <c r="AJ2605" i="1"/>
  <c r="AK2605" i="1" s="1"/>
  <c r="AJ2598" i="1"/>
  <c r="AK2598" i="1" s="1"/>
  <c r="AJ48" i="1"/>
  <c r="AK48" i="1" s="1"/>
  <c r="AJ1062" i="1"/>
  <c r="AK1062" i="1" s="1"/>
  <c r="AJ1055" i="1"/>
  <c r="AK1055" i="1" s="1"/>
  <c r="AJ989" i="1"/>
  <c r="AK989" i="1" s="1"/>
  <c r="AJ994" i="1"/>
  <c r="AK994" i="1" s="1"/>
  <c r="AJ944" i="1"/>
  <c r="AK944" i="1" s="1"/>
  <c r="AJ1043" i="1"/>
  <c r="AK1043" i="1" s="1"/>
  <c r="AJ1044" i="1"/>
  <c r="AK1044" i="1" s="1"/>
  <c r="AJ1070" i="1"/>
  <c r="AK1070" i="1" s="1"/>
  <c r="AJ1072" i="1"/>
  <c r="AK1072" i="1" s="1"/>
  <c r="AJ498" i="1"/>
  <c r="AK498" i="1" s="1"/>
  <c r="AJ1696" i="1"/>
  <c r="AK1696" i="1" s="1"/>
  <c r="AJ315" i="1"/>
  <c r="AK315" i="1" s="1"/>
  <c r="AJ357" i="1"/>
  <c r="AK357" i="1" s="1"/>
  <c r="AJ395" i="1"/>
  <c r="AK395" i="1" s="1"/>
  <c r="AJ580" i="1"/>
  <c r="AK580" i="1" s="1"/>
  <c r="AJ1335" i="1"/>
  <c r="AK1335" i="1" s="1"/>
  <c r="AJ341" i="1"/>
  <c r="AK341" i="1" s="1"/>
  <c r="AJ1229" i="1"/>
  <c r="AK1229" i="1" s="1"/>
  <c r="AJ2023" i="1"/>
  <c r="AK2023" i="1" s="1"/>
  <c r="AJ309" i="1"/>
  <c r="AK309" i="1" s="1"/>
  <c r="AJ581" i="1"/>
  <c r="AK581" i="1" s="1"/>
  <c r="AJ1546" i="1"/>
  <c r="AK1546" i="1" s="1"/>
  <c r="AJ507" i="1"/>
  <c r="AK507" i="1" s="1"/>
  <c r="AJ501" i="1"/>
  <c r="AK501" i="1" s="1"/>
  <c r="AJ262" i="1"/>
  <c r="AK262" i="1" s="1"/>
  <c r="AJ290" i="1"/>
  <c r="AK290" i="1" s="1"/>
  <c r="AJ303" i="1"/>
  <c r="AK303" i="1" s="1"/>
  <c r="AJ295" i="1"/>
  <c r="AK295" i="1" s="1"/>
  <c r="AJ324" i="1"/>
  <c r="AK324" i="1" s="1"/>
  <c r="AJ359" i="1"/>
  <c r="AK359" i="1" s="1"/>
  <c r="AJ403" i="1"/>
  <c r="AK403" i="1" s="1"/>
  <c r="AJ423" i="1"/>
  <c r="AK423" i="1" s="1"/>
  <c r="AJ217" i="1"/>
  <c r="AK217" i="1" s="1"/>
  <c r="AJ176" i="1"/>
  <c r="AK176" i="1" s="1"/>
  <c r="AJ235" i="1"/>
  <c r="AK235" i="1" s="1"/>
  <c r="AJ214" i="1"/>
  <c r="AK214" i="1" s="1"/>
  <c r="AJ371" i="1"/>
  <c r="AK371" i="1" s="1"/>
  <c r="AJ410" i="1"/>
  <c r="AK410" i="1" s="1"/>
  <c r="AJ464" i="1"/>
  <c r="AK464" i="1" s="1"/>
  <c r="AJ460" i="1"/>
  <c r="AK460" i="1" s="1"/>
  <c r="AJ1050" i="1"/>
  <c r="AK1050" i="1" s="1"/>
  <c r="AJ1234" i="1"/>
  <c r="AK1234" i="1" s="1"/>
  <c r="AJ1651" i="1"/>
  <c r="AK1651" i="1" s="1"/>
  <c r="AJ181" i="1"/>
  <c r="AK181" i="1" s="1"/>
  <c r="AJ630" i="1"/>
  <c r="AK630" i="1" s="1"/>
  <c r="AJ1447" i="1"/>
  <c r="AK1447" i="1" s="1"/>
  <c r="AJ1037" i="1"/>
  <c r="AK1037" i="1" s="1"/>
  <c r="AJ856" i="1"/>
  <c r="AK856" i="1" s="1"/>
  <c r="AJ354" i="1"/>
  <c r="AK354" i="1" s="1"/>
  <c r="AJ1286" i="1"/>
  <c r="AK1286" i="1" s="1"/>
  <c r="AJ453" i="1"/>
  <c r="AK453" i="1" s="1"/>
  <c r="AJ1356" i="1"/>
  <c r="AK1356" i="1" s="1"/>
  <c r="AJ2552" i="1"/>
  <c r="AK2552" i="1" s="1"/>
  <c r="AJ2557" i="1"/>
  <c r="AK2557" i="1" s="1"/>
  <c r="AJ1145" i="1"/>
  <c r="AK1145" i="1" s="1"/>
  <c r="AJ1575" i="1"/>
  <c r="AK1575" i="1" s="1"/>
  <c r="AJ2482" i="1"/>
  <c r="AK2482" i="1" s="1"/>
  <c r="AJ1446" i="1"/>
  <c r="AK1446" i="1" s="1"/>
  <c r="AJ1498" i="1"/>
  <c r="AK1498" i="1" s="1"/>
  <c r="AJ1713" i="1"/>
  <c r="AK1713" i="1" s="1"/>
  <c r="AJ1364" i="1"/>
  <c r="AK1364" i="1" s="1"/>
  <c r="AJ656" i="1"/>
  <c r="AK656" i="1" s="1"/>
  <c r="AJ582" i="1"/>
  <c r="AK582" i="1" s="1"/>
  <c r="AJ1912" i="1"/>
  <c r="AK1912" i="1" s="1"/>
  <c r="AJ2465" i="1"/>
  <c r="AK2465" i="1" s="1"/>
  <c r="AJ149" i="1"/>
  <c r="AK149" i="1" s="1"/>
  <c r="AJ1171" i="1"/>
  <c r="AK1171" i="1" s="1"/>
  <c r="AJ2469" i="1"/>
  <c r="AK2469" i="1" s="1"/>
  <c r="AJ412" i="1"/>
  <c r="AK412" i="1" s="1"/>
  <c r="AJ1398" i="1"/>
  <c r="AK1398" i="1" s="1"/>
  <c r="AJ1979" i="1"/>
  <c r="AK1979" i="1" s="1"/>
  <c r="AJ2524" i="1"/>
  <c r="AK2524" i="1" s="1"/>
  <c r="AJ2319" i="1"/>
  <c r="AK2319" i="1" s="1"/>
  <c r="AJ154" i="1"/>
  <c r="AK154" i="1" s="1"/>
  <c r="AJ202" i="1"/>
  <c r="AK202" i="1" s="1"/>
  <c r="AJ1414" i="1"/>
  <c r="AK1414" i="1" s="1"/>
  <c r="AJ1274" i="1"/>
  <c r="AK1274" i="1" s="1"/>
  <c r="AJ1288" i="1"/>
  <c r="AK1288" i="1" s="1"/>
  <c r="AJ1238" i="1"/>
  <c r="AK1238" i="1" s="1"/>
  <c r="AJ1358" i="1"/>
  <c r="AK1358" i="1" s="1"/>
  <c r="AJ1528" i="1"/>
  <c r="AK1528" i="1" s="1"/>
  <c r="AJ1659" i="1"/>
  <c r="AK1659" i="1" s="1"/>
  <c r="AJ1676" i="1"/>
  <c r="AK1676" i="1" s="1"/>
  <c r="AJ1746" i="1"/>
  <c r="AK1746" i="1" s="1"/>
  <c r="AJ1760" i="1"/>
  <c r="AK1760" i="1" s="1"/>
  <c r="AJ2104" i="1"/>
  <c r="AK2104" i="1" s="1"/>
  <c r="AJ2383" i="1"/>
  <c r="AK2383" i="1" s="1"/>
  <c r="AJ2409" i="1"/>
  <c r="AK2409" i="1" s="1"/>
  <c r="AJ2471" i="1"/>
  <c r="AK2471" i="1" s="1"/>
  <c r="AJ2457" i="1"/>
  <c r="AK2457" i="1" s="1"/>
  <c r="AJ610" i="1"/>
  <c r="AK610" i="1" s="1"/>
  <c r="AJ1095" i="1"/>
  <c r="AK1095" i="1" s="1"/>
  <c r="AJ1142" i="1"/>
  <c r="AK1142" i="1" s="1"/>
  <c r="AJ1176" i="1"/>
  <c r="AK1176" i="1" s="1"/>
  <c r="AJ1392" i="1"/>
  <c r="AK1392" i="1" s="1"/>
  <c r="AJ1649" i="1"/>
  <c r="AK1649" i="1" s="1"/>
  <c r="AJ1767" i="1"/>
  <c r="AK1767" i="1" s="1"/>
  <c r="AJ1902" i="1"/>
  <c r="AK1902" i="1" s="1"/>
  <c r="AJ1980" i="1"/>
  <c r="AK1980" i="1" s="1"/>
  <c r="AJ2592" i="1"/>
  <c r="AK2592" i="1" s="1"/>
  <c r="AJ2187" i="1"/>
  <c r="AK2187" i="1" s="1"/>
  <c r="AJ2230" i="1"/>
  <c r="AK2230" i="1" s="1"/>
  <c r="AJ2244" i="1"/>
  <c r="AK2244" i="1" s="1"/>
  <c r="AJ2296" i="1"/>
  <c r="AK2296" i="1" s="1"/>
  <c r="AJ2402" i="1"/>
  <c r="AK2402" i="1" s="1"/>
  <c r="AJ549" i="1"/>
  <c r="AK549" i="1" s="1"/>
  <c r="AJ1167" i="1"/>
  <c r="AK1167" i="1" s="1"/>
  <c r="AJ1159" i="1"/>
  <c r="AK1159" i="1" s="1"/>
  <c r="AJ1378" i="1"/>
  <c r="AK1378" i="1" s="1"/>
  <c r="AJ1442" i="1"/>
  <c r="AK1442" i="1" s="1"/>
  <c r="AJ1509" i="1"/>
  <c r="AK1509" i="1" s="1"/>
  <c r="AJ1643" i="1"/>
  <c r="AK1643" i="1" s="1"/>
  <c r="AJ1730" i="1"/>
  <c r="AK1730" i="1" s="1"/>
  <c r="AJ1763" i="1"/>
  <c r="AK1763" i="1" s="1"/>
  <c r="AJ1809" i="1"/>
  <c r="AK1809" i="1" s="1"/>
  <c r="AJ1988" i="1"/>
  <c r="AK1988" i="1" s="1"/>
  <c r="AJ2207" i="1"/>
  <c r="AK2207" i="1" s="1"/>
  <c r="AJ2333" i="1"/>
  <c r="AK2333" i="1" s="1"/>
  <c r="AJ2380" i="1"/>
  <c r="AK2380" i="1" s="1"/>
  <c r="AJ1362" i="1"/>
  <c r="AK1362" i="1" s="1"/>
  <c r="AJ1020" i="1"/>
  <c r="AK1020" i="1" s="1"/>
  <c r="AJ822" i="1"/>
  <c r="AK822" i="1" s="1"/>
  <c r="AJ931" i="1"/>
  <c r="AK931" i="1" s="1"/>
  <c r="AJ793" i="1"/>
  <c r="AK793" i="1" s="1"/>
  <c r="AJ654" i="1"/>
  <c r="AK654" i="1" s="1"/>
  <c r="AJ660" i="1"/>
  <c r="AK660" i="1" s="1"/>
  <c r="AJ982" i="1"/>
  <c r="AK982" i="1" s="1"/>
  <c r="AJ1081" i="1"/>
  <c r="AK1081" i="1" s="1"/>
  <c r="AJ1477" i="1"/>
  <c r="AK1477" i="1" s="1"/>
  <c r="AJ1316" i="1"/>
  <c r="AK1316" i="1" s="1"/>
  <c r="AJ1137" i="1"/>
  <c r="AK1137" i="1" s="1"/>
  <c r="AJ1305" i="1"/>
  <c r="AK1305" i="1" s="1"/>
  <c r="AJ2535" i="1"/>
  <c r="AK2535" i="1" s="1"/>
  <c r="AJ430" i="1"/>
  <c r="AK430" i="1" s="1"/>
  <c r="AJ556" i="1"/>
  <c r="AK556" i="1" s="1"/>
  <c r="AJ617" i="1"/>
  <c r="AK617" i="1" s="1"/>
  <c r="AJ710" i="1"/>
  <c r="AK710" i="1" s="1"/>
  <c r="AJ703" i="1"/>
  <c r="AK703" i="1" s="1"/>
  <c r="AJ804" i="1"/>
  <c r="AK804" i="1" s="1"/>
  <c r="AJ943" i="1"/>
  <c r="AK943" i="1" s="1"/>
  <c r="AJ1346" i="1"/>
  <c r="AK1346" i="1" s="1"/>
  <c r="AJ1578" i="1"/>
  <c r="AK1578" i="1" s="1"/>
  <c r="AJ1620" i="1"/>
  <c r="AK1620" i="1" s="1"/>
  <c r="AJ1775" i="1"/>
  <c r="AK1775" i="1" s="1"/>
  <c r="AJ1825" i="1"/>
  <c r="AK1825" i="1" s="1"/>
  <c r="AJ2556" i="1"/>
  <c r="AK2556" i="1" s="1"/>
  <c r="AJ277" i="1"/>
  <c r="AK277" i="1" s="1"/>
  <c r="AJ653" i="1"/>
  <c r="AK653" i="1" s="1"/>
  <c r="AJ1503" i="1"/>
  <c r="AK1503" i="1" s="1"/>
  <c r="AJ1810" i="1"/>
  <c r="AK1810" i="1" s="1"/>
  <c r="AJ2456" i="1"/>
  <c r="AK2456" i="1" s="1"/>
  <c r="AJ2446" i="1"/>
  <c r="AK2446" i="1" s="1"/>
  <c r="AJ317" i="1"/>
  <c r="AK317" i="1" s="1"/>
  <c r="AJ292" i="1"/>
  <c r="AK292" i="1" s="1"/>
  <c r="AJ443" i="1"/>
  <c r="AK443" i="1" s="1"/>
  <c r="AJ232" i="1"/>
  <c r="AK232" i="1" s="1"/>
  <c r="AJ216" i="1"/>
  <c r="AK216" i="1" s="1"/>
  <c r="AJ421" i="1"/>
  <c r="AK421" i="1" s="1"/>
  <c r="AJ420" i="1"/>
  <c r="AK420" i="1" s="1"/>
  <c r="AJ1769" i="1"/>
  <c r="AK1769" i="1" s="1"/>
  <c r="AJ911" i="1"/>
  <c r="AK911" i="1" s="1"/>
  <c r="AJ1049" i="1"/>
  <c r="AK1049" i="1" s="1"/>
  <c r="AJ304" i="1"/>
  <c r="AK304" i="1" s="1"/>
  <c r="AJ871" i="1"/>
  <c r="AK871" i="1" s="1"/>
  <c r="AJ2081" i="1"/>
  <c r="AK2081" i="1" s="1"/>
  <c r="AJ865" i="1"/>
  <c r="AK865" i="1" s="1"/>
  <c r="AJ2085" i="1"/>
  <c r="AK2085" i="1" s="1"/>
  <c r="AJ416" i="1"/>
  <c r="AK416" i="1" s="1"/>
  <c r="AJ361" i="1"/>
  <c r="AK361" i="1" s="1"/>
  <c r="AJ1191" i="1"/>
  <c r="AK1191" i="1" s="1"/>
  <c r="AJ2074" i="1"/>
  <c r="AK2074" i="1" s="1"/>
  <c r="AJ287" i="1"/>
  <c r="AK287" i="1" s="1"/>
  <c r="AJ550" i="1"/>
  <c r="AK550" i="1" s="1"/>
  <c r="AJ1011" i="1"/>
  <c r="AK1011" i="1" s="1"/>
  <c r="AJ1211" i="1"/>
  <c r="AK1211" i="1" s="1"/>
  <c r="AJ1634" i="1"/>
  <c r="AK1634" i="1" s="1"/>
  <c r="AJ155" i="1"/>
  <c r="AK155" i="1" s="1"/>
  <c r="AJ338" i="1"/>
  <c r="AK338" i="1" s="1"/>
  <c r="AJ604" i="1"/>
  <c r="AK604" i="1" s="1"/>
  <c r="AJ927" i="1"/>
  <c r="AK927" i="1" s="1"/>
  <c r="AJ1039" i="1"/>
  <c r="AK1039" i="1" s="1"/>
  <c r="AJ972" i="1"/>
  <c r="AK972" i="1" s="1"/>
  <c r="AJ1060" i="1"/>
  <c r="AK1060" i="1" s="1"/>
  <c r="AJ1214" i="1"/>
  <c r="AK1214" i="1" s="1"/>
  <c r="AJ1595" i="1"/>
  <c r="AK1595" i="1" s="1"/>
  <c r="AJ1662" i="1"/>
  <c r="AK1662" i="1" s="1"/>
  <c r="AJ1793" i="1"/>
  <c r="AK1793" i="1" s="1"/>
  <c r="AJ2318" i="1"/>
  <c r="AK2318" i="1" s="1"/>
  <c r="AJ2452" i="1"/>
  <c r="AK2452" i="1" s="1"/>
  <c r="AJ249" i="1"/>
  <c r="AK249" i="1" s="1"/>
  <c r="AJ496" i="1"/>
  <c r="AK496" i="1" s="1"/>
  <c r="AJ757" i="1"/>
  <c r="AK757" i="1" s="1"/>
  <c r="AJ810" i="1"/>
  <c r="AK810" i="1" s="1"/>
  <c r="AJ1256" i="1"/>
  <c r="AK1256" i="1" s="1"/>
  <c r="AJ1540" i="1"/>
  <c r="AK1540" i="1" s="1"/>
  <c r="AJ1492" i="1"/>
  <c r="AK1492" i="1" s="1"/>
  <c r="AJ2580" i="1"/>
  <c r="AK2580" i="1" s="1"/>
  <c r="AJ157" i="1"/>
  <c r="AK157" i="1" s="1"/>
  <c r="AJ204" i="1"/>
  <c r="AK204" i="1" s="1"/>
  <c r="AJ210" i="1"/>
  <c r="AK210" i="1" s="1"/>
  <c r="AJ318" i="1"/>
  <c r="AK318" i="1" s="1"/>
  <c r="AJ399" i="1"/>
  <c r="AK399" i="1" s="1"/>
  <c r="AJ396" i="1"/>
  <c r="AK396" i="1" s="1"/>
  <c r="AJ397" i="1"/>
  <c r="AK397" i="1" s="1"/>
  <c r="AJ546" i="1"/>
  <c r="AK546" i="1" s="1"/>
  <c r="AJ662" i="1"/>
  <c r="AK662" i="1" s="1"/>
  <c r="AJ720" i="1"/>
  <c r="AK720" i="1" s="1"/>
  <c r="AJ821" i="1"/>
  <c r="AK821" i="1" s="1"/>
  <c r="AJ805" i="1"/>
  <c r="AK805" i="1" s="1"/>
  <c r="AJ832" i="1"/>
  <c r="AK832" i="1" s="1"/>
  <c r="AJ925" i="1"/>
  <c r="AK925" i="1" s="1"/>
  <c r="AJ934" i="1"/>
  <c r="AK934" i="1" s="1"/>
  <c r="AJ1057" i="1"/>
  <c r="AK1057" i="1" s="1"/>
  <c r="AJ1099" i="1"/>
  <c r="AK1099" i="1" s="1"/>
  <c r="AJ1205" i="1"/>
  <c r="AK1205" i="1" s="1"/>
  <c r="AJ1209" i="1"/>
  <c r="AK1209" i="1" s="1"/>
  <c r="AJ1329" i="1"/>
  <c r="AK1329" i="1" s="1"/>
  <c r="AJ1627" i="1"/>
  <c r="AK1627" i="1" s="1"/>
  <c r="AJ1598" i="1"/>
  <c r="AK1598" i="1" s="1"/>
  <c r="AJ1842" i="1"/>
  <c r="AK1842" i="1" s="1"/>
  <c r="AJ2115" i="1"/>
  <c r="AK2115" i="1" s="1"/>
  <c r="AJ2190" i="1"/>
  <c r="AK2190" i="1" s="1"/>
  <c r="AJ2320" i="1"/>
  <c r="AK2320" i="1" s="1"/>
  <c r="AJ2394" i="1"/>
  <c r="AK2394" i="1" s="1"/>
  <c r="AJ199" i="1"/>
  <c r="AK199" i="1" s="1"/>
  <c r="AJ208" i="1"/>
  <c r="AK208" i="1" s="1"/>
  <c r="AJ334" i="1"/>
  <c r="AK334" i="1" s="1"/>
  <c r="AJ505" i="1"/>
  <c r="AK505" i="1" s="1"/>
  <c r="AJ754" i="1"/>
  <c r="AK754" i="1" s="1"/>
  <c r="AJ673" i="1"/>
  <c r="AK673" i="1" s="1"/>
  <c r="AJ679" i="1"/>
  <c r="AK679" i="1" s="1"/>
  <c r="AJ748" i="1"/>
  <c r="AK748" i="1" s="1"/>
  <c r="AJ696" i="1"/>
  <c r="AK696" i="1" s="1"/>
  <c r="AJ697" i="1"/>
  <c r="AK697" i="1" s="1"/>
  <c r="AJ785" i="1"/>
  <c r="AK785" i="1" s="1"/>
  <c r="AJ786" i="1"/>
  <c r="AK786" i="1" s="1"/>
  <c r="AJ818" i="1"/>
  <c r="AK818" i="1" s="1"/>
  <c r="AJ849" i="1"/>
  <c r="AK849" i="1" s="1"/>
  <c r="AJ862" i="1"/>
  <c r="AK862" i="1" s="1"/>
  <c r="AJ975" i="1"/>
  <c r="AK975" i="1" s="1"/>
  <c r="AJ1077" i="1"/>
  <c r="AK1077" i="1" s="1"/>
  <c r="AJ1235" i="1"/>
  <c r="AK1235" i="1" s="1"/>
  <c r="AJ1240" i="1"/>
  <c r="AK1240" i="1" s="1"/>
  <c r="AJ1587" i="1"/>
  <c r="AK1587" i="1" s="1"/>
  <c r="AJ1675" i="1"/>
  <c r="AK1675" i="1" s="1"/>
  <c r="AJ1873" i="1"/>
  <c r="AK1873" i="1" s="1"/>
  <c r="AJ1874" i="1"/>
  <c r="AK1874" i="1" s="1"/>
  <c r="AJ2066" i="1"/>
  <c r="AK2066" i="1" s="1"/>
  <c r="AJ2072" i="1"/>
  <c r="AK2072" i="1" s="1"/>
  <c r="AJ2208" i="1"/>
  <c r="AK2208" i="1" s="1"/>
  <c r="AJ2396" i="1"/>
  <c r="AK2396" i="1" s="1"/>
  <c r="AJ2434" i="1"/>
  <c r="AK2434" i="1" s="1"/>
  <c r="AJ2466" i="1"/>
  <c r="AK2466" i="1" s="1"/>
  <c r="AJ2449" i="1"/>
  <c r="AK2449" i="1" s="1"/>
  <c r="AJ2607" i="1"/>
  <c r="AK2607" i="1" s="1"/>
  <c r="AJ534" i="1"/>
  <c r="AK534" i="1" s="1"/>
  <c r="AJ532" i="1"/>
  <c r="AK532" i="1" s="1"/>
  <c r="AJ929" i="1"/>
  <c r="AK929" i="1" s="1"/>
  <c r="AJ205" i="1"/>
  <c r="AK205" i="1" s="1"/>
  <c r="AJ184" i="1"/>
  <c r="AK184" i="1" s="1"/>
  <c r="AJ225" i="1"/>
  <c r="AK225" i="1" s="1"/>
  <c r="AJ231" i="1"/>
  <c r="AK231" i="1" s="1"/>
  <c r="AJ223" i="1"/>
  <c r="AK223" i="1" s="1"/>
  <c r="AJ250" i="1"/>
  <c r="AK250" i="1" s="1"/>
  <c r="AJ251" i="1"/>
  <c r="AK251" i="1" s="1"/>
  <c r="AJ261" i="1"/>
  <c r="AK261" i="1" s="1"/>
  <c r="AJ289" i="1"/>
  <c r="AK289" i="1" s="1"/>
  <c r="AJ285" i="1"/>
  <c r="AK285" i="1" s="1"/>
  <c r="AJ281" i="1"/>
  <c r="AK281" i="1" s="1"/>
  <c r="AJ342" i="1"/>
  <c r="AK342" i="1" s="1"/>
  <c r="AJ293" i="1"/>
  <c r="AK293" i="1" s="1"/>
  <c r="AJ298" i="1"/>
  <c r="AK298" i="1" s="1"/>
  <c r="AJ306" i="1"/>
  <c r="AK306" i="1" s="1"/>
  <c r="AJ343" i="1"/>
  <c r="AK343" i="1" s="1"/>
  <c r="AJ347" i="1"/>
  <c r="AK347" i="1" s="1"/>
  <c r="AJ380" i="1"/>
  <c r="AK380" i="1" s="1"/>
  <c r="AJ411" i="1"/>
  <c r="AK411" i="1" s="1"/>
  <c r="AJ424" i="1"/>
  <c r="AK424" i="1" s="1"/>
  <c r="AJ445" i="1"/>
  <c r="AK445" i="1" s="1"/>
  <c r="AJ473" i="1"/>
  <c r="AK473" i="1" s="1"/>
  <c r="AJ497" i="1"/>
  <c r="AK497" i="1" s="1"/>
  <c r="AJ511" i="1"/>
  <c r="AK511" i="1" s="1"/>
  <c r="AJ557" i="1"/>
  <c r="AK557" i="1" s="1"/>
  <c r="AJ586" i="1"/>
  <c r="AK586" i="1" s="1"/>
  <c r="AJ836" i="1"/>
  <c r="AK836" i="1" s="1"/>
  <c r="AJ591" i="1"/>
  <c r="AK591" i="1" s="1"/>
  <c r="AJ751" i="1"/>
  <c r="AK751" i="1" s="1"/>
  <c r="AJ683" i="1"/>
  <c r="AK683" i="1" s="1"/>
  <c r="AJ668" i="1"/>
  <c r="AK668" i="1" s="1"/>
  <c r="AJ680" i="1"/>
  <c r="AK680" i="1" s="1"/>
  <c r="AJ671" i="1"/>
  <c r="AK671" i="1" s="1"/>
  <c r="AJ685" i="1"/>
  <c r="AK685" i="1" s="1"/>
  <c r="AJ740" i="1"/>
  <c r="AK740" i="1" s="1"/>
  <c r="AJ718" i="1"/>
  <c r="AK718" i="1" s="1"/>
  <c r="AJ714" i="1"/>
  <c r="AK714" i="1" s="1"/>
  <c r="AJ711" i="1"/>
  <c r="AK711" i="1" s="1"/>
  <c r="AJ713" i="1"/>
  <c r="AK713" i="1" s="1"/>
  <c r="AJ766" i="1"/>
  <c r="AK766" i="1" s="1"/>
  <c r="AJ777" i="1"/>
  <c r="AK777" i="1" s="1"/>
  <c r="AJ823" i="1"/>
  <c r="AK823" i="1" s="1"/>
  <c r="AJ802" i="1"/>
  <c r="AK802" i="1" s="1"/>
  <c r="AJ807" i="1"/>
  <c r="AK807" i="1" s="1"/>
  <c r="AJ825" i="1"/>
  <c r="AK825" i="1" s="1"/>
  <c r="AJ834" i="1"/>
  <c r="AK834" i="1" s="1"/>
  <c r="AJ874" i="1"/>
  <c r="AK874" i="1" s="1"/>
  <c r="AJ867" i="1"/>
  <c r="AK867" i="1" s="1"/>
  <c r="AJ866" i="1"/>
  <c r="AK866" i="1" s="1"/>
  <c r="AJ909" i="1"/>
  <c r="AK909" i="1" s="1"/>
  <c r="AJ923" i="1"/>
  <c r="AK923" i="1" s="1"/>
  <c r="AJ955" i="1"/>
  <c r="AK955" i="1" s="1"/>
  <c r="AJ932" i="1"/>
  <c r="AK932" i="1" s="1"/>
  <c r="AJ996" i="1"/>
  <c r="AK996" i="1" s="1"/>
  <c r="AJ999" i="1"/>
  <c r="AK999" i="1" s="1"/>
  <c r="AJ1133" i="1"/>
  <c r="AK1133" i="1" s="1"/>
  <c r="AJ1083" i="1"/>
  <c r="AK1083" i="1" s="1"/>
  <c r="AJ1114" i="1"/>
  <c r="AK1114" i="1" s="1"/>
  <c r="AJ1284" i="1"/>
  <c r="AK1284" i="1" s="1"/>
  <c r="AJ1193" i="1"/>
  <c r="AK1193" i="1" s="1"/>
  <c r="AJ1202" i="1"/>
  <c r="AK1202" i="1" s="1"/>
  <c r="AJ1199" i="1"/>
  <c r="AK1199" i="1" s="1"/>
  <c r="AJ1196" i="1"/>
  <c r="AK1196" i="1" s="1"/>
  <c r="AJ1200" i="1"/>
  <c r="AK1200" i="1" s="1"/>
  <c r="AJ1198" i="1"/>
  <c r="AK1198" i="1" s="1"/>
  <c r="AJ1188" i="1"/>
  <c r="AK1188" i="1" s="1"/>
  <c r="AJ1186" i="1"/>
  <c r="AK1186" i="1" s="1"/>
  <c r="AJ1215" i="1"/>
  <c r="AK1215" i="1" s="1"/>
  <c r="AJ1217" i="1"/>
  <c r="AK1217" i="1" s="1"/>
  <c r="AJ1236" i="1"/>
  <c r="AK1236" i="1" s="1"/>
  <c r="AJ1246" i="1"/>
  <c r="AK1246" i="1" s="1"/>
  <c r="AJ1243" i="1"/>
  <c r="AK1243" i="1" s="1"/>
  <c r="AJ1300" i="1"/>
  <c r="AK1300" i="1" s="1"/>
  <c r="AJ1416" i="1"/>
  <c r="AK1416" i="1" s="1"/>
  <c r="AJ1388" i="1"/>
  <c r="AK1388" i="1" s="1"/>
  <c r="AJ1409" i="1"/>
  <c r="AK1409" i="1" s="1"/>
  <c r="AJ1403" i="1"/>
  <c r="AK1403" i="1" s="1"/>
  <c r="AJ1435" i="1"/>
  <c r="AK1435" i="1" s="1"/>
  <c r="AJ1469" i="1"/>
  <c r="AK1469" i="1" s="1"/>
  <c r="AJ1531" i="1"/>
  <c r="AK1531" i="1" s="1"/>
  <c r="AJ1495" i="1"/>
  <c r="AK1495" i="1" s="1"/>
  <c r="AJ1547" i="1"/>
  <c r="AK1547" i="1" s="1"/>
  <c r="AJ1629" i="1"/>
  <c r="AK1629" i="1" s="1"/>
  <c r="AJ1630" i="1"/>
  <c r="AK1630" i="1" s="1"/>
  <c r="AJ1601" i="1"/>
  <c r="AK1601" i="1" s="1"/>
  <c r="AJ1581" i="1"/>
  <c r="AK1581" i="1" s="1"/>
  <c r="AJ1660" i="1"/>
  <c r="AK1660" i="1" s="1"/>
  <c r="AJ1673" i="1"/>
  <c r="AK1673" i="1" s="1"/>
  <c r="AJ1688" i="1"/>
  <c r="AK1688" i="1" s="1"/>
  <c r="AJ1694" i="1"/>
  <c r="AK1694" i="1" s="1"/>
  <c r="AJ1715" i="1"/>
  <c r="AK1715" i="1" s="1"/>
  <c r="AJ1758" i="1"/>
  <c r="AK1758" i="1" s="1"/>
  <c r="AJ1707" i="1"/>
  <c r="AK1707" i="1" s="1"/>
  <c r="AJ1791" i="1"/>
  <c r="AK1791" i="1" s="1"/>
  <c r="AJ1783" i="1"/>
  <c r="AK1783" i="1" s="1"/>
  <c r="AJ1819" i="1"/>
  <c r="AK1819" i="1" s="1"/>
  <c r="AJ1841" i="1"/>
  <c r="AK1841" i="1" s="1"/>
  <c r="AJ1834" i="1"/>
  <c r="AK1834" i="1" s="1"/>
  <c r="AJ1835" i="1"/>
  <c r="AK1835" i="1" s="1"/>
  <c r="AJ1846" i="1"/>
  <c r="AK1846" i="1" s="1"/>
  <c r="AJ1844" i="1"/>
  <c r="AK1844" i="1" s="1"/>
  <c r="AJ1845" i="1"/>
  <c r="AK1845" i="1" s="1"/>
  <c r="AJ1872" i="1"/>
  <c r="AK1872" i="1" s="1"/>
  <c r="AJ1878" i="1"/>
  <c r="AK1878" i="1" s="1"/>
  <c r="AJ2034" i="1"/>
  <c r="AK2034" i="1" s="1"/>
  <c r="AJ1937" i="1"/>
  <c r="AK1937" i="1" s="1"/>
  <c r="AJ2070" i="1"/>
  <c r="AK2070" i="1" s="1"/>
  <c r="AJ2110" i="1"/>
  <c r="AK2110" i="1" s="1"/>
  <c r="AJ2203" i="1"/>
  <c r="AK2203" i="1" s="1"/>
  <c r="AJ2398" i="1"/>
  <c r="AK2398" i="1" s="1"/>
  <c r="AJ2461" i="1"/>
  <c r="AK2461" i="1" s="1"/>
  <c r="AJ2468" i="1"/>
  <c r="AK2468" i="1" s="1"/>
  <c r="AJ2540" i="1"/>
  <c r="AK2540" i="1" s="1"/>
  <c r="AJ2539" i="1"/>
  <c r="AK2539" i="1" s="1"/>
  <c r="AJ2572" i="1"/>
  <c r="AK2572" i="1" s="1"/>
  <c r="AJ2555" i="1"/>
  <c r="AK2555" i="1" s="1"/>
  <c r="AJ2543" i="1"/>
  <c r="AK2543" i="1" s="1"/>
  <c r="AJ150" i="1"/>
  <c r="AK150" i="1" s="1"/>
  <c r="AJ203" i="1"/>
  <c r="AK203" i="1" s="1"/>
  <c r="AJ151" i="1"/>
  <c r="AK151" i="1" s="1"/>
  <c r="AJ160" i="1"/>
  <c r="AK160" i="1" s="1"/>
  <c r="AJ162" i="1"/>
  <c r="AK162" i="1" s="1"/>
  <c r="AJ188" i="1"/>
  <c r="AK188" i="1" s="1"/>
  <c r="AJ200" i="1"/>
  <c r="AK200" i="1" s="1"/>
  <c r="AJ198" i="1"/>
  <c r="AK198" i="1" s="1"/>
  <c r="AJ259" i="1"/>
  <c r="AK259" i="1" s="1"/>
  <c r="AJ333" i="1"/>
  <c r="AK333" i="1" s="1"/>
  <c r="AJ320" i="1"/>
  <c r="AK320" i="1" s="1"/>
  <c r="AJ349" i="1"/>
  <c r="AK349" i="1" s="1"/>
  <c r="AJ348" i="1"/>
  <c r="AK348" i="1" s="1"/>
  <c r="AJ388" i="1"/>
  <c r="AK388" i="1" s="1"/>
  <c r="AJ387" i="1"/>
  <c r="AK387" i="1" s="1"/>
  <c r="AJ447" i="1"/>
  <c r="AK447" i="1" s="1"/>
  <c r="AJ454" i="1"/>
  <c r="AK454" i="1" s="1"/>
  <c r="AJ479" i="1"/>
  <c r="AK479" i="1" s="1"/>
  <c r="AJ492" i="1"/>
  <c r="AK492" i="1" s="1"/>
  <c r="AJ495" i="1"/>
  <c r="AK495" i="1" s="1"/>
  <c r="AJ508" i="1"/>
  <c r="AK508" i="1" s="1"/>
  <c r="AJ531" i="1"/>
  <c r="AK531" i="1" s="1"/>
  <c r="AJ625" i="1"/>
  <c r="AK625" i="1" s="1"/>
  <c r="AJ715" i="1"/>
  <c r="AK715" i="1" s="1"/>
  <c r="AJ936" i="1"/>
  <c r="AK936" i="1" s="1"/>
  <c r="AJ719" i="1"/>
  <c r="AK719" i="1" s="1"/>
  <c r="AJ763" i="1"/>
  <c r="AK763" i="1" s="1"/>
  <c r="AJ904" i="1"/>
  <c r="AK904" i="1" s="1"/>
  <c r="AJ778" i="1"/>
  <c r="AK778" i="1" s="1"/>
  <c r="AJ863" i="1"/>
  <c r="AK863" i="1" s="1"/>
  <c r="AJ905" i="1"/>
  <c r="AK905" i="1" s="1"/>
  <c r="AJ933" i="1"/>
  <c r="AK933" i="1" s="1"/>
  <c r="AJ964" i="1"/>
  <c r="AK964" i="1" s="1"/>
  <c r="AJ1002" i="1"/>
  <c r="AK1002" i="1" s="1"/>
  <c r="AJ997" i="1"/>
  <c r="AK997" i="1" s="1"/>
  <c r="AJ1003" i="1"/>
  <c r="AK1003" i="1" s="1"/>
  <c r="AJ1026" i="1"/>
  <c r="AK1026" i="1" s="1"/>
  <c r="AJ1080" i="1"/>
  <c r="AK1080" i="1" s="1"/>
  <c r="AJ1285" i="1"/>
  <c r="AK1285" i="1" s="1"/>
  <c r="AJ1148" i="1"/>
  <c r="AK1148" i="1" s="1"/>
  <c r="AJ1204" i="1"/>
  <c r="AK1204" i="1" s="1"/>
  <c r="AJ1216" i="1"/>
  <c r="AK1216" i="1" s="1"/>
  <c r="AJ1281" i="1"/>
  <c r="AK1281" i="1" s="1"/>
  <c r="AJ1237" i="1"/>
  <c r="AK1237" i="1" s="1"/>
  <c r="AJ1348" i="1"/>
  <c r="AK1348" i="1" s="1"/>
  <c r="AJ1394" i="1"/>
  <c r="AK1394" i="1" s="1"/>
  <c r="AJ1419" i="1"/>
  <c r="AK1419" i="1" s="1"/>
  <c r="AJ1543" i="1"/>
  <c r="AK1543" i="1" s="1"/>
  <c r="AJ1523" i="1"/>
  <c r="AK1523" i="1" s="1"/>
  <c r="AJ1548" i="1"/>
  <c r="AK1548" i="1" s="1"/>
  <c r="AJ1653" i="1"/>
  <c r="AK1653" i="1" s="1"/>
  <c r="AJ1670" i="1"/>
  <c r="AK1670" i="1" s="1"/>
  <c r="AJ1797" i="1"/>
  <c r="AK1797" i="1" s="1"/>
  <c r="AJ2022" i="1"/>
  <c r="AK2022" i="1" s="1"/>
  <c r="AJ1875" i="1"/>
  <c r="AK1875" i="1" s="1"/>
  <c r="AJ2071" i="1"/>
  <c r="AK2071" i="1" s="1"/>
  <c r="AJ2184" i="1"/>
  <c r="AK2184" i="1" s="1"/>
  <c r="AJ2157" i="1"/>
  <c r="AK2157" i="1" s="1"/>
  <c r="AJ2311" i="1"/>
  <c r="AK2311" i="1" s="1"/>
  <c r="AJ2494" i="1"/>
  <c r="AK2494" i="1" s="1"/>
  <c r="AJ2382" i="1"/>
  <c r="AK2382" i="1" s="1"/>
  <c r="AJ2427" i="1"/>
  <c r="AK2427" i="1" s="1"/>
  <c r="AJ2584" i="1"/>
  <c r="AK2584" i="1" s="1"/>
  <c r="AJ196" i="1"/>
  <c r="AK196" i="1" s="1"/>
  <c r="AJ187" i="1"/>
  <c r="AK187" i="1" s="1"/>
  <c r="AJ189" i="1"/>
  <c r="AK189" i="1" s="1"/>
  <c r="AJ247" i="1"/>
  <c r="AK247" i="1" s="1"/>
  <c r="AJ260" i="1"/>
  <c r="AK260" i="1" s="1"/>
  <c r="AJ294" i="1"/>
  <c r="AK294" i="1" s="1"/>
  <c r="AJ326" i="1"/>
  <c r="AK326" i="1" s="1"/>
  <c r="AJ328" i="1"/>
  <c r="AK328" i="1" s="1"/>
  <c r="AJ345" i="1"/>
  <c r="AK345" i="1" s="1"/>
  <c r="AJ344" i="1"/>
  <c r="AK344" i="1" s="1"/>
  <c r="AJ370" i="1"/>
  <c r="AK370" i="1" s="1"/>
  <c r="AJ393" i="1"/>
  <c r="AK393" i="1" s="1"/>
  <c r="AJ400" i="1"/>
  <c r="AK400" i="1" s="1"/>
  <c r="AJ392" i="1"/>
  <c r="AK392" i="1" s="1"/>
  <c r="AJ437" i="1"/>
  <c r="AK437" i="1" s="1"/>
  <c r="AJ426" i="1"/>
  <c r="AK426" i="1" s="1"/>
  <c r="AJ436" i="1"/>
  <c r="AK436" i="1" s="1"/>
  <c r="AJ448" i="1"/>
  <c r="AK448" i="1" s="1"/>
  <c r="AJ450" i="1"/>
  <c r="AK450" i="1" s="1"/>
  <c r="AJ444" i="1"/>
  <c r="AK444" i="1" s="1"/>
  <c r="AJ482" i="1"/>
  <c r="AK482" i="1" s="1"/>
  <c r="AJ526" i="1"/>
  <c r="AK526" i="1" s="1"/>
  <c r="AJ520" i="1"/>
  <c r="AK520" i="1" s="1"/>
  <c r="AJ522" i="1"/>
  <c r="AK522" i="1" s="1"/>
  <c r="AJ527" i="1"/>
  <c r="AK527" i="1" s="1"/>
  <c r="AJ593" i="1"/>
  <c r="AK593" i="1" s="1"/>
  <c r="AJ600" i="1"/>
  <c r="AK600" i="1" s="1"/>
  <c r="AJ598" i="1"/>
  <c r="AK598" i="1" s="1"/>
  <c r="AJ611" i="1"/>
  <c r="AK611" i="1" s="1"/>
  <c r="AJ612" i="1"/>
  <c r="AK612" i="1" s="1"/>
  <c r="AJ614" i="1"/>
  <c r="AK614" i="1" s="1"/>
  <c r="AJ621" i="1"/>
  <c r="AK621" i="1" s="1"/>
  <c r="AJ622" i="1"/>
  <c r="AK622" i="1" s="1"/>
  <c r="AJ620" i="1"/>
  <c r="AK620" i="1" s="1"/>
  <c r="AJ623" i="1"/>
  <c r="AK623" i="1" s="1"/>
  <c r="AJ636" i="1"/>
  <c r="AK636" i="1" s="1"/>
  <c r="AJ640" i="1"/>
  <c r="AK640" i="1" s="1"/>
  <c r="AJ776" i="1"/>
  <c r="AK776" i="1" s="1"/>
  <c r="AJ792" i="1"/>
  <c r="AK792" i="1" s="1"/>
  <c r="AJ797" i="1"/>
  <c r="AK797" i="1" s="1"/>
  <c r="AJ796" i="1"/>
  <c r="AK796" i="1" s="1"/>
  <c r="AJ800" i="1"/>
  <c r="AK800" i="1" s="1"/>
  <c r="AJ847" i="1"/>
  <c r="AK847" i="1" s="1"/>
  <c r="AJ884" i="1"/>
  <c r="AK884" i="1" s="1"/>
  <c r="AJ958" i="1"/>
  <c r="AK958" i="1" s="1"/>
  <c r="AJ956" i="1"/>
  <c r="AK956" i="1" s="1"/>
  <c r="AJ949" i="1"/>
  <c r="AK949" i="1" s="1"/>
  <c r="AJ1034" i="1"/>
  <c r="AK1034" i="1" s="1"/>
  <c r="AJ945" i="1"/>
  <c r="AK945" i="1" s="1"/>
  <c r="AJ962" i="1"/>
  <c r="AK962" i="1" s="1"/>
  <c r="AJ992" i="1"/>
  <c r="AK992" i="1" s="1"/>
  <c r="AJ1018" i="1"/>
  <c r="AK1018" i="1" s="1"/>
  <c r="AJ1104" i="1"/>
  <c r="AK1104" i="1" s="1"/>
  <c r="AJ1125" i="1"/>
  <c r="AK1125" i="1" s="1"/>
  <c r="AJ1102" i="1"/>
  <c r="AK1102" i="1" s="1"/>
  <c r="AJ1106" i="1"/>
  <c r="AK1106" i="1" s="1"/>
  <c r="AJ1089" i="1"/>
  <c r="AK1089" i="1" s="1"/>
  <c r="AJ1126" i="1"/>
  <c r="AK1126" i="1" s="1"/>
  <c r="AJ1134" i="1"/>
  <c r="AK1134" i="1" s="1"/>
  <c r="AJ1185" i="1"/>
  <c r="AK1185" i="1" s="1"/>
  <c r="AJ1179" i="1"/>
  <c r="AK1179" i="1" s="1"/>
  <c r="AJ1181" i="1"/>
  <c r="AK1181" i="1" s="1"/>
  <c r="AJ1336" i="1"/>
  <c r="AK1336" i="1" s="1"/>
  <c r="AJ1327" i="1"/>
  <c r="AK1327" i="1" s="1"/>
  <c r="AJ1391" i="1"/>
  <c r="AK1391" i="1" s="1"/>
  <c r="AJ1402" i="1"/>
  <c r="AK1402" i="1" s="1"/>
  <c r="AJ1404" i="1"/>
  <c r="AK1404" i="1" s="1"/>
  <c r="AJ1436" i="1"/>
  <c r="AK1436" i="1" s="1"/>
  <c r="AJ1434" i="1"/>
  <c r="AK1434" i="1" s="1"/>
  <c r="AJ1448" i="1"/>
  <c r="AK1448" i="1" s="1"/>
  <c r="AJ1466" i="1"/>
  <c r="AK1466" i="1" s="1"/>
  <c r="AJ1480" i="1"/>
  <c r="AK1480" i="1" s="1"/>
  <c r="AJ1586" i="1"/>
  <c r="AK1586" i="1" s="1"/>
  <c r="AJ1571" i="1"/>
  <c r="AK1571" i="1" s="1"/>
  <c r="AJ1584" i="1"/>
  <c r="AK1584" i="1" s="1"/>
  <c r="AJ1580" i="1"/>
  <c r="AK1580" i="1" s="1"/>
  <c r="AJ1576" i="1"/>
  <c r="AK1576" i="1" s="1"/>
  <c r="AJ1585" i="1"/>
  <c r="AK1585" i="1" s="1"/>
  <c r="AJ1642" i="1"/>
  <c r="AK1642" i="1" s="1"/>
  <c r="AJ1611" i="1"/>
  <c r="AK1611" i="1" s="1"/>
  <c r="AJ1626" i="1"/>
  <c r="AK1626" i="1" s="1"/>
  <c r="AJ1607" i="1"/>
  <c r="AK1607" i="1" s="1"/>
  <c r="AJ1721" i="1"/>
  <c r="AK1721" i="1" s="1"/>
  <c r="AJ1727" i="1"/>
  <c r="AK1727" i="1" s="1"/>
  <c r="AJ1790" i="1"/>
  <c r="AK1790" i="1" s="1"/>
  <c r="AJ1824" i="1"/>
  <c r="AK1824" i="1" s="1"/>
  <c r="AJ1831" i="1"/>
  <c r="AK1831" i="1" s="1"/>
  <c r="AJ1822" i="1"/>
  <c r="AK1822" i="1" s="1"/>
  <c r="AJ1852" i="1"/>
  <c r="AK1852" i="1" s="1"/>
  <c r="AJ1861" i="1"/>
  <c r="AK1861" i="1" s="1"/>
  <c r="AJ1857" i="1"/>
  <c r="AK1857" i="1" s="1"/>
  <c r="AJ1981" i="1"/>
  <c r="AK1981" i="1" s="1"/>
  <c r="AJ2013" i="1"/>
  <c r="AK2013" i="1" s="1"/>
  <c r="AJ2037" i="1"/>
  <c r="AK2037" i="1" s="1"/>
  <c r="AJ2096" i="1"/>
  <c r="AK2096" i="1" s="1"/>
  <c r="AJ2097" i="1"/>
  <c r="AK2097" i="1" s="1"/>
  <c r="AJ2134" i="1"/>
  <c r="AK2134" i="1" s="1"/>
  <c r="AJ2132" i="1"/>
  <c r="AK2132" i="1" s="1"/>
  <c r="AJ2180" i="1"/>
  <c r="AK2180" i="1" s="1"/>
  <c r="AJ2225" i="1"/>
  <c r="AK2225" i="1" s="1"/>
  <c r="AJ2223" i="1"/>
  <c r="AK2223" i="1" s="1"/>
  <c r="AJ2226" i="1"/>
  <c r="AK2226" i="1" s="1"/>
  <c r="AJ2300" i="1"/>
  <c r="AK2300" i="1" s="1"/>
  <c r="AJ2277" i="1"/>
  <c r="AK2277" i="1" s="1"/>
  <c r="AJ2448" i="1"/>
  <c r="AK2448" i="1" s="1"/>
  <c r="AJ2401" i="1"/>
  <c r="AK2401" i="1" s="1"/>
  <c r="AJ2444" i="1"/>
  <c r="AK2444" i="1" s="1"/>
  <c r="AJ2437" i="1"/>
  <c r="AK2437" i="1" s="1"/>
  <c r="AJ2443" i="1"/>
  <c r="AK2443" i="1" s="1"/>
  <c r="AJ2429" i="1"/>
  <c r="AK2429" i="1" s="1"/>
  <c r="AJ2553" i="1"/>
  <c r="AK2553" i="1" s="1"/>
  <c r="AJ2549" i="1"/>
  <c r="AK2549" i="1" s="1"/>
  <c r="AJ2563" i="1"/>
  <c r="AK2563" i="1" s="1"/>
  <c r="AJ2585" i="1"/>
  <c r="AK2585" i="1" s="1"/>
  <c r="AJ2589" i="1"/>
  <c r="AK2589" i="1" s="1"/>
  <c r="AJ2610" i="1"/>
  <c r="AK2610" i="1" s="1"/>
  <c r="AJ2611" i="1"/>
  <c r="AK2611" i="1" s="1"/>
  <c r="AJ548" i="1"/>
  <c r="AK548" i="1" s="1"/>
  <c r="AJ182" i="1"/>
  <c r="AK182" i="1" s="1"/>
  <c r="AJ168" i="1"/>
  <c r="AK168" i="1" s="1"/>
  <c r="AJ177" i="1"/>
  <c r="AK177" i="1" s="1"/>
  <c r="AJ163" i="1"/>
  <c r="AK163" i="1" s="1"/>
  <c r="AJ212" i="1"/>
  <c r="AK212" i="1" s="1"/>
  <c r="AJ239" i="1"/>
  <c r="AK239" i="1" s="1"/>
  <c r="AJ219" i="1"/>
  <c r="AK219" i="1" s="1"/>
  <c r="AJ565" i="1"/>
  <c r="AK565" i="1" s="1"/>
  <c r="AJ274" i="1"/>
  <c r="AK274" i="1" s="1"/>
  <c r="AJ346" i="1"/>
  <c r="AK346" i="1" s="1"/>
  <c r="AJ459" i="1"/>
  <c r="AK459" i="1" s="1"/>
  <c r="AJ456" i="1"/>
  <c r="AK456" i="1" s="1"/>
  <c r="AJ461" i="1"/>
  <c r="AK461" i="1" s="1"/>
  <c r="AJ463" i="1"/>
  <c r="AK463" i="1" s="1"/>
  <c r="AJ466" i="1"/>
  <c r="AK466" i="1" s="1"/>
  <c r="AJ485" i="1"/>
  <c r="AK485" i="1" s="1"/>
  <c r="AJ545" i="1"/>
  <c r="AK545" i="1" s="1"/>
  <c r="AJ541" i="1"/>
  <c r="AK541" i="1" s="1"/>
  <c r="AJ539" i="1"/>
  <c r="AK539" i="1" s="1"/>
  <c r="AJ566" i="1"/>
  <c r="AK566" i="1" s="1"/>
  <c r="AJ516" i="1"/>
  <c r="AK516" i="1" s="1"/>
  <c r="AJ562" i="1"/>
  <c r="AK562" i="1" s="1"/>
  <c r="AJ515" i="1"/>
  <c r="AK515" i="1" s="1"/>
  <c r="AJ543" i="1"/>
  <c r="AK543" i="1" s="1"/>
  <c r="AJ567" i="1"/>
  <c r="AK567" i="1" s="1"/>
  <c r="AJ573" i="1"/>
  <c r="AK573" i="1" s="1"/>
  <c r="AJ570" i="1"/>
  <c r="AK570" i="1" s="1"/>
  <c r="AJ603" i="1"/>
  <c r="AK603" i="1" s="1"/>
  <c r="AJ605" i="1"/>
  <c r="AK605" i="1" s="1"/>
  <c r="AJ589" i="1"/>
  <c r="AK589" i="1" s="1"/>
  <c r="AJ661" i="1"/>
  <c r="AK661" i="1" s="1"/>
  <c r="AJ652" i="1"/>
  <c r="AK652" i="1" s="1"/>
  <c r="AJ723" i="1"/>
  <c r="AK723" i="1" s="1"/>
  <c r="AJ667" i="1"/>
  <c r="AK667" i="1" s="1"/>
  <c r="AJ645" i="1"/>
  <c r="AK645" i="1" s="1"/>
  <c r="AJ724" i="1"/>
  <c r="AK724" i="1" s="1"/>
  <c r="AJ693" i="1"/>
  <c r="AK693" i="1" s="1"/>
  <c r="AJ692" i="1"/>
  <c r="AK692" i="1" s="1"/>
  <c r="AJ669" i="1"/>
  <c r="AK669" i="1" s="1"/>
  <c r="AJ695" i="1"/>
  <c r="AK695" i="1" s="1"/>
  <c r="AJ739" i="1"/>
  <c r="AK739" i="1" s="1"/>
  <c r="AJ746" i="1"/>
  <c r="AK746" i="1" s="1"/>
  <c r="AJ725" i="1"/>
  <c r="AK725" i="1" s="1"/>
  <c r="AJ817" i="1"/>
  <c r="AK817" i="1" s="1"/>
  <c r="AJ892" i="1"/>
  <c r="AK892" i="1" s="1"/>
  <c r="AJ890" i="1"/>
  <c r="AK890" i="1" s="1"/>
  <c r="AJ914" i="1"/>
  <c r="AK914" i="1" s="1"/>
  <c r="AJ916" i="1"/>
  <c r="AK916" i="1" s="1"/>
  <c r="AJ913" i="1"/>
  <c r="AK913" i="1" s="1"/>
  <c r="AJ939" i="1"/>
  <c r="AK939" i="1" s="1"/>
  <c r="AJ941" i="1"/>
  <c r="AK941" i="1" s="1"/>
  <c r="AJ940" i="1"/>
  <c r="AK940" i="1" s="1"/>
  <c r="AJ983" i="1"/>
  <c r="AK983" i="1" s="1"/>
  <c r="AJ976" i="1"/>
  <c r="AK976" i="1" s="1"/>
  <c r="AJ1027" i="1"/>
  <c r="AK1027" i="1" s="1"/>
  <c r="AJ1031" i="1"/>
  <c r="AK1031" i="1" s="1"/>
  <c r="AJ1036" i="1"/>
  <c r="AK1036" i="1" s="1"/>
  <c r="AJ1046" i="1"/>
  <c r="AK1046" i="1" s="1"/>
  <c r="AJ1107" i="1"/>
  <c r="AK1107" i="1" s="1"/>
  <c r="AJ1120" i="1"/>
  <c r="AK1120" i="1" s="1"/>
  <c r="AJ1103" i="1"/>
  <c r="AK1103" i="1" s="1"/>
  <c r="AJ1092" i="1"/>
  <c r="AK1092" i="1" s="1"/>
  <c r="AJ1086" i="1"/>
  <c r="AK1086" i="1" s="1"/>
  <c r="AJ1154" i="1"/>
  <c r="AK1154" i="1" s="1"/>
  <c r="AJ1151" i="1"/>
  <c r="AK1151" i="1" s="1"/>
  <c r="AJ1168" i="1"/>
  <c r="AK1168" i="1" s="1"/>
  <c r="AJ1157" i="1"/>
  <c r="AK1157" i="1" s="1"/>
  <c r="AJ1262" i="1"/>
  <c r="AK1262" i="1" s="1"/>
  <c r="AJ1265" i="1"/>
  <c r="AK1265" i="1" s="1"/>
  <c r="AJ1267" i="1"/>
  <c r="AK1267" i="1" s="1"/>
  <c r="AJ1264" i="1"/>
  <c r="AK1264" i="1" s="1"/>
  <c r="AJ1266" i="1"/>
  <c r="AK1266" i="1" s="1"/>
  <c r="AJ1230" i="1"/>
  <c r="AK1230" i="1" s="1"/>
  <c r="AJ1324" i="1"/>
  <c r="AK1324" i="1" s="1"/>
  <c r="AJ1302" i="1"/>
  <c r="AK1302" i="1" s="1"/>
  <c r="AJ1299" i="1"/>
  <c r="AK1299" i="1" s="1"/>
  <c r="AJ1291" i="1"/>
  <c r="AK1291" i="1" s="1"/>
  <c r="AJ1351" i="1"/>
  <c r="AK1351" i="1" s="1"/>
  <c r="AJ1373" i="1"/>
  <c r="AK1373" i="1" s="1"/>
  <c r="AJ1368" i="1"/>
  <c r="AK1368" i="1" s="1"/>
  <c r="AJ1381" i="1"/>
  <c r="AK1381" i="1" s="1"/>
  <c r="AJ1382" i="1"/>
  <c r="AK1382" i="1" s="1"/>
  <c r="AJ1371" i="1"/>
  <c r="AK1371" i="1" s="1"/>
  <c r="AJ1408" i="1"/>
  <c r="AK1408" i="1" s="1"/>
  <c r="AJ1424" i="1"/>
  <c r="AK1424" i="1" s="1"/>
  <c r="AJ1432" i="1"/>
  <c r="AK1432" i="1" s="1"/>
  <c r="AJ1429" i="1"/>
  <c r="AK1429" i="1" s="1"/>
  <c r="AJ1445" i="1"/>
  <c r="AK1445" i="1" s="1"/>
  <c r="AJ1487" i="1"/>
  <c r="AK1487" i="1" s="1"/>
  <c r="AJ1504" i="1"/>
  <c r="AK1504" i="1" s="1"/>
  <c r="AJ1502" i="1"/>
  <c r="AK1502" i="1" s="1"/>
  <c r="AJ1511" i="1"/>
  <c r="AK1511" i="1" s="1"/>
  <c r="AJ1556" i="1"/>
  <c r="AK1556" i="1" s="1"/>
  <c r="AJ1566" i="1"/>
  <c r="AK1566" i="1" s="1"/>
  <c r="AJ1567" i="1"/>
  <c r="AK1567" i="1" s="1"/>
  <c r="AJ1550" i="1"/>
  <c r="AK1550" i="1" s="1"/>
  <c r="AJ1640" i="1"/>
  <c r="AK1640" i="1" s="1"/>
  <c r="AJ1610" i="1"/>
  <c r="AK1610" i="1" s="1"/>
  <c r="AJ1557" i="1"/>
  <c r="AK1557" i="1" s="1"/>
  <c r="AJ1685" i="1"/>
  <c r="AK1685" i="1" s="1"/>
  <c r="AJ1722" i="1"/>
  <c r="AK1722" i="1" s="1"/>
  <c r="AJ1726" i="1"/>
  <c r="AK1726" i="1" s="1"/>
  <c r="AJ1786" i="1"/>
  <c r="AK1786" i="1" s="1"/>
  <c r="AJ1795" i="1"/>
  <c r="AK1795" i="1" s="1"/>
  <c r="AJ1806" i="1"/>
  <c r="AK1806" i="1" s="1"/>
  <c r="AJ1815" i="1"/>
  <c r="AK1815" i="1" s="1"/>
  <c r="AJ1812" i="1"/>
  <c r="AK1812" i="1" s="1"/>
  <c r="AJ1870" i="1"/>
  <c r="AK1870" i="1" s="1"/>
  <c r="AJ1939" i="1"/>
  <c r="AK1939" i="1" s="1"/>
  <c r="AJ1906" i="1"/>
  <c r="AK1906" i="1" s="1"/>
  <c r="AJ2076" i="1"/>
  <c r="AK2076" i="1" s="1"/>
  <c r="AJ2079" i="1"/>
  <c r="AK2079" i="1" s="1"/>
  <c r="AJ2086" i="1"/>
  <c r="AK2086" i="1" s="1"/>
  <c r="AJ2087" i="1"/>
  <c r="AK2087" i="1" s="1"/>
  <c r="AJ2111" i="1"/>
  <c r="AK2111" i="1" s="1"/>
  <c r="AJ2125" i="1"/>
  <c r="AK2125" i="1" s="1"/>
  <c r="AJ2119" i="1"/>
  <c r="AK2119" i="1" s="1"/>
  <c r="AJ2121" i="1"/>
  <c r="AK2121" i="1" s="1"/>
  <c r="AJ2257" i="1"/>
  <c r="AK2257" i="1" s="1"/>
  <c r="AJ2200" i="1"/>
  <c r="AK2200" i="1" s="1"/>
  <c r="AJ2205" i="1"/>
  <c r="AK2205" i="1" s="1"/>
  <c r="AJ2334" i="1"/>
  <c r="AK2334" i="1" s="1"/>
  <c r="AJ2328" i="1"/>
  <c r="AK2328" i="1" s="1"/>
  <c r="AJ2372" i="1"/>
  <c r="AK2372" i="1" s="1"/>
  <c r="AJ2370" i="1"/>
  <c r="AK2370" i="1" s="1"/>
  <c r="AJ2419" i="1"/>
  <c r="AK2419" i="1" s="1"/>
  <c r="AJ2438" i="1"/>
  <c r="AK2438" i="1" s="1"/>
  <c r="AJ2428" i="1"/>
  <c r="AK2428" i="1" s="1"/>
  <c r="AJ2425" i="1"/>
  <c r="AK2425" i="1" s="1"/>
  <c r="AJ2483" i="1"/>
  <c r="AK2483" i="1" s="1"/>
  <c r="AJ2511" i="1"/>
  <c r="AK2511" i="1" s="1"/>
  <c r="AJ2515" i="1"/>
  <c r="AK2515" i="1" s="1"/>
  <c r="AJ2503" i="1"/>
  <c r="AK2503" i="1" s="1"/>
  <c r="AJ2505" i="1"/>
  <c r="AK2505" i="1" s="1"/>
  <c r="AJ2504" i="1"/>
  <c r="AK2504" i="1" s="1"/>
  <c r="AJ2513" i="1"/>
  <c r="AK2513" i="1" s="1"/>
  <c r="AJ2601" i="1"/>
  <c r="AK2601" i="1" s="1"/>
  <c r="AJ833" i="1"/>
  <c r="AK833" i="1" s="1"/>
  <c r="AJ1061" i="1"/>
  <c r="AK1061" i="1" s="1"/>
  <c r="AJ837" i="1"/>
  <c r="AK837" i="1" s="1"/>
  <c r="AJ1041" i="1"/>
  <c r="AK1041" i="1" s="1"/>
  <c r="AJ700" i="1"/>
  <c r="AK700" i="1" s="1"/>
  <c r="AJ838" i="1"/>
  <c r="AK838" i="1" s="1"/>
  <c r="AJ1063" i="1"/>
  <c r="AK1063" i="1" s="1"/>
  <c r="AJ845" i="1"/>
  <c r="AK845" i="1" s="1"/>
  <c r="AJ842" i="1"/>
  <c r="AK842" i="1" s="1"/>
  <c r="AJ998" i="1"/>
  <c r="AK998" i="1" s="1"/>
  <c r="AJ1066" i="1"/>
  <c r="AK1066" i="1" s="1"/>
  <c r="AJ1051" i="1"/>
  <c r="AK1051" i="1" s="1"/>
  <c r="AJ352" i="1"/>
  <c r="AK352" i="1" s="1"/>
  <c r="AJ1633" i="1"/>
  <c r="AK1633" i="1" s="1"/>
  <c r="AJ331" i="1"/>
  <c r="AK331" i="1" s="1"/>
  <c r="AJ368" i="1"/>
  <c r="AK368" i="1" s="1"/>
  <c r="AJ574" i="1"/>
  <c r="AK574" i="1" s="1"/>
  <c r="AJ1258" i="1"/>
  <c r="AK1258" i="1" s="1"/>
  <c r="AJ1461" i="1"/>
  <c r="AK1461" i="1" s="1"/>
  <c r="AJ340" i="1"/>
  <c r="AK340" i="1" s="1"/>
  <c r="AJ305" i="1"/>
  <c r="AK305" i="1" s="1"/>
  <c r="AJ339" i="1"/>
  <c r="AK339" i="1" s="1"/>
  <c r="AJ401" i="1"/>
  <c r="AK401" i="1" s="1"/>
  <c r="AJ310" i="1"/>
  <c r="AK310" i="1" s="1"/>
  <c r="AJ336" i="1"/>
  <c r="AK336" i="1" s="1"/>
  <c r="AJ429" i="1"/>
  <c r="AK429" i="1" s="1"/>
  <c r="AJ234" i="1"/>
  <c r="AK234" i="1" s="1"/>
  <c r="AJ245" i="1"/>
  <c r="AK245" i="1" s="1"/>
  <c r="AJ264" i="1"/>
  <c r="AK264" i="1" s="1"/>
  <c r="AJ257" i="1"/>
  <c r="AK257" i="1" s="1"/>
  <c r="AJ297" i="1"/>
  <c r="AK297" i="1" s="1"/>
  <c r="AJ402" i="1"/>
  <c r="AK402" i="1" s="1"/>
  <c r="AJ398" i="1"/>
  <c r="AK398" i="1" s="1"/>
  <c r="AJ419" i="1"/>
  <c r="AK419" i="1" s="1"/>
  <c r="AJ440" i="1"/>
  <c r="AK440" i="1" s="1"/>
  <c r="AJ490" i="1"/>
  <c r="AK490" i="1" s="1"/>
  <c r="AJ1361" i="1"/>
  <c r="AK1361" i="1" s="1"/>
  <c r="AJ221" i="1"/>
  <c r="AK221" i="1" s="1"/>
  <c r="AJ356" i="1"/>
  <c r="AK356" i="1" s="1"/>
  <c r="AJ373" i="1"/>
  <c r="AK373" i="1" s="1"/>
  <c r="AJ375" i="1"/>
  <c r="AK375" i="1" s="1"/>
  <c r="AJ455" i="1"/>
  <c r="AK455" i="1" s="1"/>
  <c r="AJ462" i="1"/>
  <c r="AK462" i="1" s="1"/>
  <c r="AJ488" i="1"/>
  <c r="AK488" i="1" s="1"/>
  <c r="AJ2501" i="1"/>
  <c r="AK2501" i="1" s="1"/>
  <c r="AJ2078" i="1"/>
  <c r="AK2078" i="1" s="1"/>
  <c r="AJ1201" i="1"/>
  <c r="AK1201" i="1" s="1"/>
  <c r="AJ615" i="1"/>
  <c r="AK615" i="1" s="1"/>
  <c r="AJ19" i="1"/>
  <c r="AK19" i="1" s="1"/>
  <c r="AJ5" i="1"/>
  <c r="AK5" i="1" s="1"/>
  <c r="AJ6" i="1"/>
  <c r="AK6" i="1" s="1"/>
  <c r="AJ102" i="1"/>
  <c r="AK102" i="1" s="1"/>
  <c r="AJ112" i="1"/>
  <c r="AK112" i="1" s="1"/>
  <c r="AJ146" i="1"/>
  <c r="AK146" i="1" s="1"/>
  <c r="AJ27" i="1"/>
  <c r="AK27" i="1" s="1"/>
  <c r="AJ885" i="1"/>
  <c r="AK885" i="1" s="1"/>
  <c r="AJ1716" i="1"/>
  <c r="AK1716" i="1" s="1"/>
  <c r="AJ1780" i="1"/>
  <c r="AK1780" i="1" s="1"/>
  <c r="AJ487" i="1"/>
  <c r="AK487" i="1" s="1"/>
  <c r="AJ94" i="1"/>
  <c r="AK94" i="1" s="1"/>
  <c r="AJ1420" i="1"/>
  <c r="AK1420" i="1" s="1"/>
  <c r="AJ1357" i="1"/>
  <c r="AK1357" i="1" s="1"/>
  <c r="AJ599" i="1"/>
  <c r="AK599" i="1" s="1"/>
  <c r="AJ1437" i="1"/>
  <c r="AK1437" i="1" s="1"/>
  <c r="AJ1871" i="1"/>
  <c r="AK1871" i="1" s="1"/>
  <c r="AJ1123" i="1"/>
  <c r="AK1123" i="1" s="1"/>
  <c r="AJ1353" i="1"/>
  <c r="AK1353" i="1" s="1"/>
  <c r="AJ2499" i="1"/>
  <c r="AK2499" i="1" s="1"/>
  <c r="AJ433" i="1"/>
  <c r="AK433" i="1" s="1"/>
  <c r="AJ2498" i="1"/>
  <c r="AK2498" i="1" s="1"/>
  <c r="AJ405" i="1"/>
  <c r="AK405" i="1" s="1"/>
  <c r="AJ1029" i="1"/>
  <c r="AK1029" i="1" s="1"/>
  <c r="AJ643" i="1"/>
  <c r="AK643" i="1" s="1"/>
  <c r="AJ1444" i="1"/>
  <c r="AK1444" i="1" s="1"/>
  <c r="AJ351" i="1"/>
  <c r="AK351" i="1" s="1"/>
  <c r="AJ1781" i="1"/>
  <c r="AK1781" i="1" s="1"/>
  <c r="AJ858" i="1"/>
  <c r="AK858" i="1" s="1"/>
  <c r="AJ824" i="1"/>
  <c r="AK824" i="1" s="1"/>
  <c r="AJ1778" i="1"/>
  <c r="AK1778" i="1" s="1"/>
  <c r="AJ1312" i="1"/>
  <c r="AK1312" i="1" s="1"/>
  <c r="AJ1354" i="1"/>
  <c r="AK1354" i="1" s="1"/>
  <c r="AJ878" i="1"/>
  <c r="AK878" i="1" s="1"/>
  <c r="AJ323" i="1"/>
  <c r="AK323" i="1" s="1"/>
  <c r="AJ745" i="1"/>
  <c r="AK745" i="1" s="1"/>
  <c r="AJ3" i="1"/>
  <c r="AK3" i="1" s="1"/>
  <c r="AJ1462" i="1"/>
  <c r="AK1462" i="1" s="1"/>
  <c r="AJ1149" i="1"/>
  <c r="AK1149" i="1" s="1"/>
  <c r="AJ1340" i="1"/>
  <c r="AK1340" i="1" s="1"/>
  <c r="AJ887" i="1"/>
  <c r="AK887" i="1" s="1"/>
  <c r="AJ2546" i="1"/>
  <c r="AK2546" i="1" s="1"/>
  <c r="AJ2" i="1"/>
  <c r="AK2" i="1" s="1"/>
  <c r="AJ2188" i="1"/>
  <c r="AK2188" i="1" s="1"/>
  <c r="AJ607" i="1"/>
  <c r="AK607" i="1" s="1"/>
  <c r="AJ431" i="1"/>
  <c r="AK431" i="1" s="1"/>
  <c r="AJ2100" i="1"/>
  <c r="AK2100" i="1" s="1"/>
  <c r="AJ1082" i="1"/>
  <c r="AK1082" i="1" s="1"/>
  <c r="AJ1010" i="1"/>
  <c r="AK1010" i="1" s="1"/>
  <c r="AJ947" i="1"/>
  <c r="AK947" i="1" s="1"/>
  <c r="AJ1318" i="1"/>
  <c r="AK1318" i="1" s="1"/>
  <c r="AJ494" i="1"/>
  <c r="AK494" i="1" s="1"/>
  <c r="AJ908" i="1"/>
  <c r="AK908" i="1" s="1"/>
  <c r="AJ272" i="1"/>
  <c r="AK272" i="1" s="1"/>
  <c r="AJ2500" i="1"/>
  <c r="AK2500" i="1" s="1"/>
  <c r="AJ1463" i="1"/>
  <c r="AK1463" i="1" s="1"/>
  <c r="AJ2612" i="1"/>
  <c r="AK2612" i="1" s="1"/>
  <c r="AJ119" i="1"/>
  <c r="AK119" i="1" s="1"/>
  <c r="AJ127" i="1"/>
  <c r="AK127" i="1" s="1"/>
  <c r="AJ96" i="1"/>
  <c r="AK96" i="1" s="1"/>
  <c r="AJ125" i="1"/>
  <c r="AK125" i="1" s="1"/>
  <c r="AJ42" i="1"/>
  <c r="AK42" i="1" s="1"/>
  <c r="AJ139" i="1"/>
  <c r="AK139" i="1" s="1"/>
  <c r="AJ24" i="1"/>
  <c r="AK24" i="1" s="1"/>
  <c r="AJ107" i="1"/>
  <c r="AK107" i="1" s="1"/>
  <c r="AJ108" i="1"/>
  <c r="AK108" i="1" s="1"/>
  <c r="AJ133" i="1"/>
  <c r="AK133" i="1" s="1"/>
  <c r="AJ145" i="1"/>
  <c r="AK145" i="1" s="1"/>
  <c r="AJ16" i="1"/>
  <c r="AK16" i="1" s="1"/>
  <c r="AJ135" i="1"/>
  <c r="AK135" i="1" s="1"/>
  <c r="AJ2238" i="1"/>
  <c r="AK2238" i="1" s="1"/>
  <c r="AJ2235" i="1"/>
  <c r="AK2235" i="1" s="1"/>
  <c r="AJ2241" i="1"/>
  <c r="AK2241" i="1" s="1"/>
  <c r="AJ2272" i="1"/>
  <c r="AK2272" i="1" s="1"/>
  <c r="AJ2493" i="1"/>
  <c r="AK2493" i="1" s="1"/>
  <c r="AJ2497" i="1"/>
  <c r="AK2497" i="1" s="1"/>
  <c r="AJ2294" i="1"/>
  <c r="AK2294" i="1" s="1"/>
  <c r="AJ2299" i="1"/>
  <c r="AK2299" i="1" s="1"/>
  <c r="AJ2431" i="1"/>
  <c r="AK2431" i="1" s="1"/>
  <c r="AJ2537" i="1"/>
  <c r="AK2537" i="1" s="1"/>
  <c r="AJ2544" i="1"/>
  <c r="AK2544" i="1" s="1"/>
  <c r="AJ1025" i="1"/>
  <c r="AK1025" i="1" s="1"/>
  <c r="AJ2275" i="1"/>
  <c r="AK2275" i="1" s="1"/>
  <c r="AJ2227" i="1"/>
  <c r="AK2227" i="1" s="1"/>
  <c r="AJ2293" i="1"/>
  <c r="AK2293" i="1" s="1"/>
  <c r="AJ2315" i="1"/>
  <c r="AK2315" i="1" s="1"/>
  <c r="AJ2321" i="1"/>
  <c r="AK2321" i="1" s="1"/>
  <c r="AJ2408" i="1"/>
  <c r="AK2408" i="1" s="1"/>
  <c r="AJ2436" i="1"/>
  <c r="AK2436" i="1" s="1"/>
  <c r="AJ2534" i="1"/>
  <c r="AK2534" i="1" s="1"/>
  <c r="AJ2547" i="1"/>
  <c r="AK2547" i="1" s="1"/>
  <c r="AJ2545" i="1"/>
  <c r="AK2545" i="1" s="1"/>
  <c r="AJ709" i="1"/>
  <c r="AK709" i="1" s="1"/>
  <c r="AJ704" i="1"/>
  <c r="AK704" i="1" s="1"/>
  <c r="AJ708" i="1"/>
  <c r="AK708" i="1" s="1"/>
  <c r="AJ705" i="1"/>
  <c r="AK705" i="1" s="1"/>
  <c r="AJ848" i="1"/>
  <c r="AK848" i="1" s="1"/>
  <c r="AJ844" i="1"/>
  <c r="AK844" i="1" s="1"/>
  <c r="AJ846" i="1"/>
  <c r="AK846" i="1" s="1"/>
  <c r="AJ882" i="1"/>
  <c r="AK882" i="1" s="1"/>
  <c r="AJ883" i="1"/>
  <c r="AK883" i="1" s="1"/>
  <c r="AJ843" i="1"/>
  <c r="AK843" i="1" s="1"/>
  <c r="AJ880" i="1"/>
  <c r="AK880" i="1" s="1"/>
  <c r="AJ1017" i="1"/>
  <c r="AK1017" i="1" s="1"/>
  <c r="AJ2247" i="1"/>
  <c r="AK2247" i="1" s="1"/>
  <c r="AJ2252" i="1"/>
  <c r="AK2252" i="1" s="1"/>
  <c r="AJ2264" i="1"/>
  <c r="AK2264" i="1" s="1"/>
  <c r="AJ2255" i="1"/>
  <c r="AK2255" i="1" s="1"/>
  <c r="AJ2250" i="1"/>
  <c r="AK2250" i="1" s="1"/>
  <c r="AJ2261" i="1"/>
  <c r="AK2261" i="1" s="1"/>
  <c r="AJ2282" i="1"/>
  <c r="AK2282" i="1" s="1"/>
  <c r="AJ2308" i="1"/>
  <c r="AK2308" i="1" s="1"/>
  <c r="AJ2310" i="1"/>
  <c r="AK2310" i="1" s="1"/>
  <c r="AJ2284" i="1"/>
  <c r="AK2284" i="1" s="1"/>
  <c r="AJ2285" i="1"/>
  <c r="AK2285" i="1" s="1"/>
  <c r="AJ2297" i="1"/>
  <c r="AK2297" i="1" s="1"/>
  <c r="AJ2292" i="1"/>
  <c r="AK2292" i="1" s="1"/>
  <c r="AJ2290" i="1"/>
  <c r="AK2290" i="1" s="1"/>
  <c r="AJ2291" i="1"/>
  <c r="AK2291" i="1" s="1"/>
  <c r="AJ2309" i="1"/>
  <c r="AK2309" i="1" s="1"/>
  <c r="AJ2304" i="1"/>
  <c r="AK2304" i="1" s="1"/>
  <c r="AJ2303" i="1"/>
  <c r="AK2303" i="1" s="1"/>
  <c r="AJ2305" i="1"/>
  <c r="AK2305" i="1" s="1"/>
  <c r="AJ2286" i="1"/>
  <c r="AK2286" i="1" s="1"/>
  <c r="AJ2560" i="1"/>
  <c r="AK2560" i="1" s="1"/>
  <c r="AJ2561" i="1"/>
  <c r="AK2561" i="1" s="1"/>
  <c r="AJ2559" i="1"/>
  <c r="AK2559" i="1" s="1"/>
  <c r="AJ2554" i="1"/>
  <c r="AK2554" i="1" s="1"/>
  <c r="AJ2567" i="1"/>
  <c r="AK2567" i="1" s="1"/>
  <c r="AJ2562" i="1"/>
  <c r="AK2562" i="1" s="1"/>
  <c r="AJ2568" i="1"/>
  <c r="AK2568" i="1" s="1"/>
  <c r="AJ2566" i="1"/>
  <c r="AK2566" i="1" s="1"/>
  <c r="AJ2570" i="1"/>
  <c r="AK2570" i="1" s="1"/>
  <c r="AJ2609" i="1"/>
  <c r="AK2609" i="1" s="1"/>
  <c r="AJ942" i="1"/>
  <c r="AK942" i="1" s="1"/>
  <c r="AJ650" i="1"/>
  <c r="AK650" i="1" s="1"/>
  <c r="AJ655" i="1"/>
  <c r="AK655" i="1" s="1"/>
  <c r="AJ657" i="1"/>
  <c r="AK657" i="1" s="1"/>
  <c r="AJ761" i="1"/>
  <c r="AK761" i="1" s="1"/>
  <c r="AJ730" i="1"/>
  <c r="AK730" i="1" s="1"/>
  <c r="AJ663" i="1"/>
  <c r="AK663" i="1" s="1"/>
  <c r="AJ658" i="1"/>
  <c r="AK658" i="1" s="1"/>
  <c r="AJ690" i="1"/>
  <c r="AK690" i="1" s="1"/>
  <c r="AJ691" i="1"/>
  <c r="AK691" i="1" s="1"/>
  <c r="AJ688" i="1"/>
  <c r="AK688" i="1" s="1"/>
  <c r="AJ750" i="1"/>
  <c r="AK750" i="1" s="1"/>
  <c r="AJ747" i="1"/>
  <c r="AK747" i="1" s="1"/>
  <c r="AJ744" i="1"/>
  <c r="AK744" i="1" s="1"/>
  <c r="AJ735" i="1"/>
  <c r="AK735" i="1" s="1"/>
  <c r="AJ737" i="1"/>
  <c r="AK737" i="1" s="1"/>
  <c r="AJ731" i="1"/>
  <c r="AK731" i="1" s="1"/>
  <c r="AJ815" i="1"/>
  <c r="AK815" i="1" s="1"/>
  <c r="AJ813" i="1"/>
  <c r="AK813" i="1" s="1"/>
  <c r="AJ835" i="1"/>
  <c r="AK835" i="1" s="1"/>
  <c r="AJ875" i="1"/>
  <c r="AK875" i="1" s="1"/>
  <c r="AJ877" i="1"/>
  <c r="AK877" i="1" s="1"/>
  <c r="AJ879" i="1"/>
  <c r="AK879" i="1" s="1"/>
  <c r="AJ937" i="1"/>
  <c r="AK937" i="1" s="1"/>
  <c r="AJ987" i="1"/>
  <c r="AK987" i="1" s="1"/>
  <c r="AJ1005" i="1"/>
  <c r="AK1005" i="1" s="1"/>
  <c r="AJ1007" i="1"/>
  <c r="AK1007" i="1" s="1"/>
  <c r="AJ1008" i="1"/>
  <c r="AK1008" i="1" s="1"/>
  <c r="AJ1052" i="1"/>
  <c r="AK1052" i="1" s="1"/>
  <c r="AJ1009" i="1"/>
  <c r="AK1009" i="1" s="1"/>
  <c r="AJ1047" i="1"/>
  <c r="AK1047" i="1" s="1"/>
  <c r="AJ1065" i="1"/>
  <c r="AK1065" i="1" s="1"/>
  <c r="AJ1068" i="1"/>
  <c r="AK1068" i="1" s="1"/>
  <c r="AJ1787" i="1"/>
  <c r="AK1787" i="1" s="1"/>
  <c r="AJ2249" i="1"/>
  <c r="AK2249" i="1" s="1"/>
  <c r="AJ2245" i="1"/>
  <c r="AK2245" i="1" s="1"/>
  <c r="AJ2254" i="1"/>
  <c r="AK2254" i="1" s="1"/>
  <c r="AJ2259" i="1"/>
  <c r="AK2259" i="1" s="1"/>
  <c r="AJ2243" i="1"/>
  <c r="AK2243" i="1" s="1"/>
  <c r="AJ2260" i="1"/>
  <c r="AK2260" i="1" s="1"/>
  <c r="AJ2263" i="1"/>
  <c r="AK2263" i="1" s="1"/>
  <c r="AJ2246" i="1"/>
  <c r="AK2246" i="1" s="1"/>
  <c r="AJ2262" i="1"/>
  <c r="AK2262" i="1" s="1"/>
  <c r="AJ2269" i="1"/>
  <c r="AK2269" i="1" s="1"/>
  <c r="AJ2270" i="1"/>
  <c r="AK2270" i="1" s="1"/>
  <c r="AJ2265" i="1"/>
  <c r="AK2265" i="1" s="1"/>
  <c r="AJ2266" i="1"/>
  <c r="AK2266" i="1" s="1"/>
  <c r="AJ2268" i="1"/>
  <c r="AK2268" i="1" s="1"/>
  <c r="AJ2253" i="1"/>
  <c r="AK2253" i="1" s="1"/>
  <c r="AJ2251" i="1"/>
  <c r="AK2251" i="1" s="1"/>
  <c r="AJ2369" i="1"/>
  <c r="AK2369" i="1" s="1"/>
  <c r="AJ2378" i="1"/>
  <c r="AK2378" i="1" s="1"/>
  <c r="AJ2330" i="1"/>
  <c r="AK2330" i="1" s="1"/>
  <c r="AJ2347" i="1"/>
  <c r="AK2347" i="1" s="1"/>
  <c r="AJ2345" i="1"/>
  <c r="AK2345" i="1" s="1"/>
  <c r="AJ2332" i="1"/>
  <c r="AK2332" i="1" s="1"/>
  <c r="AJ2349" i="1"/>
  <c r="AK2349" i="1" s="1"/>
  <c r="AJ2336" i="1"/>
  <c r="AK2336" i="1" s="1"/>
  <c r="AJ2338" i="1"/>
  <c r="AK2338" i="1" s="1"/>
  <c r="AJ2354" i="1"/>
  <c r="AK2354" i="1" s="1"/>
  <c r="AJ2364" i="1"/>
  <c r="AK2364" i="1" s="1"/>
  <c r="AJ2341" i="1"/>
  <c r="AK2341" i="1" s="1"/>
  <c r="AJ2361" i="1"/>
  <c r="AK2361" i="1" s="1"/>
  <c r="AJ2343" i="1"/>
  <c r="AK2343" i="1" s="1"/>
  <c r="AJ2368" i="1"/>
  <c r="AK2368" i="1" s="1"/>
  <c r="AJ2376" i="1"/>
  <c r="AK2376" i="1" s="1"/>
  <c r="AJ2379" i="1"/>
  <c r="AK2379" i="1" s="1"/>
  <c r="AJ2388" i="1"/>
  <c r="AK2388" i="1" s="1"/>
  <c r="AJ2363" i="1"/>
  <c r="AK2363" i="1" s="1"/>
  <c r="AJ2374" i="1"/>
  <c r="AK2374" i="1" s="1"/>
  <c r="AJ2390" i="1"/>
  <c r="AK2390" i="1" s="1"/>
  <c r="AJ2365" i="1"/>
  <c r="AK2365" i="1" s="1"/>
  <c r="AJ2367" i="1"/>
  <c r="AK2367" i="1" s="1"/>
  <c r="AJ2357" i="1"/>
  <c r="AK2357" i="1" s="1"/>
  <c r="AJ2373" i="1"/>
  <c r="AK2373" i="1" s="1"/>
  <c r="AJ2384" i="1"/>
  <c r="AK2384" i="1" s="1"/>
  <c r="AJ2355" i="1"/>
  <c r="AK2355" i="1" s="1"/>
  <c r="AJ2385" i="1"/>
  <c r="AK2385" i="1" s="1"/>
  <c r="AJ2350" i="1"/>
  <c r="AK2350" i="1" s="1"/>
  <c r="AJ2411" i="1"/>
  <c r="AK2411" i="1" s="1"/>
  <c r="AJ2422" i="1"/>
  <c r="AK2422" i="1" s="1"/>
  <c r="AJ2415" i="1"/>
  <c r="AK2415" i="1" s="1"/>
  <c r="AJ2435" i="1"/>
  <c r="AK2435" i="1" s="1"/>
  <c r="AJ2432" i="1"/>
  <c r="AK2432" i="1" s="1"/>
  <c r="AJ2416" i="1"/>
  <c r="AK2416" i="1" s="1"/>
  <c r="AJ2410" i="1"/>
  <c r="AK2410" i="1" s="1"/>
  <c r="AJ2412" i="1"/>
  <c r="AK2412" i="1" s="1"/>
  <c r="AJ2414" i="1"/>
  <c r="AK2414" i="1" s="1"/>
  <c r="AJ2423" i="1"/>
  <c r="AK2423" i="1" s="1"/>
  <c r="AJ2417" i="1"/>
  <c r="AK2417" i="1" s="1"/>
  <c r="AJ2421" i="1"/>
  <c r="AK2421" i="1" s="1"/>
  <c r="AJ2418" i="1"/>
  <c r="AK2418" i="1" s="1"/>
  <c r="AJ2413" i="1"/>
  <c r="AK2413" i="1" s="1"/>
  <c r="AJ2426" i="1"/>
  <c r="AK2426" i="1" s="1"/>
  <c r="AJ2073" i="1"/>
  <c r="AK2073" i="1" s="1"/>
  <c r="AJ1708" i="1"/>
  <c r="AK1708" i="1" s="1"/>
  <c r="AJ1850" i="1"/>
  <c r="AK1850" i="1" s="1"/>
  <c r="AJ2173" i="1"/>
  <c r="AK2173" i="1" s="1"/>
  <c r="AJ2475" i="1"/>
  <c r="AK2475" i="1" s="1"/>
  <c r="AJ1467" i="1"/>
  <c r="AK1467" i="1" s="1"/>
  <c r="AJ1476" i="1"/>
  <c r="AK1476" i="1" s="1"/>
  <c r="AJ1542" i="1"/>
  <c r="AK1542" i="1" s="1"/>
  <c r="AJ1650" i="1"/>
  <c r="AK1650" i="1" s="1"/>
  <c r="AJ1656" i="1"/>
  <c r="AK1656" i="1" s="1"/>
  <c r="AJ1669" i="1"/>
  <c r="AK1669" i="1" s="1"/>
  <c r="AJ1709" i="1"/>
  <c r="AK1709" i="1" s="1"/>
  <c r="AJ1706" i="1"/>
  <c r="AK1706" i="1" s="1"/>
  <c r="AJ1714" i="1"/>
  <c r="AK1714" i="1" s="1"/>
  <c r="AJ1749" i="1"/>
  <c r="AK1749" i="1" s="1"/>
  <c r="AJ1820" i="1"/>
  <c r="AK1820" i="1" s="1"/>
  <c r="AJ1839" i="1"/>
  <c r="AK1839" i="1" s="1"/>
  <c r="AJ1837" i="1"/>
  <c r="AK1837" i="1" s="1"/>
  <c r="AJ1859" i="1"/>
  <c r="AK1859" i="1" s="1"/>
  <c r="AJ1881" i="1"/>
  <c r="AK1881" i="1" s="1"/>
  <c r="AJ2028" i="1"/>
  <c r="AK2028" i="1" s="1"/>
  <c r="AJ2024" i="1"/>
  <c r="AK2024" i="1" s="1"/>
  <c r="AJ2025" i="1"/>
  <c r="AK2025" i="1" s="1"/>
  <c r="AJ2185" i="1"/>
  <c r="AK2185" i="1" s="1"/>
  <c r="AJ2117" i="1"/>
  <c r="AK2117" i="1" s="1"/>
  <c r="AJ2193" i="1"/>
  <c r="AK2193" i="1" s="1"/>
  <c r="AJ2447" i="1"/>
  <c r="AK2447" i="1" s="1"/>
  <c r="AJ2460" i="1"/>
  <c r="AK2460" i="1" s="1"/>
  <c r="AJ2571" i="1"/>
  <c r="AK2571" i="1" s="1"/>
  <c r="AJ2579" i="1"/>
  <c r="AK2579" i="1" s="1"/>
  <c r="AJ2586" i="1"/>
  <c r="AK2586" i="1" s="1"/>
  <c r="AJ330" i="1"/>
  <c r="AK330" i="1" s="1"/>
  <c r="AJ427" i="1"/>
  <c r="AK427" i="1" s="1"/>
  <c r="AJ452" i="1"/>
  <c r="AK452" i="1" s="1"/>
  <c r="AJ1248" i="1"/>
  <c r="AK1248" i="1" s="1"/>
  <c r="AJ1628" i="1"/>
  <c r="AK1628" i="1" s="1"/>
  <c r="AJ1592" i="1"/>
  <c r="AK1592" i="1" s="1"/>
  <c r="AJ1632" i="1"/>
  <c r="AK1632" i="1" s="1"/>
  <c r="AJ1594" i="1"/>
  <c r="AK1594" i="1" s="1"/>
  <c r="AJ1602" i="1"/>
  <c r="AK1602" i="1" s="1"/>
  <c r="AJ1591" i="1"/>
  <c r="AK1591" i="1" s="1"/>
  <c r="AJ1661" i="1"/>
  <c r="AK1661" i="1" s="1"/>
  <c r="AJ1717" i="1"/>
  <c r="AK1717" i="1" s="1"/>
  <c r="AJ1692" i="1"/>
  <c r="AK1692" i="1" s="1"/>
  <c r="AJ1704" i="1"/>
  <c r="AK1704" i="1" s="1"/>
  <c r="AJ1710" i="1"/>
  <c r="AK1710" i="1" s="1"/>
  <c r="AJ1773" i="1"/>
  <c r="AK1773" i="1" s="1"/>
  <c r="AJ1774" i="1"/>
  <c r="AK1774" i="1" s="1"/>
  <c r="AJ1792" i="1"/>
  <c r="AK1792" i="1" s="1"/>
  <c r="AJ1877" i="1"/>
  <c r="AK1877" i="1" s="1"/>
  <c r="AJ1915" i="1"/>
  <c r="AK1915" i="1" s="1"/>
  <c r="AJ2029" i="1"/>
  <c r="AK2029" i="1" s="1"/>
  <c r="AJ1982" i="1"/>
  <c r="AK1982" i="1" s="1"/>
  <c r="AJ1933" i="1"/>
  <c r="AK1933" i="1" s="1"/>
  <c r="AJ1945" i="1"/>
  <c r="AK1945" i="1" s="1"/>
  <c r="AJ2108" i="1"/>
  <c r="AK2108" i="1" s="1"/>
  <c r="AJ2120" i="1"/>
  <c r="AK2120" i="1" s="1"/>
  <c r="AJ2164" i="1"/>
  <c r="AK2164" i="1" s="1"/>
  <c r="AJ2161" i="1"/>
  <c r="AK2161" i="1" s="1"/>
  <c r="AJ2163" i="1"/>
  <c r="AK2163" i="1" s="1"/>
  <c r="AJ2186" i="1"/>
  <c r="AK2186" i="1" s="1"/>
  <c r="AJ2377" i="1"/>
  <c r="AK2377" i="1" s="1"/>
  <c r="AJ2392" i="1"/>
  <c r="AK2392" i="1" s="1"/>
  <c r="AJ2476" i="1"/>
  <c r="AK2476" i="1" s="1"/>
  <c r="AJ2541" i="1"/>
  <c r="AK2541" i="1" s="1"/>
  <c r="AJ2536" i="1"/>
  <c r="AK2536" i="1" s="1"/>
  <c r="AJ2596" i="1"/>
  <c r="AK2596" i="1" s="1"/>
  <c r="AJ192" i="1"/>
  <c r="AK192" i="1" s="1"/>
  <c r="AJ238" i="1"/>
  <c r="AK238" i="1" s="1"/>
  <c r="AJ236" i="1"/>
  <c r="AK236" i="1" s="1"/>
  <c r="AJ267" i="1"/>
  <c r="AK267" i="1" s="1"/>
  <c r="AJ265" i="1"/>
  <c r="AK265" i="1" s="1"/>
  <c r="AJ266" i="1"/>
  <c r="AK266" i="1" s="1"/>
  <c r="AJ321" i="1"/>
  <c r="AK321" i="1" s="1"/>
  <c r="AJ325" i="1"/>
  <c r="AK325" i="1" s="1"/>
  <c r="AJ363" i="1"/>
  <c r="AK363" i="1" s="1"/>
  <c r="AJ390" i="1"/>
  <c r="AK390" i="1" s="1"/>
  <c r="AJ385" i="1"/>
  <c r="AK385" i="1" s="1"/>
  <c r="AJ391" i="1"/>
  <c r="AK391" i="1" s="1"/>
  <c r="AJ438" i="1"/>
  <c r="AK438" i="1" s="1"/>
  <c r="AJ442" i="1"/>
  <c r="AK442" i="1" s="1"/>
  <c r="AJ477" i="1"/>
  <c r="AK477" i="1" s="1"/>
  <c r="AJ595" i="1"/>
  <c r="AK595" i="1" s="1"/>
  <c r="AJ596" i="1"/>
  <c r="AK596" i="1" s="1"/>
  <c r="AJ613" i="1"/>
  <c r="AK613" i="1" s="1"/>
  <c r="AJ609" i="1"/>
  <c r="AK609" i="1" s="1"/>
  <c r="AJ618" i="1"/>
  <c r="AK618" i="1" s="1"/>
  <c r="AJ1097" i="1"/>
  <c r="AK1097" i="1" s="1"/>
  <c r="AJ1094" i="1"/>
  <c r="AK1094" i="1" s="1"/>
  <c r="AJ1128" i="1"/>
  <c r="AK1128" i="1" s="1"/>
  <c r="AJ1129" i="1"/>
  <c r="AK1129" i="1" s="1"/>
  <c r="AJ1251" i="1"/>
  <c r="AK1251" i="1" s="1"/>
  <c r="AJ1328" i="1"/>
  <c r="AK1328" i="1" s="1"/>
  <c r="AJ1440" i="1"/>
  <c r="AK1440" i="1" s="1"/>
  <c r="AJ1455" i="1"/>
  <c r="AK1455" i="1" s="1"/>
  <c r="AJ1456" i="1"/>
  <c r="AK1456" i="1" s="1"/>
  <c r="AJ1484" i="1"/>
  <c r="AK1484" i="1" s="1"/>
  <c r="AJ1458" i="1"/>
  <c r="AK1458" i="1" s="1"/>
  <c r="AJ1457" i="1"/>
  <c r="AK1457" i="1" s="1"/>
  <c r="AJ1452" i="1"/>
  <c r="AK1452" i="1" s="1"/>
  <c r="AJ1459" i="1"/>
  <c r="AK1459" i="1" s="1"/>
  <c r="AJ1471" i="1"/>
  <c r="AK1471" i="1" s="1"/>
  <c r="AJ1485" i="1"/>
  <c r="AK1485" i="1" s="1"/>
  <c r="AJ1538" i="1"/>
  <c r="AK1538" i="1" s="1"/>
  <c r="AJ1583" i="1"/>
  <c r="AK1583" i="1" s="1"/>
  <c r="AJ1577" i="1"/>
  <c r="AK1577" i="1" s="1"/>
  <c r="AJ1589" i="1"/>
  <c r="AK1589" i="1" s="1"/>
  <c r="AJ1574" i="1"/>
  <c r="AK1574" i="1" s="1"/>
  <c r="AJ1582" i="1"/>
  <c r="AK1582" i="1" s="1"/>
  <c r="AJ1639" i="1"/>
  <c r="AK1639" i="1" s="1"/>
  <c r="AJ1637" i="1"/>
  <c r="AK1637" i="1" s="1"/>
  <c r="AJ1636" i="1"/>
  <c r="AK1636" i="1" s="1"/>
  <c r="AJ1638" i="1"/>
  <c r="AK1638" i="1" s="1"/>
  <c r="AJ1621" i="1"/>
  <c r="AK1621" i="1" s="1"/>
  <c r="AJ1723" i="1"/>
  <c r="AK1723" i="1" s="1"/>
  <c r="AJ1752" i="1"/>
  <c r="AK1752" i="1" s="1"/>
  <c r="AJ1753" i="1"/>
  <c r="AK1753" i="1" s="1"/>
  <c r="AJ1731" i="1"/>
  <c r="AK1731" i="1" s="1"/>
  <c r="AJ1743" i="1"/>
  <c r="AK1743" i="1" s="1"/>
  <c r="AJ1755" i="1"/>
  <c r="AK1755" i="1" s="1"/>
  <c r="AJ1751" i="1"/>
  <c r="AK1751" i="1" s="1"/>
  <c r="AJ1794" i="1"/>
  <c r="AK1794" i="1" s="1"/>
  <c r="AJ1828" i="1"/>
  <c r="AK1828" i="1" s="1"/>
  <c r="AJ1858" i="1"/>
  <c r="AK1858" i="1" s="1"/>
  <c r="AJ1849" i="1"/>
  <c r="AK1849" i="1" s="1"/>
  <c r="AJ1963" i="1"/>
  <c r="AK1963" i="1" s="1"/>
  <c r="AJ1965" i="1"/>
  <c r="AK1965" i="1" s="1"/>
  <c r="AJ1967" i="1"/>
  <c r="AK1967" i="1" s="1"/>
  <c r="AJ1968" i="1"/>
  <c r="AK1968" i="1" s="1"/>
  <c r="AJ1964" i="1"/>
  <c r="AK1964" i="1" s="1"/>
  <c r="AJ1966" i="1"/>
  <c r="AK1966" i="1" s="1"/>
  <c r="AJ2084" i="1"/>
  <c r="AK2084" i="1" s="1"/>
  <c r="AJ1970" i="1"/>
  <c r="AK1970" i="1" s="1"/>
  <c r="AJ1894" i="1"/>
  <c r="AK1894" i="1" s="1"/>
  <c r="AJ1895" i="1"/>
  <c r="AK1895" i="1" s="1"/>
  <c r="AJ1897" i="1"/>
  <c r="AK1897" i="1" s="1"/>
  <c r="AJ1893" i="1"/>
  <c r="AK1893" i="1" s="1"/>
  <c r="AJ1896" i="1"/>
  <c r="AK1896" i="1" s="1"/>
  <c r="AJ1900" i="1"/>
  <c r="AK1900" i="1" s="1"/>
  <c r="AJ1903" i="1"/>
  <c r="AK1903" i="1" s="1"/>
  <c r="AJ1899" i="1"/>
  <c r="AK1899" i="1" s="1"/>
  <c r="AJ1901" i="1"/>
  <c r="AK1901" i="1" s="1"/>
  <c r="AJ1904" i="1"/>
  <c r="AK1904" i="1" s="1"/>
  <c r="AJ1905" i="1"/>
  <c r="AK1905" i="1" s="1"/>
  <c r="AJ1898" i="1"/>
  <c r="AK1898" i="1" s="1"/>
  <c r="AJ2040" i="1"/>
  <c r="AK2040" i="1" s="1"/>
  <c r="AJ1974" i="1"/>
  <c r="AK1974" i="1" s="1"/>
  <c r="AJ1977" i="1"/>
  <c r="AK1977" i="1" s="1"/>
  <c r="AJ1978" i="1"/>
  <c r="AK1978" i="1" s="1"/>
  <c r="AJ2041" i="1"/>
  <c r="AK2041" i="1" s="1"/>
  <c r="AJ1984" i="1"/>
  <c r="AK1984" i="1" s="1"/>
  <c r="AJ1983" i="1"/>
  <c r="AK1983" i="1" s="1"/>
  <c r="AJ1986" i="1"/>
  <c r="AK1986" i="1" s="1"/>
  <c r="AJ2042" i="1"/>
  <c r="AK2042" i="1" s="1"/>
  <c r="AJ2015" i="1"/>
  <c r="AK2015" i="1" s="1"/>
  <c r="AJ2043" i="1"/>
  <c r="AK2043" i="1" s="1"/>
  <c r="AJ2044" i="1"/>
  <c r="AK2044" i="1" s="1"/>
  <c r="AJ2045" i="1"/>
  <c r="AK2045" i="1" s="1"/>
  <c r="AJ2016" i="1"/>
  <c r="AK2016" i="1" s="1"/>
  <c r="AJ2017" i="1"/>
  <c r="AK2017" i="1" s="1"/>
  <c r="AJ2019" i="1"/>
  <c r="AK2019" i="1" s="1"/>
  <c r="AJ2020" i="1"/>
  <c r="AK2020" i="1" s="1"/>
  <c r="AJ2021" i="1"/>
  <c r="AK2021" i="1" s="1"/>
  <c r="AJ2011" i="1"/>
  <c r="AK2011" i="1" s="1"/>
  <c r="AJ2018" i="1"/>
  <c r="AK2018" i="1" s="1"/>
  <c r="AJ2082" i="1"/>
  <c r="AK2082" i="1" s="1"/>
  <c r="AJ2083" i="1"/>
  <c r="AK2083" i="1" s="1"/>
  <c r="AJ2075" i="1"/>
  <c r="AK2075" i="1" s="1"/>
  <c r="AJ2099" i="1"/>
  <c r="AK2099" i="1" s="1"/>
  <c r="AJ2107" i="1"/>
  <c r="AK2107" i="1" s="1"/>
  <c r="AJ2137" i="1"/>
  <c r="AK2137" i="1" s="1"/>
  <c r="AJ2128" i="1"/>
  <c r="AK2128" i="1" s="1"/>
  <c r="AJ2126" i="1"/>
  <c r="AK2126" i="1" s="1"/>
  <c r="AJ2124" i="1"/>
  <c r="AK2124" i="1" s="1"/>
  <c r="AJ2136" i="1"/>
  <c r="AK2136" i="1" s="1"/>
  <c r="AJ2139" i="1"/>
  <c r="AK2139" i="1" s="1"/>
  <c r="AJ2154" i="1"/>
  <c r="AK2154" i="1" s="1"/>
  <c r="AJ2166" i="1"/>
  <c r="AK2166" i="1" s="1"/>
  <c r="AJ2192" i="1"/>
  <c r="AK2192" i="1" s="1"/>
  <c r="AJ2228" i="1"/>
  <c r="AK2228" i="1" s="1"/>
  <c r="AJ2229" i="1"/>
  <c r="AK2229" i="1" s="1"/>
  <c r="AJ2234" i="1"/>
  <c r="AK2234" i="1" s="1"/>
  <c r="AJ2236" i="1"/>
  <c r="AK2236" i="1" s="1"/>
  <c r="AJ2430" i="1"/>
  <c r="AK2430" i="1" s="1"/>
  <c r="AJ2451" i="1"/>
  <c r="AK2451" i="1" s="1"/>
  <c r="AJ2450" i="1"/>
  <c r="AK2450" i="1" s="1"/>
  <c r="AJ2403" i="1"/>
  <c r="AK2403" i="1" s="1"/>
  <c r="AJ2441" i="1"/>
  <c r="AK2441" i="1" s="1"/>
  <c r="AJ2445" i="1"/>
  <c r="AK2445" i="1" s="1"/>
  <c r="AJ2479" i="1"/>
  <c r="AK2479" i="1" s="1"/>
  <c r="AJ2481" i="1"/>
  <c r="AK2481" i="1" s="1"/>
  <c r="AJ2487" i="1"/>
  <c r="AK2487" i="1" s="1"/>
  <c r="AJ2590" i="1"/>
  <c r="AK2590" i="1" s="1"/>
  <c r="AJ2593" i="1"/>
  <c r="AK2593" i="1" s="1"/>
  <c r="AJ169" i="1"/>
  <c r="AK169" i="1" s="1"/>
  <c r="AJ183" i="1"/>
  <c r="AK183" i="1" s="1"/>
  <c r="AJ170" i="1"/>
  <c r="AK170" i="1" s="1"/>
  <c r="AJ179" i="1"/>
  <c r="AK179" i="1" s="1"/>
  <c r="AJ171" i="1"/>
  <c r="AK171" i="1" s="1"/>
  <c r="AJ173" i="1"/>
  <c r="AK173" i="1" s="1"/>
  <c r="AJ172" i="1"/>
  <c r="AK172" i="1" s="1"/>
  <c r="AJ474" i="1"/>
  <c r="AK474" i="1" s="1"/>
  <c r="AJ377" i="1"/>
  <c r="AK377" i="1" s="1"/>
  <c r="AJ364" i="1"/>
  <c r="AK364" i="1" s="1"/>
  <c r="AJ458" i="1"/>
  <c r="AK458" i="1" s="1"/>
  <c r="AJ484" i="1"/>
  <c r="AK484" i="1" s="1"/>
  <c r="AJ481" i="1"/>
  <c r="AK481" i="1" s="1"/>
  <c r="AJ544" i="1"/>
  <c r="AK544" i="1" s="1"/>
  <c r="AJ535" i="1"/>
  <c r="AK535" i="1" s="1"/>
  <c r="AJ536" i="1"/>
  <c r="AK536" i="1" s="1"/>
  <c r="AJ538" i="1"/>
  <c r="AK538" i="1" s="1"/>
  <c r="AJ514" i="1"/>
  <c r="AK514" i="1" s="1"/>
  <c r="AJ575" i="1"/>
  <c r="AK575" i="1" s="1"/>
  <c r="AJ587" i="1"/>
  <c r="AK587" i="1" s="1"/>
  <c r="AJ1559" i="1"/>
  <c r="AK1559" i="1" s="1"/>
  <c r="AJ1076" i="1"/>
  <c r="AK1076" i="1" s="1"/>
  <c r="AJ1088" i="1"/>
  <c r="AK1088" i="1" s="1"/>
  <c r="AJ1376" i="1"/>
  <c r="AK1376" i="1" s="1"/>
  <c r="AJ1118" i="1"/>
  <c r="AK1118" i="1" s="1"/>
  <c r="AJ1101" i="1"/>
  <c r="AK1101" i="1" s="1"/>
  <c r="AJ1162" i="1"/>
  <c r="AK1162" i="1" s="1"/>
  <c r="AJ1170" i="1"/>
  <c r="AK1170" i="1" s="1"/>
  <c r="AJ1164" i="1"/>
  <c r="AK1164" i="1" s="1"/>
  <c r="AJ1158" i="1"/>
  <c r="AK1158" i="1" s="1"/>
  <c r="AJ1169" i="1"/>
  <c r="AK1169" i="1" s="1"/>
  <c r="AJ1165" i="1"/>
  <c r="AK1165" i="1" s="1"/>
  <c r="AJ1152" i="1"/>
  <c r="AK1152" i="1" s="1"/>
  <c r="AJ1160" i="1"/>
  <c r="AK1160" i="1" s="1"/>
  <c r="AJ1269" i="1"/>
  <c r="AK1269" i="1" s="1"/>
  <c r="AJ1272" i="1"/>
  <c r="AK1272" i="1" s="1"/>
  <c r="AJ1261" i="1"/>
  <c r="AK1261" i="1" s="1"/>
  <c r="AJ1301" i="1"/>
  <c r="AK1301" i="1" s="1"/>
  <c r="AJ1296" i="1"/>
  <c r="AK1296" i="1" s="1"/>
  <c r="AJ1349" i="1"/>
  <c r="AK1349" i="1" s="1"/>
  <c r="AJ1411" i="1"/>
  <c r="AK1411" i="1" s="1"/>
  <c r="AJ1410" i="1"/>
  <c r="AK1410" i="1" s="1"/>
  <c r="AJ1426" i="1"/>
  <c r="AK1426" i="1" s="1"/>
  <c r="AJ1430" i="1"/>
  <c r="AK1430" i="1" s="1"/>
  <c r="AJ1439" i="1"/>
  <c r="AK1439" i="1" s="1"/>
  <c r="AJ1475" i="1"/>
  <c r="AK1475" i="1" s="1"/>
  <c r="AJ1472" i="1"/>
  <c r="AK1472" i="1" s="1"/>
  <c r="AJ1481" i="1"/>
  <c r="AK1481" i="1" s="1"/>
  <c r="AJ1510" i="1"/>
  <c r="AK1510" i="1" s="1"/>
  <c r="AJ1499" i="1"/>
  <c r="AK1499" i="1" s="1"/>
  <c r="AJ1535" i="1"/>
  <c r="AK1535" i="1" s="1"/>
  <c r="AJ1561" i="1"/>
  <c r="AK1561" i="1" s="1"/>
  <c r="AJ1564" i="1"/>
  <c r="AK1564" i="1" s="1"/>
  <c r="AJ1641" i="1"/>
  <c r="AK1641" i="1" s="1"/>
  <c r="AJ1565" i="1"/>
  <c r="AK1565" i="1" s="1"/>
  <c r="AJ1645" i="1"/>
  <c r="AK1645" i="1" s="1"/>
  <c r="AJ1552" i="1"/>
  <c r="AK1552" i="1" s="1"/>
  <c r="AJ1558" i="1"/>
  <c r="AK1558" i="1" s="1"/>
  <c r="AJ1560" i="1"/>
  <c r="AK1560" i="1" s="1"/>
  <c r="AJ1555" i="1"/>
  <c r="AK1555" i="1" s="1"/>
  <c r="AJ1568" i="1"/>
  <c r="AK1568" i="1" s="1"/>
  <c r="AJ1605" i="1"/>
  <c r="AK1605" i="1" s="1"/>
  <c r="AJ1562" i="1"/>
  <c r="AK1562" i="1" s="1"/>
  <c r="AJ1553" i="1"/>
  <c r="AK1553" i="1" s="1"/>
  <c r="AJ1606" i="1"/>
  <c r="AK1606" i="1" s="1"/>
  <c r="AJ1617" i="1"/>
  <c r="AK1617" i="1" s="1"/>
  <c r="AJ1679" i="1"/>
  <c r="AK1679" i="1" s="1"/>
  <c r="AJ1684" i="1"/>
  <c r="AK1684" i="1" s="1"/>
  <c r="AJ1683" i="1"/>
  <c r="AK1683" i="1" s="1"/>
  <c r="AJ1680" i="1"/>
  <c r="AK1680" i="1" s="1"/>
  <c r="AJ1682" i="1"/>
  <c r="AK1682" i="1" s="1"/>
  <c r="AJ1693" i="1"/>
  <c r="AK1693" i="1" s="1"/>
  <c r="AJ1700" i="1"/>
  <c r="AK1700" i="1" s="1"/>
  <c r="AJ1701" i="1"/>
  <c r="AK1701" i="1" s="1"/>
  <c r="AJ1735" i="1"/>
  <c r="AK1735" i="1" s="1"/>
  <c r="AJ1732" i="1"/>
  <c r="AK1732" i="1" s="1"/>
  <c r="AJ1736" i="1"/>
  <c r="AK1736" i="1" s="1"/>
  <c r="AJ1720" i="1"/>
  <c r="AK1720" i="1" s="1"/>
  <c r="AJ1725" i="1"/>
  <c r="AK1725" i="1" s="1"/>
  <c r="AJ1724" i="1"/>
  <c r="AK1724" i="1" s="1"/>
  <c r="AJ1748" i="1"/>
  <c r="AK1748" i="1" s="1"/>
  <c r="AJ1733" i="1"/>
  <c r="AK1733" i="1" s="1"/>
  <c r="AJ1771" i="1"/>
  <c r="AK1771" i="1" s="1"/>
  <c r="AJ1784" i="1"/>
  <c r="AK1784" i="1" s="1"/>
  <c r="AJ1788" i="1"/>
  <c r="AK1788" i="1" s="1"/>
  <c r="AJ2509" i="1"/>
  <c r="AK2509" i="1" s="1"/>
  <c r="AJ1798" i="1"/>
  <c r="AK1798" i="1" s="1"/>
  <c r="AJ1802" i="1"/>
  <c r="AK1802" i="1" s="1"/>
  <c r="AJ1813" i="1"/>
  <c r="AK1813" i="1" s="1"/>
  <c r="AJ1805" i="1"/>
  <c r="AK1805" i="1" s="1"/>
  <c r="AJ1814" i="1"/>
  <c r="AK1814" i="1" s="1"/>
  <c r="AJ1807" i="1"/>
  <c r="AK1807" i="1" s="1"/>
  <c r="AJ1801" i="1"/>
  <c r="AK1801" i="1" s="1"/>
  <c r="AJ1862" i="1"/>
  <c r="AK1862" i="1" s="1"/>
  <c r="AJ1864" i="1"/>
  <c r="AK1864" i="1" s="1"/>
  <c r="AJ1863" i="1"/>
  <c r="AK1863" i="1" s="1"/>
  <c r="AJ1951" i="1"/>
  <c r="AK1951" i="1" s="1"/>
  <c r="AJ1944" i="1"/>
  <c r="AK1944" i="1" s="1"/>
  <c r="AJ1938" i="1"/>
  <c r="AK1938" i="1" s="1"/>
  <c r="AJ1941" i="1"/>
  <c r="AK1941" i="1" s="1"/>
  <c r="AJ1942" i="1"/>
  <c r="AK1942" i="1" s="1"/>
  <c r="AJ1957" i="1"/>
  <c r="AK1957" i="1" s="1"/>
  <c r="AJ1946" i="1"/>
  <c r="AK1946" i="1" s="1"/>
  <c r="AJ1947" i="1"/>
  <c r="AK1947" i="1" s="1"/>
  <c r="AJ1948" i="1"/>
  <c r="AK1948" i="1" s="1"/>
  <c r="AJ1949" i="1"/>
  <c r="AK1949" i="1" s="1"/>
  <c r="AJ1958" i="1"/>
  <c r="AK1958" i="1" s="1"/>
  <c r="AJ1954" i="1"/>
  <c r="AK1954" i="1" s="1"/>
  <c r="AJ1943" i="1"/>
  <c r="AK1943" i="1" s="1"/>
  <c r="AJ1961" i="1"/>
  <c r="AK1961" i="1" s="1"/>
  <c r="AJ1962" i="1"/>
  <c r="AK1962" i="1" s="1"/>
  <c r="AJ1960" i="1"/>
  <c r="AK1960" i="1" s="1"/>
  <c r="AJ1892" i="1"/>
  <c r="AK1892" i="1" s="1"/>
  <c r="AJ1884" i="1"/>
  <c r="AK1884" i="1" s="1"/>
  <c r="AJ1885" i="1"/>
  <c r="AK1885" i="1" s="1"/>
  <c r="AJ1887" i="1"/>
  <c r="AK1887" i="1" s="1"/>
  <c r="AJ1883" i="1"/>
  <c r="AK1883" i="1" s="1"/>
  <c r="AJ1886" i="1"/>
  <c r="AK1886" i="1" s="1"/>
  <c r="AJ1890" i="1"/>
  <c r="AK1890" i="1" s="1"/>
  <c r="AJ1888" i="1"/>
  <c r="AK1888" i="1" s="1"/>
  <c r="AJ1889" i="1"/>
  <c r="AK1889" i="1" s="1"/>
  <c r="AJ1891" i="1"/>
  <c r="AK1891" i="1" s="1"/>
  <c r="AJ1907" i="1"/>
  <c r="AK1907" i="1" s="1"/>
  <c r="AJ1909" i="1"/>
  <c r="AK1909" i="1" s="1"/>
  <c r="AJ2046" i="1"/>
  <c r="AK2046" i="1" s="1"/>
  <c r="AJ2047" i="1"/>
  <c r="AK2047" i="1" s="1"/>
  <c r="AJ1908" i="1"/>
  <c r="AK1908" i="1" s="1"/>
  <c r="AJ1910" i="1"/>
  <c r="AK1910" i="1" s="1"/>
  <c r="AJ1911" i="1"/>
  <c r="AK1911" i="1" s="1"/>
  <c r="AJ1920" i="1"/>
  <c r="AK1920" i="1" s="1"/>
  <c r="AJ1922" i="1"/>
  <c r="AK1922" i="1" s="1"/>
  <c r="AJ1923" i="1"/>
  <c r="AK1923" i="1" s="1"/>
  <c r="AJ1916" i="1"/>
  <c r="AK1916" i="1" s="1"/>
  <c r="AJ1917" i="1"/>
  <c r="AK1917" i="1" s="1"/>
  <c r="AJ1926" i="1"/>
  <c r="AK1926" i="1" s="1"/>
  <c r="AJ2049" i="1"/>
  <c r="AK2049" i="1" s="1"/>
  <c r="AJ2050" i="1"/>
  <c r="AK2050" i="1" s="1"/>
  <c r="AJ1927" i="1"/>
  <c r="AK1927" i="1" s="1"/>
  <c r="AJ1918" i="1"/>
  <c r="AK1918" i="1" s="1"/>
  <c r="AJ1929" i="1"/>
  <c r="AK1929" i="1" s="1"/>
  <c r="AJ1919" i="1"/>
  <c r="AK1919" i="1" s="1"/>
  <c r="AJ2051" i="1"/>
  <c r="AK2051" i="1" s="1"/>
  <c r="AJ2052" i="1"/>
  <c r="AK2052" i="1" s="1"/>
  <c r="AJ1925" i="1"/>
  <c r="AK1925" i="1" s="1"/>
  <c r="AJ1931" i="1"/>
  <c r="AK1931" i="1" s="1"/>
  <c r="AJ1928" i="1"/>
  <c r="AK1928" i="1" s="1"/>
  <c r="AJ1930" i="1"/>
  <c r="AK1930" i="1" s="1"/>
  <c r="AJ1932" i="1"/>
  <c r="AK1932" i="1" s="1"/>
  <c r="AJ1936" i="1"/>
  <c r="AK1936" i="1" s="1"/>
  <c r="AJ1934" i="1"/>
  <c r="AK1934" i="1" s="1"/>
  <c r="AJ1921" i="1"/>
  <c r="AK1921" i="1" s="1"/>
  <c r="AJ1935" i="1"/>
  <c r="AK1935" i="1" s="1"/>
  <c r="AJ2053" i="1"/>
  <c r="AK2053" i="1" s="1"/>
  <c r="AJ2001" i="1"/>
  <c r="AK2001" i="1" s="1"/>
  <c r="AJ1989" i="1"/>
  <c r="AK1989" i="1" s="1"/>
  <c r="AJ2007" i="1"/>
  <c r="AK2007" i="1" s="1"/>
  <c r="AJ1985" i="1"/>
  <c r="AK1985" i="1" s="1"/>
  <c r="AJ2059" i="1"/>
  <c r="AK2059" i="1" s="1"/>
  <c r="AJ1990" i="1"/>
  <c r="AK1990" i="1" s="1"/>
  <c r="AJ1991" i="1"/>
  <c r="AK1991" i="1" s="1"/>
  <c r="AJ1992" i="1"/>
  <c r="AK1992" i="1" s="1"/>
  <c r="AJ1993" i="1"/>
  <c r="AK1993" i="1" s="1"/>
  <c r="AJ2010" i="1"/>
  <c r="AK2010" i="1" s="1"/>
  <c r="AJ1995" i="1"/>
  <c r="AK1995" i="1" s="1"/>
  <c r="AJ1994" i="1"/>
  <c r="AK1994" i="1" s="1"/>
  <c r="AJ1996" i="1"/>
  <c r="AK1996" i="1" s="1"/>
  <c r="AJ2055" i="1"/>
  <c r="AK2055" i="1" s="1"/>
  <c r="AJ1998" i="1"/>
  <c r="AK1998" i="1" s="1"/>
  <c r="AJ1997" i="1"/>
  <c r="AK1997" i="1" s="1"/>
  <c r="AJ2054" i="1"/>
  <c r="AK2054" i="1" s="1"/>
  <c r="AJ1999" i="1"/>
  <c r="AK1999" i="1" s="1"/>
  <c r="AJ2002" i="1"/>
  <c r="AK2002" i="1" s="1"/>
  <c r="AJ2004" i="1"/>
  <c r="AK2004" i="1" s="1"/>
  <c r="AJ2056" i="1"/>
  <c r="AK2056" i="1" s="1"/>
  <c r="AJ2057" i="1"/>
  <c r="AK2057" i="1" s="1"/>
  <c r="AJ2005" i="1"/>
  <c r="AK2005" i="1" s="1"/>
  <c r="AJ2006" i="1"/>
  <c r="AK2006" i="1" s="1"/>
  <c r="AJ2060" i="1"/>
  <c r="AK2060" i="1" s="1"/>
  <c r="AJ1953" i="1"/>
  <c r="AK1953" i="1" s="1"/>
  <c r="AJ1950" i="1"/>
  <c r="AK1950" i="1" s="1"/>
  <c r="AJ1956" i="1"/>
  <c r="AK1956" i="1" s="1"/>
  <c r="AJ2003" i="1"/>
  <c r="AK2003" i="1" s="1"/>
  <c r="AJ2058" i="1"/>
  <c r="AK2058" i="1" s="1"/>
  <c r="AJ1959" i="1"/>
  <c r="AK1959" i="1" s="1"/>
  <c r="AJ2061" i="1"/>
  <c r="AK2061" i="1" s="1"/>
  <c r="AJ2062" i="1"/>
  <c r="AK2062" i="1" s="1"/>
  <c r="AJ2067" i="1"/>
  <c r="AK2067" i="1" s="1"/>
  <c r="AJ2065" i="1"/>
  <c r="AK2065" i="1" s="1"/>
  <c r="AJ2089" i="1"/>
  <c r="AK2089" i="1" s="1"/>
  <c r="AJ2080" i="1"/>
  <c r="AK2080" i="1" s="1"/>
  <c r="AJ2090" i="1"/>
  <c r="AK2090" i="1" s="1"/>
  <c r="AJ2091" i="1"/>
  <c r="AK2091" i="1" s="1"/>
  <c r="AJ2092" i="1"/>
  <c r="AK2092" i="1" s="1"/>
  <c r="AJ2095" i="1"/>
  <c r="AK2095" i="1" s="1"/>
  <c r="AJ2094" i="1"/>
  <c r="AK2094" i="1" s="1"/>
  <c r="AJ2093" i="1"/>
  <c r="AK2093" i="1" s="1"/>
  <c r="AJ2088" i="1"/>
  <c r="AK2088" i="1" s="1"/>
  <c r="AJ2113" i="1"/>
  <c r="AK2113" i="1" s="1"/>
  <c r="AJ2142" i="1"/>
  <c r="AK2142" i="1" s="1"/>
  <c r="AJ2149" i="1"/>
  <c r="AK2149" i="1" s="1"/>
  <c r="AJ2147" i="1"/>
  <c r="AK2147" i="1" s="1"/>
  <c r="AJ2135" i="1"/>
  <c r="AK2135" i="1" s="1"/>
  <c r="AJ2143" i="1"/>
  <c r="AK2143" i="1" s="1"/>
  <c r="AJ2141" i="1"/>
  <c r="AK2141" i="1" s="1"/>
  <c r="AJ2131" i="1"/>
  <c r="AK2131" i="1" s="1"/>
  <c r="AJ2138" i="1"/>
  <c r="AK2138" i="1" s="1"/>
  <c r="AJ2145" i="1"/>
  <c r="AK2145" i="1" s="1"/>
  <c r="AJ2146" i="1"/>
  <c r="AK2146" i="1" s="1"/>
  <c r="AJ2127" i="1"/>
  <c r="AK2127" i="1" s="1"/>
  <c r="AJ2521" i="1"/>
  <c r="AK2521" i="1" s="1"/>
  <c r="AJ2148" i="1"/>
  <c r="AK2148" i="1" s="1"/>
  <c r="AJ2144" i="1"/>
  <c r="AK2144" i="1" s="1"/>
  <c r="AJ2123" i="1"/>
  <c r="AK2123" i="1" s="1"/>
  <c r="AJ2150" i="1"/>
  <c r="AK2150" i="1" s="1"/>
  <c r="AJ2151" i="1"/>
  <c r="AK2151" i="1" s="1"/>
  <c r="AJ2129" i="1"/>
  <c r="AK2129" i="1" s="1"/>
  <c r="AJ2167" i="1"/>
  <c r="AK2167" i="1" s="1"/>
  <c r="AJ2168" i="1"/>
  <c r="AK2168" i="1" s="1"/>
  <c r="AJ2169" i="1"/>
  <c r="AK2169" i="1" s="1"/>
  <c r="AJ2170" i="1"/>
  <c r="AK2170" i="1" s="1"/>
  <c r="AJ2171" i="1"/>
  <c r="AK2171" i="1" s="1"/>
  <c r="AJ2177" i="1"/>
  <c r="AK2177" i="1" s="1"/>
  <c r="AJ2191" i="1"/>
  <c r="AK2191" i="1" s="1"/>
  <c r="AJ2214" i="1"/>
  <c r="AK2214" i="1" s="1"/>
  <c r="AJ2216" i="1"/>
  <c r="AK2216" i="1" s="1"/>
  <c r="AJ2217" i="1"/>
  <c r="AK2217" i="1" s="1"/>
  <c r="AJ2218" i="1"/>
  <c r="AK2218" i="1" s="1"/>
  <c r="AJ2199" i="1"/>
  <c r="AK2199" i="1" s="1"/>
  <c r="AJ2202" i="1"/>
  <c r="AK2202" i="1" s="1"/>
  <c r="AJ2220" i="1"/>
  <c r="AK2220" i="1" s="1"/>
  <c r="AJ2204" i="1"/>
  <c r="AK2204" i="1" s="1"/>
  <c r="AJ2197" i="1"/>
  <c r="AK2197" i="1" s="1"/>
  <c r="AJ2211" i="1"/>
  <c r="AK2211" i="1" s="1"/>
  <c r="AJ2222" i="1"/>
  <c r="AK2222" i="1" s="1"/>
  <c r="AJ2210" i="1"/>
  <c r="AK2210" i="1" s="1"/>
  <c r="AJ2209" i="1"/>
  <c r="AK2209" i="1" s="1"/>
  <c r="AJ2219" i="1"/>
  <c r="AK2219" i="1" s="1"/>
  <c r="AJ2221" i="1"/>
  <c r="AK2221" i="1" s="1"/>
  <c r="AJ2342" i="1"/>
  <c r="AK2342" i="1" s="1"/>
  <c r="AJ2351" i="1"/>
  <c r="AK2351" i="1" s="1"/>
  <c r="AJ2325" i="1"/>
  <c r="AK2325" i="1" s="1"/>
  <c r="AJ2327" i="1"/>
  <c r="AK2327" i="1" s="1"/>
  <c r="AJ2346" i="1"/>
  <c r="AK2346" i="1" s="1"/>
  <c r="AJ2348" i="1"/>
  <c r="AK2348" i="1" s="1"/>
  <c r="AJ2359" i="1"/>
  <c r="AK2359" i="1" s="1"/>
  <c r="AJ2353" i="1"/>
  <c r="AK2353" i="1" s="1"/>
  <c r="AJ2331" i="1"/>
  <c r="AK2331" i="1" s="1"/>
  <c r="AJ2356" i="1"/>
  <c r="AK2356" i="1" s="1"/>
  <c r="AJ2358" i="1"/>
  <c r="AK2358" i="1" s="1"/>
  <c r="AJ2339" i="1"/>
  <c r="AK2339" i="1" s="1"/>
  <c r="AJ2337" i="1"/>
  <c r="AK2337" i="1" s="1"/>
  <c r="AJ2362" i="1"/>
  <c r="AK2362" i="1" s="1"/>
  <c r="AJ2326" i="1"/>
  <c r="AK2326" i="1" s="1"/>
  <c r="AJ2490" i="1"/>
  <c r="AK2490" i="1" s="1"/>
  <c r="AJ2489" i="1"/>
  <c r="AK2489" i="1" s="1"/>
  <c r="AJ2517" i="1"/>
  <c r="AK2517" i="1" s="1"/>
  <c r="AJ2491" i="1"/>
  <c r="AK2491" i="1" s="1"/>
  <c r="AJ2516" i="1"/>
  <c r="AK2516" i="1" s="1"/>
  <c r="AJ2507" i="1"/>
  <c r="AK2507" i="1" s="1"/>
  <c r="AJ2510" i="1"/>
  <c r="AK2510" i="1" s="1"/>
  <c r="AJ2512" i="1"/>
  <c r="AK2512" i="1" s="1"/>
  <c r="AJ2519" i="1"/>
  <c r="AK2519" i="1" s="1"/>
  <c r="AJ2574" i="1"/>
  <c r="AK2574" i="1" s="1"/>
  <c r="AJ2577" i="1"/>
  <c r="AK2577" i="1" s="1"/>
  <c r="AJ2573" i="1"/>
  <c r="AK2573" i="1" s="1"/>
  <c r="AJ2576" i="1"/>
  <c r="AK2576" i="1" s="1"/>
  <c r="AJ2578" i="1"/>
  <c r="AK2578" i="1" s="1"/>
  <c r="AJ2581" i="1"/>
  <c r="AK2581" i="1" s="1"/>
  <c r="AJ2603" i="1"/>
  <c r="AK2603" i="1" s="1"/>
  <c r="AJ2599" i="1"/>
  <c r="AK2599" i="1" s="1"/>
  <c r="AJ2600" i="1"/>
  <c r="AK2600" i="1" s="1"/>
  <c r="AJ2602" i="1"/>
  <c r="AK2602" i="1" s="1"/>
  <c r="AJ841" i="1"/>
  <c r="AK841" i="1" s="1"/>
  <c r="AJ1418" i="1"/>
  <c r="AK1418" i="1" s="1"/>
  <c r="AJ1534" i="1"/>
  <c r="AK1534" i="1" s="1"/>
  <c r="AJ1711" i="1"/>
  <c r="AK1711" i="1" s="1"/>
  <c r="AJ2397" i="1"/>
  <c r="AK2397" i="1" s="1"/>
  <c r="AJ2459" i="1"/>
  <c r="AK2459" i="1" s="1"/>
  <c r="AJ1521" i="1"/>
  <c r="AK1521" i="1" s="1"/>
  <c r="AJ1524" i="1"/>
  <c r="AK1524" i="1" s="1"/>
  <c r="AJ2470" i="1"/>
  <c r="AK2470" i="1" s="1"/>
  <c r="AJ2473" i="1"/>
  <c r="AK2473" i="1" s="1"/>
  <c r="AJ1525" i="1"/>
  <c r="AK1525" i="1" s="1"/>
  <c r="AJ1756" i="1"/>
  <c r="AK1756" i="1" s="1"/>
  <c r="AJ2440" i="1"/>
  <c r="AK2440" i="1" s="1"/>
  <c r="AJ1537" i="1"/>
  <c r="AK1537" i="1" s="1"/>
  <c r="AJ1496" i="1"/>
  <c r="AK1496" i="1" s="1"/>
  <c r="AJ1493" i="1"/>
  <c r="AK1493" i="1" s="1"/>
  <c r="AJ1497" i="1"/>
  <c r="AK1497" i="1" s="1"/>
  <c r="AJ2485" i="1"/>
  <c r="AK2485" i="1" s="1"/>
  <c r="AJ986" i="1"/>
  <c r="AK986" i="1" s="1"/>
  <c r="AJ853" i="1"/>
  <c r="AK853" i="1" s="1"/>
  <c r="AJ993" i="1"/>
  <c r="AK993" i="1" s="1"/>
  <c r="AJ988" i="1"/>
  <c r="AK988" i="1" s="1"/>
  <c r="AJ959" i="1"/>
  <c r="AK959" i="1" s="1"/>
  <c r="AJ1048" i="1"/>
  <c r="AK1048" i="1" s="1"/>
  <c r="AJ316" i="1"/>
  <c r="AK316" i="1" s="1"/>
  <c r="AJ1079" i="1"/>
  <c r="AK1079" i="1" s="1"/>
  <c r="AJ2035" i="1"/>
  <c r="AK2035" i="1" s="1"/>
  <c r="AJ246" i="1"/>
  <c r="AK246" i="1" s="1"/>
  <c r="AJ319" i="1"/>
  <c r="AK319" i="1" s="1"/>
  <c r="AJ327" i="1"/>
  <c r="AK327" i="1" s="1"/>
  <c r="AJ414" i="1"/>
  <c r="AK414" i="1" s="1"/>
  <c r="AJ1742" i="1"/>
  <c r="AK1742" i="1" s="1"/>
  <c r="AJ1860" i="1"/>
  <c r="AK1860" i="1" s="1"/>
  <c r="AJ1976" i="1"/>
  <c r="AK1976" i="1" s="1"/>
  <c r="AJ2012" i="1"/>
  <c r="AK2012" i="1" s="1"/>
  <c r="AJ180" i="1"/>
  <c r="AK180" i="1" s="1"/>
  <c r="AJ237" i="1"/>
  <c r="AK237" i="1" s="1"/>
  <c r="AJ218" i="1"/>
  <c r="AK218" i="1" s="1"/>
  <c r="AJ358" i="1"/>
  <c r="AK358" i="1" s="1"/>
  <c r="AJ379" i="1"/>
  <c r="AK379" i="1" s="1"/>
  <c r="AJ372" i="1"/>
  <c r="AK372" i="1" s="1"/>
  <c r="AJ465" i="1"/>
  <c r="AK465" i="1" s="1"/>
  <c r="AJ564" i="1"/>
  <c r="AK564" i="1" s="1"/>
  <c r="AJ629" i="1"/>
  <c r="AK629" i="1" s="1"/>
  <c r="AJ1078" i="1"/>
  <c r="AK1078" i="1" s="1"/>
  <c r="AJ1370" i="1"/>
  <c r="AK1370" i="1" s="1"/>
  <c r="AJ1153" i="1"/>
  <c r="AK1153" i="1" s="1"/>
  <c r="AJ1325" i="1"/>
  <c r="AK1325" i="1" s="1"/>
  <c r="AJ1338" i="1"/>
  <c r="AK1338" i="1" s="1"/>
  <c r="AJ1608" i="1"/>
  <c r="AK1608" i="1" s="1"/>
  <c r="AJ1681" i="1"/>
  <c r="AK1681" i="1" s="1"/>
  <c r="AJ2048" i="1"/>
  <c r="AK2048" i="1" s="1"/>
  <c r="AJ2009" i="1"/>
  <c r="AK2009" i="1" s="1"/>
  <c r="AJ2008" i="1"/>
  <c r="AK2008" i="1" s="1"/>
  <c r="AJ1876" i="1"/>
  <c r="AK1876" i="1" s="1"/>
  <c r="AJ2454" i="1"/>
  <c r="AK2454" i="1" s="1"/>
  <c r="AJ2597" i="1"/>
  <c r="AK2597" i="1" s="1"/>
  <c r="AJ2155" i="1"/>
  <c r="AK2155" i="1" s="1"/>
  <c r="AJ1952" i="1"/>
  <c r="AK1952" i="1" s="1"/>
  <c r="AJ2140" i="1"/>
  <c r="AK2140" i="1" s="1"/>
  <c r="AJ2215" i="1"/>
  <c r="AK2215" i="1" s="1"/>
  <c r="AJ2508" i="1"/>
  <c r="AK2508" i="1" s="1"/>
  <c r="AJ2575" i="1"/>
  <c r="AK2575" i="1" s="1"/>
  <c r="AJ1468" i="1"/>
  <c r="AK1468" i="1" s="1"/>
  <c r="AJ1665" i="1"/>
  <c r="AK1665" i="1" s="1"/>
  <c r="AJ2103" i="1"/>
  <c r="AK2103" i="1" s="1"/>
  <c r="AJ2178" i="1"/>
  <c r="AK2178" i="1" s="1"/>
  <c r="AJ733" i="1"/>
  <c r="AK733" i="1" s="1"/>
  <c r="AJ812" i="1"/>
  <c r="AK812" i="1" s="1"/>
  <c r="AJ594" i="1"/>
  <c r="AK594" i="1" s="1"/>
  <c r="AJ995" i="1"/>
  <c r="AK995" i="1" s="1"/>
  <c r="AJ1745" i="1"/>
  <c r="AK1745" i="1" s="1"/>
  <c r="AJ197" i="1"/>
  <c r="AK197" i="1" s="1"/>
  <c r="AJ389" i="1"/>
  <c r="AK389" i="1" s="1"/>
  <c r="AJ174" i="1"/>
  <c r="AK174" i="1" s="1"/>
  <c r="AJ413" i="1"/>
  <c r="AK413" i="1" s="1"/>
  <c r="AJ1293" i="1"/>
  <c r="AK1293" i="1" s="1"/>
  <c r="AJ1803" i="1"/>
  <c r="AK1803" i="1" s="1"/>
  <c r="AJ142" i="1"/>
  <c r="AK142" i="1" s="1"/>
  <c r="AJ8" i="1"/>
  <c r="AK8" i="1" s="1"/>
  <c r="AJ332" i="1"/>
  <c r="AK332" i="1" s="1"/>
  <c r="AJ990" i="1"/>
  <c r="AK990" i="1" s="1"/>
  <c r="AJ689" i="1"/>
  <c r="AK689" i="1" s="1"/>
  <c r="AJ839" i="1"/>
  <c r="AK839" i="1" s="1"/>
  <c r="AJ194" i="1"/>
  <c r="AK194" i="1" s="1"/>
  <c r="AJ65" i="1"/>
  <c r="AK65" i="1" s="1"/>
  <c r="AJ20" i="1"/>
  <c r="AK20" i="1" s="1"/>
  <c r="AJ1826" i="1"/>
  <c r="AK1826" i="1" s="1"/>
  <c r="AJ2014" i="1"/>
  <c r="AK2014" i="1" s="1"/>
  <c r="AJ1800" i="1"/>
  <c r="AK1800" i="1" s="1"/>
  <c r="AJ2000" i="1"/>
  <c r="AK2000" i="1" s="1"/>
  <c r="AJ674" i="1"/>
  <c r="AK674" i="1" s="1"/>
  <c r="AJ985" i="1"/>
  <c r="AK985" i="1" s="1"/>
  <c r="AJ1483" i="1"/>
  <c r="AK1483" i="1" s="1"/>
  <c r="AJ1516" i="1"/>
  <c r="AK1516" i="1" s="1"/>
  <c r="AJ1762" i="1"/>
  <c r="AK1762" i="1" s="1"/>
  <c r="AJ1294" i="1"/>
  <c r="AK1294" i="1" s="1"/>
  <c r="AJ2109" i="1"/>
  <c r="AK2109" i="1" s="1"/>
  <c r="AJ12" i="1"/>
  <c r="AK12" i="1" s="1"/>
  <c r="AJ1289" i="1"/>
  <c r="AK1289" i="1" s="1"/>
  <c r="AJ1615" i="1"/>
  <c r="AK1615" i="1" s="1"/>
  <c r="AJ144" i="1"/>
  <c r="AK144" i="1" s="1"/>
  <c r="AJ9" i="1"/>
  <c r="AK9" i="1" s="1"/>
  <c r="AJ132" i="1"/>
  <c r="AK132" i="1" s="1"/>
  <c r="AJ435" i="1"/>
  <c r="AK435" i="1" s="1"/>
  <c r="AJ491" i="1"/>
  <c r="AK491" i="1" s="1"/>
  <c r="AJ279" i="1"/>
  <c r="AK279" i="1" s="1"/>
  <c r="AJ91" i="1"/>
  <c r="AK91" i="1" s="1"/>
  <c r="AJ122" i="1"/>
  <c r="AK122" i="1" s="1"/>
  <c r="AJ123" i="1"/>
  <c r="AK123" i="1" s="1"/>
  <c r="AJ141" i="1"/>
  <c r="AK141" i="1" s="1"/>
  <c r="AJ131" i="1"/>
  <c r="AK131" i="1" s="1"/>
  <c r="AJ14" i="1"/>
  <c r="AK14" i="1" s="1"/>
  <c r="AJ130" i="1"/>
  <c r="AK130" i="1" s="1"/>
  <c r="AJ11" i="1"/>
  <c r="AK11" i="1" s="1"/>
  <c r="AJ10" i="1"/>
  <c r="AK10" i="1" s="1"/>
  <c r="AJ1779" i="1"/>
  <c r="AK1779" i="1" s="1"/>
  <c r="AJ886" i="1"/>
  <c r="AK886" i="1" s="1"/>
  <c r="AJ828" i="1"/>
  <c r="AK828" i="1" s="1"/>
  <c r="AJ1075" i="1"/>
  <c r="AK1075" i="1" s="1"/>
  <c r="AJ1074" i="1"/>
  <c r="AK1074" i="1" s="1"/>
  <c r="AJ826" i="1"/>
  <c r="AK826" i="1" s="1"/>
  <c r="AJ729" i="1"/>
  <c r="AK729" i="1" s="1"/>
  <c r="AJ829" i="1"/>
  <c r="AK829" i="1" s="1"/>
  <c r="AJ147" i="1"/>
  <c r="AK147" i="1" s="1"/>
  <c r="AJ907" i="1"/>
  <c r="AK907" i="1" s="1"/>
  <c r="AJ827" i="1"/>
  <c r="AK827" i="1" s="1"/>
  <c r="AJ278" i="1"/>
  <c r="AK278" i="1" s="1"/>
  <c r="AJ970" i="1"/>
  <c r="AK970" i="1" s="1"/>
  <c r="AJ434" i="1"/>
  <c r="AK434" i="1" s="1"/>
  <c r="AJ830" i="1"/>
  <c r="AK830" i="1" s="1"/>
  <c r="AJ965" i="1"/>
  <c r="AK965" i="1" s="1"/>
  <c r="AJ831" i="1"/>
  <c r="AK831" i="1" s="1"/>
  <c r="AJ1033" i="1"/>
  <c r="AK1033" i="1" s="1"/>
  <c r="AJ926" i="1"/>
  <c r="AK926" i="1" s="1"/>
  <c r="AJ2614" i="1"/>
  <c r="AK2614" i="1" s="1"/>
  <c r="AJ2613" i="1"/>
  <c r="AK2613" i="1" s="1"/>
  <c r="N87" i="3" l="1"/>
  <c r="AK2616" i="1"/>
  <c r="AJ2616" i="1"/>
</calcChain>
</file>

<file path=xl/sharedStrings.xml><?xml version="1.0" encoding="utf-8"?>
<sst xmlns="http://schemas.openxmlformats.org/spreadsheetml/2006/main" count="46751" uniqueCount="16932">
  <si>
    <t>Id</t>
  </si>
  <si>
    <t>Channel</t>
  </si>
  <si>
    <t>BID</t>
  </si>
  <si>
    <t>Company Name</t>
  </si>
  <si>
    <t>First Name</t>
  </si>
  <si>
    <t>Last Name</t>
  </si>
  <si>
    <t>Reference</t>
  </si>
  <si>
    <t>Classification</t>
  </si>
  <si>
    <t>Despatch Date</t>
  </si>
  <si>
    <t>Address</t>
  </si>
  <si>
    <t>Postcode</t>
  </si>
  <si>
    <t>Country</t>
  </si>
  <si>
    <t>Warehouse</t>
  </si>
  <si>
    <t>Warehouse Shortcode</t>
  </si>
  <si>
    <t>Total Items</t>
  </si>
  <si>
    <t>Total Packages</t>
  </si>
  <si>
    <t>Picked Items</t>
  </si>
  <si>
    <t>Currency</t>
  </si>
  <si>
    <t>Currency Name</t>
  </si>
  <si>
    <t>Admin Fee</t>
  </si>
  <si>
    <t>Volume Usage Fee</t>
  </si>
  <si>
    <t>Pick Charge</t>
  </si>
  <si>
    <t>Weight</t>
  </si>
  <si>
    <t>Shipping Method</t>
  </si>
  <si>
    <t>Shipping Fee</t>
  </si>
  <si>
    <t>Consumables</t>
  </si>
  <si>
    <t>Products</t>
  </si>
  <si>
    <t>Product Channels</t>
  </si>
  <si>
    <t>Consumables Cost</t>
  </si>
  <si>
    <t>Duty &amp; Taxes</t>
  </si>
  <si>
    <t>Rework Labour</t>
  </si>
  <si>
    <t>Rework Consumables</t>
  </si>
  <si>
    <t>Storage</t>
  </si>
  <si>
    <t>Additional Cost</t>
  </si>
  <si>
    <t>Channel Labels Cost</t>
  </si>
  <si>
    <t>Total Cost</t>
  </si>
  <si>
    <t>Total Excl Shipping</t>
  </si>
  <si>
    <t>Dock and Bay B2C</t>
  </si>
  <si>
    <t>10106438-10155357</t>
  </si>
  <si>
    <t>Anna</t>
  </si>
  <si>
    <t>Priovolos</t>
  </si>
  <si>
    <t>EU-41475</t>
  </si>
  <si>
    <t>B2C</t>
  </si>
  <si>
    <t>2026-05-06 05:06:24</t>
  </si>
  <si>
    <t>141 route de Lausanne, Prangins, Prangins</t>
  </si>
  <si>
    <t>Switzerland</t>
  </si>
  <si>
    <t>Bocholt</t>
  </si>
  <si>
    <t>BOC</t>
  </si>
  <si>
    <t>EUR</t>
  </si>
  <si>
    <t>EURO</t>
  </si>
  <si>
    <t>DPD DE - Classic Road (EUR)</t>
  </si>
  <si>
    <t xml:space="preserve">16211 (x1) A-SCRUNCH-PAPER (x1) A-KRAFT-PAPER-TAPE (x2) </t>
  </si>
  <si>
    <t>PP-TOWLB-CAB-LG-6SETJ,PP-TOWLB-CAB-XL-6SETI</t>
  </si>
  <si>
    <t>Dock and Bay</t>
  </si>
  <si>
    <t>10090313-10139134</t>
  </si>
  <si>
    <t>Katikies Santorini</t>
  </si>
  <si>
    <t>Jen</t>
  </si>
  <si>
    <t>Spiekhout</t>
  </si>
  <si>
    <t>EU-41450</t>
  </si>
  <si>
    <t>2026-05-06 06:04:05</t>
  </si>
  <si>
    <t>Pelagos House, Oia, Santorini, 84702, Greece, Oia, Oia</t>
  </si>
  <si>
    <t>847 02</t>
  </si>
  <si>
    <t>Greece</t>
  </si>
  <si>
    <t xml:space="preserve">16211 (x1), 16212 (x1) A-SCRUNCH-PAPER (x1) A-KRAFT-PAPER-TAPE (x2) </t>
  </si>
  <si>
    <t>BAGF-CAB-MD-NAVY,TOWLB-CAB-LG-BLACK-R,TOWLB-CAB-LG-BLUE-R,TOWLB-CAB-LG-LTBLU-R,TOWLB-CAB-LG-NAVY-R,TOWLB-DES-LG-GRECSHR,TOWLB-DES-LG-OCETRES,TOWLB-DES-LG-TANTIDE,TOWLB-SUM-LG-OCEAN</t>
  </si>
  <si>
    <t>10130096-10179479</t>
  </si>
  <si>
    <t>Inga</t>
  </si>
  <si>
    <t>Mülheims</t>
  </si>
  <si>
    <t>EU-41827</t>
  </si>
  <si>
    <t>2026-05-12 05:49:46</t>
  </si>
  <si>
    <t>Am Grün 1, Zimmer 205, Marburg, Marburg</t>
  </si>
  <si>
    <t>Germany</t>
  </si>
  <si>
    <t>DPD DE - Classic (DE)</t>
  </si>
  <si>
    <t xml:space="preserve">16209 (x1) A-SCRUNCH-PAPER (x1) A-KRAFT-PAPER-TAPE (x2) </t>
  </si>
  <si>
    <t>PICNIC-DES-XL-MARGMAD</t>
  </si>
  <si>
    <t>10136201-10185792</t>
  </si>
  <si>
    <t>Giulia</t>
  </si>
  <si>
    <t>Patruno</t>
  </si>
  <si>
    <t>EU-41878</t>
  </si>
  <si>
    <t>2026-05-13 06:05:58</t>
  </si>
  <si>
    <t>Bernhardlaan 65, MONNICKENDAM, MONNICKENDAM</t>
  </si>
  <si>
    <t>1141 CM</t>
  </si>
  <si>
    <t>Netherlands</t>
  </si>
  <si>
    <t xml:space="preserve">16210 (x1) A-SCRUNCH-PAPER (x1) A-KRAFT-PAPER-TAPE (x2) </t>
  </si>
  <si>
    <t>TOWLB-CAB-XL-LTBLU-R,TOWLB-CAB-XL-LTPPL-R,TOWLB-CAB-XL-ORANG-R,TOWLB-CAB-XL-PINK-R</t>
  </si>
  <si>
    <t>10160502-10210479</t>
  </si>
  <si>
    <t>Natalie</t>
  </si>
  <si>
    <t>Rondel</t>
  </si>
  <si>
    <t>EU-42164</t>
  </si>
  <si>
    <t>2026-05-19 07:56:20</t>
  </si>
  <si>
    <t>Calle Jose Antonio Fernandez, Ordonez 42, Portal 2 4A, Madrid, Madrid</t>
  </si>
  <si>
    <t>Spain</t>
  </si>
  <si>
    <t>PONCHK-SUM-MD-CSTCANDY,PONCHK-SUM-SM-CSTCANDY</t>
  </si>
  <si>
    <t>10162473-10212455</t>
  </si>
  <si>
    <t>ANASTASIA</t>
  </si>
  <si>
    <t>DIVANI</t>
  </si>
  <si>
    <t>EU-42180</t>
  </si>
  <si>
    <t>2026-05-19 10:22:36</t>
  </si>
  <si>
    <t>OMIROY 4, IALISOS, RHODES, RHODES</t>
  </si>
  <si>
    <t>851 01</t>
  </si>
  <si>
    <t>DHL DE - Economy Select (DE)</t>
  </si>
  <si>
    <t>TOWLB-CAB-XL-BLUE-R,TOWLB-CAB-XL-LTPNK-R,TOWLB-CAB-XL-NAVY-R,TOWLB-CAB-XL-PINK-R</t>
  </si>
  <si>
    <t>10163187-10213182</t>
  </si>
  <si>
    <t>Anika</t>
  </si>
  <si>
    <t>Pisalski</t>
  </si>
  <si>
    <t>EU-42186</t>
  </si>
  <si>
    <t>2026-05-20 04:39:17</t>
  </si>
  <si>
    <t>Kummerower Ring 15, Berlin, Berlin</t>
  </si>
  <si>
    <t>DPD DE - Classic SP (DE)</t>
  </si>
  <si>
    <t xml:space="preserve">16208 (x1) A-SCRUNCH-PAPER (x1) A-KRAFT-PAPER-TAPE (x2) </t>
  </si>
  <si>
    <t>TOWLB-DES-LG-TROPTRT</t>
  </si>
  <si>
    <t>Dock and Bay B2B</t>
  </si>
  <si>
    <t>10141654-10191352</t>
  </si>
  <si>
    <t>Sinnvoll Inh. Dirk Heumann</t>
  </si>
  <si>
    <t>Dirk</t>
  </si>
  <si>
    <t>Heumann</t>
  </si>
  <si>
    <t>EUWS-3131</t>
  </si>
  <si>
    <t>B2B</t>
  </si>
  <si>
    <t>2026-05-21 05:32:02</t>
  </si>
  <si>
    <t>Hauptstraße 373, Leopoldshöhe, Leopoldshöhe</t>
  </si>
  <si>
    <t>GLS DE - Parcel (Domestic)</t>
  </si>
  <si>
    <t xml:space="preserve">16211 (x2), OWNPACK (x1) A-SCRUNCH-PAPER (x1) A-KRAFT-PAPER-TAPE (x2) </t>
  </si>
  <si>
    <t>DOGTWL-DES-LG-DOGDIN,DOGTWL-DES-LG-GOLONG,DOGTWL-DES-MD-DOGDIN,DOGTWL-DES-MD-GOLONG,POS-DIS-LG-FULL-TOWLB-EN-24,TOWLB-CAB-LG-BLACK-R,TOWLB-CAB-LG-KHAKI-R,TOWLB-CAB-LG-LTBLU-R,TOWLB-CAB-LG-LTGRY-R,TOWLB-CAB-LG-LTPNK-R,TOWLB-CAB-LG-LTPPL-R,TOWLB-CAB-LG-NAVY-R,TOWLB-CAB-LG-ORANG-R,TOWLB-CAB-LG-RED-R,TOWLB-CAB-XL-BLACK-R,TOWLB-CAB-XL-KHAKI-R,TOWLB-CAB-XL-LTBLU-R,TOWLB-CAB-XL-LTGRY-R,TOWLB-CAB-XL-LTPNK-R,TOWLB-CAB-XL-LTPPL-R,TOWLB-CAB-XL-NAVY-R,TOWLB-CAB-XL-ORANG-R,TOWLB-CAB-XL-RED-R,TOWLB-DES-LG-GRECSHR,TOWLB-DES-LG-HOTTROP,TOWLB-DES-LG-PNKPARA,TOWLB-DES-LG-WTRSUG,TOWLB-DES-XL-GRECSHR,TOWLB-DES-XL-HOTTROP,TOWLB-DES-XL-WTRSUG,TOWLB-KID-LG-JELLY,TOWLB-KID-MD-JELLY,TOWLB-SUM-LG-UNICN-R,TOWLB-SUM-XL-UNICN-R</t>
  </si>
  <si>
    <t>10142827-10192573</t>
  </si>
  <si>
    <t>COMPTOIR DE LA MER</t>
  </si>
  <si>
    <t>Gaëlle</t>
  </si>
  <si>
    <t>ROBERT-GUERIN</t>
  </si>
  <si>
    <t>EUWS-2956</t>
  </si>
  <si>
    <t>2026-05-21 11:49:24</t>
  </si>
  <si>
    <t>PLATEFORME ST MALO, 7 RUE TRICHET, ST MALO, ST MALO</t>
  </si>
  <si>
    <t>France</t>
  </si>
  <si>
    <t>GLS DE - Parcel (Europe)</t>
  </si>
  <si>
    <t xml:space="preserve">16211 (x3) A-SCRUNCH-PAPER (x1) A-KRAFT-PAPER-TAPE (x2) </t>
  </si>
  <si>
    <t>TOWLB-CAB-XL-LTBLU-R,TOWLB-CAB-XL-LTPNK-R,TOWLB-DES-XL-OCETRES,TOWLB-SUM-XL-CSTCANDY</t>
  </si>
  <si>
    <t>10158908-10208876</t>
  </si>
  <si>
    <t>Berben Fashions Ltd</t>
  </si>
  <si>
    <t>Bernadette</t>
  </si>
  <si>
    <t>Benagh</t>
  </si>
  <si>
    <t>EUWS-3152</t>
  </si>
  <si>
    <t>2026-05-22 04:33:10</t>
  </si>
  <si>
    <t>Design Lodge, Main St, Lahinch, Clare</t>
  </si>
  <si>
    <t>V95 AT25</t>
  </si>
  <si>
    <t>Ireland</t>
  </si>
  <si>
    <t xml:space="preserve">16211 (x2), 16210 (x1) A-SCRUNCH-PAPER (x1) A-KRAFT-PAPER-TAPE (x2) </t>
  </si>
  <si>
    <t>PONCHA-CAB-XL-LTPNK,PONCHA-CAB-XL-NAVY,PONCHA-SUM-LG-CSTCANDY,PONCHA-SUM-LG-LAZRIV,PONCHA-SUM-XL-UNICN,TOWLB-CAB-XL-BLUE-R,TOWLB-CAB-XL-GREEN-R,TOWLB-CAB-XL-NAVY-R,TOWLB-SUM-LG-COLAGN,TOWLB-SUM-XL-UNICN-R</t>
  </si>
  <si>
    <t>10162845-10212831</t>
  </si>
  <si>
    <t>Rachel</t>
  </si>
  <si>
    <t>Ripard</t>
  </si>
  <si>
    <t>EUWS-3138</t>
  </si>
  <si>
    <t>2026-05-22 09:02:18</t>
  </si>
  <si>
    <t>269, Ta Xbiex Seafront, Gzira, Gzira</t>
  </si>
  <si>
    <t>GZR 1020</t>
  </si>
  <si>
    <t>Malta</t>
  </si>
  <si>
    <t>GLS DE - Euro Business Parcel (Air)</t>
  </si>
  <si>
    <t xml:space="preserve">16211 (x1), 16210 (x1), OWNPACK (x1) A-SCRUNCH-PAPER (x1) A-KRAFT-PAPER-TAPE (x2) </t>
  </si>
  <si>
    <t>PICNIC-CAB-LG-NAVY,PONCHA-CLA-LG-NAVY-NS,PONCHK-CAB-SM-NAVY-NS,POS-DIS-LG-FULL-TOWLB-EN-24,TOWLB-CAB-LG-LTBGE-R,TOWLB-CAB-LG-LTGRY-R,TOWLB-CAB-LG-NAVY-R,TOWLB-CAB-LG-ORANG-R,TOWLF-ESS-LG-DKBLU</t>
  </si>
  <si>
    <t>10181926-10232125</t>
  </si>
  <si>
    <t>Jessica</t>
  </si>
  <si>
    <t>Franchitti</t>
  </si>
  <si>
    <t>EU-42324</t>
  </si>
  <si>
    <t>2026-05-26 04:24:19</t>
  </si>
  <si>
    <t>71 Rue du Faubourg Saint-Antoine, Paris, Paris</t>
  </si>
  <si>
    <t>TOWLB-DES-XL-BLUSPRIT,TOWLB-DES-XL-LEMWAV,TOWLB-SUM-XL-SANDSEA</t>
  </si>
  <si>
    <t>10173531-10223623</t>
  </si>
  <si>
    <t>IDECO Tours</t>
  </si>
  <si>
    <t>SOURISSEAU</t>
  </si>
  <si>
    <t>Nathalie</t>
  </si>
  <si>
    <t>EUWS-3156</t>
  </si>
  <si>
    <t>2026-05-26 05:00:29</t>
  </si>
  <si>
    <t>15 Rue Marceau, Tours, Tours</t>
  </si>
  <si>
    <t xml:space="preserve">16211 (x1), 16209 (x1) A-SCRUNCH-PAPER (x1) A-KRAFT-PAPER-TAPE (x2) </t>
  </si>
  <si>
    <t>BAGDRY-XS-MIAMI,BAGDRY-XS-NAVY,EYEMASK-DES-CHKOUT,EYEMASK-DES-CHRYBMB,EYEMASK-DES-NOTTDY,EYEMASK-DES-OOO,TOWLB-CAB-XL-KHAKI-R,TOWLB-CAB-XL-NAVY-R,TOWLB-CAB-XL-RED-R,TOWLB-DES-XL-SWTESC,TOWLB-DES-XL-TANTIDE,TOWLB-DES-XL-WYWH,TOWLB-SUM-XL-COLAGN,TOWLB-SUM-XL-MIAMI,TOWLB-SUM-XL-UNICN-R</t>
  </si>
  <si>
    <t>10183394-10233621</t>
  </si>
  <si>
    <t>Aline</t>
  </si>
  <si>
    <t>Henrion</t>
  </si>
  <si>
    <t>EU-42335</t>
  </si>
  <si>
    <t>2026-05-26 05:10:50</t>
  </si>
  <si>
    <t>88 Impasse Des Marguerites, Reignier-Ésery, Reignier-Ésery</t>
  </si>
  <si>
    <t>PICNIC-SUM-XL-UNICN</t>
  </si>
  <si>
    <t>10188140-10238376</t>
  </si>
  <si>
    <t>Höllig</t>
  </si>
  <si>
    <t>EU-42375</t>
  </si>
  <si>
    <t>2026-05-26 05:15:23</t>
  </si>
  <si>
    <t>Rondeel 39, Hamburg, Hamburg</t>
  </si>
  <si>
    <t>TOWLB-SUM-XL-MIAMI</t>
  </si>
  <si>
    <t>10186540-10236774</t>
  </si>
  <si>
    <t>Corinna</t>
  </si>
  <si>
    <t>Schmidt</t>
  </si>
  <si>
    <t>EU-42351</t>
  </si>
  <si>
    <t>2026-05-26 07:03:42</t>
  </si>
  <si>
    <t>Watzmannstraße 83, Karlsfeld, Karlsfeld</t>
  </si>
  <si>
    <t>PICNIC-DES-XL-BRGTSIDE,PONCHK-KID-MD-GVCLUB,TOWLB-KID-LG-GVCLUB,TOWLB-SUM-XL-MIAMI</t>
  </si>
  <si>
    <t>10196382-10246637</t>
  </si>
  <si>
    <t>Romane</t>
  </si>
  <si>
    <t>Caillet</t>
  </si>
  <si>
    <t>EU-42521</t>
  </si>
  <si>
    <t>2026-05-26 07:08:55</t>
  </si>
  <si>
    <t>46 Rue comtesse de Ségur, Lorient, Lorient</t>
  </si>
  <si>
    <t>PICNIC-DES-XL-BRGTSIDE</t>
  </si>
  <si>
    <t>10186325-10236557</t>
  </si>
  <si>
    <t>Margit</t>
  </si>
  <si>
    <t>van Hasselt</t>
  </si>
  <si>
    <t>EU-42350</t>
  </si>
  <si>
    <t>2026-05-26 07:09:40</t>
  </si>
  <si>
    <t>Jacobus Bellamylaan, Bussum, Bussum</t>
  </si>
  <si>
    <t>1401 BA</t>
  </si>
  <si>
    <t>TOWLB-CAB-XL-GREEN-R,TOWLB-CAB-XL-LTBLU-R,TOWLB-CAB-XL-LTPNK-R,TOWLB-CAB-XL-NAVY-R,TOWLB-CAB-XL-PINK-R</t>
  </si>
  <si>
    <t>10194587-10244840</t>
  </si>
  <si>
    <t>Virginie</t>
  </si>
  <si>
    <t>Muhl</t>
  </si>
  <si>
    <t>303-9012488-2384359</t>
  </si>
  <si>
    <t>2026-05-26 07:14:40</t>
  </si>
  <si>
    <t>Banker Feld Str 161, Aachen, Nordrhein-Westfalen</t>
  </si>
  <si>
    <t>BAGF-SUM-MD-CSTCANDY</t>
  </si>
  <si>
    <t>10196911-10247174</t>
  </si>
  <si>
    <t>Anne</t>
  </si>
  <si>
    <t>Shaw</t>
  </si>
  <si>
    <t>EU-42541</t>
  </si>
  <si>
    <t>2026-05-26 07:15:21</t>
  </si>
  <si>
    <t>2 Kilminchy Close, Kilminchy, Portlaoise, Laois</t>
  </si>
  <si>
    <t>R32 W2DN</t>
  </si>
  <si>
    <t>HAIRW-SUE-HOTTROP</t>
  </si>
  <si>
    <t>10187245-10237479</t>
  </si>
  <si>
    <t>Jana</t>
  </si>
  <si>
    <t>Řehořová</t>
  </si>
  <si>
    <t>EU-42364</t>
  </si>
  <si>
    <t>2026-05-26 07:15:46</t>
  </si>
  <si>
    <t>Záhřebská 29, Attimo, Praha, Praha</t>
  </si>
  <si>
    <t>120 00</t>
  </si>
  <si>
    <t>Czech Republic</t>
  </si>
  <si>
    <t>BAGF-DES-MD-SPRCLUB,DOGTWL-DES-MD-GOLONG,PICNIC-DES-XL-SPRCLUB</t>
  </si>
  <si>
    <t>10196642-10246903</t>
  </si>
  <si>
    <t>Sheila</t>
  </si>
  <si>
    <t>Verschuur</t>
  </si>
  <si>
    <t>EU-42536</t>
  </si>
  <si>
    <t>2026-05-26 07:16:49</t>
  </si>
  <si>
    <t>Cp Klapstraat 1, Maarssen, Maarssen</t>
  </si>
  <si>
    <t>3604 DG</t>
  </si>
  <si>
    <t>PONCHA-SUM-MD-UNICN-NS</t>
  </si>
  <si>
    <t>10196638-10246899</t>
  </si>
  <si>
    <t>Laura</t>
  </si>
  <si>
    <t>Schembecker</t>
  </si>
  <si>
    <t>EU-42531</t>
  </si>
  <si>
    <t>2026-05-26 07:22:19</t>
  </si>
  <si>
    <t>Hauptstraße 117, Beckum, Beckum</t>
  </si>
  <si>
    <t>TOWLB-CAB-XL-LTBGE-R</t>
  </si>
  <si>
    <t>10187007-10237241</t>
  </si>
  <si>
    <t>Alexandra</t>
  </si>
  <si>
    <t>Zimmermann</t>
  </si>
  <si>
    <t>EU-42361</t>
  </si>
  <si>
    <t>2026-05-26 07:23:14</t>
  </si>
  <si>
    <t>Buchauerstraße 32, Munich, Munich</t>
  </si>
  <si>
    <t>TOWLB-DES-LG-OCETRES,TOWLB-KID-MD-TURTROP</t>
  </si>
  <si>
    <t>10198411-10248686</t>
  </si>
  <si>
    <t>Katrin</t>
  </si>
  <si>
    <t>Zondler</t>
  </si>
  <si>
    <t>303-6011751-2223539</t>
  </si>
  <si>
    <t>2026-05-26 08:32:30</t>
  </si>
  <si>
    <t>Robert Bosch Straße 101, Heilbronn, Heilbronn</t>
  </si>
  <si>
    <t>PICNIC-DES-XL-STRIPLIFE</t>
  </si>
  <si>
    <t>10197208-10247474</t>
  </si>
  <si>
    <t>Tara</t>
  </si>
  <si>
    <t>Ginnifer</t>
  </si>
  <si>
    <t>EU-42552</t>
  </si>
  <si>
    <t>2026-05-26 08:38:54</t>
  </si>
  <si>
    <t>Caheragh House Spur Cross, Togher, Cork</t>
  </si>
  <si>
    <t>T12 C5RW</t>
  </si>
  <si>
    <t>TOWLB-SUM-XL-TUTFRU</t>
  </si>
  <si>
    <t>10192458-10242706</t>
  </si>
  <si>
    <t>Ricardo</t>
  </si>
  <si>
    <t>Cordeiro</t>
  </si>
  <si>
    <t>EU-42448</t>
  </si>
  <si>
    <t>2026-05-26 08:39:38</t>
  </si>
  <si>
    <t>Av Marechal Humberto Delegado, 13 Caixa de Crédito Agrícola, Rio Maior, Santarém</t>
  </si>
  <si>
    <t>2040-329</t>
  </si>
  <si>
    <t>Portugal</t>
  </si>
  <si>
    <t>TOWLB-CAB-XL-BLUE-R,TOWLB-CAB-XL-LTPNK-R,TOWLB-CAB-XL-NAVY-R,TOWLB-CAB-XL-PINK-R,TOWLB-SUM-XL-MIAMI</t>
  </si>
  <si>
    <t>10191989-10242233</t>
  </si>
  <si>
    <t>francesca</t>
  </si>
  <si>
    <t>berto</t>
  </si>
  <si>
    <t>EU-42438</t>
  </si>
  <si>
    <t>2026-05-26 08:42:21</t>
  </si>
  <si>
    <t>Via Tabacchi 7A, Conselve, Padova</t>
  </si>
  <si>
    <t>Italy</t>
  </si>
  <si>
    <t>PONCHA-SUM-LG-LAZRIV,PONCHA-SUM-MD-LAZRIV,PONCHK-KID-SM-KARMCHAM</t>
  </si>
  <si>
    <t>10198167-10248441</t>
  </si>
  <si>
    <t>Michaël</t>
  </si>
  <si>
    <t>Signerin</t>
  </si>
  <si>
    <t>EU-42573</t>
  </si>
  <si>
    <t>2026-05-26 08:43:30</t>
  </si>
  <si>
    <t>18 Rue de lAnnonciade, Apartment, Lyon, Lyon</t>
  </si>
  <si>
    <t>10198945-10249221</t>
  </si>
  <si>
    <t>Philippe</t>
  </si>
  <si>
    <t>Gonnet</t>
  </si>
  <si>
    <t>EU-42593</t>
  </si>
  <si>
    <t>2026-05-26 08:53:37</t>
  </si>
  <si>
    <t>190 rue Garibaldi FBL AVOCATS, (accueil Au 5e Etage), Lyon, Lyon</t>
  </si>
  <si>
    <t>PICNIC-CAB-XL-NAVY</t>
  </si>
  <si>
    <t>10190716-10240956</t>
  </si>
  <si>
    <t>Frances</t>
  </si>
  <si>
    <t>Quinn</t>
  </si>
  <si>
    <t>EU-42390</t>
  </si>
  <si>
    <t>2026-05-26 08:53:48</t>
  </si>
  <si>
    <t>The Rock, Ballyroan, Laois</t>
  </si>
  <si>
    <t>R32 HT9K</t>
  </si>
  <si>
    <t>TOWLB-CAB-XL-KHAKI-R,TOWLB-CAB-XL-LTGRY-R,TOWLB-CAB-XL-NAVY-R,TOWLB-DES-XL-IBZAGLW</t>
  </si>
  <si>
    <t>10191206-10241447</t>
  </si>
  <si>
    <t>Angel</t>
  </si>
  <si>
    <t>Boluda Alarcos</t>
  </si>
  <si>
    <t>EU-42409</t>
  </si>
  <si>
    <t>2026-05-26 08:54:59</t>
  </si>
  <si>
    <t>Calle Eduardo Galeano 4, Portal 3 4ºB, Rivas-Vaciamadrid, Madrid</t>
  </si>
  <si>
    <t>TOWLB-COLLAB-LG-UNO,TOWLB-DES-LG-SUNSPL</t>
  </si>
  <si>
    <t>10191483-10241724</t>
  </si>
  <si>
    <t>Sara</t>
  </si>
  <si>
    <t>Naciri</t>
  </si>
  <si>
    <t>EU-42422</t>
  </si>
  <si>
    <t>2026-05-26 09:05:02</t>
  </si>
  <si>
    <t>54 Rue Perronet, Neuilly-sur-Seine, Neuilly-sur-Seine</t>
  </si>
  <si>
    <t>TOWLF-ESS-XL-DKBLU,TOWLH-CLB-XL-CHRYBMB</t>
  </si>
  <si>
    <t>10195568-10245821</t>
  </si>
  <si>
    <t>Niamh</t>
  </si>
  <si>
    <t>Fitzgerald</t>
  </si>
  <si>
    <t>EU-42497</t>
  </si>
  <si>
    <t>2026-05-26 09:06:53</t>
  </si>
  <si>
    <t>25 Mount Anville Park, Goatstown, Goatstown, Dublin</t>
  </si>
  <si>
    <t>D14 VY56</t>
  </si>
  <si>
    <t>TOWLB-SUM-XL-COLAGN,TOWLB-SUM-XL-MIAMI,TOWLB-SUM-XL-OCEAN,TOWLB-SUM-XL-TUTFRU</t>
  </si>
  <si>
    <t>10191988-10242232</t>
  </si>
  <si>
    <t>Themistoklis</t>
  </si>
  <si>
    <t>Tzavellas</t>
  </si>
  <si>
    <t>EU-42434</t>
  </si>
  <si>
    <t>2026-05-26 09:22:41</t>
  </si>
  <si>
    <t>Altdorferstraße 5a, Aschaffenburg, Aschaffenburg</t>
  </si>
  <si>
    <t>PONCHK-CAB-SM-LTPNK-NS,TOWLB-CAB-LG-LTPNK-R,TOWLB-CAB-XL-NAVY-R,TOWLB-DES-XL-MELLOW</t>
  </si>
  <si>
    <t>10192925-10243174</t>
  </si>
  <si>
    <t>Mary</t>
  </si>
  <si>
    <t>Whelan</t>
  </si>
  <si>
    <t>EU-42457</t>
  </si>
  <si>
    <t>2026-05-26 09:31:13</t>
  </si>
  <si>
    <t>Boolavogue National School, Ballyorley, Wexford, Wexford</t>
  </si>
  <si>
    <t>Y21 V658</t>
  </si>
  <si>
    <t>PICNIC-DES-XL-STRIPLIFE,TOWLB-CAB-XL-KHAKI-R,TOWLB-CAB-XL-LTPNK-R,TOWLB-COLLAB-XL-UNO</t>
  </si>
  <si>
    <t>10194979-10245232</t>
  </si>
  <si>
    <t>RODET</t>
  </si>
  <si>
    <t>Carole</t>
  </si>
  <si>
    <t>EU-42488</t>
  </si>
  <si>
    <t>2026-05-26 10:03:30</t>
  </si>
  <si>
    <t>10 Allée des Rossignols, Brignais, Brignais</t>
  </si>
  <si>
    <t>PONCHA-CAB-XL-NAVY,PONCHA-SUM-LG-LAZRIV</t>
  </si>
  <si>
    <t>10195782-10246037</t>
  </si>
  <si>
    <t>Sophie</t>
  </si>
  <si>
    <t>Le devedec</t>
  </si>
  <si>
    <t>EU-42499</t>
  </si>
  <si>
    <t>2026-05-26 10:05:06</t>
  </si>
  <si>
    <t>24 Ave René Descartes, Châteaugiron, Châteaugiron</t>
  </si>
  <si>
    <t>HAIRW-SUE-PNKPARA,TEATWL-MD-CCOOL,TOWLB-DES-XL-BLUSPRIT,TOWLB-DES-XL-WTRSUG</t>
  </si>
  <si>
    <t>10197201-10247467</t>
  </si>
  <si>
    <t>Magali</t>
  </si>
  <si>
    <t>Jean-louis</t>
  </si>
  <si>
    <t>EU-42546</t>
  </si>
  <si>
    <t>2026-05-26 10:09:49</t>
  </si>
  <si>
    <t>165 Ave de Wagram, Paris, Paris</t>
  </si>
  <si>
    <t>BAGDRY-XS-MIAMI,TOWLB-SUM-XL-COLAGN</t>
  </si>
  <si>
    <t>10195570-10245823</t>
  </si>
  <si>
    <t>Hess</t>
  </si>
  <si>
    <t>EU-42498</t>
  </si>
  <si>
    <t>2026-05-26 10:10:27</t>
  </si>
  <si>
    <t>7 Badensgaessel, Gréiwemaacher, Gréiwemaacher</t>
  </si>
  <si>
    <t>Luxembourg</t>
  </si>
  <si>
    <t>HAIRW-SUE-MIAMI,HAIRW-SUE-OCETRES,TOWLB-DES-LG-OCETRES,TOWLB-DES-LG-TANTIDE,TOWLB-DES-XL-GRECSHR,TOWLB-DES-XL-LEMWAV</t>
  </si>
  <si>
    <t>10195788-10246043</t>
  </si>
  <si>
    <t>Kathrin</t>
  </si>
  <si>
    <t>Hagen</t>
  </si>
  <si>
    <t>EU-42506</t>
  </si>
  <si>
    <t>2026-05-26 10:11:33</t>
  </si>
  <si>
    <t>Richard-Wagner-Straße 10, Augsburg, Augsburg</t>
  </si>
  <si>
    <t>BAGDRY-XS-HOTTROP,COOL-CAB-NAVY-R,COOL-DES-MIDNMOV,COOL-DES-SUNSRUN</t>
  </si>
  <si>
    <t>10189926-10240166</t>
  </si>
  <si>
    <t>Clarissa</t>
  </si>
  <si>
    <t>Toma</t>
  </si>
  <si>
    <t>EU-42388</t>
  </si>
  <si>
    <t>2026-05-26 10:52:29</t>
  </si>
  <si>
    <t>Rademachergang 18, Hamburg, Hamburg</t>
  </si>
  <si>
    <t>BAGF-DES-MD-CHECKMT,TOWLB-SUM-X2-UNICN,TOWLB-SUM-XL-UNICN-R</t>
  </si>
  <si>
    <t>10198409-10248684</t>
  </si>
  <si>
    <t>EU-42575</t>
  </si>
  <si>
    <t>2026-05-26 10:54:54</t>
  </si>
  <si>
    <t>165 Ave de wagram, Paris, Paris</t>
  </si>
  <si>
    <t>BAGF-SUM-MD-COLAGN,BAGF-SUM-MD-MIAMI</t>
  </si>
  <si>
    <t>10196909-10247172</t>
  </si>
  <si>
    <t>Artur</t>
  </si>
  <si>
    <t>Budnik</t>
  </si>
  <si>
    <t>EU-42539</t>
  </si>
  <si>
    <t>2026-05-26 10:56:05</t>
  </si>
  <si>
    <t>Sophienstraße 18, Karlsruhe, Karlsruhe</t>
  </si>
  <si>
    <t>BAGBCH-MD-NAVY,TOWLB-DES-LG-VITSEA</t>
  </si>
  <si>
    <t>10196631-10246892</t>
  </si>
  <si>
    <t>Charlotte</t>
  </si>
  <si>
    <t>Træholt</t>
  </si>
  <si>
    <t>EU-42528</t>
  </si>
  <si>
    <t>2026-05-26 11:01:53</t>
  </si>
  <si>
    <t>Brovangsvej 35, Ålsgårde, Ålsgårde</t>
  </si>
  <si>
    <t>Denmark</t>
  </si>
  <si>
    <t>TOWLB-CAB-XL-GREEN-R,TOWLB-CAB-XL-ORANG-R</t>
  </si>
  <si>
    <t>10188537-10238775</t>
  </si>
  <si>
    <t>Trudi KAY</t>
  </si>
  <si>
    <t>Trudi</t>
  </si>
  <si>
    <t>Kay</t>
  </si>
  <si>
    <t>EU-42379</t>
  </si>
  <si>
    <t>2026-05-26 11:04:25</t>
  </si>
  <si>
    <t>Limburghof 11, Amsterdam, Amsterdam</t>
  </si>
  <si>
    <t>1083 AG</t>
  </si>
  <si>
    <t>TOWLF-ESS-LG-DKBLU,TOWLF-ESS-LG-GREY-R</t>
  </si>
  <si>
    <t>10197204-10247470</t>
  </si>
  <si>
    <t>Tora Heggvik</t>
  </si>
  <si>
    <t>Tora</t>
  </si>
  <si>
    <t>Heggvik</t>
  </si>
  <si>
    <t>EU-42548</t>
  </si>
  <si>
    <t>2026-05-26 11:14:22</t>
  </si>
  <si>
    <t>Amalie Skrams vei 25, 5036 Bergen, BERGEN, BERGEN</t>
  </si>
  <si>
    <t>Norway</t>
  </si>
  <si>
    <t>HAIRW-WAF-TIGPALM,PICNIC-CAB-LG-NAVY,PP-TOWLB-CAB-LG-4SETO</t>
  </si>
  <si>
    <t>10197528-10247794</t>
  </si>
  <si>
    <t>Jayme</t>
  </si>
  <si>
    <t>Fleischer</t>
  </si>
  <si>
    <t>EU-42557</t>
  </si>
  <si>
    <t>2026-05-26 11:17:53</t>
  </si>
  <si>
    <t>Kolumbusstraße 5B, Munich, Munich</t>
  </si>
  <si>
    <t>TOWLB-SUM-LG-COLAGN,TOWLB-SUM-LG-MIAMI,TOWLB-SUM-LG-OCEAN,TOWLB-SUM-LG-TUTFRU</t>
  </si>
  <si>
    <t>10198170-10248444</t>
  </si>
  <si>
    <t>Löblein</t>
  </si>
  <si>
    <t>EU-42570</t>
  </si>
  <si>
    <t>2026-05-26 11:26:09</t>
  </si>
  <si>
    <t>Stellinger Weg 14, Souterrain rechts, Hamburg, Hamburg</t>
  </si>
  <si>
    <t>BAGDRY-XS-MIAMI,BAGF-SUM-MD-CSTCANDY,BALLAST-SUM-MIAMI,PICNIC-DES-LG-BRGTSIDE,PONCHA-CAB-LG-BLUE-NS,TOWLB-DES-LG-MELLOW,TOWLB-SUM-XL-OCEAN</t>
  </si>
  <si>
    <t>10198165-10248439</t>
  </si>
  <si>
    <t>Andrea</t>
  </si>
  <si>
    <t>Kelch</t>
  </si>
  <si>
    <t>EU-42569</t>
  </si>
  <si>
    <t>2026-05-26 11:27:35</t>
  </si>
  <si>
    <t>Brache 75, Dortmund, Dortmund</t>
  </si>
  <si>
    <t>BAGF-DES-MD-WAVYBBY,PONCHA-DES-MD-WAVYBBY,TOWLB-DES-XL-GRECSHR</t>
  </si>
  <si>
    <t>10202117-10252425</t>
  </si>
  <si>
    <t>Colégio Atlântico</t>
  </si>
  <si>
    <t>Patricia</t>
  </si>
  <si>
    <t>Carolino</t>
  </si>
  <si>
    <t>EU-42640</t>
  </si>
  <si>
    <t>2026-05-26 11:44:53</t>
  </si>
  <si>
    <t>Avenida da ponte, Lote 365 A, Arrentela, Setúbal</t>
  </si>
  <si>
    <t>2840-167</t>
  </si>
  <si>
    <t>TOWLB-CAB-XL-PINK-R,TOWLB-SUM-XL-COLAGN,TOWLB-SUM-XL-MIAMI</t>
  </si>
  <si>
    <t>10201698-10251989</t>
  </si>
  <si>
    <t>Yvonne</t>
  </si>
  <si>
    <t>O Connor</t>
  </si>
  <si>
    <t>EU-42636</t>
  </si>
  <si>
    <t>2026-05-26 11:46:20</t>
  </si>
  <si>
    <t>Elmfield Mews, Wexford, Wexford</t>
  </si>
  <si>
    <t>Y35 K3V5</t>
  </si>
  <si>
    <t>TOWLB-DES-LG-SWTESC,TOWLB-DES-LG-WTRSUG,TOWLB-DES-LG-WYWH,TOWLB-SUM-LG-TUTFRU</t>
  </si>
  <si>
    <t>10202762-10253067</t>
  </si>
  <si>
    <t>Klaus</t>
  </si>
  <si>
    <t>Fortmann</t>
  </si>
  <si>
    <t>EU-42642</t>
  </si>
  <si>
    <t>2026-05-26 12:21:50</t>
  </si>
  <si>
    <t>Grömitzer Weg 16B, Hamburg, Hamburg</t>
  </si>
  <si>
    <t>BAGF-SUM-MD-CSTCANDY,PICNIC-DES-XL-CANDSTR</t>
  </si>
  <si>
    <t>10201167-10251448</t>
  </si>
  <si>
    <t>Orla</t>
  </si>
  <si>
    <t>Cremin</t>
  </si>
  <si>
    <t>EU-42632</t>
  </si>
  <si>
    <t>2026-05-26 12:24:32</t>
  </si>
  <si>
    <t>42 Granitefield, Dublin, Dublin</t>
  </si>
  <si>
    <t>A96 ER69</t>
  </si>
  <si>
    <t>BAGF-DES-MD-CHECKMT,PONCHK-KID-SM-CAMOCUBE</t>
  </si>
  <si>
    <t>10202771-10253077</t>
  </si>
  <si>
    <t>Sanne</t>
  </si>
  <si>
    <t>Evers</t>
  </si>
  <si>
    <t>EU-42645</t>
  </si>
  <si>
    <t>2026-05-26 12:25:18</t>
  </si>
  <si>
    <t>Nonkeswijk 3, Daarlerveen, Daarlerveen</t>
  </si>
  <si>
    <t>7687 AZ</t>
  </si>
  <si>
    <t>TOWLB-CAB-XL-LTPPL-R,TOWLF-ESS-XL-DKBLU</t>
  </si>
  <si>
    <t>10202770-10253076</t>
  </si>
  <si>
    <t>Marie</t>
  </si>
  <si>
    <t>Foran</t>
  </si>
  <si>
    <t>EU-42646</t>
  </si>
  <si>
    <t>2026-05-27 04:42:43</t>
  </si>
  <si>
    <t>52 Castlewellan Park, Celbridge, Kildare</t>
  </si>
  <si>
    <t>W23 YXR9</t>
  </si>
  <si>
    <t>PP-TOWLB-CAB-LG-4SETA-R</t>
  </si>
  <si>
    <t>10202765-10253070</t>
  </si>
  <si>
    <t>Laurens</t>
  </si>
  <si>
    <t>Grosfeld</t>
  </si>
  <si>
    <t>EU-42643</t>
  </si>
  <si>
    <t>2026-05-27 04:43:23</t>
  </si>
  <si>
    <t>Bos en Lommerplein 167k, Amsterdam, Amsterdam</t>
  </si>
  <si>
    <t>1055 AD</t>
  </si>
  <si>
    <t>TOWLB-CAB-XL-LTBLU-R</t>
  </si>
  <si>
    <t>10202768-10253073</t>
  </si>
  <si>
    <t>Anja</t>
  </si>
  <si>
    <t>Coppens</t>
  </si>
  <si>
    <t>EU-42644</t>
  </si>
  <si>
    <t>2026-05-27 04:44:32</t>
  </si>
  <si>
    <t>Winterdreef 18, Oud-Turnhout, Oud-Turnhout</t>
  </si>
  <si>
    <t>Belgium</t>
  </si>
  <si>
    <t>BAGF-SUM-MD-CSTCANDY,TOWLB-SUM-XL-COLAGN,TOWLB-SUM-XL-CSTCANDY,TOWLB-SUM-XL-MIAMI,TOWLB-SUM-XL-RAINB-R,TOWLB-SUM-XL-SANDSEA,TOWLB-SUM-XL-UNICN-R</t>
  </si>
  <si>
    <t>10188726-10238964</t>
  </si>
  <si>
    <t xml:space="preserve"> Julia und Werner Boiger</t>
  </si>
  <si>
    <t>Holz</t>
  </si>
  <si>
    <t>und Plott Gbr</t>
  </si>
  <si>
    <t>EU-42380</t>
  </si>
  <si>
    <t>2026-05-27 05:06:10</t>
  </si>
  <si>
    <t>Oberviehmoos 9, Oberviehmoos, Moosthenning, Moosthenning</t>
  </si>
  <si>
    <t>10203990-10254056</t>
  </si>
  <si>
    <t>Stefan</t>
  </si>
  <si>
    <t>Otten</t>
  </si>
  <si>
    <t>EU-42654</t>
  </si>
  <si>
    <t>2026-05-27 05:08:23</t>
  </si>
  <si>
    <t>Zandrug 36, Kampen, Kampen</t>
  </si>
  <si>
    <t>8266 LE</t>
  </si>
  <si>
    <t>TOWLB-DES-XL-BLUSPRIT,TOWLB-DES-XL-SUNSPL,TOWLB-SUM-XL-COLAGN,TOWLB-SUM-XL-SANDSEA</t>
  </si>
  <si>
    <t>10203992-10254058</t>
  </si>
  <si>
    <t>Zazou C/O Lunautica SARL</t>
  </si>
  <si>
    <t>Yuk hang</t>
  </si>
  <si>
    <t>Chiu</t>
  </si>
  <si>
    <t>EU-42652</t>
  </si>
  <si>
    <t>2026-05-27 05:10:34</t>
  </si>
  <si>
    <t>Nice airport, Terminal Cargo, Bureau 309, Martini ESI, Nice, Nice</t>
  </si>
  <si>
    <t>06200</t>
  </si>
  <si>
    <t>BAGBCH-MD-NAVY,BAGF-SUM-MD-MIAMI,BALLAST-CAB-NAVY,BALLAST-SUM-MIAMI,TOWLB-CAB-XL-NAVY-R,TOWLB-SUM-XL-MIAMI</t>
  </si>
  <si>
    <t>10203994-10254060</t>
  </si>
  <si>
    <t>Karen</t>
  </si>
  <si>
    <t>Beeston</t>
  </si>
  <si>
    <t>EU-42651</t>
  </si>
  <si>
    <t>2026-05-27 05:11:53</t>
  </si>
  <si>
    <t>61 Marlton Grove, Marlton Rd, Wicklow Town, Wicklow</t>
  </si>
  <si>
    <t>A67 X089</t>
  </si>
  <si>
    <t>TOWLB-CAB-LG-BLUE-R,TOWLB-CAB-LG-GREEN-R,TOWLB-CAB-LG-NAVY-R,TOWLB-CAB-LG-PINK-R</t>
  </si>
  <si>
    <t>10201711-10252002</t>
  </si>
  <si>
    <t>Claus</t>
  </si>
  <si>
    <t>Schmid</t>
  </si>
  <si>
    <t>EU-42638</t>
  </si>
  <si>
    <t>2026-05-27 05:13:26</t>
  </si>
  <si>
    <t>Bildäcker-Ring 5, Neudenau, Neudenau</t>
  </si>
  <si>
    <t>PICNIC-CAB-XL-NAVY,TOWLB-CAB-XL-BLACK-R,TOWLB-CAB-XL-LTBGE-R,TOWLB-CAB-XL-LTGRY-R,TOWLB-CAB-XL-NAVY-R</t>
  </si>
  <si>
    <t>10205022-10255110</t>
  </si>
  <si>
    <t>Claire</t>
  </si>
  <si>
    <t>Brady</t>
  </si>
  <si>
    <t>EU-42671</t>
  </si>
  <si>
    <t>2026-05-27 05:30:00</t>
  </si>
  <si>
    <t>Nassauische Straße 31, Berlin, Berlin</t>
  </si>
  <si>
    <t>TOWLB-CAB-XL-YELL-R,TOWLB-SUM-XL-UNICN-R</t>
  </si>
  <si>
    <t>10207281-10257375</t>
  </si>
  <si>
    <t>LEVEQUE</t>
  </si>
  <si>
    <t>-</t>
  </si>
  <si>
    <t>404-4816969-0433159</t>
  </si>
  <si>
    <t>2026-05-27 05:37:41</t>
  </si>
  <si>
    <t>93, Chemin des Plaines, Aix-en-Provence, Aix-en-Provence</t>
  </si>
  <si>
    <t>TOWLB-DES-LG-RSPROAD</t>
  </si>
  <si>
    <t>10204001-10254067</t>
  </si>
  <si>
    <t>Camilla</t>
  </si>
  <si>
    <t>Russo</t>
  </si>
  <si>
    <t>EU-42659</t>
  </si>
  <si>
    <t>2026-05-27 06:01:12</t>
  </si>
  <si>
    <t>Viale Raffaello 18, Napoli, Napoli</t>
  </si>
  <si>
    <t>TOWLB-DES-LG-BLUSPRIT,TOWLB-DES-LG-LEMWAV,TOWLH-CBH-SM-NAVY,TOWLH-CBH-SM-PINK</t>
  </si>
  <si>
    <t>10204000-10254066</t>
  </si>
  <si>
    <t>Amber</t>
  </si>
  <si>
    <t>Teunissen van Manen</t>
  </si>
  <si>
    <t>EU-42656</t>
  </si>
  <si>
    <t>2026-05-27 06:04:25</t>
  </si>
  <si>
    <t>Bernhardstraat 31, I, Wageningen, Wageningen</t>
  </si>
  <si>
    <t>6707 CJ</t>
  </si>
  <si>
    <t>TOWLB-CAB-XL-LTBGE-R,TOWLB-CAB-XL-NAVY-R,TOWLB-DES-XL-GRECSHR,TOWLB-DES-XL-LEMWAV</t>
  </si>
  <si>
    <t>10204358-10254424</t>
  </si>
  <si>
    <t>MCD</t>
  </si>
  <si>
    <t>Tony</t>
  </si>
  <si>
    <t>Killeen</t>
  </si>
  <si>
    <t>EU-42663</t>
  </si>
  <si>
    <t>2026-05-27 06:06:19</t>
  </si>
  <si>
    <t>7 Clanawley Rd Killester, Dublin, Dublin</t>
  </si>
  <si>
    <t>D05 AX20</t>
  </si>
  <si>
    <t>TOWLB-CAB-LG-BLUE-R,TOWLB-CAB-LG-LTPNK-R,TOWLB-CAB-LG-NAVY-R,TOWLB-CAB-LG-PINK-R</t>
  </si>
  <si>
    <t>10203999-10254065</t>
  </si>
  <si>
    <t>Lucía</t>
  </si>
  <si>
    <t>Amado</t>
  </si>
  <si>
    <t>EU-42657</t>
  </si>
  <si>
    <t>2026-05-27 06:09:29</t>
  </si>
  <si>
    <t>15 The Laurels, Clontarf, Dublin, Dublin</t>
  </si>
  <si>
    <t>D03 X7N2</t>
  </si>
  <si>
    <t>TEATWL-MD-APPLTRT,TEATWL-MD-GLDHOUR,TEATWL-MD-GRTFROM,TEATWL-MD-KTCHDISC,TEATWL-MD-STRAWFZ,TOWLB-SUM-LG-RAINB-R,TOWLH-CLB-LG-CHRYBMB,TOWLH-CLB-LG-PEPPNCH</t>
  </si>
  <si>
    <t>10204706-10254788</t>
  </si>
  <si>
    <t>Theresa</t>
  </si>
  <si>
    <t>Bodó</t>
  </si>
  <si>
    <t>EU-42669</t>
  </si>
  <si>
    <t>2026-05-27 06:11:07</t>
  </si>
  <si>
    <t>Klosterstr 8, Niederorschel, Niederorschel</t>
  </si>
  <si>
    <t>10204365-10254431</t>
  </si>
  <si>
    <t>Joyce</t>
  </si>
  <si>
    <t>Kerkvliet</t>
  </si>
  <si>
    <t>EU-42665</t>
  </si>
  <si>
    <t>2026-05-27 06:23:41</t>
  </si>
  <si>
    <t>Keizersgracht 525, Amsterdam, Amsterdam</t>
  </si>
  <si>
    <t>1017 DP</t>
  </si>
  <si>
    <t>10204699-10254781</t>
  </si>
  <si>
    <t>Clare</t>
  </si>
  <si>
    <t>Farrell</t>
  </si>
  <si>
    <t>EU-42666</t>
  </si>
  <si>
    <t>2026-05-27 06:25:56</t>
  </si>
  <si>
    <t>171 Heather Hill Ave, Graiguecullen, Carlow, Carlow</t>
  </si>
  <si>
    <t>R93 V9W3</t>
  </si>
  <si>
    <t>10204348-10254414</t>
  </si>
  <si>
    <t>Katarina</t>
  </si>
  <si>
    <t>Labasova</t>
  </si>
  <si>
    <t>EU-42648</t>
  </si>
  <si>
    <t>2026-05-27 06:29:57</t>
  </si>
  <si>
    <t>Steingasse 3, Wohnung 15, Wien, Wien</t>
  </si>
  <si>
    <t>Austria</t>
  </si>
  <si>
    <t>BAGF-SUM-MD-CSTCANDY,PONCHK-KID-MD-KARMCHAM,PONCHK-SUM-MD-CSTCANDY,TOWLB-DES-XL-BLUSPRIT,TOWLB-DES-XL-LEMWAV,TOWLB-KID-LG-KARMCHAM,TOWLB-KID-LG-TURTROP,TOWLB-SUM-XL-COLAGN,TOWLB-SUM-XL-MIAMI</t>
  </si>
  <si>
    <t>10204711-10254793</t>
  </si>
  <si>
    <t>Loïse</t>
  </si>
  <si>
    <t>Bredeloux</t>
  </si>
  <si>
    <t>EU-42668</t>
  </si>
  <si>
    <t>2026-05-27 06:31:59</t>
  </si>
  <si>
    <t>Rue de la Rée 13, Habay, Habay</t>
  </si>
  <si>
    <t>PICNIC-DES-XL-SPRCLUB,PONCHK-CAB-MD-LTPNK-NS,PONCHK-SUM-MD-UNICN-NS,PP-TOWLB-CAB-XL-4SET-PINK</t>
  </si>
  <si>
    <t>10204712-10254794</t>
  </si>
  <si>
    <t>BURCU</t>
  </si>
  <si>
    <t>MUVEYYEN SAHIN</t>
  </si>
  <si>
    <t>EU-42670</t>
  </si>
  <si>
    <t>2026-05-27 06:33:26</t>
  </si>
  <si>
    <t>Darmstädter Landstraße 186, W 503, Frankfurt am Main, Frankfurt am Main</t>
  </si>
  <si>
    <t>BALLAST-DES-GRECSH,TOWLB-DES-XL-BLUSPRIT,TOWLB-DES-XL-GRECSHR,TOWLB-KID-MD-INTOWILD</t>
  </si>
  <si>
    <t>10183698-10233927</t>
  </si>
  <si>
    <t>Rhomeo decoration</t>
  </si>
  <si>
    <t>Clarisse</t>
  </si>
  <si>
    <t>Baker</t>
  </si>
  <si>
    <t>EUWS-3159</t>
  </si>
  <si>
    <t>2026-05-27 07:00:33</t>
  </si>
  <si>
    <t>77 bis route de paris, Le Mesnil esnard, Le Mesnil esnard</t>
  </si>
  <si>
    <t>HAIRW-CAB-LTPNK-NB,HAIRW-CAB-LTPPL-NB,HAIRW-SUE-WYWH,TOWLB-CAB-XL-KHAKI-R,TOWLB-CAB-XL-LTPNK-R,TOWLB-CAB-XL-LTPPL-R,TOWLB-CAB-XL-RED-R,TOWLB-DES-XL-ALOHGLW,TOWLB-DES-XL-BLUSPRIT,TOWLB-DES-XL-GRECSHR,TOWLB-DES-XL-SWTESC,TOWLB-DES-XL-WTRSUG</t>
  </si>
  <si>
    <t>10205016-10255104</t>
  </si>
  <si>
    <t>Katharina</t>
  </si>
  <si>
    <t>Barth</t>
  </si>
  <si>
    <t>EU-42674</t>
  </si>
  <si>
    <t>2026-05-27 07:56:35</t>
  </si>
  <si>
    <t>Schlüterstraße, 61, Berlin, Berlin</t>
  </si>
  <si>
    <t>TOWLB-CAB-LG-NAVY-R,TOWLB-CAB-LG-ORANG-R,TOWLB-SUM-LG-CSTCANDY</t>
  </si>
  <si>
    <t>10204361-10254427</t>
  </si>
  <si>
    <t>Linda</t>
  </si>
  <si>
    <t>Meneghini</t>
  </si>
  <si>
    <t>EU-42664</t>
  </si>
  <si>
    <t>2026-05-27 07:58:22</t>
  </si>
  <si>
    <t>VIA SALVO DACQUISTO 21, SAN GIOVANNI LUPATOTO, Verona</t>
  </si>
  <si>
    <t>TOWLB-DES-XL-BLUSPRIT,TOWLB-DES-XL-MELLOW</t>
  </si>
  <si>
    <t>10205500-10255593</t>
  </si>
  <si>
    <t>Lisa</t>
  </si>
  <si>
    <t>De Gersem</t>
  </si>
  <si>
    <t>EU-42679</t>
  </si>
  <si>
    <t>2026-05-27 07:59:42</t>
  </si>
  <si>
    <t>Ketelstraat 33a, Vinkt, Vinkt</t>
  </si>
  <si>
    <t>TOWLB-DES-XL-LEMWAV,TOWLB-SUM-XL-MIAMI</t>
  </si>
  <si>
    <t>10206740-10256834</t>
  </si>
  <si>
    <t>Michelle</t>
  </si>
  <si>
    <t>Halloran</t>
  </si>
  <si>
    <t>EU-42684</t>
  </si>
  <si>
    <t>2026-05-27 08:00:08</t>
  </si>
  <si>
    <t>12 Cnoc Fraoigh, Barna, Galway</t>
  </si>
  <si>
    <t>H91 N7X4</t>
  </si>
  <si>
    <t>BAGDRY-XS-WAVYBBY,BAGF-DES-MD-WAVYBBY,PONCHA-DES-LG-WAVYBBY</t>
  </si>
  <si>
    <t>10207479-10257573</t>
  </si>
  <si>
    <t>Constanze</t>
  </si>
  <si>
    <t>Kanzlsperger</t>
  </si>
  <si>
    <t>EU-42690</t>
  </si>
  <si>
    <t>2026-05-27 08:01:20</t>
  </si>
  <si>
    <t>Ortenburger Str 44, Vilshofen, Vilshofen</t>
  </si>
  <si>
    <t>PONCHK-KID-MD-JELLY,TOWLB-SUM-XL-MIAMI</t>
  </si>
  <si>
    <t>10205769-10255862</t>
  </si>
  <si>
    <t>Anne-Marije</t>
  </si>
  <si>
    <t>Tervooren</t>
  </si>
  <si>
    <t>EU-42680</t>
  </si>
  <si>
    <t>2026-05-27 08:02:21</t>
  </si>
  <si>
    <t>Noordstraat 27, Bodegraven, Bodegraven</t>
  </si>
  <si>
    <t>2411 BH</t>
  </si>
  <si>
    <t>BAGF-SUM-MD-CSTCANDY,TOWLB-DES-LG-BLUSKY,TOWLB-DES-LG-CHECKMT,TOWLB-DES-LG-PNKPARA,TOWLB-SUM-LG-TUTFRU</t>
  </si>
  <si>
    <t>10206201-10256294</t>
  </si>
  <si>
    <t>Daniela</t>
  </si>
  <si>
    <t>Többen</t>
  </si>
  <si>
    <t>EU-42681</t>
  </si>
  <si>
    <t>2026-05-27 08:02:46</t>
  </si>
  <si>
    <t>Yorkring 3, Osnabrück, Osnabrück</t>
  </si>
  <si>
    <t>TOWLB-DES-XL-BLUSPRIT,TOWLB-DES-XL-LEMWAV</t>
  </si>
  <si>
    <t>10206739-10256833</t>
  </si>
  <si>
    <t>Nicola</t>
  </si>
  <si>
    <t>Kirss</t>
  </si>
  <si>
    <t>EU-42685</t>
  </si>
  <si>
    <t>2026-05-27 08:04:00</t>
  </si>
  <si>
    <t>Ringstraße 75, Wohnung, Arnsberg, Arnsberg</t>
  </si>
  <si>
    <t>10206500-10256594</t>
  </si>
  <si>
    <t>Kelvin</t>
  </si>
  <si>
    <t>Noordeloos</t>
  </si>
  <si>
    <t>EU-42683</t>
  </si>
  <si>
    <t>2026-05-27 08:05:13</t>
  </si>
  <si>
    <t>Tuinderserf 6, Arnhem, Arnhem</t>
  </si>
  <si>
    <t>6846 AV</t>
  </si>
  <si>
    <t>BALLAST-CAB-NAVY,TOWLB-CAB-XL-BLACK-R</t>
  </si>
  <si>
    <t>10205018-10255106</t>
  </si>
  <si>
    <t>Christel</t>
  </si>
  <si>
    <t>Van Lunsen</t>
  </si>
  <si>
    <t>EU-42673</t>
  </si>
  <si>
    <t>2026-05-27 08:06:26</t>
  </si>
  <si>
    <t>Kruidentuin 10, 10, Barneveld, Barneveld</t>
  </si>
  <si>
    <t>3772 VH</t>
  </si>
  <si>
    <t>TOWLB-CAB-LG-NAVY-R</t>
  </si>
  <si>
    <t>10207480-10257574</t>
  </si>
  <si>
    <t>Patrizia</t>
  </si>
  <si>
    <t>Giulia Klein</t>
  </si>
  <si>
    <t>EU-42691</t>
  </si>
  <si>
    <t>2026-05-27 08:07:42</t>
  </si>
  <si>
    <t>Weinbergweg 50, Ravensburg, Ravensburg</t>
  </si>
  <si>
    <t>PONCHA-CAB-MD-LTPNK-NS,TOWLB-CAB-LG-LTPNK-R</t>
  </si>
  <si>
    <t>10206894-10256988</t>
  </si>
  <si>
    <t>Toru</t>
  </si>
  <si>
    <t>Kimura</t>
  </si>
  <si>
    <t>EU-42687</t>
  </si>
  <si>
    <t>2026-05-27 08:08:54</t>
  </si>
  <si>
    <t>Veerpolderstraat 32, Arnhem, Arnhem</t>
  </si>
  <si>
    <t>6833 BP</t>
  </si>
  <si>
    <t>BAGF-CAB-MD-NAVY,TOWLB-CAB-XL-NAVY-R</t>
  </si>
  <si>
    <t>10189791-10240031</t>
  </si>
  <si>
    <t>Lena</t>
  </si>
  <si>
    <t>Kniesel</t>
  </si>
  <si>
    <t>305-6093594-7139522</t>
  </si>
  <si>
    <t>2026-05-27 08:11:19</t>
  </si>
  <si>
    <t>Havelberger Straße 42 / C1, Pritzwalk, Pritzwalk</t>
  </si>
  <si>
    <t>BAGF-DES-MD-GROOVCH</t>
  </si>
  <si>
    <t>10173282-10223371</t>
  </si>
  <si>
    <t>Mixtura-Apotheke OG</t>
  </si>
  <si>
    <t>Romana</t>
  </si>
  <si>
    <t>Aichinger</t>
  </si>
  <si>
    <t>EUWS-3157</t>
  </si>
  <si>
    <t>2026-05-27 08:29:30</t>
  </si>
  <si>
    <t>Bodenzeile 4, Gänserndorf, Gänserndorf</t>
  </si>
  <si>
    <t xml:space="preserve">16211 (x2) A-SCRUNCH-PAPER (x1) A-KRAFT-PAPER-TAPE (x2) </t>
  </si>
  <si>
    <t>BAGDRY-MD-MIAMI,BAGDRY-MD-NAVY,BAGDRY-XS-MIAMI,BAGDRY-XS-NAVY,PICNIC-DES-LG-BRGTSIDE,PICNIC-DES-XL-CANDSTR,TOWLB-SUM-XL-COLAGN,TOWLB-SUM-XL-CSTCANDY,TOWLB-SUM-XL-MIAMI</t>
  </si>
  <si>
    <t>10197211-10247477</t>
  </si>
  <si>
    <t>Cranium Zahnheilkunde</t>
  </si>
  <si>
    <t>Amelie</t>
  </si>
  <si>
    <t>Ackemann</t>
  </si>
  <si>
    <t>EU-42553</t>
  </si>
  <si>
    <t>2026-05-27 08:55:38</t>
  </si>
  <si>
    <t>Berliner Ring 151, Bensheim, Bensheim</t>
  </si>
  <si>
    <t>TOWLB-SUM-XL-COLAGN,TOWLB-SUM-XL-CSTCANDY,TOWLB-SUM-XL-MIAMI,TOWLB-SUM-XL-OCEAN,TOWLB-SUM-XL-RAINB-R,TOWLB-SUM-XL-SANDSEA,TOWLB-SUM-XL-TUTFRU,TOWLB-SUM-XL-UNICN-R</t>
  </si>
  <si>
    <t>10196901-10247164</t>
  </si>
  <si>
    <t>Pippel Bramen B.V.</t>
  </si>
  <si>
    <t>Corine</t>
  </si>
  <si>
    <t>Pippel</t>
  </si>
  <si>
    <t>EU-42523</t>
  </si>
  <si>
    <t>2026-05-27 09:02:49</t>
  </si>
  <si>
    <t>Bernhardstraat 31, Haaften, Haaften</t>
  </si>
  <si>
    <t>4175 ED</t>
  </si>
  <si>
    <t>COOL-CAB-NAVY-R,TOWLB-CAB-XL-LTBGE-R,TOWLB-CAB-XL-LTBLU-R,TOWLB-CAB-XL-LTPNK-R</t>
  </si>
  <si>
    <t>10196914-10247177</t>
  </si>
  <si>
    <t>Mauk</t>
  </si>
  <si>
    <t>Maarschalk</t>
  </si>
  <si>
    <t>EU-42544</t>
  </si>
  <si>
    <t>2026-05-27 09:21:03</t>
  </si>
  <si>
    <t>Bilderdijklaan, Aerdenhout, Aerdenhout</t>
  </si>
  <si>
    <t>2111 CA</t>
  </si>
  <si>
    <t>PICNIC-SUM-XL-UNICN,PONCHK-SUM-MD-UNICN-NS,TEATWL-MD-APPLTRT,TEATWL-MD-GLDHOUR,TEATWL-MD-GRTFROM,TEATWL-MD-KTCHDISC,TEATWL-MD-STRAWFZ,TOWLB-CAB-LG-BLUE-R,TOWLB-CAB-LG-NAVY-R,TOWLB-CAB-LG-PINK-R,TOWLB-CAB-LG-YELL-R,TOWLB-DOB-LG-CALM,TOWLB-SUM-LG-RAINB-R,TOWLB-SUM-LG-UNICN-R</t>
  </si>
  <si>
    <t>10208335-10258443</t>
  </si>
  <si>
    <t>Amy</t>
  </si>
  <si>
    <t>Gilmour</t>
  </si>
  <si>
    <t>EU-42706</t>
  </si>
  <si>
    <t>2026-05-27 10:20:14</t>
  </si>
  <si>
    <t>153 Tritonville Rd, Sandymount, Dublin 4, Dublin</t>
  </si>
  <si>
    <t>D04 FX94</t>
  </si>
  <si>
    <t>PONCHK-KID-MD-KARMCHAM,TOWLB-DES-LG-MELLOW</t>
  </si>
  <si>
    <t>10208008-10258106</t>
  </si>
  <si>
    <t>Cathleen</t>
  </si>
  <si>
    <t>Adomssent</t>
  </si>
  <si>
    <t>EU-42701</t>
  </si>
  <si>
    <t>2026-05-27 10:24:43</t>
  </si>
  <si>
    <t>Heinrich-Engel-Weg, 9, Rostock, Rostock</t>
  </si>
  <si>
    <t>TOWLB-CAB-LG-LTPNK-R</t>
  </si>
  <si>
    <t>10207577-10257671</t>
  </si>
  <si>
    <t>Martha</t>
  </si>
  <si>
    <t>Donovan</t>
  </si>
  <si>
    <t>EU-42694</t>
  </si>
  <si>
    <t>2026-05-27 10:25:46</t>
  </si>
  <si>
    <t>30 Summerhill, Portlaoise, Laois</t>
  </si>
  <si>
    <t>R32 W1W0</t>
  </si>
  <si>
    <t>TOWLB-SUM-LG-TUTFRU</t>
  </si>
  <si>
    <t>10204360-10254426</t>
  </si>
  <si>
    <t>Jasper</t>
  </si>
  <si>
    <t>de Lang</t>
  </si>
  <si>
    <t>EU-42662</t>
  </si>
  <si>
    <t>2026-05-27 10:58:09</t>
  </si>
  <si>
    <t>Commissaris de Vos van, Steenwijklaan 87, Meppel, Meppel</t>
  </si>
  <si>
    <t>7942 XL</t>
  </si>
  <si>
    <t>BAGCOOL-MD-NAVY,BAGDRY-XS-NAVY,BAGF-CAB-MD-NAVY,BAGTOI-MD-PEPPNCH,COOL-CAB-NAVY-R,TOWLB-CAB-LG-LTBGE-R,TOWLB-CAB-LG-NAVY-R</t>
  </si>
  <si>
    <t>10208013-10258111</t>
  </si>
  <si>
    <t>Weinhart</t>
  </si>
  <si>
    <t>EU-42703</t>
  </si>
  <si>
    <t>2026-05-27 11:00:05</t>
  </si>
  <si>
    <t>Maiglöckchenweg 9, Geretsried, Geretsried</t>
  </si>
  <si>
    <t>PICNIC-DES-XL-SPRCLUB,TEATWL-MD-RGRTTI,TEATWL-MD-TRPPNCH</t>
  </si>
  <si>
    <t>10199747-10250023</t>
  </si>
  <si>
    <t>Sarah</t>
  </si>
  <si>
    <t>Haag</t>
  </si>
  <si>
    <t>EU-42609</t>
  </si>
  <si>
    <t>2026-05-27 11:02:20</t>
  </si>
  <si>
    <t>Reinsburgstraße 110, Stuttgart, Stuttgart</t>
  </si>
  <si>
    <t>HAIRW-CAB-LTPPL-NB,HAIRW-CAB-NAVY-NB,TEATWL-MD-HEADCHEF,TEATWL-MD-SOUSCHEF</t>
  </si>
  <si>
    <t>10208640-10258756</t>
  </si>
  <si>
    <t>Berdien</t>
  </si>
  <si>
    <t>Vanhove</t>
  </si>
  <si>
    <t>EU-42710</t>
  </si>
  <si>
    <t>2026-05-27 12:04:34</t>
  </si>
  <si>
    <t>Schopstraat 49, Herk-de-Stad, Herk-de-Stad</t>
  </si>
  <si>
    <t>PP-TOWLB-CAB-LG-6SETI</t>
  </si>
  <si>
    <t>10208336-10258444</t>
  </si>
  <si>
    <t>Marcia</t>
  </si>
  <si>
    <t>Demin</t>
  </si>
  <si>
    <t>EU-42705</t>
  </si>
  <si>
    <t>2026-05-27 12:20:25</t>
  </si>
  <si>
    <t>Boskouterstraat, Boutersem, Boutersem</t>
  </si>
  <si>
    <t>TOWLB-CAB-LG-LTPPL-R,TOWLB-DOB-LG-CALM</t>
  </si>
  <si>
    <t>10177513-10227654</t>
  </si>
  <si>
    <t>Tyedmers</t>
  </si>
  <si>
    <t>EU-42286</t>
  </si>
  <si>
    <t>2026-05-27 12:23:25</t>
  </si>
  <si>
    <t>Segeberger Chaussee 203 Eingang, vorne von der Hauptstraße, Norderstedt, Norderstedt</t>
  </si>
  <si>
    <t>BALLAST-SUM-CSTCANDY,TEATWL-MD-CCOOL,TEATWL-MD-SQCLEAN</t>
  </si>
  <si>
    <t>10209112-10259253</t>
  </si>
  <si>
    <t>Renate</t>
  </si>
  <si>
    <t>Hauf</t>
  </si>
  <si>
    <t>EU-42722</t>
  </si>
  <si>
    <t>2026-05-28 05:10:41</t>
  </si>
  <si>
    <t>Zum Wiesengrund 9, Hütschenhausen, Hütschenhausen</t>
  </si>
  <si>
    <t>PICNIC-CAB-XL-NAVY,TOWLB-SUM-XL-COLAGN,TOWLB-SUM-XL-CSTCANDY</t>
  </si>
  <si>
    <t>10211574-10261759</t>
  </si>
  <si>
    <t>STEFAN</t>
  </si>
  <si>
    <t>BERNHARDT</t>
  </si>
  <si>
    <t>EU-42749</t>
  </si>
  <si>
    <t>2026-05-28 05:30:40</t>
  </si>
  <si>
    <t>Nebeniusstraße 24, Karlsruhe, Karlsruhe</t>
  </si>
  <si>
    <t>PICNIC-DES-XL-BANARAM</t>
  </si>
  <si>
    <t>10209640-10259807</t>
  </si>
  <si>
    <t>Camille</t>
  </si>
  <si>
    <t>DELEAGE</t>
  </si>
  <si>
    <t>EU-42731</t>
  </si>
  <si>
    <t>2026-05-28 05:36:26</t>
  </si>
  <si>
    <t>66 Chemin de la  Rouquette, Ollioules, Ollioules</t>
  </si>
  <si>
    <t>COOL-CAB-LTGRY-R,COOL-CAB-NAVY-R</t>
  </si>
  <si>
    <t>10209905-10260084</t>
  </si>
  <si>
    <t>Nicole</t>
  </si>
  <si>
    <t>Gießler</t>
  </si>
  <si>
    <t>EU-42729</t>
  </si>
  <si>
    <t>2026-05-28 05:37:30</t>
  </si>
  <si>
    <t>Am Dachsberg 4, Rückersdorf, Rückersdorf</t>
  </si>
  <si>
    <t>TOWLB-DES-XL-BLUSPRIT</t>
  </si>
  <si>
    <t>10210778-10260962</t>
  </si>
  <si>
    <t>Magdalena</t>
  </si>
  <si>
    <t>Huhn</t>
  </si>
  <si>
    <t>EU-42744</t>
  </si>
  <si>
    <t>2026-05-28 05:38:15</t>
  </si>
  <si>
    <t>Ludwig-Jahn-Str 10, Lauter-Bernsbach, Lauter-Bernsbach</t>
  </si>
  <si>
    <t>08315</t>
  </si>
  <si>
    <t>TOWLB-SUM-LG-SANDSEA</t>
  </si>
  <si>
    <t>10209111-10259252</t>
  </si>
  <si>
    <t>Ciara</t>
  </si>
  <si>
    <t>Rea</t>
  </si>
  <si>
    <t>EU-42720</t>
  </si>
  <si>
    <t>2026-05-28 05:41:06</t>
  </si>
  <si>
    <t>Ballycronnigan, Kilrane, Rosslare hbr, Wexford</t>
  </si>
  <si>
    <t>Y35 Y4D9</t>
  </si>
  <si>
    <t>TOWLB-DES-LG-BLUSKY</t>
  </si>
  <si>
    <t>10209113-10259254</t>
  </si>
  <si>
    <t>Ilona</t>
  </si>
  <si>
    <t>Mąkowska</t>
  </si>
  <si>
    <t>EU-42723</t>
  </si>
  <si>
    <t>2026-05-28 05:41:54</t>
  </si>
  <si>
    <t>Probostwo 17a/24, Lublin, Lublin</t>
  </si>
  <si>
    <t>20-089</t>
  </si>
  <si>
    <t>Poland</t>
  </si>
  <si>
    <t>TOWLB-CAB-XL-YELL-R</t>
  </si>
  <si>
    <t>10209117-10259258</t>
  </si>
  <si>
    <t>Alvina</t>
  </si>
  <si>
    <t>Emringer</t>
  </si>
  <si>
    <t>EU-42725</t>
  </si>
  <si>
    <t>2026-05-28 05:42:08</t>
  </si>
  <si>
    <t>28 Rue de Leybardie, Bordeaux, Bordeaux</t>
  </si>
  <si>
    <t>PP-TOWLB-CAB-XL-6SETI</t>
  </si>
  <si>
    <t>10211724-10261908</t>
  </si>
  <si>
    <t>Ella</t>
  </si>
  <si>
    <t>Maria Goold</t>
  </si>
  <si>
    <t>EU-42752</t>
  </si>
  <si>
    <t>2026-05-28 05:51:10</t>
  </si>
  <si>
    <t>Mashanaglass, Macroom, Cork</t>
  </si>
  <si>
    <t>P12 KX44</t>
  </si>
  <si>
    <t>BAGDRY-MD-NAVY,PICNIC-DES-XL-CANDSTR,PP-TOWLB-CAB-XL-4SETL</t>
  </si>
  <si>
    <t>10210523-10260706</t>
  </si>
  <si>
    <t>Krauß</t>
  </si>
  <si>
    <t>EU-42743</t>
  </si>
  <si>
    <t>2026-05-28 05:55:28</t>
  </si>
  <si>
    <t>Weiß - Straße 3, Altenkirchen, Altenkirchen</t>
  </si>
  <si>
    <t>PONCHK-KID-SM-TURTROP,TOWLB-DES-LG-GRECSHR,TOWLB-DES-LG-PNKPARA,TOWLB-KID-LG-JELLY</t>
  </si>
  <si>
    <t>10209109-10259250</t>
  </si>
  <si>
    <t>NR Rubber Products Ltd</t>
  </si>
  <si>
    <t>Hand</t>
  </si>
  <si>
    <t>EU-42719</t>
  </si>
  <si>
    <t>2026-05-28 06:02:45</t>
  </si>
  <si>
    <t>Chapel Rd, Dromiskin, Dundalk, Louth</t>
  </si>
  <si>
    <t>A91 TX61</t>
  </si>
  <si>
    <t>PONCHK-KID-SM-JELLY,TOWLB-DES-LG-SWTESC,TOWLB-DES-LG-WTRSUG,TOWLB-DES-LG-WYWH,TOWLB-KID-LG-JELLY,TOWLB-SUM-LG-TUTFRU</t>
  </si>
  <si>
    <t>10212170-10262354</t>
  </si>
  <si>
    <t>Nesrin</t>
  </si>
  <si>
    <t>Nazlieva</t>
  </si>
  <si>
    <t>EU-42753</t>
  </si>
  <si>
    <t>2026-05-28 06:05:05</t>
  </si>
  <si>
    <t>Schweizer Straße 42, Ap52, Frankfurt am Main, Frankfurt am Main</t>
  </si>
  <si>
    <t>BAGDRY-MD-NAVY,BAGDRY-XS-NAVY,TOWLB-CAB-XL-NAVY-R</t>
  </si>
  <si>
    <t>10210139-10260320</t>
  </si>
  <si>
    <t>Ester</t>
  </si>
  <si>
    <t>Coll Sole</t>
  </si>
  <si>
    <t>EU-42730</t>
  </si>
  <si>
    <t>2026-05-28 06:07:06</t>
  </si>
  <si>
    <t>Carrer de la Reina Victòria 14, 1, Barcelona, Barcelona</t>
  </si>
  <si>
    <t>08021</t>
  </si>
  <si>
    <t>TOWLB-CAB-XL-BLACK-R,TOWLB-CAB-XL-KHAKI-R,TOWLB-CAB-XL-LTGRY-R,TOWLB-CAB-XL-NAVY-R</t>
  </si>
  <si>
    <t>10210141-10260322</t>
  </si>
  <si>
    <t>Barbara</t>
  </si>
  <si>
    <t>Müller</t>
  </si>
  <si>
    <t>EU-42735</t>
  </si>
  <si>
    <t>2026-05-28 06:08:48</t>
  </si>
  <si>
    <t>Moosstraße 77A, Freising, Freising</t>
  </si>
  <si>
    <t>10204364-10254430</t>
  </si>
  <si>
    <t>Chez Ginette</t>
  </si>
  <si>
    <t>Fanny</t>
  </si>
  <si>
    <t>Jezequel</t>
  </si>
  <si>
    <t>EUWS-3163</t>
  </si>
  <si>
    <t>2026-05-28 06:21:57</t>
  </si>
  <si>
    <t>Rond-Point du Goëlo, Paimpol, Paimpol</t>
  </si>
  <si>
    <t>PONCHA-DES-LG-IBZAGLW,PONCHA-DES-MD-IBZAGLW,PONCHA-SUM-LG-LAZRIV,PONCHA-SUM-MD-LAZRIV,TOWLB-DES-XL-MELLOW</t>
  </si>
  <si>
    <t>10208010-10258108</t>
  </si>
  <si>
    <t>Gabriele</t>
  </si>
  <si>
    <t>Kraemer</t>
  </si>
  <si>
    <t>EU-42702</t>
  </si>
  <si>
    <t>2026-05-28 10:17:50</t>
  </si>
  <si>
    <t>Josef-Mohr-Weg 69, München, München</t>
  </si>
  <si>
    <t>TOWLB-DOB-LG-CALM,TOWLB-SUM-XL-COLAGN</t>
  </si>
  <si>
    <t>10213160-10263368</t>
  </si>
  <si>
    <t>Amanda</t>
  </si>
  <si>
    <t>Gourbault</t>
  </si>
  <si>
    <t>EU-42764</t>
  </si>
  <si>
    <t>2026-05-28 10:59:01</t>
  </si>
  <si>
    <t>101 Ave de lAlouette, Mérignac, Mérignac</t>
  </si>
  <si>
    <t>BAGDRY-XS-WAVYBBY,PICNIC-DES-XL-GRCSHR,PONCHK-KID-SM-TURTROP,TOWLB-DES-LG-GRECSHR,TOWLB-DES-LG-SWTESC,TOWLB-DES-LG-TROPTRT,TOWLB-KID-LG-BUILDBCH,TOWLH-CBH-SM-FOAM</t>
  </si>
  <si>
    <t>10208334-10258442</t>
  </si>
  <si>
    <t>Yacht</t>
  </si>
  <si>
    <t>solutions</t>
  </si>
  <si>
    <t>EUWS-3150</t>
  </si>
  <si>
    <t>2026-05-28 11:01:39</t>
  </si>
  <si>
    <t>2 ter rue de Chante Alouette, Ambares et Lagrave, Ambares et Lagrave</t>
  </si>
  <si>
    <t>TOWLB-CAB-XL-BLUE-R</t>
  </si>
  <si>
    <t>10201694-10251985</t>
  </si>
  <si>
    <t>Les Ptits Tresors De Jade</t>
  </si>
  <si>
    <t>Dominique</t>
  </si>
  <si>
    <t>Madec</t>
  </si>
  <si>
    <t>EUWS-3123</t>
  </si>
  <si>
    <t>2026-05-28 11:25:46</t>
  </si>
  <si>
    <t>297 Rue Eugène Berest, Brest, Brest</t>
  </si>
  <si>
    <t xml:space="preserve">OWNPACK (x2), 16211 (x2) A-SCRUNCH-PAPER (x1) A-KRAFT-PAPER-TAPE (x2) </t>
  </si>
  <si>
    <t>BAGBCH-MD-PSTPIER,BAGBCH-MD-RSPROAD,BAGDRY-MD-MIAMI,BAGDRY-MD-NAVY,BAGDRY-XS-MIAMI,DOGTWL-DES-LG-CHKMTT,DOGTWL-DES-LG-DNBCLUB,DOGTWL-DES-LG-DOGDIN,DOGTWL-DES-LG-GOLONG,DOGTWL-DES-LG-PNKPAWS,DOGTWL-DES-LG-UNDWLK,DOGTWL-DES-MD-CHKMTT,DOGTWL-DES-MD-DNBCLUB,DOGTWL-DES-MD-DOGDIN,DOGTWL-DES-MD-GOLONG,DOGTWL-DES-MD-PNKPAWS,DOGTWL-DES-MD-UNDWLK,HAIRW-CAB-LTPNK-NB,HAIRW-CAB-LTPPL-NB,HAIRW-CAB-NAVY-NB,HAIRW-SUE-IBZAGLW,HAIRW-SUE-MIAMI,HAIRW-SUE-PNKPARA,HAIRW-SUE-PSTPIER,HAIRW-SUE-SURFCHK,HAIRW-WAF-CHRYBMB,PONCHA-SUM-LG-CSTCANDY,PONCHA-SUM-LG-LAZRIV,PONCHK-KID-MD-GVCLUB,PONCHK-KID-MD-INTOWILD,PONCHK-KID-SM-GVCLUB,PONCHK-KID-SM-INTOWILD,POS-DIS-SM-DOGTWL-EN-24,POS-DIS-SM-FULL-HAIRW-EN-24,TOWLB-DES-XL-KARMA,TOWLB-DES-XL-OCETRES,TOWLB-DES-XL-SWTESC,TOWLB-DES-XL-WYWH,TOWLB-KID-LG-GVCLUB,TOWLB-SUM-XL-MIAMI</t>
  </si>
  <si>
    <t>10201705-10251996</t>
  </si>
  <si>
    <t>Insolite</t>
  </si>
  <si>
    <t>Claudine</t>
  </si>
  <si>
    <t>Vidal</t>
  </si>
  <si>
    <t>EUWS-3161</t>
  </si>
  <si>
    <t>2026-05-28 11:34:33</t>
  </si>
  <si>
    <t>8 Rue dAntony, Verrieres le Buisson, Verrieres le Buisson</t>
  </si>
  <si>
    <t>BAGDRY-XS-HOTTROP,BAGDRY-XS-NAVY,BAGDRY-XS-WAVYBBY,BAGDRY-XS-WYWH,COOL-CAB-NAVY-R,COOL-DES-MIDNMOV,COOL-DES-SUNSRUN,PICNIC-DES-LG-BRGTSIDE,PICNIC-DES-LG-STRIPLIFE,TEATWL-MD-DINPRTY,TEATWL-MD-PEAPOD,TOWLB-DES-XL-BLUSPRIT</t>
  </si>
  <si>
    <t>10213719-10263944</t>
  </si>
  <si>
    <t>Kathleen</t>
  </si>
  <si>
    <t>Salmon</t>
  </si>
  <si>
    <t>EU-42777</t>
  </si>
  <si>
    <t>2026-05-28 12:08:17</t>
  </si>
  <si>
    <t>32a Rue Des Carrieres, Luxembourg, Luxembourg</t>
  </si>
  <si>
    <t>TOWLB-CAB-XL-BLUE-R,TOWLB-CAB-XL-GREEN-R,TOWLB-CAB-XL-RED-R,TOWLB-CAB-XL-YELL-R</t>
  </si>
  <si>
    <t>10213718-10263943</t>
  </si>
  <si>
    <t>Silvia</t>
  </si>
  <si>
    <t>EU-42778</t>
  </si>
  <si>
    <t>2026-05-28 12:08:52</t>
  </si>
  <si>
    <t>Wilhelmstraße 8B, Friedrichsdorf, Friedrichsdorf</t>
  </si>
  <si>
    <t>TOWLB-CAB-XL-LTPNK-R</t>
  </si>
  <si>
    <t>10213451-10263664</t>
  </si>
  <si>
    <t>CASSÀ DE LA SELVA</t>
  </si>
  <si>
    <t>ARANTXA</t>
  </si>
  <si>
    <t>PRATS PALACIOS</t>
  </si>
  <si>
    <t>EU-42775</t>
  </si>
  <si>
    <t>2026-05-28 12:10:17</t>
  </si>
  <si>
    <t>Carrer del Germà Agustí, Cassà de la Selva, Girona</t>
  </si>
  <si>
    <t>TOWLB-CAB-LG-RED-R,TOWLB-CAB-LG-YELL-R</t>
  </si>
  <si>
    <t>10213440-10263653</t>
  </si>
  <si>
    <t>Argauer</t>
  </si>
  <si>
    <t>Tobias</t>
  </si>
  <si>
    <t>EU-42770</t>
  </si>
  <si>
    <t>2026-05-28 12:11:17</t>
  </si>
  <si>
    <t>Lincolnstrasse 11, München, München</t>
  </si>
  <si>
    <t>TOWLB-DES-XL-ALOHGLW,TOWLB-SUM-XL-SANDSEA</t>
  </si>
  <si>
    <t>10213448-10263661</t>
  </si>
  <si>
    <t>Breslin</t>
  </si>
  <si>
    <t>EU-42773</t>
  </si>
  <si>
    <t>2026-05-28 12:12:26</t>
  </si>
  <si>
    <t>Runagry, Knockmore, Ballina, Mayo</t>
  </si>
  <si>
    <t>F26 W0D0</t>
  </si>
  <si>
    <t>HAIRW-SUE-OCETRES,TOWLB-DES-XL-GRECSHR</t>
  </si>
  <si>
    <t>10213452-10263665</t>
  </si>
  <si>
    <t>Rosaleen</t>
  </si>
  <si>
    <t>Dunne</t>
  </si>
  <si>
    <t>EU-42776</t>
  </si>
  <si>
    <t>2026-05-28 12:13:19</t>
  </si>
  <si>
    <t>Rathduff, Balla, Castlebar, Mayo</t>
  </si>
  <si>
    <t>F23 YW94</t>
  </si>
  <si>
    <t>BAGF-SUM-MD-CSTCANDY,TOWLB-SUM-XL-CSTCANDY</t>
  </si>
  <si>
    <t>10084401-10133046</t>
  </si>
  <si>
    <t>Esprit de Famille</t>
  </si>
  <si>
    <t>faye</t>
  </si>
  <si>
    <t>philippe</t>
  </si>
  <si>
    <t>EUWS-3127</t>
  </si>
  <si>
    <t>2026-05-29 04:25:07</t>
  </si>
  <si>
    <t>86 route de lorient, Quimperlé, Quimperlé</t>
  </si>
  <si>
    <t xml:space="preserve">16211 (x1), 16212 (x1), OWNPACK (x2) A-SCRUNCH-PAPER (x1) A-KRAFT-PAPER-TAPE (x2) </t>
  </si>
  <si>
    <t>BAGF-CAB-MD-LTPNK,BAGF-CAB-MD-NAVY,BAGF-DES-MD-WAVYBBY,BAGF-SUM-MD-CSTCANDY,HAIRW-CAB-LTPNK-NB,HAIRW-CAB-NAVY-NB,HAIRW-SUE-IBZAGLW,HAIRW-SUE-MIAMI,HAIRW-SUE-OCETRES,HAIRW-SUE-PNKPARA,POS-DIS-LG-FULL-TOWLB-EN-24,POS-DIS-SM-FULL-HAIRW-EN-24,TOWLB-CAB-LG-KHAKI-R,TOWLB-CAB-LG-NAVY-R,TOWLB-CAB-XL-KHAKI-R,TOWLB-CAB-XL-NAVY-R,TOWLB-DES-XL-OCETRES,TOWLB-DES-XL-RSPROAD,TOWLB-DES-XL-TANTIDE,TOWLB-SUM-LG-MIAMI,TOWLB-SUM-XL-CSTCANDY,TOWLB-SUM-XL-MIAMI,TOWLB-SUM-XL-OCEAN,TOWLB-SUM-XL-TUTFRU</t>
  </si>
  <si>
    <t>10145812-10195591</t>
  </si>
  <si>
    <t>Hidden Valley Resort</t>
  </si>
  <si>
    <t>Molly</t>
  </si>
  <si>
    <t>Williams</t>
  </si>
  <si>
    <t>EUWS-3141</t>
  </si>
  <si>
    <t>2026-05-29 04:29:13</t>
  </si>
  <si>
    <t>Hidden Valley Resort, Lower St, Rathdrum, Wicklow</t>
  </si>
  <si>
    <t>A67 XY56</t>
  </si>
  <si>
    <t>BAGF-SUM-MD-COLAGN,BAGF-SUM-MD-MIAMI,PONCHA-SUM-LG-LAZRIV,PONCHA-SUM-MD-CSTCANDY,PONCHK-KID-SM-BUBDRM,PONCHK-SUM-MD-CSTCANDY,TOWLB-DES-LG-SUNSPL,TOWLB-DES-LG-WTRSUG,TOWLB-SUM-LG-COLAGN,TOWLB-SUM-LG-MIAMI</t>
  </si>
  <si>
    <t>10204435-10254503</t>
  </si>
  <si>
    <t>Amazon - HAJ1</t>
  </si>
  <si>
    <t>Dock &amp; Bay Ltd</t>
  </si>
  <si>
    <t>FBA15LTDL76Z</t>
  </si>
  <si>
    <t>2026-05-29 04:38:07</t>
  </si>
  <si>
    <t>Zur Alten Molkerei 1, Helmstedt</t>
  </si>
  <si>
    <t xml:space="preserve">OWNPACK (x9)   </t>
  </si>
  <si>
    <t>TOWLB-CAB-LG-NAVY-R,TOWLB-CAB-LG-PINK-R,TOWLB-CAB-XL-LTPNK-R,TOWLB-CAB-XL-NAVY-R,TOWLB-SUM-MD-UNICN,TOWLB-SUM-XL-UNICN-R</t>
  </si>
  <si>
    <t>10213161-10263369</t>
  </si>
  <si>
    <t>Anja Brinkmann / Lektorat</t>
  </si>
  <si>
    <t>Handarbeiten</t>
  </si>
  <si>
    <t>306-1243442-2923558</t>
  </si>
  <si>
    <t>2026-05-29 05:44:07</t>
  </si>
  <si>
    <t>Edition Michael Fischer Gmbh, Kistlerhofstraße 70 Gebäude, 60/160, München, München</t>
  </si>
  <si>
    <t>TOWLB-DES-XL-MELLOW</t>
  </si>
  <si>
    <t>10217277-10267529</t>
  </si>
  <si>
    <t>JÉRÉMY</t>
  </si>
  <si>
    <t>GAULT</t>
  </si>
  <si>
    <t>EU-42827</t>
  </si>
  <si>
    <t>2026-05-29 05:55:11</t>
  </si>
  <si>
    <t>39 RUE DE LA FORET, FAYE, FAYE</t>
  </si>
  <si>
    <t>TOWLB-DOB-XL-CALM</t>
  </si>
  <si>
    <t>10214520-10264758</t>
  </si>
  <si>
    <t>Pfeiffer</t>
  </si>
  <si>
    <t>EU-42787</t>
  </si>
  <si>
    <t>2026-05-29 05:58:13</t>
  </si>
  <si>
    <t>Heidestraße 3, Magdeburg, Magdeburg</t>
  </si>
  <si>
    <t>BAGDRY-XS-WAVYBBY,TOWLB-SUM-XL-MIAMI</t>
  </si>
  <si>
    <t>10216537-10266789</t>
  </si>
  <si>
    <t>Jacob</t>
  </si>
  <si>
    <t>Hellsten Vedel</t>
  </si>
  <si>
    <t>EU-42821</t>
  </si>
  <si>
    <t>2026-05-29 06:08:14</t>
  </si>
  <si>
    <t>Høghus 62, Odder, Odder</t>
  </si>
  <si>
    <t>PP-TOWLB-CAB-XL-4SETO</t>
  </si>
  <si>
    <t>10215475-10265723</t>
  </si>
  <si>
    <t>C/O Elin</t>
  </si>
  <si>
    <t>Price</t>
  </si>
  <si>
    <t>EU-42799</t>
  </si>
  <si>
    <t>2026-05-29 06:08:28</t>
  </si>
  <si>
    <t>1303 Ave Des Alpages, Les Houches, Les Houches</t>
  </si>
  <si>
    <t>PICNIC-DES-XL-STRIPLIFE,PP-TOWLB-CAB-XL-4SETO,TOWLB-DES-XL-BLUSPRIT,TOWLB-DES-XL-LEMWAV</t>
  </si>
  <si>
    <t>10215476-10265724</t>
  </si>
  <si>
    <t>HAMEL</t>
  </si>
  <si>
    <t>EU-42806</t>
  </si>
  <si>
    <t>2026-05-29 06:24:13</t>
  </si>
  <si>
    <t>35 Rue des Bisquines, Courseulles-sur-Mer, Courseulles-sur-Mer</t>
  </si>
  <si>
    <t>BAGF-SUM-MD-CSTCANDY,BALLAST-SUM-CSTCANDY,TOWLB-SUM-XL-CSTCANDY</t>
  </si>
  <si>
    <t>10216030-10266281</t>
  </si>
  <si>
    <t>Michael</t>
  </si>
  <si>
    <t>Wondré</t>
  </si>
  <si>
    <t>EU-42814</t>
  </si>
  <si>
    <t>2026-05-29 06:25:13</t>
  </si>
  <si>
    <t>Destouchesstraße 42, 1 Stock Rechts, München, München</t>
  </si>
  <si>
    <t>BALLAST-SUM-CSTCANDY,BALLAST-SUM-MIAMI,TOWLB-SUM-XL-CSTCANDY,TOWLB-SUM-XL-MIAMI</t>
  </si>
  <si>
    <t>10216538-10266790</t>
  </si>
  <si>
    <t>Karin</t>
  </si>
  <si>
    <t>Søgaard</t>
  </si>
  <si>
    <t>EU-42820</t>
  </si>
  <si>
    <t>2026-05-29 06:27:37</t>
  </si>
  <si>
    <t>Holtug Strandvej 10, Store Heddinge, Store Heddinge</t>
  </si>
  <si>
    <t>10164192-10214211</t>
  </si>
  <si>
    <t>Hadrien Boulogne</t>
  </si>
  <si>
    <t>Noemi</t>
  </si>
  <si>
    <t>Nolleau</t>
  </si>
  <si>
    <t>EUWS-3155</t>
  </si>
  <si>
    <t>2026-05-29 07:56:43</t>
  </si>
  <si>
    <t>10 Blvd Jean Jaurès, Boulogne-Billancourt, Boulogne-Billancourt</t>
  </si>
  <si>
    <t xml:space="preserve">16211 (x1), 16210 (x1) A-SCRUNCH-PAPER (x1) A-KRAFT-PAPER-TAPE (x2) </t>
  </si>
  <si>
    <t>BAGDRY-XS-HOTTROP,BAGDRY-XS-MIAMI,BAGDRY-XS-NAVY,TOWLB-CAB-XL-KHAKI-R,TOWLB-CAB-XL-LTBGE-R,TOWLB-CAB-XL-LTBLU-R,TOWLB-CAB-XL-NAVY-R,TOWLB-DES-LG-PNKPARA,TOWLB-SUM-XL-OCEAN,TOWLB-SUM-XL-TUTFRU</t>
  </si>
  <si>
    <t>10217535-10267787</t>
  </si>
  <si>
    <t>EU-42834</t>
  </si>
  <si>
    <t>2026-05-29 08:46:37</t>
  </si>
  <si>
    <t>Ludwigkirchstr 10a, Berlin, Berlin</t>
  </si>
  <si>
    <t>TOWLB-SUM-XL-UNICN-R</t>
  </si>
  <si>
    <t>10217981-10268237</t>
  </si>
  <si>
    <t>Emilie</t>
  </si>
  <si>
    <t>Suere</t>
  </si>
  <si>
    <t>EU-42842</t>
  </si>
  <si>
    <t>2026-05-29 09:10:39</t>
  </si>
  <si>
    <t>8 Blvd Georges, Toulon, Toulon</t>
  </si>
  <si>
    <t>10204344-10254410</t>
  </si>
  <si>
    <t>Gebr. LOTTER KG</t>
  </si>
  <si>
    <t>Frau</t>
  </si>
  <si>
    <t>Binder</t>
  </si>
  <si>
    <t>EUWS-3162</t>
  </si>
  <si>
    <t>2026-05-29 09:37:46</t>
  </si>
  <si>
    <t>Abt63, Waldaecker 15, Ludwigsburg, Ludwigsburg</t>
  </si>
  <si>
    <t>BALLAST-CAB-NAVY,BALLAST-SUM-CSTCANDY,BALLAST-SUM-MIAMI,HAIRW-CAB-LTPNK-NB,HAIRW-CAB-NAVY-NB,HAIRW-SUE-MIAMI,HAIRW-SUM-UNICN-NB,PONCHA-CAB-LG-LTPNK-NS,PONCHA-CAB-MD-LTPNK-NS,PONCHA-SUM-LG-CSTCANDY,PONCHA-SUM-MD-CSTCANDY,PONCHA-SUM-MD-LAZRIV,TOWLB-CAB-XL-KHAKI-R,TOWLB-CAB-XL-NAVY-R,TOWLB-CAB-XL-PINK-R,TOWLB-SUM-LG-COLAGN,TOWLB-SUM-LG-MIAMI,TOWLB-SUM-XL-COLAGN,TOWLB-SUM-XL-CSTCANDY,TOWLB-SUM-XL-MIAMI</t>
  </si>
  <si>
    <t>10218621-10268891</t>
  </si>
  <si>
    <t>Stefanie</t>
  </si>
  <si>
    <t>EU-42849</t>
  </si>
  <si>
    <t>2026-05-29 11:12:26</t>
  </si>
  <si>
    <t>Olpener Str 1061, Köln, Köln</t>
  </si>
  <si>
    <t>TOWLB-DES-LG-BLUSPRIT</t>
  </si>
  <si>
    <t>10218276-10268534</t>
  </si>
  <si>
    <t>Delphine</t>
  </si>
  <si>
    <t>Lesaffre</t>
  </si>
  <si>
    <t>EU-42844</t>
  </si>
  <si>
    <t>2026-05-29 11:14:24</t>
  </si>
  <si>
    <t>Basses Estrées, Flobecq, Flobecq</t>
  </si>
  <si>
    <t>TOWLB-DES-XL-TANTIDE,TOWLB-KID-LG-KARMCHAM</t>
  </si>
  <si>
    <t>10214654-10264896</t>
  </si>
  <si>
    <t>BATHROOM GRAFITTI</t>
  </si>
  <si>
    <t>Koukina</t>
  </si>
  <si>
    <t>AZUELOS</t>
  </si>
  <si>
    <t>EUWS-3139</t>
  </si>
  <si>
    <t>2026-06-01 04:41:02</t>
  </si>
  <si>
    <t>52 rue dAntibes, Cannes, Cannes</t>
  </si>
  <si>
    <t>06400</t>
  </si>
  <si>
    <t>TOWLB-CAB-XL-KHAKI-R,TOWLB-CAB-XL-LTBLU-R,TOWLB-DES-XL-KARMA,TOWLB-DES-XL-MELLOW,TOWLB-DES-XL-SWTESC,TOWLB-DES-XL-TANTIDE,TOWLB-DES-XL-WYWH,TOWLB-DOB-XL-CALM,TOWLB-SUM-XL-OCEAN,TOWLB-SUM-XL-TUTFRU,TOWLB-SUM-XL-UNICN-R</t>
  </si>
  <si>
    <t>10219686-10269985</t>
  </si>
  <si>
    <t>MICHAEL</t>
  </si>
  <si>
    <t>NITZ</t>
  </si>
  <si>
    <t>EU-42860</t>
  </si>
  <si>
    <t>2026-06-01 04:45:15</t>
  </si>
  <si>
    <t>Beim Grönacker 19, Nürnberg, Nürnberg</t>
  </si>
  <si>
    <t>TOWLB-CAB-XL-BLUE-R,TOWLB-CAB-XL-GREEN-R,TOWLB-CAB-XL-NAVY-R,TOWLB-DES-XL-IBZAGLW</t>
  </si>
  <si>
    <t>10219135-10269424</t>
  </si>
  <si>
    <t>RODOLPHE</t>
  </si>
  <si>
    <t>STACKLER</t>
  </si>
  <si>
    <t>EU-42854</t>
  </si>
  <si>
    <t>2026-06-01 04:47:00</t>
  </si>
  <si>
    <t>9 Rue Camille Méquillet, Colmar, Colmar</t>
  </si>
  <si>
    <t>BAGDRY-XS-NAVY,BAGDRY-XS-WAVYBBY,BAGDRY-XS-WYWH,BAGF-DES-MD-BANARAM,BAGF-DES-MD-WYWH</t>
  </si>
  <si>
    <t>10219405-10269701</t>
  </si>
  <si>
    <t>Morrissey</t>
  </si>
  <si>
    <t>EU-42857</t>
  </si>
  <si>
    <t>2026-06-01 04:48:21</t>
  </si>
  <si>
    <t>Coshlea, Galbally, Co. Limerick, Limerick</t>
  </si>
  <si>
    <t>E34 E627</t>
  </si>
  <si>
    <t>BAGDRY-XS-WAVYBBY,BAGF-DES-MD-CHECKMT,TOWLB-DES-XL-ALOHGLW</t>
  </si>
  <si>
    <t>10219919-10270234</t>
  </si>
  <si>
    <t>REBECA</t>
  </si>
  <si>
    <t>CANO CASTAÑO</t>
  </si>
  <si>
    <t>EU-42861</t>
  </si>
  <si>
    <t>2026-06-01 04:50:11</t>
  </si>
  <si>
    <t>CALLE FERROCARRIL 27 BAJO A, Valladolid, Valladolid</t>
  </si>
  <si>
    <t>BALLAST-SUM-CSTCANDY,TEATWL-MD-WINEDINE,TOWLB-SUM-XL-CSTCANDY</t>
  </si>
  <si>
    <t>10219402-10269698</t>
  </si>
  <si>
    <t>Carolin</t>
  </si>
  <si>
    <t>Deimann</t>
  </si>
  <si>
    <t>EU-42856</t>
  </si>
  <si>
    <t>2026-06-01 04:50:15</t>
  </si>
  <si>
    <t>Alte Handelsstraße 5, Hotel Deimann, Schmallenberg-Winkhausen, Schmallenberg-Winkhausen</t>
  </si>
  <si>
    <t>PONCHK-SUM-MD-CSTCANDY,TOWLB-CAB-LG-BLUE-R,TOWLB-CAB-LG-NAVY-R,TOWLB-CAB-LG-PINK-R,TOWLB-CAB-LG-YELL-R,TOWLB-SUM-LG-RAINB-R,TOWLB-SUM-LG-UNICN-R</t>
  </si>
  <si>
    <t>10219918-10270233</t>
  </si>
  <si>
    <t>Christoph</t>
  </si>
  <si>
    <t>Haar</t>
  </si>
  <si>
    <t>EU-42862</t>
  </si>
  <si>
    <t>2026-06-01 04:51:12</t>
  </si>
  <si>
    <t>Am Sonnenhang 3, Hohenschäftlarn, Hohenschäftlarn</t>
  </si>
  <si>
    <t>TOWLB-CAB-XL-LTPNK-R,TOWLB-CAB-XL-NAVY-R,TOWLB-SUM-XL-MIAMI</t>
  </si>
  <si>
    <t>10221018-10271354</t>
  </si>
  <si>
    <t>CATHY</t>
  </si>
  <si>
    <t>GAILLARD SUPPLICE</t>
  </si>
  <si>
    <t>EU-42875</t>
  </si>
  <si>
    <t>2026-06-01 04:52:16</t>
  </si>
  <si>
    <t>2 rue de Flandres, Douvres la Delivrande, Douvres la Delivrande</t>
  </si>
  <si>
    <t>PONCHA-SUM-LG-UNICN-NS,PONCHA-SUM-MD-CSTCANDY,PONCHK-CAB-MD-BLUE-NS</t>
  </si>
  <si>
    <t>10220464-10270792</t>
  </si>
  <si>
    <t>Lynda</t>
  </si>
  <si>
    <t>Elliott</t>
  </si>
  <si>
    <t>EU-42868</t>
  </si>
  <si>
    <t>2026-06-01 04:55:24</t>
  </si>
  <si>
    <t>Creevin, Mountcharles, Donegal</t>
  </si>
  <si>
    <t>F94 XY5H</t>
  </si>
  <si>
    <t>HAIRW-CAB-LTPNK-NB,HAIRW-CAB-NAVY-NB,TOWLB-CAB-XL-LTPNK-R,TOWLB-CAB-XL-NAVY-R</t>
  </si>
  <si>
    <t>10220748-10271084</t>
  </si>
  <si>
    <t>Almut</t>
  </si>
  <si>
    <t>Mallon</t>
  </si>
  <si>
    <t>EU-42873</t>
  </si>
  <si>
    <t>2026-06-01 04:58:03</t>
  </si>
  <si>
    <t>Brunnenweg 3, Preetz, Preetz</t>
  </si>
  <si>
    <t>TOWLB-CAB-MD-LTBLU,TOWLB-CAB-MD-LTPNK,TOWLB-CAB-MD-NAVY,TOWLB-SUM-LG-CSTCANDY,TOWLB-SUM-LG-TUTFRU,TOWLB-SUM-MD-UNICN</t>
  </si>
  <si>
    <t>10221015-10271351</t>
  </si>
  <si>
    <t>Hannah</t>
  </si>
  <si>
    <t>Murphy</t>
  </si>
  <si>
    <t>EU-42876</t>
  </si>
  <si>
    <t>2026-06-01 05:01:36</t>
  </si>
  <si>
    <t>65 Vicars Glebe Coachford Cork, Cork, Cork</t>
  </si>
  <si>
    <t>P12 F253</t>
  </si>
  <si>
    <t>TOWLH-CLA-SM-WHITE,TOWLH-CLB-LG-PEPPNCH</t>
  </si>
  <si>
    <t>10221286-10271622</t>
  </si>
  <si>
    <t>Tsvetelina</t>
  </si>
  <si>
    <t>Nikolova</t>
  </si>
  <si>
    <t>EU-42879</t>
  </si>
  <si>
    <t>2026-06-01 05:07:31</t>
  </si>
  <si>
    <t>Breite Str 72, Karlsruhe, Karlsruhe</t>
  </si>
  <si>
    <t>PICNIC-DES-LG-MARGMAD,TOWLB-CAB-LG-NAVY-R,TOWLB-CAB-LG-ORANG-R</t>
  </si>
  <si>
    <t>10221283-10271619</t>
  </si>
  <si>
    <t>Sabrina</t>
  </si>
  <si>
    <t>Meinel</t>
  </si>
  <si>
    <t>EU-42871</t>
  </si>
  <si>
    <t>2026-06-01 05:10:05</t>
  </si>
  <si>
    <t>Eichenweg 5, Weischlitz, Weischlitz</t>
  </si>
  <si>
    <t>08538</t>
  </si>
  <si>
    <t>HAIRW-SUE-PNKPARA,PONCHA-CAB-LG-BLUE-NS,TEATWL-MD-SHRIMP,TOWLB-DES-LG-PNKPARA</t>
  </si>
  <si>
    <t>10221287-10271623</t>
  </si>
  <si>
    <t>Diana</t>
  </si>
  <si>
    <t>Carvalho e Ferreira</t>
  </si>
  <si>
    <t>EU-42881</t>
  </si>
  <si>
    <t>2026-06-01 05:12:33</t>
  </si>
  <si>
    <t>4 The Dockyard, South Dock St, Ringsend, Dublin, Dublin</t>
  </si>
  <si>
    <t>D04 X6P5</t>
  </si>
  <si>
    <t>TOWLB-COLLAB-XL-UNO,TOWLB-DES-XL-KARMA,TOWLB-SUM-XL-RAINB-R</t>
  </si>
  <si>
    <t>10221024-10271360</t>
  </si>
  <si>
    <t>Raster</t>
  </si>
  <si>
    <t>EU-42878</t>
  </si>
  <si>
    <t>2026-06-01 05:14:14</t>
  </si>
  <si>
    <t>Peigertingerstr 28, Fürstenstein, Fürstenstein</t>
  </si>
  <si>
    <t>PONCHA-CAB-LG-LTPNK-NS,PONCHA-SUM-LG-LAZRIV,PONCHK-SUM-MD-UNICN-NS,TOWLB-DES-XL-BLUSPRIT,TOWLB-DES-XL-LEMWAV</t>
  </si>
  <si>
    <t>10221522-10271859</t>
  </si>
  <si>
    <t>Adah</t>
  </si>
  <si>
    <t>Lynch</t>
  </si>
  <si>
    <t>EU-42882</t>
  </si>
  <si>
    <t>2026-06-01 05:15:30</t>
  </si>
  <si>
    <t>14 St Annes Drive, Montenotte, Cork, Cork</t>
  </si>
  <si>
    <t>T23 WF6T</t>
  </si>
  <si>
    <t>TOWLB-CAB-XL-LTBLU-R,TOWLB-CAB-XL-LTPNK-R,TOWLB-CAB-XL-LTPPL-R</t>
  </si>
  <si>
    <t>10223141-10273479</t>
  </si>
  <si>
    <t>clodagh</t>
  </si>
  <si>
    <t>keohane</t>
  </si>
  <si>
    <t>EU-42902</t>
  </si>
  <si>
    <t>2026-06-01 05:34:00</t>
  </si>
  <si>
    <t>eastcliffe castle Rd, Blackrock, Cork, cork, Cork</t>
  </si>
  <si>
    <t>T12 RHD6</t>
  </si>
  <si>
    <t>PP-TOWLB-CAB-LG-6SET-BLUE</t>
  </si>
  <si>
    <t>10219138-10269427</t>
  </si>
  <si>
    <t>Vanessa da</t>
  </si>
  <si>
    <t>Cruz</t>
  </si>
  <si>
    <t>304-5866612-2657933</t>
  </si>
  <si>
    <t>2026-06-01 05:35:08</t>
  </si>
  <si>
    <t>Herrenbergstraße 22, Bühl, Bühl</t>
  </si>
  <si>
    <t>10221022-10271358</t>
  </si>
  <si>
    <t>Aleshia</t>
  </si>
  <si>
    <t>Upshur</t>
  </si>
  <si>
    <t>EU-42877</t>
  </si>
  <si>
    <t>2026-06-01 05:36:22</t>
  </si>
  <si>
    <t>St Wendeler Str, 19, Altenkirchen, Altenkirchen</t>
  </si>
  <si>
    <t>10224591-10274936</t>
  </si>
  <si>
    <t>Danilo</t>
  </si>
  <si>
    <t>Lucarelli</t>
  </si>
  <si>
    <t>EU-42932</t>
  </si>
  <si>
    <t>2026-06-01 05:37:12</t>
  </si>
  <si>
    <t>18, rue Principale, Reckange Mersch, Reckange Mersch</t>
  </si>
  <si>
    <t>10218871-10269156</t>
  </si>
  <si>
    <t>Claudia</t>
  </si>
  <si>
    <t>Zott</t>
  </si>
  <si>
    <t>EU-42850</t>
  </si>
  <si>
    <t>2026-06-01 05:38:08</t>
  </si>
  <si>
    <t>Am Bruckhaus 23, Waldshut-Tiengen, Waldshut-Tiengen</t>
  </si>
  <si>
    <t>PICNIC-DES-XL-CANDSTR</t>
  </si>
  <si>
    <t>10221931-10272268</t>
  </si>
  <si>
    <t>Clodagh</t>
  </si>
  <si>
    <t>meaney</t>
  </si>
  <si>
    <t>EU-42891</t>
  </si>
  <si>
    <t>2026-06-01 05:39:27</t>
  </si>
  <si>
    <t>28 the glen, Ballyneety, Limerick, Limerick</t>
  </si>
  <si>
    <t>V94 D7W2</t>
  </si>
  <si>
    <t>PICNIC-DES-XL-SORBET</t>
  </si>
  <si>
    <t>10219133-10269422</t>
  </si>
  <si>
    <t>Christine</t>
  </si>
  <si>
    <t>Elsner</t>
  </si>
  <si>
    <t>EU-42852</t>
  </si>
  <si>
    <t>2026-06-01 05:40:19</t>
  </si>
  <si>
    <t>Kastelbergweg 3, Emmendingen, Emmendingen</t>
  </si>
  <si>
    <t>10223638-10273979</t>
  </si>
  <si>
    <t>Kerstin</t>
  </si>
  <si>
    <t>Funk</t>
  </si>
  <si>
    <t>EU-42911</t>
  </si>
  <si>
    <t>2026-06-01 05:40:55</t>
  </si>
  <si>
    <t>Scheibbser Str 15, Rutesheim, Rutesheim</t>
  </si>
  <si>
    <t>10224136-10274480</t>
  </si>
  <si>
    <t>Schürmann</t>
  </si>
  <si>
    <t>305-5837120-6933927</t>
  </si>
  <si>
    <t>2026-06-01 05:41:45</t>
  </si>
  <si>
    <t>Am Eicken 2, Herscheid, Herscheid</t>
  </si>
  <si>
    <t>10224839-10275186</t>
  </si>
  <si>
    <t>SANDRA</t>
  </si>
  <si>
    <t>HANSMEIER</t>
  </si>
  <si>
    <t>EU-42935</t>
  </si>
  <si>
    <t>2026-06-01 05:42:18</t>
  </si>
  <si>
    <t>Am Alten Güterbahnhof 77, Köln, Köln</t>
  </si>
  <si>
    <t>10224362-10274707</t>
  </si>
  <si>
    <t>Julia</t>
  </si>
  <si>
    <t>Behr</t>
  </si>
  <si>
    <t>302-7436612-5492303</t>
  </si>
  <si>
    <t>2026-06-01 05:43:23</t>
  </si>
  <si>
    <t>Holschenkamp 3, Hattingen, Hattingen</t>
  </si>
  <si>
    <t>10219922-10270237</t>
  </si>
  <si>
    <t>Andreas</t>
  </si>
  <si>
    <t>Eckner</t>
  </si>
  <si>
    <t>EU-42865</t>
  </si>
  <si>
    <t>2026-06-01 05:44:05</t>
  </si>
  <si>
    <t>Elsa-Brändström-Str 11, Holzwickede, Holzwickede</t>
  </si>
  <si>
    <t>TOWLB-DES-XL-LEMWAV</t>
  </si>
  <si>
    <t>10221020-10271356</t>
  </si>
  <si>
    <t>valentina</t>
  </si>
  <si>
    <t>piazzera</t>
  </si>
  <si>
    <t>EU-42874</t>
  </si>
  <si>
    <t>2026-06-01 05:44:54</t>
  </si>
  <si>
    <t>Jan Den Haenstraat 42d, Amsterdam, Amsterdam</t>
  </si>
  <si>
    <t>1055 WH</t>
  </si>
  <si>
    <t>TOWLB-DES-LG-HOTTROP</t>
  </si>
  <si>
    <t>10223645-10273986</t>
  </si>
  <si>
    <t>Serena</t>
  </si>
  <si>
    <t>Grey</t>
  </si>
  <si>
    <t>EU-42915</t>
  </si>
  <si>
    <t>2026-06-01 05:45:55</t>
  </si>
  <si>
    <t>Boulevard Louis Schmidt 101, Brussels, Brussels</t>
  </si>
  <si>
    <t>TOWLF-ESS-XL-LTPPL</t>
  </si>
  <si>
    <t>10223136-10273474</t>
  </si>
  <si>
    <t>Leeann</t>
  </si>
  <si>
    <t>Kavanagh</t>
  </si>
  <si>
    <t>EU-42901</t>
  </si>
  <si>
    <t>2026-06-01 05:47:13</t>
  </si>
  <si>
    <t>Fourwinds The Lawn Cahore Point, Gorey Co Wexford Y25E429, Co. Wexford, Wexford</t>
  </si>
  <si>
    <t>Y25 E429</t>
  </si>
  <si>
    <t>TOWLB-DES-LG-SUNSPL</t>
  </si>
  <si>
    <t>10224838-10275185</t>
  </si>
  <si>
    <t>Lise</t>
  </si>
  <si>
    <t>Eeraerts</t>
  </si>
  <si>
    <t>EU-42934</t>
  </si>
  <si>
    <t>2026-06-01 05:49:00</t>
  </si>
  <si>
    <t>Papyruslaan 3, Willebroek, Willebroek</t>
  </si>
  <si>
    <t>TOWLB-SUM-XL-CSTCANDY</t>
  </si>
  <si>
    <t>10223640-10273981</t>
  </si>
  <si>
    <t>Viktoria</t>
  </si>
  <si>
    <t>Schenk</t>
  </si>
  <si>
    <t>EU-42910</t>
  </si>
  <si>
    <t>2026-06-01 05:49:53</t>
  </si>
  <si>
    <t>Feldermühle 1, Reichshof, Reichshof</t>
  </si>
  <si>
    <t>10222242-10272579</t>
  </si>
  <si>
    <t>Yeldan</t>
  </si>
  <si>
    <t>Ishimov</t>
  </si>
  <si>
    <t>EU-42892</t>
  </si>
  <si>
    <t>2026-06-01 05:50:37</t>
  </si>
  <si>
    <t>Shopogolic, GmbH, Mockauer Ring 15, DE4US288023, Leipzig, Saxony, Leipzig, Saxony</t>
  </si>
  <si>
    <t>04356</t>
  </si>
  <si>
    <t>TOWLB-SUM-LG-UNICN-R</t>
  </si>
  <si>
    <t>10221932-10272269</t>
  </si>
  <si>
    <t>Sabina</t>
  </si>
  <si>
    <t>Iłowska</t>
  </si>
  <si>
    <t>EU-42890</t>
  </si>
  <si>
    <t>2026-06-01 05:50:46</t>
  </si>
  <si>
    <t>Powstania Warszawskiego, 12, Kraków, Kraków</t>
  </si>
  <si>
    <t>31-541</t>
  </si>
  <si>
    <t>BAGF-DES-MD-BANARAM,PICNIC-DES-LG-BANARAM,PICNIC-DES-XL-BANARAM</t>
  </si>
  <si>
    <t>10219684-10269983</t>
  </si>
  <si>
    <t>Emma</t>
  </si>
  <si>
    <t>Wilson</t>
  </si>
  <si>
    <t>EU-42859</t>
  </si>
  <si>
    <t>2026-06-01 05:51:16</t>
  </si>
  <si>
    <t>Calle Guarino 12, Olvera, Cádiz</t>
  </si>
  <si>
    <t>10220465-10270793</t>
  </si>
  <si>
    <t>Fernanda</t>
  </si>
  <si>
    <t>Döbler</t>
  </si>
  <si>
    <t>EU-42870</t>
  </si>
  <si>
    <t>2026-06-01 05:51:57</t>
  </si>
  <si>
    <t>Kerschlacher Weg 7, Andechs, Andechs</t>
  </si>
  <si>
    <t>BALLAST-CAB-NAVY</t>
  </si>
  <si>
    <t>10221930-10272267</t>
  </si>
  <si>
    <t>Tracey</t>
  </si>
  <si>
    <t>Guthrie</t>
  </si>
  <si>
    <t>EU-42889</t>
  </si>
  <si>
    <t>2026-06-01 05:53:17</t>
  </si>
  <si>
    <t>Keelouges Old, Ballyvary, Castlebar, Mayo</t>
  </si>
  <si>
    <t>F23 X263</t>
  </si>
  <si>
    <t>10223133-10273471</t>
  </si>
  <si>
    <t>Madison</t>
  </si>
  <si>
    <t>Corman</t>
  </si>
  <si>
    <t>EU-42900</t>
  </si>
  <si>
    <t>2026-06-01 05:54:43</t>
  </si>
  <si>
    <t>Hauptstraße 16B, Oberstaufenbach, Oberstaufenbach</t>
  </si>
  <si>
    <t>PICNIC-DES-LG-MARGMAD,TOWLB-CAB-XL-LTPNK-R</t>
  </si>
  <si>
    <t>10221765-10272102</t>
  </si>
  <si>
    <t>Sofia</t>
  </si>
  <si>
    <t>Paskins</t>
  </si>
  <si>
    <t>EU-42887</t>
  </si>
  <si>
    <t>2026-06-01 05:55:20</t>
  </si>
  <si>
    <t>Vredenoord 142, Heiloo, Heiloo</t>
  </si>
  <si>
    <t>1852 WL</t>
  </si>
  <si>
    <t>BAGDRY-MD-MIAMI,BAGDRY-XS-NAVY,TOWLB-DES-XL-BLUSPRIT,TOWLB-SUM-XL-MIAMI</t>
  </si>
  <si>
    <t>10223384-10273723</t>
  </si>
  <si>
    <t>Maeve</t>
  </si>
  <si>
    <t>Coleman</t>
  </si>
  <si>
    <t>EU-42897</t>
  </si>
  <si>
    <t>2026-06-01 05:55:50</t>
  </si>
  <si>
    <t>4 The View, Millmount Abbey, Drogheda, Meath</t>
  </si>
  <si>
    <t>A92 V303</t>
  </si>
  <si>
    <t>TOWLB-CAB-XL-NAVY-R,TOWLB-SUM-XL-COLAGN</t>
  </si>
  <si>
    <t>10221523-10271860</t>
  </si>
  <si>
    <t>Aoife</t>
  </si>
  <si>
    <t>McDonnell</t>
  </si>
  <si>
    <t>EU-42885</t>
  </si>
  <si>
    <t>2026-06-01 05:56:38</t>
  </si>
  <si>
    <t>Drumavoughane, Moycullen, Galway</t>
  </si>
  <si>
    <t>H91 F5X0</t>
  </si>
  <si>
    <t>BAGF-SUM-MD-MIAMI,PONCHA-CAB-LG-LTPNK-NS,TOWLB-CAB-XL-ORANG-R</t>
  </si>
  <si>
    <t>10223394-10273733</t>
  </si>
  <si>
    <t>Anne Marie</t>
  </si>
  <si>
    <t>Power</t>
  </si>
  <si>
    <t>EU-42908</t>
  </si>
  <si>
    <t>2026-06-01 05:57:02</t>
  </si>
  <si>
    <t>6 woodberry heights, Castleredmond, Midleton, Cork</t>
  </si>
  <si>
    <t>P25 NR22</t>
  </si>
  <si>
    <t>BAGF-SUM-MD-MIAMI,TOWLB-SUM-XL-MIAMI</t>
  </si>
  <si>
    <t>10222576-10272913</t>
  </si>
  <si>
    <t>Muriel</t>
  </si>
  <si>
    <t>Govaert</t>
  </si>
  <si>
    <t>EU-42894</t>
  </si>
  <si>
    <t>2026-06-01 05:57:44</t>
  </si>
  <si>
    <t>Molenlaan 253, Rotterdam, Rotterdam</t>
  </si>
  <si>
    <t>3055 GE</t>
  </si>
  <si>
    <t>TOWLB-CAB-XL-NAVY-R,TOWLB-CAB-XL-YELL-R,TOWLB-DES-XL-LEMWAV,TOWLB-DES-XL-TANTIDE</t>
  </si>
  <si>
    <t>10222501-10272838</t>
  </si>
  <si>
    <t>Christina</t>
  </si>
  <si>
    <t>Falierou</t>
  </si>
  <si>
    <t>EU-42893</t>
  </si>
  <si>
    <t>2026-06-01 05:57:49</t>
  </si>
  <si>
    <t>Van Stolkweg 14, B4, Den Haag, Den Haag</t>
  </si>
  <si>
    <t>2585 JR</t>
  </si>
  <si>
    <t>BAGF-CAB-MD-LTPNK,TOWLB-CAB-XL-LTPNK-R</t>
  </si>
  <si>
    <t>10223381-10273720</t>
  </si>
  <si>
    <t>Eva</t>
  </si>
  <si>
    <t>Baumgartner</t>
  </si>
  <si>
    <t>EU-42898</t>
  </si>
  <si>
    <t>2026-06-01 05:58:29</t>
  </si>
  <si>
    <t>Spanberg 2a, Hebertsfelden, Hebertsfelden</t>
  </si>
  <si>
    <t>TOWLB-SUM-XL-SANDSEA</t>
  </si>
  <si>
    <t>10223388-10273727</t>
  </si>
  <si>
    <t>Charlie &amp; Branie</t>
  </si>
  <si>
    <t>Ilse</t>
  </si>
  <si>
    <t>Lefebvre</t>
  </si>
  <si>
    <t>EU-42905</t>
  </si>
  <si>
    <t>2026-06-01 05:59:09</t>
  </si>
  <si>
    <t>Felix Verhaeghestraat 10, 2, Waregem, Waregem</t>
  </si>
  <si>
    <t>10223138-10273476</t>
  </si>
  <si>
    <t>Cris</t>
  </si>
  <si>
    <t>Weisbecker</t>
  </si>
  <si>
    <t>EU-42903</t>
  </si>
  <si>
    <t>2026-06-01 06:00:10</t>
  </si>
  <si>
    <t>Quittenweg 7, Wiesbaden, Wiesbaden</t>
  </si>
  <si>
    <t>TOWLB-CAB-XL-LTPPL-R,TOWLB-DES-XL-GRECSHR</t>
  </si>
  <si>
    <t>10222658-10272995</t>
  </si>
  <si>
    <t>Laure-Anne</t>
  </si>
  <si>
    <t>van den Bulck</t>
  </si>
  <si>
    <t>EU-42895</t>
  </si>
  <si>
    <t>2026-06-01 06:01:22</t>
  </si>
  <si>
    <t>Avenue Général Lartigue 51, Woluwe-Saint-Lambert, Woluwe-Saint-Lambert</t>
  </si>
  <si>
    <t>PP-TOWLB-CAB-XL-4SET-BLUE,TOWLB-CAB-XL-LTGRY-R</t>
  </si>
  <si>
    <t>10221768-10272105</t>
  </si>
  <si>
    <t>Jacqueline</t>
  </si>
  <si>
    <t>de Verteuil</t>
  </si>
  <si>
    <t>EU-42888</t>
  </si>
  <si>
    <t>2026-06-01 06:02:27</t>
  </si>
  <si>
    <t>3 Riverview, Palmerstown, Dublin</t>
  </si>
  <si>
    <t>D20 ER82</t>
  </si>
  <si>
    <t>TOWLH-CLB-LG-CHRYBMB,TOWLH-DES-LG-TIGPALM</t>
  </si>
  <si>
    <t>10219140-10269429</t>
  </si>
  <si>
    <t>Thümler</t>
  </si>
  <si>
    <t>EU-42855</t>
  </si>
  <si>
    <t>2026-06-01 06:03:08</t>
  </si>
  <si>
    <t>Schönhauser Str 5, Köln, Köln</t>
  </si>
  <si>
    <t>TOWLB-CAB-LG-BLUE-R,TOWLB-CAB-LG-NAVY-R</t>
  </si>
  <si>
    <t>10223396-10273735</t>
  </si>
  <si>
    <t>Lydia</t>
  </si>
  <si>
    <t>Markham</t>
  </si>
  <si>
    <t>EU-42907</t>
  </si>
  <si>
    <t>2026-06-01 06:37:24</t>
  </si>
  <si>
    <t>Carrer El Cid 4, BJ IZ, Guardamar del Segura, Alicante</t>
  </si>
  <si>
    <t>03140</t>
  </si>
  <si>
    <t>BALLAST-DES-GRECSH,PICNIC-DES-XL-GRCSHR,PP-TOWLB-CAB-XL-6SET-R</t>
  </si>
  <si>
    <t>10220191-10270511</t>
  </si>
  <si>
    <t>Gregg</t>
  </si>
  <si>
    <t>EU-42866</t>
  </si>
  <si>
    <t>2026-06-01 06:40:27</t>
  </si>
  <si>
    <t>26 Slieve Mor, Carney, Sligo, Sligo</t>
  </si>
  <si>
    <t>F91 HKD0</t>
  </si>
  <si>
    <t>TOWLB-CAB-XL-BLUE-R,TOWLB-CAB-XL-GREEN-R,TOWLB-CAB-XL-LTPNK-R,TOWLB-CAB-XL-NAVY-R,TOWLB-CAB-XL-PINK-R</t>
  </si>
  <si>
    <t>10223390-10273729</t>
  </si>
  <si>
    <t>Jennifer</t>
  </si>
  <si>
    <t>McKenna</t>
  </si>
  <si>
    <t>EU-42904</t>
  </si>
  <si>
    <t>2026-06-01 06:42:03</t>
  </si>
  <si>
    <t>18 Drynam Drive, Kinsealy, Dublin</t>
  </si>
  <si>
    <t>K67 TW44</t>
  </si>
  <si>
    <t>TOWLB-CAB-XL-KHAKI-R,TOWLB-CAB-XL-NAVY-R,TOWLB-CAB-XL-YELL-R</t>
  </si>
  <si>
    <t>10225476-10275828</t>
  </si>
  <si>
    <t>Graham</t>
  </si>
  <si>
    <t>EU-42939</t>
  </si>
  <si>
    <t>2026-06-01 06:43:21</t>
  </si>
  <si>
    <t>Echobos, 25, Almere, Almere</t>
  </si>
  <si>
    <t>1358 EG</t>
  </si>
  <si>
    <t>10222911-10273248</t>
  </si>
  <si>
    <t>Cyprien</t>
  </si>
  <si>
    <t>Coisne</t>
  </si>
  <si>
    <t>EU-42899</t>
  </si>
  <si>
    <t>2026-06-01 06:44:40</t>
  </si>
  <si>
    <t>195bis rue de londres, Mouvaux, Mouvaux</t>
  </si>
  <si>
    <t>10219681-10269980</t>
  </si>
  <si>
    <t>Katie</t>
  </si>
  <si>
    <t>Ahern</t>
  </si>
  <si>
    <t>EU-42858</t>
  </si>
  <si>
    <t>2026-06-01 06:56:14</t>
  </si>
  <si>
    <t>26 Wolverton Glen, Castlepark Rd, Dalkey, Dublin, Dublin</t>
  </si>
  <si>
    <t>A96 W2C1</t>
  </si>
  <si>
    <t>PONCHA-CAB-LG-LTPNK-NS,PONCHA-CAB-LG-NAVY-NS,PONCHA-CLA-LG-NAVY-NS</t>
  </si>
  <si>
    <t>10221285-10271621</t>
  </si>
  <si>
    <t>Joanna</t>
  </si>
  <si>
    <t>Gillan</t>
  </si>
  <si>
    <t>EU-42880</t>
  </si>
  <si>
    <t>2026-06-01 06:59:00</t>
  </si>
  <si>
    <t>3 Calverstown Place, Calverstown, Kildare</t>
  </si>
  <si>
    <t>R56 DX59</t>
  </si>
  <si>
    <t>TOWLB-CAB-LG-BLUE-R,TOWLB-CAB-LG-NAVY-R,TOWLB-CAB-LG-ORANG-R,TOWLB-CAB-LG-PINK-R,TOWLB-CAB-LG-RED-R,TOWLB-CAB-LG-YELL-R</t>
  </si>
  <si>
    <t>10221524-10271861</t>
  </si>
  <si>
    <t>Patrice</t>
  </si>
  <si>
    <t>McCormack</t>
  </si>
  <si>
    <t>EU-42884</t>
  </si>
  <si>
    <t>2026-06-01 07:00:20</t>
  </si>
  <si>
    <t>Killinure North Glasson, Athlone, Westmeath</t>
  </si>
  <si>
    <t>N37 N8X8</t>
  </si>
  <si>
    <t>TOWLB-CAB-LG-NAVY-R,TOWLB-CAB-LG-PINK-R</t>
  </si>
  <si>
    <t>10221282-10271618</t>
  </si>
  <si>
    <t>Annika</t>
  </si>
  <si>
    <t>Enste</t>
  </si>
  <si>
    <t>EU-42872</t>
  </si>
  <si>
    <t>2026-06-01 07:02:08</t>
  </si>
  <si>
    <t>Beckerhaan 48, Warstein, Warstein</t>
  </si>
  <si>
    <t>PONCHA-CLA-LG-NAVY-NS,PONCHA-SUM-MD-CSTCANDY</t>
  </si>
  <si>
    <t>10218869-10269154</t>
  </si>
  <si>
    <t>Katja</t>
  </si>
  <si>
    <t>De Jaeck</t>
  </si>
  <si>
    <t>EU-42851</t>
  </si>
  <si>
    <t>2026-06-01 07:04:27</t>
  </si>
  <si>
    <t>Keizerenberg 6, Kontich, Kontich</t>
  </si>
  <si>
    <t>TOWLB-CAB-LG-KHAKI-R,TOWLB-CAB-XL-NAVY-R,TOWLB-COLLAB-LG-UNO,TOWLB-DES-LG-PSTPIER,TOWLF-ESS-LG-DKBLU</t>
  </si>
  <si>
    <t>10224132-10274476</t>
  </si>
  <si>
    <t>Mª del Carmen</t>
  </si>
  <si>
    <t>Rodríguez del Rey</t>
  </si>
  <si>
    <t>EU-42923</t>
  </si>
  <si>
    <t>2026-06-01 07:11:01</t>
  </si>
  <si>
    <t>Venero 45, encinas 24, valdecaballeros, Badajoz</t>
  </si>
  <si>
    <t>06689</t>
  </si>
  <si>
    <t>BAGF-DES-MD-WYWH,TOWLB-DES-XL-ALOHGLW,TOWLB-DES-XL-BLUSPRIT,TOWLB-DES-XL-GRECSHR,TOWLB-SUM-XL-COLAGN</t>
  </si>
  <si>
    <t>10223894-10274236</t>
  </si>
  <si>
    <t>Juliane</t>
  </si>
  <si>
    <t>de Boer</t>
  </si>
  <si>
    <t>EU-42922</t>
  </si>
  <si>
    <t>2026-06-01 07:14:13</t>
  </si>
  <si>
    <t>Strassenbahnring 23, Hamburg, Hamburg</t>
  </si>
  <si>
    <t>BALLAST-SUM-CSTCANDY,PICNIC-SUM-XL-UNICN,PONCHK-SUM-MD-CSTCANDY,PONCHK-SUM-SM-CSTCANDY,TOWLB-SUM-XL-COLAGN,TOWLB-SUM-XL-MIAMI,TOWLB-SUM-XL-OCEAN,TOWLB-SUM-XL-TUTFRU</t>
  </si>
  <si>
    <t>10223398-10273737</t>
  </si>
  <si>
    <t>Brenda</t>
  </si>
  <si>
    <t>Carmichael</t>
  </si>
  <si>
    <t>EU-42906</t>
  </si>
  <si>
    <t>2026-06-01 07:16:45</t>
  </si>
  <si>
    <t>Coraghbrack, Emyvale, Monaghan</t>
  </si>
  <si>
    <t>H18 PX36</t>
  </si>
  <si>
    <t>TOWLB-CAB-XL-BLUE-R,TOWLB-CAB-XL-LTBLU-R,TOWLB-CAB-XL-LTPNK-R,TOWLB-CAB-XL-NAVY-R,TOWLB-CAB-XL-PINK-R,TOWLB-CAB-XL-RED-R</t>
  </si>
  <si>
    <t>10223648-10273989</t>
  </si>
  <si>
    <t>Peter</t>
  </si>
  <si>
    <t>Warwel</t>
  </si>
  <si>
    <t>EU-42918</t>
  </si>
  <si>
    <t>2026-06-01 07:19:11</t>
  </si>
  <si>
    <t>Walter-Ziess-Ring 74, Friedrichsdorf, Friedrichsdorf</t>
  </si>
  <si>
    <t>BAGF-SUM-MD-CSTCANDY,BALLAST-SUM-CSTCANDY,TOWLB-SUM-XL-CSTCANDY,TOWLB-SUM-XL-OCEAN</t>
  </si>
  <si>
    <t>10228545-10278901</t>
  </si>
  <si>
    <t>Morgan</t>
  </si>
  <si>
    <t>EU-42989</t>
  </si>
  <si>
    <t>2026-06-01 07:22:50</t>
  </si>
  <si>
    <t>70 Nutgrove Ave, Rathfarnham, Dublin</t>
  </si>
  <si>
    <t>D14 N6V0</t>
  </si>
  <si>
    <t>10229535-10279898</t>
  </si>
  <si>
    <t>Wieder</t>
  </si>
  <si>
    <t>EU-43005</t>
  </si>
  <si>
    <t>2026-06-01 07:24:08</t>
  </si>
  <si>
    <t>Weingartnerstraße 53, München, München</t>
  </si>
  <si>
    <t>PICNIC-DES-LG-CANDSTR</t>
  </si>
  <si>
    <t>10227485-10277837</t>
  </si>
  <si>
    <t>Jil</t>
  </si>
  <si>
    <t>Ries</t>
  </si>
  <si>
    <t>EU-42960</t>
  </si>
  <si>
    <t>2026-06-01 07:24:57</t>
  </si>
  <si>
    <t>2, rue C-M Spoo, Echternach, Echternach</t>
  </si>
  <si>
    <t>TOWLB-DES-LG-IBZAGLW</t>
  </si>
  <si>
    <t>10223643-10273984</t>
  </si>
  <si>
    <t>Tiana</t>
  </si>
  <si>
    <t>Hickel</t>
  </si>
  <si>
    <t>EU-42914</t>
  </si>
  <si>
    <t>2026-06-01 07:25:12</t>
  </si>
  <si>
    <t>Blücherstraße 39, VH 1St Re, Berlin, Berlin</t>
  </si>
  <si>
    <t>PONCHK-KID-SM-TURTROP,TOWLB-CAB-XL-BLACK-R,TOWLB-CAB-XL-BLUE-R</t>
  </si>
  <si>
    <t>10229978-10280345</t>
  </si>
  <si>
    <t>Quentin</t>
  </si>
  <si>
    <t>DECERISY</t>
  </si>
  <si>
    <t>EU-43013</t>
  </si>
  <si>
    <t>2026-06-01 07:25:41</t>
  </si>
  <si>
    <t>200 rue de Javel, Paris, Paris</t>
  </si>
  <si>
    <t>10223633-10273974</t>
  </si>
  <si>
    <t>Kim</t>
  </si>
  <si>
    <t>Lottefier</t>
  </si>
  <si>
    <t>EU-42913</t>
  </si>
  <si>
    <t>2026-06-01 07:26:37</t>
  </si>
  <si>
    <t>Dhaenestraat 34, Destelbergen, Destelbergen</t>
  </si>
  <si>
    <t>TOWLB-CAB-XL-NAVY-R</t>
  </si>
  <si>
    <t>10228241-10278596</t>
  </si>
  <si>
    <t>EU-42972</t>
  </si>
  <si>
    <t>2026-06-01 07:51:15</t>
  </si>
  <si>
    <t>Goethestr 7, Lörrach, Lörrach</t>
  </si>
  <si>
    <t>10230792-10281159</t>
  </si>
  <si>
    <t>Daniel</t>
  </si>
  <si>
    <t>Sanabria</t>
  </si>
  <si>
    <t>EU-43026</t>
  </si>
  <si>
    <t>2026-06-01 07:52:14</t>
  </si>
  <si>
    <t>Carrer dAribau 200, Planta 9, Barcelona, Barcelona</t>
  </si>
  <si>
    <t>08036</t>
  </si>
  <si>
    <t>TOWLB-COLLAB-XL-UNO</t>
  </si>
  <si>
    <t>10228800-10279157</t>
  </si>
  <si>
    <t>Urs</t>
  </si>
  <si>
    <t>Lewens</t>
  </si>
  <si>
    <t>EU-42995</t>
  </si>
  <si>
    <t>2026-06-01 07:52:55</t>
  </si>
  <si>
    <t>Behringstr 18, Kelkheim (Taunus), Kelkheim (Taunus)</t>
  </si>
  <si>
    <t>PP-TOWLB-CAB-XL-4SETG</t>
  </si>
  <si>
    <t>10219921-10270236</t>
  </si>
  <si>
    <t>Donna</t>
  </si>
  <si>
    <t>Laister</t>
  </si>
  <si>
    <t>EU-42864</t>
  </si>
  <si>
    <t>2026-06-01 07:54:17</t>
  </si>
  <si>
    <t>Ty cwtch, Clongeel, Boherbue, Cork</t>
  </si>
  <si>
    <t>P51 X9F5</t>
  </si>
  <si>
    <t>PP-TOWLB-CAB-XL-6SET-R</t>
  </si>
  <si>
    <t>10227342-10277694</t>
  </si>
  <si>
    <t>Meg</t>
  </si>
  <si>
    <t>Ced</t>
  </si>
  <si>
    <t>EU-42957</t>
  </si>
  <si>
    <t>2026-06-01 07:55:00</t>
  </si>
  <si>
    <t>Parkwijklaan 233/233, 233, Almere, Almere</t>
  </si>
  <si>
    <t>1326 JT</t>
  </si>
  <si>
    <t>10225705-10276057</t>
  </si>
  <si>
    <t>Eileen</t>
  </si>
  <si>
    <t>Reilly</t>
  </si>
  <si>
    <t>EU-42946</t>
  </si>
  <si>
    <t>2026-06-01 07:55:19</t>
  </si>
  <si>
    <t>Drocourt Dublin Rd, Haggardstown, Dundalk, Louth</t>
  </si>
  <si>
    <t>A91 C1P1</t>
  </si>
  <si>
    <t>TOWLB-DES-XL-BLUSPRIT,TOWLB-DES-XL-LEMWAV,TOWLB-SUM-XL-COLAGN,TOWLB-SUM-XL-MIAMI</t>
  </si>
  <si>
    <t>10229310-10279673</t>
  </si>
  <si>
    <t>Danai</t>
  </si>
  <si>
    <t>Rodouli</t>
  </si>
  <si>
    <t>EU-43003</t>
  </si>
  <si>
    <t>2026-06-01 07:56:29</t>
  </si>
  <si>
    <t>Dramas 9, Nicosia, Nicosia</t>
  </si>
  <si>
    <t>Cyprus</t>
  </si>
  <si>
    <t>DHL DE - Express Worldwide (DE) EU</t>
  </si>
  <si>
    <t>10224366-10274711</t>
  </si>
  <si>
    <t>Hilary</t>
  </si>
  <si>
    <t>Grumley</t>
  </si>
  <si>
    <t>EU-42928</t>
  </si>
  <si>
    <t>2026-06-01 07:57:23</t>
  </si>
  <si>
    <t>26 Richmond Ave, Monkstown, Dublin</t>
  </si>
  <si>
    <t>A94 YV29</t>
  </si>
  <si>
    <t>DOGTWL-DES-LG-CHKMTT,TOWLB-CAB-XL-LTPNK-R,TOWLB-CAB-XL-NAVY-R,TOWLB-SUM-XL-RAINB-R</t>
  </si>
  <si>
    <t>10228255-10278610</t>
  </si>
  <si>
    <t>Sandra</t>
  </si>
  <si>
    <t>Pantel</t>
  </si>
  <si>
    <t>028-5505116-2441133</t>
  </si>
  <si>
    <t>2026-06-01 07:58:05</t>
  </si>
  <si>
    <t>Langenberger Str 505, Essen, Essen</t>
  </si>
  <si>
    <t>10224359-10274704</t>
  </si>
  <si>
    <t>Eckardt</t>
  </si>
  <si>
    <t>EU-42927</t>
  </si>
  <si>
    <t>2026-06-01 07:58:34</t>
  </si>
  <si>
    <t>Franziska-Günther-Str 9, Pöcking, Pöcking</t>
  </si>
  <si>
    <t>10230495-10280862</t>
  </si>
  <si>
    <t>Olivera</t>
  </si>
  <si>
    <t>Mödl</t>
  </si>
  <si>
    <t>EU-43024</t>
  </si>
  <si>
    <t>2026-06-01 07:59:12</t>
  </si>
  <si>
    <t>Wasserkelchstrasse 7, Ingolstadt, Ingolstadt</t>
  </si>
  <si>
    <t>10225706-10276058</t>
  </si>
  <si>
    <t>Jens</t>
  </si>
  <si>
    <t>Stappenbeck</t>
  </si>
  <si>
    <t>EU-42945</t>
  </si>
  <si>
    <t>2026-06-01 07:59:25</t>
  </si>
  <si>
    <t>Horst-Kohl-Str 17b, Berlin, Berlin</t>
  </si>
  <si>
    <t>TOWLB-CAB-XL-NAVY-R,TOWLB-DES-LG-WYWH,TOWLB-SUM-XL-MIAMI</t>
  </si>
  <si>
    <t>10225699-10276051</t>
  </si>
  <si>
    <t>Vanessa</t>
  </si>
  <si>
    <t>Groß</t>
  </si>
  <si>
    <t>EU-42942</t>
  </si>
  <si>
    <t>2026-06-01 08:00:05</t>
  </si>
  <si>
    <t>Mainstraße 24, Norderney, Norderney</t>
  </si>
  <si>
    <t>10224837-10275184</t>
  </si>
  <si>
    <t>Lucy</t>
  </si>
  <si>
    <t>Kelly</t>
  </si>
  <si>
    <t>EU-42933</t>
  </si>
  <si>
    <t>2026-06-01 08:00:11</t>
  </si>
  <si>
    <t>10 Garden Village Drive, Kilpedder, Wicklow</t>
  </si>
  <si>
    <t>A63 V573</t>
  </si>
  <si>
    <t>10219920-10270235</t>
  </si>
  <si>
    <t>Etiennette</t>
  </si>
  <si>
    <t>SAVART</t>
  </si>
  <si>
    <t>EU-42863</t>
  </si>
  <si>
    <t>2026-06-01 08:00:57</t>
  </si>
  <si>
    <t>53 RUE VICTOR HUGO, Bat B Apt 22, MONTREUIL, MONTREUIL</t>
  </si>
  <si>
    <t>PICNIC-DES-LG-BRGTSIDE</t>
  </si>
  <si>
    <t>10221284-10271620</t>
  </si>
  <si>
    <t>Ekaterina</t>
  </si>
  <si>
    <t>Ignatovich</t>
  </si>
  <si>
    <t>303-2854798-2022726</t>
  </si>
  <si>
    <t>2026-06-01 08:01:42</t>
  </si>
  <si>
    <t>Ignatovich, Rotlintstraße 23, Frankfurt Am Main, Frankfurt Am Main</t>
  </si>
  <si>
    <t>10223635-10273976</t>
  </si>
  <si>
    <t>Judy</t>
  </si>
  <si>
    <t>Duffy</t>
  </si>
  <si>
    <t>EU-42912</t>
  </si>
  <si>
    <t>2026-06-01 08:02:03</t>
  </si>
  <si>
    <t>Nutstown, Garristown, Dublin</t>
  </si>
  <si>
    <t>A42 YP63</t>
  </si>
  <si>
    <t>TOWLB-CAB-XL-BLUE-R,TOWLB-CAB-XL-RED-R</t>
  </si>
  <si>
    <t>10227006-10277358</t>
  </si>
  <si>
    <t>Jurgen</t>
  </si>
  <si>
    <t>Boldewijn</t>
  </si>
  <si>
    <t>EU-42955</t>
  </si>
  <si>
    <t>2026-06-01 08:02:32</t>
  </si>
  <si>
    <t>Conradwerf 143, Zaandam, Zaandam</t>
  </si>
  <si>
    <t>1505 KB</t>
  </si>
  <si>
    <t>TOWLB-CAB-XL-KHAKI-R</t>
  </si>
  <si>
    <t>10225269-10275621</t>
  </si>
  <si>
    <t>Göltenbodt</t>
  </si>
  <si>
    <t>EU-42937</t>
  </si>
  <si>
    <t>2026-06-01 08:02:46</t>
  </si>
  <si>
    <t>Edelweißweg 15, Winnenden, Winnenden</t>
  </si>
  <si>
    <t>TOWLB-CAB-LG-RED-R,TOWLB-DES-LG-LEMWAV</t>
  </si>
  <si>
    <t>10227710-10278062</t>
  </si>
  <si>
    <t>Winfried</t>
  </si>
  <si>
    <t>Suess</t>
  </si>
  <si>
    <t>EU-42968</t>
  </si>
  <si>
    <t>2026-06-01 08:03:12</t>
  </si>
  <si>
    <t>Hannoversche Str 19a, Berlin, Berlin</t>
  </si>
  <si>
    <t>10224588-10274933</t>
  </si>
  <si>
    <t>Sterk</t>
  </si>
  <si>
    <t>EU-42931</t>
  </si>
  <si>
    <t>2026-06-01 08:03:29</t>
  </si>
  <si>
    <t>Blumenweg 3, Amerang, Amerang</t>
  </si>
  <si>
    <t>PONCHK-KID-MD-KARMCHAM</t>
  </si>
  <si>
    <t>10228548-10278904</t>
  </si>
  <si>
    <t>Pieta</t>
  </si>
  <si>
    <t>Delaney</t>
  </si>
  <si>
    <t>EU-42992</t>
  </si>
  <si>
    <t>2026-06-01 08:04:04</t>
  </si>
  <si>
    <t>Glashare Johnstown, Via Thurles, Kilkenny</t>
  </si>
  <si>
    <t>E41 DE48</t>
  </si>
  <si>
    <t>TOWLB-SUM-LG-MIAMI</t>
  </si>
  <si>
    <t>10223886-10274228</t>
  </si>
  <si>
    <t>Hew</t>
  </si>
  <si>
    <t>EU-42919</t>
  </si>
  <si>
    <t>2026-06-01 08:04:34</t>
  </si>
  <si>
    <t>Vredelust 35, Diemen, Diemen</t>
  </si>
  <si>
    <t>1111 VB</t>
  </si>
  <si>
    <t>PICNIC-DES-LG-MARGMAD,PICNIC-DES-XL-SPRCLUB</t>
  </si>
  <si>
    <t>10231126-10281493</t>
  </si>
  <si>
    <t>Solleveld</t>
  </si>
  <si>
    <t>EU-43034</t>
  </si>
  <si>
    <t>2026-06-01 08:04:48</t>
  </si>
  <si>
    <t>Frederikstraat 329, 's-Gravenhage, 's-Gravenhage</t>
  </si>
  <si>
    <t>2514 LD</t>
  </si>
  <si>
    <t>10223649-10273990</t>
  </si>
  <si>
    <t>Suzanne</t>
  </si>
  <si>
    <t>Schreurs</t>
  </si>
  <si>
    <t>EU-42917</t>
  </si>
  <si>
    <t>2026-06-01 08:05:22</t>
  </si>
  <si>
    <t>Leerestraat, 5, Kinrooi, Kinrooi</t>
  </si>
  <si>
    <t>TOWLB-SUM-XL-COLAGN,TOWLB-SUM-XL-TUTFRU</t>
  </si>
  <si>
    <t>10224134-10274478</t>
  </si>
  <si>
    <t>Boersch</t>
  </si>
  <si>
    <t>EU-42924</t>
  </si>
  <si>
    <t>2026-06-01 08:06:01</t>
  </si>
  <si>
    <t>Carrer Orada 63, Andratx, Balears</t>
  </si>
  <si>
    <t>07157</t>
  </si>
  <si>
    <t>10225477-10275829</t>
  </si>
  <si>
    <t>Eline</t>
  </si>
  <si>
    <t>Cambré</t>
  </si>
  <si>
    <t>EU-42938</t>
  </si>
  <si>
    <t>2026-06-01 08:06:47</t>
  </si>
  <si>
    <t>Heiveldlaan 13, 3, Kapellen, Kapellen</t>
  </si>
  <si>
    <t>TOWLB-SUM-XL-CSTCANDY,TOWLB-SUM-XL-MIAMI</t>
  </si>
  <si>
    <t>10224141-10274485</t>
  </si>
  <si>
    <t>Mary Patricia</t>
  </si>
  <si>
    <t>Horgan</t>
  </si>
  <si>
    <t>EU-42926</t>
  </si>
  <si>
    <t>2026-06-01 08:07:34</t>
  </si>
  <si>
    <t>19 Cluain Mara, Farm Lane, Kinsale, Cork</t>
  </si>
  <si>
    <t>P17 RW93</t>
  </si>
  <si>
    <t>PONCHA-DES-MD-IBZAGLW,PONCHA-SUM-MD-UNICN-NS</t>
  </si>
  <si>
    <t>10220463-10270791</t>
  </si>
  <si>
    <t>Husser</t>
  </si>
  <si>
    <t>EU-42867</t>
  </si>
  <si>
    <t>2026-06-01 08:08:13</t>
  </si>
  <si>
    <t>Am Leimbachring 33, Sandhausen, Sandhausen</t>
  </si>
  <si>
    <t>TOWLB-SUM-LG-COLAGN,TOWLB-SUM-LG-MIAMI</t>
  </si>
  <si>
    <t>10223888-10274230</t>
  </si>
  <si>
    <t>Ailbhe</t>
  </si>
  <si>
    <t>Harrington</t>
  </si>
  <si>
    <t>EU-42920</t>
  </si>
  <si>
    <t>2026-06-01 08:08:50</t>
  </si>
  <si>
    <t>Hestia, Kilcullen, Thomastown, Kilkenny</t>
  </si>
  <si>
    <t>R95 AD8Y</t>
  </si>
  <si>
    <t>BAGF-SUM-MD-CSTCANDY,TOWLB-DES-LG-KARMA</t>
  </si>
  <si>
    <t>10226227-10276579</t>
  </si>
  <si>
    <t>Mühling</t>
  </si>
  <si>
    <t>EU-42950</t>
  </si>
  <si>
    <t>2026-06-01 08:09:23</t>
  </si>
  <si>
    <t>Bürgermeister-Fries-Str 13a, Ludwigshafen, Ludwigshafen</t>
  </si>
  <si>
    <t>BAGCOOL-MD-NAVY,PICNIC-DES-XL-STRIPLIFE,TOWLB-DES-XL-BLUSPRIT</t>
  </si>
  <si>
    <t>10226466-10276818</t>
  </si>
  <si>
    <t>Robert</t>
  </si>
  <si>
    <t>Cherry</t>
  </si>
  <si>
    <t>EU-42948</t>
  </si>
  <si>
    <t>2026-06-01 08:13:33</t>
  </si>
  <si>
    <t>Avonwood, Ballinatone, Rathdrum, Wicklow</t>
  </si>
  <si>
    <t>A67 VK70</t>
  </si>
  <si>
    <t>PP-TOWLB-CAB-LG-6SETI,TOWLB-DES-LG-HOTTROP,TOWLB-DES-LG-IBZAGLW,TOWLB-DES-LG-PNKPARA,TOWLB-DES-LG-SWTESC,TOWLB-DES-LG-TANTIDE,TOWLB-DES-LG-WYWH</t>
  </si>
  <si>
    <t>10225970-10276322</t>
  </si>
  <si>
    <t>Riordan</t>
  </si>
  <si>
    <t>EU-42947</t>
  </si>
  <si>
    <t>2026-06-01 08:15:01</t>
  </si>
  <si>
    <t>Lishmar Hse, Seafield, Donabate, Dublin</t>
  </si>
  <si>
    <t>K36 Y244</t>
  </si>
  <si>
    <t>TOWLB-DES-LG-HOTTROP,TOWLB-DES-LG-IBZAGLW,TOWLB-DES-LG-PNKPARA,TOWLB-DES-LG-TANTIDE</t>
  </si>
  <si>
    <t>10226463-10276815</t>
  </si>
  <si>
    <t>neville</t>
  </si>
  <si>
    <t>EU-42949</t>
  </si>
  <si>
    <t>2026-06-01 08:17:49</t>
  </si>
  <si>
    <t>31 Heatherdale Monaleen, Limerick, Limerick</t>
  </si>
  <si>
    <t>V94 KD6K</t>
  </si>
  <si>
    <t>10226469-10276821</t>
  </si>
  <si>
    <t>Stephanie</t>
  </si>
  <si>
    <t>Kalous</t>
  </si>
  <si>
    <t>EU-42951</t>
  </si>
  <si>
    <t>2026-06-01 08:19:08</t>
  </si>
  <si>
    <t>Gabriel-von-Seidl-Str 7a, Gräfelfing, Gräfelfing</t>
  </si>
  <si>
    <t>PONCHK-CAB-MD-LTPNK-NS,PONCHK-CAB-SM-BLUE-NS</t>
  </si>
  <si>
    <t>10227713-10278065</t>
  </si>
  <si>
    <t>Bosschaerts</t>
  </si>
  <si>
    <t>EU-42964</t>
  </si>
  <si>
    <t>2026-06-01 08:22:51</t>
  </si>
  <si>
    <t>Voshollei 63, Brasschaat, Brasschaat</t>
  </si>
  <si>
    <t>PONCHK-KID-MD-KARMCHAM,PONCHK-KID-SM-INTOWILD,PONCHK-KID-SM-SKATER</t>
  </si>
  <si>
    <t>10227486-10277838</t>
  </si>
  <si>
    <t>Jobst</t>
  </si>
  <si>
    <t>EU-42962</t>
  </si>
  <si>
    <t>2026-06-01 08:25:16</t>
  </si>
  <si>
    <t>Brougierstr 10a, Lindau, Lindau</t>
  </si>
  <si>
    <t>BAGDRY-MD-MIAMI,BAGF-SUM-MD-MIAMI,PICNIC-CAB-LG-NAVY,TOWLB-DES-LG-PNKPARA,TOWLB-SUM-XL-CSTCANDY,TOWLB-SUM-XL-MIAMI</t>
  </si>
  <si>
    <t>10227483-10277835</t>
  </si>
  <si>
    <t>Elisa</t>
  </si>
  <si>
    <t>Vassart</t>
  </si>
  <si>
    <t>EU-42959</t>
  </si>
  <si>
    <t>2026-06-01 08:25:47</t>
  </si>
  <si>
    <t>Rue de Landelies 72, Montigny-le-Tilleul, Montigny-le-Tilleul</t>
  </si>
  <si>
    <t>10228248-10278603</t>
  </si>
  <si>
    <t>Juli</t>
  </si>
  <si>
    <t>Hoffmann</t>
  </si>
  <si>
    <t>EU-42975</t>
  </si>
  <si>
    <t>2026-06-01 08:26:29</t>
  </si>
  <si>
    <t>Steinbacher Hohl 109, Frankfurt Am Main, Frankfurt Am Main</t>
  </si>
  <si>
    <t>PONCHA-CAB-LG-LTPNK-NS,PONCHK-SUM-MD-UNICN-NS,TOWLB-SUM-XL-UNICN-R</t>
  </si>
  <si>
    <t>10227712-10278064</t>
  </si>
  <si>
    <t>Ashleigh</t>
  </si>
  <si>
    <t>Doyle</t>
  </si>
  <si>
    <t>EU-42966</t>
  </si>
  <si>
    <t>2026-06-01 08:27:23</t>
  </si>
  <si>
    <t>Cois Bladhma, Clonincurragh, Mountrath, Laois</t>
  </si>
  <si>
    <t>R32 H5W9</t>
  </si>
  <si>
    <t>PP-TOWLB-CAB-XL-6SET-R,TOWLB-SUM-XL-MIAMI</t>
  </si>
  <si>
    <t>10227711-10278063</t>
  </si>
  <si>
    <t>Yves</t>
  </si>
  <si>
    <t>Kasperowicz</t>
  </si>
  <si>
    <t>EU-42967</t>
  </si>
  <si>
    <t>2026-06-01 08:28:34</t>
  </si>
  <si>
    <t>Hofmannsthalgasse 5, /3/15, Wien, Wien</t>
  </si>
  <si>
    <t>10226472-10276824</t>
  </si>
  <si>
    <t>Lorraine</t>
  </si>
  <si>
    <t>Duggan</t>
  </si>
  <si>
    <t>EU-42952</t>
  </si>
  <si>
    <t>2026-06-01 08:28:37</t>
  </si>
  <si>
    <t>Carrigparson, Ballysimon, Limerick, Limerick</t>
  </si>
  <si>
    <t>V94 TY7A</t>
  </si>
  <si>
    <t>BAGTOI-MD-CHRYBMB,PICNIC-DES-XL-CANDSTR,TOWLB-SUM-XL-MIAMI</t>
  </si>
  <si>
    <t>10226860-10277212</t>
  </si>
  <si>
    <t>RACHEL</t>
  </si>
  <si>
    <t>O BRIEN</t>
  </si>
  <si>
    <t>EU-42954</t>
  </si>
  <si>
    <t>2026-06-01 08:29:37</t>
  </si>
  <si>
    <t>97 Killinarden Estate, 97, Dublin 24, Dublin</t>
  </si>
  <si>
    <t>D24 K582</t>
  </si>
  <si>
    <t>10228244-10278599</t>
  </si>
  <si>
    <t>Windle</t>
  </si>
  <si>
    <t>EU-42971</t>
  </si>
  <si>
    <t>2026-06-01 08:30:12</t>
  </si>
  <si>
    <t>Ballincrea, Slieverue, Co Kilkenny, Waterford</t>
  </si>
  <si>
    <t>X91 W8KP</t>
  </si>
  <si>
    <t>10227944-10278296</t>
  </si>
  <si>
    <t>Janneke</t>
  </si>
  <si>
    <t>Mulder</t>
  </si>
  <si>
    <t>EU-42969</t>
  </si>
  <si>
    <t>2026-06-01 08:30:42</t>
  </si>
  <si>
    <t>Schependomlaan 25, Nijmegen, Nijmegen</t>
  </si>
  <si>
    <t>6542 RL</t>
  </si>
  <si>
    <t>10226861-10277213</t>
  </si>
  <si>
    <t>Pelin</t>
  </si>
  <si>
    <t>Sümer</t>
  </si>
  <si>
    <t>EU-42953</t>
  </si>
  <si>
    <t>2026-06-01 08:31:28</t>
  </si>
  <si>
    <t>HOFLAAN 11, Wassenaar, Wassenaar</t>
  </si>
  <si>
    <t>2242 EL</t>
  </si>
  <si>
    <t>TOWLB-DES-XL-HOTTROP</t>
  </si>
  <si>
    <t>10225697-10276049</t>
  </si>
  <si>
    <t>Brian</t>
  </si>
  <si>
    <t>Brodigan</t>
  </si>
  <si>
    <t>EU-42941</t>
  </si>
  <si>
    <t>2026-06-01 08:32:36</t>
  </si>
  <si>
    <t>1 Mill Rd, Colpe, Drogheda, Meath</t>
  </si>
  <si>
    <t>A92 K190</t>
  </si>
  <si>
    <t>TOWLB-DES-LG-BLUSKY,TOWLB-DES-LG-GRECSHR</t>
  </si>
  <si>
    <t>10225707-10276059</t>
  </si>
  <si>
    <t>C/o MyPaketshop 86890</t>
  </si>
  <si>
    <t>Dolores</t>
  </si>
  <si>
    <t>Ostaric</t>
  </si>
  <si>
    <t>EU-42944</t>
  </si>
  <si>
    <t>2026-06-01 08:33:57</t>
  </si>
  <si>
    <t>Wallbacher Straße 5, Bad Säckingen, Bad Säckingen</t>
  </si>
  <si>
    <t>BAGF-SUM-MD-MIAMI,TOWLB-DES-LG-WYWH</t>
  </si>
  <si>
    <t>10227484-10277836</t>
  </si>
  <si>
    <t>Elina</t>
  </si>
  <si>
    <t>Bander</t>
  </si>
  <si>
    <t>EU-42961</t>
  </si>
  <si>
    <t>2026-06-01 08:34:34</t>
  </si>
  <si>
    <t>Im Weierfeld 10, Kreuzau, Kreuzau</t>
  </si>
  <si>
    <t>TOWLB-CAB-LG-BLUE-R,TOWLB-CAB-LG-LTPNK-R</t>
  </si>
  <si>
    <t>10225702-10276054</t>
  </si>
  <si>
    <t>Richter</t>
  </si>
  <si>
    <t>EU-42943</t>
  </si>
  <si>
    <t>2026-06-01 08:35:28</t>
  </si>
  <si>
    <t>Wittenberger Straße 31A, Dresden, Dresden</t>
  </si>
  <si>
    <t>01309</t>
  </si>
  <si>
    <t>TOWLB-CAB-LG-LTBGE-R,TOWLB-SUM-LG-RAINB-R</t>
  </si>
  <si>
    <t>10224139-10274483</t>
  </si>
  <si>
    <t>M.</t>
  </si>
  <si>
    <t>Jerlitschka</t>
  </si>
  <si>
    <t>EU-42925</t>
  </si>
  <si>
    <t>2026-06-01 08:39:47</t>
  </si>
  <si>
    <t>Seestraße 35, Herrsching am Ammersee, Herrsching am Ammersee</t>
  </si>
  <si>
    <t>BAGBCH-MD-NAVY,TOWLB-CAB-LG-NAVY-R,TOWLB-SUM-LG-OCEAN</t>
  </si>
  <si>
    <t>10224585-10274930</t>
  </si>
  <si>
    <t>Wilco</t>
  </si>
  <si>
    <t>Saab</t>
  </si>
  <si>
    <t>EU-42930</t>
  </si>
  <si>
    <t>2026-06-01 08:42:19</t>
  </si>
  <si>
    <t>Kelterstraße 15, Pliezhausen, Pliezhausen</t>
  </si>
  <si>
    <t>TOWLB-CAB-XL-ORANG-R,TOWLB-DES-LG-ALOHGLW,TOWLB-DES-LG-KARMA,TOWLB-KID-LG-JELLY,TOWLB-SUM-XL-MIAMI</t>
  </si>
  <si>
    <t>10224364-10274709</t>
  </si>
  <si>
    <t>Janine</t>
  </si>
  <si>
    <t>Karaca</t>
  </si>
  <si>
    <t>EU-42929</t>
  </si>
  <si>
    <t>2026-06-01 08:44:23</t>
  </si>
  <si>
    <t>Bachstr 6/1, Pliezhausen, Pliezhausen</t>
  </si>
  <si>
    <t>BAGF-DES-MD-IBZAGLW,TOWLB-DES-LG-IBZAGLW,TOWLB-KID-LG-JELLY,TOWLB-KID-LG-SANDSTRT,TOWLB-SUM-LG-COLAGN</t>
  </si>
  <si>
    <t>10225268-10275620</t>
  </si>
  <si>
    <t>Kohse</t>
  </si>
  <si>
    <t>EU-42936</t>
  </si>
  <si>
    <t>2026-06-01 08:45:47</t>
  </si>
  <si>
    <t>Dijkveld 8, Waregem, Waregem</t>
  </si>
  <si>
    <t>BAGF-DES-MD-SPRCLUB,TEATWL-MD-GLDHOUR,TOWLB-DES-LG-BLUSKY,TOWLB-DES-LG-MELLOW,TOWLB-SUM-XL-OCEAN</t>
  </si>
  <si>
    <t>10225479-10275831</t>
  </si>
  <si>
    <t>Silje</t>
  </si>
  <si>
    <t>Jacobsen</t>
  </si>
  <si>
    <t>EU-42940</t>
  </si>
  <si>
    <t>2026-06-01 08:46:43</t>
  </si>
  <si>
    <t>Arnljot Gellines Vei 35, Oslo, Oslo</t>
  </si>
  <si>
    <t>0657</t>
  </si>
  <si>
    <t>BAGDRY-XS-MIAMI,BAGF-SUM-MD-MIAMI,PONCHA-CAB-LG-BLUE-NS,TOWLB-CAB-XL-BLUE-R</t>
  </si>
  <si>
    <t>10231527-10281894</t>
  </si>
  <si>
    <t>Binka</t>
  </si>
  <si>
    <t>304-2807563-4327564</t>
  </si>
  <si>
    <t>2026-06-01 08:49:58</t>
  </si>
  <si>
    <t>Weimarer Str 11 12, Berlin, Berlin</t>
  </si>
  <si>
    <t>10231128-10281495</t>
  </si>
  <si>
    <t>Joanne</t>
  </si>
  <si>
    <t>Tolan</t>
  </si>
  <si>
    <t>EU-43035</t>
  </si>
  <si>
    <t>2026-06-01 08:53:01</t>
  </si>
  <si>
    <t>13 Castleview, Headford, Headford, Galway</t>
  </si>
  <si>
    <t>H91 WPK5</t>
  </si>
  <si>
    <t>10232394-10282761</t>
  </si>
  <si>
    <t>Dedic</t>
  </si>
  <si>
    <t>EU-43046</t>
  </si>
  <si>
    <t>2026-06-01 08:55:24</t>
  </si>
  <si>
    <t>Oewerweg 15, Bremen, Bremen</t>
  </si>
  <si>
    <t>10233332-10283774</t>
  </si>
  <si>
    <t>MYPUP CASUI</t>
  </si>
  <si>
    <t>ZTQSGY</t>
  </si>
  <si>
    <t>EU-43052</t>
  </si>
  <si>
    <t>2026-06-01 08:56:14</t>
  </si>
  <si>
    <t>Kuiperbergweg 32, Amsterdam, Amsterdam</t>
  </si>
  <si>
    <t>1101 AG</t>
  </si>
  <si>
    <t>10233327-10283769</t>
  </si>
  <si>
    <t>linda</t>
  </si>
  <si>
    <t>cappucci</t>
  </si>
  <si>
    <t>408-4199757-4877121</t>
  </si>
  <si>
    <t>2026-06-01 08:57:02</t>
  </si>
  <si>
    <t>via chieti 5, Milano, MI</t>
  </si>
  <si>
    <t>10213157-10263365</t>
  </si>
  <si>
    <t>Debarcadere</t>
  </si>
  <si>
    <t>Catherine</t>
  </si>
  <si>
    <t>Longo</t>
  </si>
  <si>
    <t>EUWS-3168</t>
  </si>
  <si>
    <t>2026-06-01 09:02:06</t>
  </si>
  <si>
    <t>1 Rue du 19 Mars, Erquy, Erquy</t>
  </si>
  <si>
    <t>PONCHA-DES-LG-WTRSUG,PONCHA-DES-MD-WTRSUG,PONCHA-SUM-LG-CSTCANDY,PONCHA-SUM-LG-LAZRIV,PONCHA-SUM-MD-CSTCANDY,PONCHA-SUM-MD-LAZRIV,PONCHK-KID-MD-CHECKOUT,PONCHK-KID-MD-SKATER,PONCHK-KID-SM-JELLY,PONCHK-SUM-SM-UNICN-NS,TEATWL-MD-APPLTRT,TEATWL-MD-GLDHOUR,TEATWL-MD-PEAPOD,TOWLB-CAB-XL-NAVY-R,TOWLB-DES-XL-IBZAGLW,TOWLB-DES-XL-MELLOW,TOWLB-DES-XL-PSTPIER,TOWLB-DES-XL-SWTESC,TOWLB-SUM-XL-CSTCANDY,TOWLB-SUM-XL-MIAMI</t>
  </si>
  <si>
    <t>10211162-10261346</t>
  </si>
  <si>
    <t>AMAZON</t>
  </si>
  <si>
    <t>DTM1</t>
  </si>
  <si>
    <t>FBA15LTQGVBP</t>
  </si>
  <si>
    <t>2026-06-01 09:10:17</t>
  </si>
  <si>
    <t>Amazonstrasse 1, Werne</t>
  </si>
  <si>
    <t xml:space="preserve">16211 (x1), OWNPACK (x4) A-SCRUNCH-PAPER (x1) A-KRAFT-PAPER-TAPE (x2) </t>
  </si>
  <si>
    <t>TOWLB-CAB-LG-LTBLU-R,TOWLB-CAB-LG-LTPNK-R,TOWLB-CAB-XL-BLUE-R,TOWLB-CAB-XL-LTGRY-R,TOWLB-CAB-XL-NAVY-R</t>
  </si>
  <si>
    <t>10228532-10278888</t>
  </si>
  <si>
    <t>Weilnhammer</t>
  </si>
  <si>
    <t>EU-42970</t>
  </si>
  <si>
    <t>2026-06-01 09:14:45</t>
  </si>
  <si>
    <t>Saxenberg, 4, Sankt Wolfgang, Sankt Wolfgang</t>
  </si>
  <si>
    <t>PONCHA-CAB-MD-NAVY-NS,PONCHA-SUM-MD-CSTCANDY,PONCHK-KID-MD-JELLY</t>
  </si>
  <si>
    <t>10228547-10278903</t>
  </si>
  <si>
    <t>Trish</t>
  </si>
  <si>
    <t>Leahy</t>
  </si>
  <si>
    <t>EU-42991</t>
  </si>
  <si>
    <t>2026-06-01 09:15:38</t>
  </si>
  <si>
    <t>66 Meadowlands, Broomfield, Midleton, Cork</t>
  </si>
  <si>
    <t>P25 PP73</t>
  </si>
  <si>
    <t>PONCHK-KID-MD-GVCLUB,PONCHK-KID-MD-JELLY,TOWLB-DES-LG-BLUSKY,TOWLB-SUM-XL-COLAGN</t>
  </si>
  <si>
    <t>10228251-10278606</t>
  </si>
  <si>
    <t>Heilemann</t>
  </si>
  <si>
    <t>EU-42981</t>
  </si>
  <si>
    <t>2026-06-01 09:17:14</t>
  </si>
  <si>
    <t>Riedweg 7, Werra-Suhl-Tal, Werra-Suhl-Tal</t>
  </si>
  <si>
    <t>HAIRW-SUE-MIAMI,TOWLB-DES-XL-ALOHGLW,TOWLB-DES-XL-GRECSHR,TOWLB-SUM-XL-COLAGN,TOWLB-SUM-XL-MIAMI,TOWLB-SUM-XL-OCEAN</t>
  </si>
  <si>
    <t>10228542-10278898</t>
  </si>
  <si>
    <t>Franziska</t>
  </si>
  <si>
    <t>Figge</t>
  </si>
  <si>
    <t>EU-42986</t>
  </si>
  <si>
    <t>2026-06-01 09:17:33</t>
  </si>
  <si>
    <t>Normannenplatz 30, München, München</t>
  </si>
  <si>
    <t>TOWLB-CAB-LG-BLUE-R,TOWLB-CAB-LG-LTBLU-R,TOWLB-CAB-LG-LTPNK-R,TOWLB-CAB-LG-NAVY-R,TOWLB-CAB-LG-PINK-R,TOWLB-CAB-LG-RED-R</t>
  </si>
  <si>
    <t>10228252-10278607</t>
  </si>
  <si>
    <t>C/o Margit Gerig</t>
  </si>
  <si>
    <t>Vera</t>
  </si>
  <si>
    <t>Gerig</t>
  </si>
  <si>
    <t>EU-42980</t>
  </si>
  <si>
    <t>2026-06-01 09:20:16</t>
  </si>
  <si>
    <t>Johanniterstraße 9, Bonn, Bonn</t>
  </si>
  <si>
    <t>BAGF-DES-MD-GROOVCH,HAIRW-SUE-IBZAGLW,HAIRW-WAF-CHRYBMB,TOWLB-CAB-XL-LTBGE-R,TOWLB-CAB-XL-LTGRY-R,TOWLB-DES-LG-MELLOW</t>
  </si>
  <si>
    <t>10228546-10278902</t>
  </si>
  <si>
    <t>Jackie</t>
  </si>
  <si>
    <t>Glynn</t>
  </si>
  <si>
    <t>EU-42990</t>
  </si>
  <si>
    <t>2026-06-01 09:20:20</t>
  </si>
  <si>
    <t>Lána Blackhall, Calverstown, Kilcullen, Kildare</t>
  </si>
  <si>
    <t>R56 VN59</t>
  </si>
  <si>
    <t>TOWLB-CAB-LG-LTPNK-R,TOWLB-CAB-XL-KHAKI-R,TOWLB-DES-LG-BLUSKY,TOWLB-DES-LG-PSTPIER</t>
  </si>
  <si>
    <t>10228540-10278896</t>
  </si>
  <si>
    <t>Marian</t>
  </si>
  <si>
    <t>Vanhoeij</t>
  </si>
  <si>
    <t>EU-42985</t>
  </si>
  <si>
    <t>2026-06-01 09:21:47</t>
  </si>
  <si>
    <t>Bruegelhof 4, Lennik, Lennik</t>
  </si>
  <si>
    <t>TOWLB-CAB-LG-KHAKI-R,TOWLB-CAB-LG-NAVY-R,TOWLB-DES-LG-BLUSKY,TOWLB-SUM-XL-COLAGN</t>
  </si>
  <si>
    <t>10228249-10278604</t>
  </si>
  <si>
    <t>Maguire</t>
  </si>
  <si>
    <t>EU-42977</t>
  </si>
  <si>
    <t>2026-06-01 09:23:10</t>
  </si>
  <si>
    <t>10 Kilvere Park, Cypress Downs, Templeogue, Dublin</t>
  </si>
  <si>
    <t>D6W VF10</t>
  </si>
  <si>
    <t>TEATWL-MD-PEAPOD,TEATWL-MD-RGRTTI,TEATWL-MD-SQCLEAN,TEATWL-MD-TRPPNCH,TEATWL-MD-WINEDINE,TOWLB-CAB-LG-LTBLU-R,TOWLB-CAB-LG-LTPPL-R,TOWLB-CAB-LG-ORANG-R,TOWLB-CAB-LG-PINK-R</t>
  </si>
  <si>
    <t>10228257-10278612</t>
  </si>
  <si>
    <t>Rentz</t>
  </si>
  <si>
    <t>EU-42982</t>
  </si>
  <si>
    <t>2026-06-01 09:24:28</t>
  </si>
  <si>
    <t>Ulmer Straße 264, Stuttgart, Stuttgart</t>
  </si>
  <si>
    <t>TOWLB-CAB-XL-LTBGE-R,TOWLB-CAB-XL-ORANG-R,TOWLB-CAB-XL-YELL-R</t>
  </si>
  <si>
    <t>10228250-10278605</t>
  </si>
  <si>
    <t>EU-42976</t>
  </si>
  <si>
    <t>2026-06-01 09:25:37</t>
  </si>
  <si>
    <t>7 Redwood Ave, Broomfield Village, Midleton, Cork</t>
  </si>
  <si>
    <t>P25 C821</t>
  </si>
  <si>
    <t>10228246-10278601</t>
  </si>
  <si>
    <t>van Angeren</t>
  </si>
  <si>
    <t>EU-42974</t>
  </si>
  <si>
    <t>2026-06-01 09:39:26</t>
  </si>
  <si>
    <t>Elegaststraat 7HS, Amsterdam, Amsterdam</t>
  </si>
  <si>
    <t>1055 TG</t>
  </si>
  <si>
    <t>PICNIC-DES-LG-MARGMAD,TOWLB-DES-LG-LEMWAV</t>
  </si>
  <si>
    <t>10230793-10281160</t>
  </si>
  <si>
    <t>Mathea</t>
  </si>
  <si>
    <t>Schwangler</t>
  </si>
  <si>
    <t>EU-43027</t>
  </si>
  <si>
    <t>2026-06-01 09:40:33</t>
  </si>
  <si>
    <t>Raiffeisenstraße 13, Petting, Petting</t>
  </si>
  <si>
    <t>BAGF-SUM-MD-MIAMI,HAIRW-SUE-MIAMI,TOWLB-DES-XL-BLUSPRIT,TOWLB-DES-XL-LEMWAV,TOWLB-SUM-XL-COLAGN,TOWLB-SUM-XL-MIAMI</t>
  </si>
  <si>
    <t>10228537-10278893</t>
  </si>
  <si>
    <t>Demiguel</t>
  </si>
  <si>
    <t>EU-42984</t>
  </si>
  <si>
    <t>2026-06-01 09:40:44</t>
  </si>
  <si>
    <t>4 Blvd Marius Thomas, Marseille, Marseille</t>
  </si>
  <si>
    <t>TOWLB-DOB-XL-CALM,TOWLB-SUM-XL-COLAGN</t>
  </si>
  <si>
    <t>10230202-10280569</t>
  </si>
  <si>
    <t>Eugenie</t>
  </si>
  <si>
    <t>Thornton</t>
  </si>
  <si>
    <t>EU-43019</t>
  </si>
  <si>
    <t>2026-06-01 09:42:35</t>
  </si>
  <si>
    <t>10-12 Lansdowne Rd, Ballsbridge, Dublin 4, Dublin</t>
  </si>
  <si>
    <t>D04 F720</t>
  </si>
  <si>
    <t>10228543-10278899</t>
  </si>
  <si>
    <t>Leanne</t>
  </si>
  <si>
    <t>Nolan</t>
  </si>
  <si>
    <t>EU-42987</t>
  </si>
  <si>
    <t>2026-06-01 09:43:07</t>
  </si>
  <si>
    <t>Room 6, E House, Cathal Brugha Barracks, Military Rd, Rathmines, Dublin</t>
  </si>
  <si>
    <t>D06 RX00</t>
  </si>
  <si>
    <t>10228256-10278611</t>
  </si>
  <si>
    <t>Kraxner-Spornberger</t>
  </si>
  <si>
    <t>302-0960990-7501940</t>
  </si>
  <si>
    <t>2026-06-01 09:45:27</t>
  </si>
  <si>
    <t>Urtlweg 19, Landeck, Landeck</t>
  </si>
  <si>
    <t>PICNIC-DES-XL-BRGTSIDE,PICNIC-DES-XL-SPRCLUB</t>
  </si>
  <si>
    <t>10230493-10280860</t>
  </si>
  <si>
    <t>Rosczak</t>
  </si>
  <si>
    <t>EU-43020</t>
  </si>
  <si>
    <t>2026-06-01 09:45:38</t>
  </si>
  <si>
    <t>Feldkirchenring 38, Ahrensburg, Ahrensburg</t>
  </si>
  <si>
    <t>BAGDRY-XS-WAVYBBY,HAIRW-CAB-LTBLU-NB,TOWLB-DES-LG-GRECSHR</t>
  </si>
  <si>
    <t>10229307-10279670</t>
  </si>
  <si>
    <t>Vinroth</t>
  </si>
  <si>
    <t>EU-43001</t>
  </si>
  <si>
    <t>2026-06-01 09:46:27</t>
  </si>
  <si>
    <t>Björngatan 24, Luleå, Luleå</t>
  </si>
  <si>
    <t>972 31</t>
  </si>
  <si>
    <t>Sweden</t>
  </si>
  <si>
    <t>TOWLB-SUM-XL-COLAGN,TOWLB-SUM-XL-CSTCANDY</t>
  </si>
  <si>
    <t>10230794-10281161</t>
  </si>
  <si>
    <t>Stephens</t>
  </si>
  <si>
    <t>EU-43030</t>
  </si>
  <si>
    <t>2026-06-01 09:47:20</t>
  </si>
  <si>
    <t>26 Belarmine Grove, Stepaside Co. Dublin, Dublin</t>
  </si>
  <si>
    <t>D18 NV02</t>
  </si>
  <si>
    <t>TOWLB-DES-XL-IBZAGLW,TOWLB-KID-LG-GVCLUB,TOWLB-KID-LG-JELLY,TOWLB-SUM-XL-OCEAN</t>
  </si>
  <si>
    <t>10230200-10280567</t>
  </si>
  <si>
    <t>Sascha</t>
  </si>
  <si>
    <t>Klemm</t>
  </si>
  <si>
    <t>EU-43018</t>
  </si>
  <si>
    <t>2026-06-01 09:48:25</t>
  </si>
  <si>
    <t>Kopernikusstraße 29, Weinheim, Weinheim</t>
  </si>
  <si>
    <t>TOWLB-DES-LG-HOTTROP,TOWLB-DES-LG-WTRSUG,TOWLB-SUM-LG-SANDSEA</t>
  </si>
  <si>
    <t>10229050-10279410</t>
  </si>
  <si>
    <t>Simon</t>
  </si>
  <si>
    <t>Allgäuer</t>
  </si>
  <si>
    <t>EU-42999</t>
  </si>
  <si>
    <t>2026-06-01 09:50:20</t>
  </si>
  <si>
    <t>Solmsstraße 33, Berlin, Berlin</t>
  </si>
  <si>
    <t>TOWLB-DES-XL-LEMWAV,TOWLB-SUM-XL-COLAGN</t>
  </si>
  <si>
    <t>10229538-10279901</t>
  </si>
  <si>
    <t>Ta</t>
  </si>
  <si>
    <t>EU-43008</t>
  </si>
  <si>
    <t>2026-06-01 09:51:41</t>
  </si>
  <si>
    <t>Am Rudolf-Widmann-Bogen 13D, Starnberg, Starnberg</t>
  </si>
  <si>
    <t>TOWLB-CAB-XL-GREEN-R,TOWLB-CAB-XL-NAVY-R</t>
  </si>
  <si>
    <t>10228253-10278608</t>
  </si>
  <si>
    <t>Dennis</t>
  </si>
  <si>
    <t>Ratzer</t>
  </si>
  <si>
    <t>EU-42979</t>
  </si>
  <si>
    <t>2026-06-01 09:52:55</t>
  </si>
  <si>
    <t>Weisse Taube 47, Dortmund, Dortmund</t>
  </si>
  <si>
    <t>TOWLB-SUM-XL-COLAGN</t>
  </si>
  <si>
    <t>10228254-10278609</t>
  </si>
  <si>
    <t>Paul</t>
  </si>
  <si>
    <t>Van Eepoel</t>
  </si>
  <si>
    <t>EU-42978</t>
  </si>
  <si>
    <t>2026-06-01 09:54:33</t>
  </si>
  <si>
    <t>Ternatstraat, 4, Sint-Martens-Bodegem, Sint-Martens-Bodegem</t>
  </si>
  <si>
    <t>TOWLB-SUM-XL-RAINB-R</t>
  </si>
  <si>
    <t>10228544-10278900</t>
  </si>
  <si>
    <t>katja</t>
  </si>
  <si>
    <t>plazar</t>
  </si>
  <si>
    <t>EU-42988</t>
  </si>
  <si>
    <t>2026-06-01 09:55:54</t>
  </si>
  <si>
    <t>torkarjeva 12, ljubljana, ljubljana</t>
  </si>
  <si>
    <t>Slovenia</t>
  </si>
  <si>
    <t>BAGF-DES-MD-CHECKMT,TOWLB-DES-LG-BLUSPRIT</t>
  </si>
  <si>
    <t>10231127-10281494</t>
  </si>
  <si>
    <t>Richards</t>
  </si>
  <si>
    <t>EU-43036</t>
  </si>
  <si>
    <t>2026-06-01 10:02:21</t>
  </si>
  <si>
    <t>15 Rathealy Heights, Fermoy, Cork, Cork</t>
  </si>
  <si>
    <t>P61 R602</t>
  </si>
  <si>
    <t>TOWLB-CAB-LG-BLUE-R,TOWLB-CAB-LG-NAVY-R,TOWLB-CAB-LG-ORANG-R,TOWLB-CAB-LG-RED-R</t>
  </si>
  <si>
    <t>10231129-10281496</t>
  </si>
  <si>
    <t>Corry Farm</t>
  </si>
  <si>
    <t>Caitriona</t>
  </si>
  <si>
    <t>Corry</t>
  </si>
  <si>
    <t>EU-43037</t>
  </si>
  <si>
    <t>2026-06-01 10:04:10</t>
  </si>
  <si>
    <t>Balgeeth Ardcath, Garristown, Meath</t>
  </si>
  <si>
    <t>A42 YP86</t>
  </si>
  <si>
    <t>10231124-10281491</t>
  </si>
  <si>
    <t>Manuela</t>
  </si>
  <si>
    <t>Bauer</t>
  </si>
  <si>
    <t>EU-43032</t>
  </si>
  <si>
    <t>2026-06-01 10:07:42</t>
  </si>
  <si>
    <t>Sebastianusweg 21, Sinzig, Sinzig</t>
  </si>
  <si>
    <t>TOWLB-CAB-XL-BLACK-R,TOWLB-CAB-XL-LTBGE-R,TOWLB-CAB-XL-LTGRY-R,TOWLB-CAB-XL-NAVY-R</t>
  </si>
  <si>
    <t>10229762-10280127</t>
  </si>
  <si>
    <t>Jakob</t>
  </si>
  <si>
    <t>EU-43009</t>
  </si>
  <si>
    <t>2026-06-01 10:09:51</t>
  </si>
  <si>
    <t>Bismarckstraße 12, Haßloch, Haßloch</t>
  </si>
  <si>
    <t>BALLAST-SUM-CSTCANDY,BALLAST-SUM-MIAMI,PICNIC-DES-XL-CANDSTR,PONCHK-KID-SM-JELLY,TOWLB-DES-XL-BLUSPRIT,TOWLB-DES-XL-LEMWAV,TOWLB-KID-LG-JELLY</t>
  </si>
  <si>
    <t>10231367-10281734</t>
  </si>
  <si>
    <t>Leen</t>
  </si>
  <si>
    <t>De Boitselier</t>
  </si>
  <si>
    <t>EU-43038</t>
  </si>
  <si>
    <t>2026-06-01 10:10:23</t>
  </si>
  <si>
    <t>Nekkersput 97, Ninove, Ninove</t>
  </si>
  <si>
    <t>10230795-10281162</t>
  </si>
  <si>
    <t>Rachael</t>
  </si>
  <si>
    <t>Milner Earl</t>
  </si>
  <si>
    <t>EU-43029</t>
  </si>
  <si>
    <t>2026-06-01 10:11:57</t>
  </si>
  <si>
    <t>Calle Tomas Lopez 15, Torremendo, Orihuela, Alicante</t>
  </si>
  <si>
    <t>03313</t>
  </si>
  <si>
    <t>BALLAST-CAB-NAVY,BALLAST-SUM-CSTCANDY,BALLAST-SUM-MIAMI</t>
  </si>
  <si>
    <t>10229308-10279671</t>
  </si>
  <si>
    <t>Viola</t>
  </si>
  <si>
    <t>Träder</t>
  </si>
  <si>
    <t>EU-43000</t>
  </si>
  <si>
    <t>2026-06-01 10:12:26</t>
  </si>
  <si>
    <t>Deutz-Kalker Str 66, Köln, Köln</t>
  </si>
  <si>
    <t>TOWLB-DES-LG-BLUSKY,TOWLB-DES-XL-BLUSPRIT,TOWLB-SUM-LG-CSTCANDY</t>
  </si>
  <si>
    <t>10229976-10280343</t>
  </si>
  <si>
    <t>Oliver</t>
  </si>
  <si>
    <t>Herschbach</t>
  </si>
  <si>
    <t>EU-43015</t>
  </si>
  <si>
    <t>2026-06-01 10:15:13</t>
  </si>
  <si>
    <t>Kiefernweg 3a, Lindlar, Lindlar</t>
  </si>
  <si>
    <t>BAGDRY-XS-MIAMI,BAGDRY-XS-WAVYBBY,PICNIC-DES-XL-MARGMAD</t>
  </si>
  <si>
    <t>10207766-10257862</t>
  </si>
  <si>
    <t>Femke</t>
  </si>
  <si>
    <t>Casier</t>
  </si>
  <si>
    <t>EU-42699</t>
  </si>
  <si>
    <t>2026-06-01 10:15:34</t>
  </si>
  <si>
    <t>Gistelsteenweg 509, Jabbeke, Jabbeke</t>
  </si>
  <si>
    <t>BAGDRY-XS-NAVY,BAGF-CAB-MD-NAVY,TOWLB-SUM-XL-COLAGN,TOWLB-SUM-XL-CSTCANDY,TOWLB-SUM-XL-MIAMI,TOWLB-SUM-XL-RAINB-R,TOWLB-SUM-XL-SANDSEA,TOWLB-SUM-XL-UNICN-R</t>
  </si>
  <si>
    <t>10229972-10280339</t>
  </si>
  <si>
    <t>Pleun</t>
  </si>
  <si>
    <t>Van Schijndel</t>
  </si>
  <si>
    <t>EU-43011</t>
  </si>
  <si>
    <t>2026-06-01 10:16:48</t>
  </si>
  <si>
    <t>Molendreef, 24, LIESHOUT, LIESHOUT</t>
  </si>
  <si>
    <t>5737 EP</t>
  </si>
  <si>
    <t>BAGF-DES-MD-WYWH,DOGTWL-DES-LG-GOLONG,TOWLB-DES-XL-SWTESC</t>
  </si>
  <si>
    <t>10229536-10279899</t>
  </si>
  <si>
    <t>Janecek</t>
  </si>
  <si>
    <t>EU-43006</t>
  </si>
  <si>
    <t>2026-06-01 10:17:26</t>
  </si>
  <si>
    <t>Lierzbergerweg 37, Neulichtenberg, Neulichtenberg</t>
  </si>
  <si>
    <t>BAGF-SUM-MD-MIAMI,BALLAST-SUM-MIAMI,HAIRW-WAF-CHRYBMB,PONCHA-SUM-LG-UNICN-NS,TOWLB-DES-XL-BLUSPRIT,TOWLB-SUM-XL-MIAMI</t>
  </si>
  <si>
    <t>10229312-10279675</t>
  </si>
  <si>
    <t>Rölfs</t>
  </si>
  <si>
    <t>028-7932555-0791552</t>
  </si>
  <si>
    <t>2026-06-01 10:18:16</t>
  </si>
  <si>
    <t>Malerei Einzigartig, Hochstetter Straße 52, Linkenheim-hochstetten, Linkenheim-hochstetten</t>
  </si>
  <si>
    <t>BAGF-DES-MD-CHECKMT,PONCHK-KID-MD-GVCLUB</t>
  </si>
  <si>
    <t>10229537-10279900</t>
  </si>
  <si>
    <t>Audrey</t>
  </si>
  <si>
    <t>Déverite</t>
  </si>
  <si>
    <t>EU-43007</t>
  </si>
  <si>
    <t>2026-06-01 10:19:04</t>
  </si>
  <si>
    <t>28, rue Paul bert, 4eme étage, Lyon, Lyon</t>
  </si>
  <si>
    <t>TEATWL-MD-GRTFROM,TOWLB-DOB-LG-CALM,TOWLB-KID-MD-TURTROP</t>
  </si>
  <si>
    <t>10229974-10280341</t>
  </si>
  <si>
    <t>Bradley</t>
  </si>
  <si>
    <t>EU-43012</t>
  </si>
  <si>
    <t>2026-06-01 10:19:44</t>
  </si>
  <si>
    <t>95 Dollymount Park, Dublin 3, Dublin</t>
  </si>
  <si>
    <t>D03 W7Y8</t>
  </si>
  <si>
    <t>TOWLB-SUM-XL-COLAGN,TOWLB-SUM-XL-CSTCANDY,TOWLB-SUM-XL-MIAMI,TOWLB-SUM-XL-RAINB-R,TOWLB-SUM-XL-SANDSEA,TOWLB-SUM-XL-UNICN-R</t>
  </si>
  <si>
    <t>10230796-10281163</t>
  </si>
  <si>
    <t>Löffler</t>
  </si>
  <si>
    <t>EU-43028</t>
  </si>
  <si>
    <t>2026-06-01 10:20:39</t>
  </si>
  <si>
    <t>Starweg 8, Hösbach, Hösbach</t>
  </si>
  <si>
    <t>TOWLB-CAB-XL-LTGRY-R</t>
  </si>
  <si>
    <t>10229977-10280344</t>
  </si>
  <si>
    <t>Xuclà Sanmarti</t>
  </si>
  <si>
    <t>EU-43014</t>
  </si>
  <si>
    <t>2026-06-01 10:22:42</t>
  </si>
  <si>
    <t>Carrer Creu Coberta 104, Barcelona, Barcelona</t>
  </si>
  <si>
    <t>08014</t>
  </si>
  <si>
    <t>TOWLB-CAB-LG-KHAKI-R,TOWLB-CAB-LG-ORANG-R,TOWLB-DES-LG-TANTIDE</t>
  </si>
  <si>
    <t>10229973-10280340</t>
  </si>
  <si>
    <t>Ljustina</t>
  </si>
  <si>
    <t>EU-43010</t>
  </si>
  <si>
    <t>2026-06-01 10:23:21</t>
  </si>
  <si>
    <t>Großer Biergrund 1, Offenbach am Main, Offenbach am Main</t>
  </si>
  <si>
    <t>BAGDRY-XS-HOTTROP,BAGDRY-XS-WYWH</t>
  </si>
  <si>
    <t>10230496-10280863</t>
  </si>
  <si>
    <t>David</t>
  </si>
  <si>
    <t>Yammine</t>
  </si>
  <si>
    <t>EU-43022</t>
  </si>
  <si>
    <t>2026-06-01 10:24:06</t>
  </si>
  <si>
    <t>Kleiburg 727, Amsterdam, Amsterdam</t>
  </si>
  <si>
    <t>1104 EA</t>
  </si>
  <si>
    <t>BAGF-SUM-MD-COLAGN,TOWLB-SUM-XL-COLAGN</t>
  </si>
  <si>
    <t>10229975-10280342</t>
  </si>
  <si>
    <t>Cyril</t>
  </si>
  <si>
    <t>Guillier</t>
  </si>
  <si>
    <t>EU-43016</t>
  </si>
  <si>
    <t>2026-06-01 10:25:55</t>
  </si>
  <si>
    <t>10 Rue des Gravilliers, Paris, Paris</t>
  </si>
  <si>
    <t>TOWLB-CAB-XL-KHAKI-R,TOWLB-CAB-XL-LTBGE-R</t>
  </si>
  <si>
    <t>10230494-10280861</t>
  </si>
  <si>
    <t>Justine</t>
  </si>
  <si>
    <t>Pinkney</t>
  </si>
  <si>
    <t>EU-43021</t>
  </si>
  <si>
    <t>2026-06-01 10:49:33</t>
  </si>
  <si>
    <t>Karnemelksloot 179, 179, Gouda, Gouda</t>
  </si>
  <si>
    <t>2806 BE</t>
  </si>
  <si>
    <t>TOWLB-CAB-XL-LTPNK-R,TOWLB-CAB-XL-NAVY-R</t>
  </si>
  <si>
    <t>10230198-10280565</t>
  </si>
  <si>
    <t>Milica</t>
  </si>
  <si>
    <t>Stojanovic</t>
  </si>
  <si>
    <t>EU-43017</t>
  </si>
  <si>
    <t>2026-06-01 10:50:32</t>
  </si>
  <si>
    <t>Stallschreiberstr 17, Berlin, Berlin</t>
  </si>
  <si>
    <t>BAGF-SUM-MD-MIAMI,TOWLB-SUM-LG-MIAMI</t>
  </si>
  <si>
    <t>10230797-10281164</t>
  </si>
  <si>
    <t>gcl</t>
  </si>
  <si>
    <t>Gary</t>
  </si>
  <si>
    <t>EU-43031</t>
  </si>
  <si>
    <t>2026-06-01 10:52:05</t>
  </si>
  <si>
    <t>46 Strand Rd, Dublin, Dublin</t>
  </si>
  <si>
    <t>D13 X8X7</t>
  </si>
  <si>
    <t>TOWLB-CAB-LG-LTBLU-R,TOWLB-DES-LG-KARMA</t>
  </si>
  <si>
    <t>10232395-10282762</t>
  </si>
  <si>
    <t>Heinrich</t>
  </si>
  <si>
    <t>EU-43045</t>
  </si>
  <si>
    <t>2026-06-01 10:52:47</t>
  </si>
  <si>
    <t>Ulmenweg 12, Urbach, Urbach</t>
  </si>
  <si>
    <t>TOWLB-CAB-LG-LTPPL-R,TOWLB-CAB-XL-LTPPL-R</t>
  </si>
  <si>
    <t>10231841-10282208</t>
  </si>
  <si>
    <t>EMJ</t>
  </si>
  <si>
    <t>Flynn</t>
  </si>
  <si>
    <t>EU-43039</t>
  </si>
  <si>
    <t>2026-06-01 10:54:09</t>
  </si>
  <si>
    <t>Burnley, Ennis Rd, Limerick, Limerick</t>
  </si>
  <si>
    <t>V94 NX00</t>
  </si>
  <si>
    <t>10232787-10283154</t>
  </si>
  <si>
    <t>Corinne</t>
  </si>
  <si>
    <t>Sonntag</t>
  </si>
  <si>
    <t>EU-43049</t>
  </si>
  <si>
    <t>2026-06-01 10:56:36</t>
  </si>
  <si>
    <t>6, Rue Des Forges, 1, Weiler La Tour, Weiler La Tour</t>
  </si>
  <si>
    <t>TOWLB-CAB-XL-BLUE-R,TOWLB-CAB-XL-NAVY-R,TOWLB-CAB-XL-ORANG-R,TOWLB-CAB-XL-RED-R</t>
  </si>
  <si>
    <t>10233662-10284135</t>
  </si>
  <si>
    <t>Mareike</t>
  </si>
  <si>
    <t>Bölle</t>
  </si>
  <si>
    <t>EU-43059</t>
  </si>
  <si>
    <t>2026-06-01 10:59:16</t>
  </si>
  <si>
    <t>Weiherstrasse 36, Puchheim, Puchheim</t>
  </si>
  <si>
    <t>PONCHA-SUM-MD-UNICN-NS,PONCHK-KID-MD-GVCLUB,PONCHK-SUM-MD-UNICN-NS</t>
  </si>
  <si>
    <t>10228799-10279156</t>
  </si>
  <si>
    <t>Walker</t>
  </si>
  <si>
    <t>EU-42993</t>
  </si>
  <si>
    <t>2026-06-01 10:59:39</t>
  </si>
  <si>
    <t>18 Carraig Aoil, Cloughduv, Cork</t>
  </si>
  <si>
    <t>P14 RF97</t>
  </si>
  <si>
    <t>BAGF-SUM-MD-CSTCANDY,PICNIC-DES-XL-BRGTSIDE,PONCHK-KID-MD-CHECKOUT,PONCHK-KID-SM-BUBDRM,PONCHK-SUM-MD-UNICN-NS</t>
  </si>
  <si>
    <t>10232786-10283153</t>
  </si>
  <si>
    <t>Brunotte</t>
  </si>
  <si>
    <t>EU-43048</t>
  </si>
  <si>
    <t>2026-06-01 11:00:47</t>
  </si>
  <si>
    <t>Rehmbrook 79 A, Hamburg, Hamburg</t>
  </si>
  <si>
    <t>TOWLB-CAB-LG-BLACK-R,TOWLB-SUM-LG-MIAMI</t>
  </si>
  <si>
    <t>10229051-10279411</t>
  </si>
  <si>
    <t>Della</t>
  </si>
  <si>
    <t>Kilroy</t>
  </si>
  <si>
    <t>EU-42998</t>
  </si>
  <si>
    <t>2026-06-01 11:01:58</t>
  </si>
  <si>
    <t>18 Bath Ave Gardens, Sandymount, Dublin 4, Dublin</t>
  </si>
  <si>
    <t>D04 C6H3</t>
  </si>
  <si>
    <t>PONCHA-CLA-LG-NAVY-NS,PONCHK-KID-SM-BUBDRM,PONCHK-KID-SM-JELLY</t>
  </si>
  <si>
    <t>10231526-10281893</t>
  </si>
  <si>
    <t>O’Brien</t>
  </si>
  <si>
    <t>EU-43043</t>
  </si>
  <si>
    <t>2026-06-01 11:02:19</t>
  </si>
  <si>
    <t>Monksgrange, Knocklofty, Clonmel, Tipperary</t>
  </si>
  <si>
    <t>E91 X9D9</t>
  </si>
  <si>
    <t>TOWLB-DES-XL-BLUSPRIT,TOWLB-DES-XL-LEMWAV,TOWLB-SUM-LG-TUTFRU,TOWLB-SUM-XL-COLAGN,TOWLB-SUM-XL-MIAMI</t>
  </si>
  <si>
    <t>10233008-10283388</t>
  </si>
  <si>
    <t>Lanz</t>
  </si>
  <si>
    <t>EU-43051</t>
  </si>
  <si>
    <t>2026-06-01 11:03:03</t>
  </si>
  <si>
    <t>Am Brauhaus 14, Erdgeschoss, Erfurt, Erfurt</t>
  </si>
  <si>
    <t>BAGF-CAB-MD-NAVY,TOWLB-CAB-XL-BLACK-R,TOWLB-CAB-XL-LTBGE-R,TOWLB-CAB-XL-LTGRY-R,TOWLB-CAB-XL-NAVY-R</t>
  </si>
  <si>
    <t>10231525-10281892</t>
  </si>
  <si>
    <t>Eduardo</t>
  </si>
  <si>
    <t>Castresana</t>
  </si>
  <si>
    <t>EU-43042</t>
  </si>
  <si>
    <t>2026-06-01 11:04:16</t>
  </si>
  <si>
    <t>Pintor Angel Alonso, 24H Esquina, Laredo, Cantabria</t>
  </si>
  <si>
    <t>COOL-CAB-NAVY-R,TOWLB-SUM-XL-SANDSEA,TOWLH-CLA-SM-NAVY</t>
  </si>
  <si>
    <t>10233659-10284132</t>
  </si>
  <si>
    <t>Kutkiewicz</t>
  </si>
  <si>
    <t>EU-43056</t>
  </si>
  <si>
    <t>2026-06-01 11:04:33</t>
  </si>
  <si>
    <t>Maikäferstraße 3c, Kirchheim bei München, Kirchheim bei München</t>
  </si>
  <si>
    <t>10229306-10279669</t>
  </si>
  <si>
    <t>Black</t>
  </si>
  <si>
    <t>EU-43002</t>
  </si>
  <si>
    <t>2026-06-01 11:04:34</t>
  </si>
  <si>
    <t>88 Fort Hill, Moneygurney, Cork, Cork</t>
  </si>
  <si>
    <t>T12 H7NF</t>
  </si>
  <si>
    <t>BAGF-CAB-MD-NAVY,COOL-DES-MIDNMOV,HAIRW-CAB-LTBLU-NB,HAIRW-CAB-LTPPL-NB,HAIRW-CAB-NAVY-NB,PP-TOWLB-CAB-XL-4SET-BLUE,TOWLB-KID-LG-KARMCHAM,TOWLB-KID-MD-TURTROP</t>
  </si>
  <si>
    <t>10231844-10282211</t>
  </si>
  <si>
    <t>Kate</t>
  </si>
  <si>
    <t>Corrigan</t>
  </si>
  <si>
    <t>EU-43040</t>
  </si>
  <si>
    <t>2026-06-01 11:05:47</t>
  </si>
  <si>
    <t>114 Botanic Rd, Glasnevin, Dublin 9, Dublin</t>
  </si>
  <si>
    <t>D09 C2R0</t>
  </si>
  <si>
    <t>BAGF-DES-MD-BANARAM,TOWLB-DES-XL-BLUSPRIT,TOWLB-KID-MD-TURTROP,TOWLB-SUM-LG-MIAMI</t>
  </si>
  <si>
    <t>10228798-10279155</t>
  </si>
  <si>
    <t>Deirdre</t>
  </si>
  <si>
    <t>Kiely</t>
  </si>
  <si>
    <t>EU-42994</t>
  </si>
  <si>
    <t>2026-06-01 11:06:02</t>
  </si>
  <si>
    <t>Abbey Lodge, Kilcrea, Ovens, Cork</t>
  </si>
  <si>
    <t>P31 CF74</t>
  </si>
  <si>
    <t>TOWLB-CAB-LG-LTPNK-R,TOWLB-CAB-LG-NAVY-R,TOWLB-CAB-LG-RED-R,TOWLB-CAB-LG-YELL-R</t>
  </si>
  <si>
    <t>10231848-10282215</t>
  </si>
  <si>
    <t>Sandy</t>
  </si>
  <si>
    <t>Dauphin</t>
  </si>
  <si>
    <t>EU-43041</t>
  </si>
  <si>
    <t>2026-06-01 11:07:27</t>
  </si>
  <si>
    <t>11, Un Der Äisch, Kahler, Kahler</t>
  </si>
  <si>
    <t>BAGF-SUM-MD-CSTCANDY,TOWLB-SUM-LG-COLAGN,TOWLB-SUM-LG-MIAMI,TOWLB-SUM-LG-OCEAN,TOWLB-SUM-LG-TUTFRU</t>
  </si>
  <si>
    <t>10228801-10279158</t>
  </si>
  <si>
    <t>EU-42996</t>
  </si>
  <si>
    <t>2026-06-01 11:07:29</t>
  </si>
  <si>
    <t>39 Alma Rd, Monkstown, Dublin, Dublin</t>
  </si>
  <si>
    <t>A94 NK45</t>
  </si>
  <si>
    <t>10231851-10282218</t>
  </si>
  <si>
    <t>Elaine</t>
  </si>
  <si>
    <t>Mc Gonnell</t>
  </si>
  <si>
    <t>EU-43044</t>
  </si>
  <si>
    <t>2026-06-01 11:09:47</t>
  </si>
  <si>
    <t>Drumbanagher, Glaslough, Monaghan, Monaghan</t>
  </si>
  <si>
    <t>H18 DD39</t>
  </si>
  <si>
    <t>10234017-10284498</t>
  </si>
  <si>
    <t>Edel</t>
  </si>
  <si>
    <t>Sheehan</t>
  </si>
  <si>
    <t>EU-43065</t>
  </si>
  <si>
    <t>2026-06-01 11:11:44</t>
  </si>
  <si>
    <t>Gurteen Kanturk, Cork, Cork</t>
  </si>
  <si>
    <t>P51 NX67</t>
  </si>
  <si>
    <t>10234015-10284496</t>
  </si>
  <si>
    <t>Samantha</t>
  </si>
  <si>
    <t>Byrne</t>
  </si>
  <si>
    <t>EU-43066</t>
  </si>
  <si>
    <t>2026-06-01 11:13:11</t>
  </si>
  <si>
    <t>Baile àthas, Killuragh, Cappamore, Limerick</t>
  </si>
  <si>
    <t>V94 WVP6</t>
  </si>
  <si>
    <t>TOWLB-CAB-XL-KHAKI-R,TOWLB-COLLAB-LG-UNO</t>
  </si>
  <si>
    <t>10234009-10284490</t>
  </si>
  <si>
    <t>Susanne</t>
  </si>
  <si>
    <t>Fitzpatrick</t>
  </si>
  <si>
    <t>EU-43060</t>
  </si>
  <si>
    <t>2026-06-01 11:20:34</t>
  </si>
  <si>
    <t>10 The Manor, Cypress Downs, Templeogue, DUBLIN 6W, Dublin</t>
  </si>
  <si>
    <t>D6W V520</t>
  </si>
  <si>
    <t>10234024-10284505</t>
  </si>
  <si>
    <t>Forrest</t>
  </si>
  <si>
    <t>EU-43069</t>
  </si>
  <si>
    <t>2026-06-01 11:22:18</t>
  </si>
  <si>
    <t>The Lodge, Deerpark Mogeely, Castlemartyr, Cork</t>
  </si>
  <si>
    <t>P25 W275</t>
  </si>
  <si>
    <t>10234022-10284503</t>
  </si>
  <si>
    <t>Alison</t>
  </si>
  <si>
    <t>EU-43067</t>
  </si>
  <si>
    <t>2026-06-01 11:23:38</t>
  </si>
  <si>
    <t>Lismore, Newtownforbes, Longford</t>
  </si>
  <si>
    <t>N39 KR61</t>
  </si>
  <si>
    <t>BAGF-SUM-MD-MIAMI,TOWLB-CAB-XL-NAVY-R,TOWLB-DES-XL-TANTIDE</t>
  </si>
  <si>
    <t>10234011-10284492</t>
  </si>
  <si>
    <t>Brett</t>
  </si>
  <si>
    <t>EU-43063</t>
  </si>
  <si>
    <t>2026-06-01 11:24:58</t>
  </si>
  <si>
    <t>21 copper valley heights, Glanmire, Cork</t>
  </si>
  <si>
    <t>T45 WR90</t>
  </si>
  <si>
    <t>TOWLB-CAB-LG-LTPNK-R,TOWLB-CAB-XL-LTPPL-R,TOWLB-DOB-XL-CALM</t>
  </si>
  <si>
    <t>10234021-10284502</t>
  </si>
  <si>
    <t>Yolanda</t>
  </si>
  <si>
    <t>Gagel</t>
  </si>
  <si>
    <t>EU-43068</t>
  </si>
  <si>
    <t>2026-06-01 11:26:08</t>
  </si>
  <si>
    <t>Pierestraat 16, Rucphen, Rucphen</t>
  </si>
  <si>
    <t>4715 RP</t>
  </si>
  <si>
    <t>COOL-DES-SUNSRUN,HAIRW-SUE-MIAMI,PONCHA-SUM-LG-CSTCANDY,TOWLB-DES-XL-SWTESC</t>
  </si>
  <si>
    <t>10233006-10283386</t>
  </si>
  <si>
    <t>Lindeman</t>
  </si>
  <si>
    <t>EU-43050</t>
  </si>
  <si>
    <t>2026-06-01 12:07:10</t>
  </si>
  <si>
    <t>St Antonielaan, Arnhem, Arnhem</t>
  </si>
  <si>
    <t>6821 GJ</t>
  </si>
  <si>
    <t>BAGCOOL-MD-NAVY,BAGF-SUM-MD-COLAGN,PICNIC-DES-XL-CANDSTR,TOWLB-DES-XL-BLUSPRIT,TOWLB-DES-XL-LEMWAV,TOWLB-SUM-XL-COLAGN,TOWLB-SUM-XL-MIAMI,TOWLB-SUM-XL-SANDSEA</t>
  </si>
  <si>
    <t>10233333-10283775</t>
  </si>
  <si>
    <t>Viva</t>
  </si>
  <si>
    <t>Phelan</t>
  </si>
  <si>
    <t>EU-43054</t>
  </si>
  <si>
    <t>2026-06-01 12:09:30</t>
  </si>
  <si>
    <t>Cill Seanach, Curraheen, Rathgormack, Via Carrick on Suir, E32 C894, Co Waterford, Waterford</t>
  </si>
  <si>
    <t>E32 C894</t>
  </si>
  <si>
    <t>BAGF-SUM-MD-CSTCANDY,TOWLB-COLLAB-XL-UNO,TOWLB-DES-XL-IBZAGLW,TOWLB-DES-XL-KARMA,TOWLB-DES-XL-SWTESC,TOWLB-SUM-XL-COLAGN</t>
  </si>
  <si>
    <t>10234006-10284487</t>
  </si>
  <si>
    <t>Georgiadi</t>
  </si>
  <si>
    <t>EU-43061</t>
  </si>
  <si>
    <t>2026-06-01 12:10:09</t>
  </si>
  <si>
    <t>Markou Evgenikou 10, Limassol, Limassol</t>
  </si>
  <si>
    <t>TOWLB-DES-LG-TROPTRT,TOWLB-SUM-XL-COLAGN</t>
  </si>
  <si>
    <t>10223399-10273738</t>
  </si>
  <si>
    <t>Piotr</t>
  </si>
  <si>
    <t>Żurek</t>
  </si>
  <si>
    <t>EU-42909</t>
  </si>
  <si>
    <t>2026-06-01 12:12:46</t>
  </si>
  <si>
    <t>Jana Kazimierza 35/94, Warszawa, Warszawa</t>
  </si>
  <si>
    <t>01-248</t>
  </si>
  <si>
    <t>BAGDRY-XS-NAVY,TOWLB-CAB-LG-BLACK-R,TOWLB-CAB-LG-BLUE-R,TOWLB-CAB-LG-GREEN-R,TOWLB-CAB-LG-KHAKI-R,TOWLB-CAB-LG-LTGRY-R,TOWLB-CAB-LG-NAVY-R,TOWLB-CAB-LG-ORANG-R,TOWLB-CAB-LG-PINK-R,TOWLB-CAB-LG-RED-R,TOWLB-CAB-LG-YELL-R</t>
  </si>
  <si>
    <t>10227277-10277629</t>
  </si>
  <si>
    <t>LARA</t>
  </si>
  <si>
    <t>GRULMS</t>
  </si>
  <si>
    <t>EU-42956</t>
  </si>
  <si>
    <t>2026-06-01 12:31:02</t>
  </si>
  <si>
    <t>Rue René Gregorius 18, Nospelt, Nospelt</t>
  </si>
  <si>
    <t>BAGF-DES-MD-BANARAM,BAGF-DES-MD-SPRCLUB,PONCHK-KID-MD-JELLY,PONCHK-KID-SM-JELLY,PONCHK-SUM-MD-CSTCANDY,PONCHK-SUM-SM-CSTCANDY,TOWLB-DES-XL-MELLOW,TOWLB-DES-XL-TANTIDE,TOWLB-DOB-XL-CALM,TOWLB-KID-LG-JELLY,TOWLB-SUM-XL-OCEAN</t>
  </si>
  <si>
    <t>10234019-10284500</t>
  </si>
  <si>
    <t>Katherine</t>
  </si>
  <si>
    <t>O Sullivan</t>
  </si>
  <si>
    <t>EU-43064</t>
  </si>
  <si>
    <t>2026-06-01 12:32:00</t>
  </si>
  <si>
    <t>1 Ashgrove Drive, Carrigaline, Cork</t>
  </si>
  <si>
    <t>P43 XR22</t>
  </si>
  <si>
    <t>10233331-10283773</t>
  </si>
  <si>
    <t>Sally</t>
  </si>
  <si>
    <t>Joos</t>
  </si>
  <si>
    <t>EU-43053</t>
  </si>
  <si>
    <t>2026-06-01 12:33:44</t>
  </si>
  <si>
    <t>Sint-Jorislaan 6, Zedelgem, Zedelgem</t>
  </si>
  <si>
    <t>BAGF-DES-MD-BANARAM,PICNIC-DES-XL-BANARAM,TOWLB-DES-XL-BLUSPRIT,TOWLB-DES-XL-LEMWAV,TOWLB-DOB-LG-CALM,TOWLB-SUM-XL-COLAGN,TOWLB-SUM-XL-MIAMI</t>
  </si>
  <si>
    <t>10233650-10284123</t>
  </si>
  <si>
    <t>Glock</t>
  </si>
  <si>
    <t>EU-43055</t>
  </si>
  <si>
    <t>2026-06-01 12:34:23</t>
  </si>
  <si>
    <t>Sinstorfer Weg 54d, Hamburg, Hamburg</t>
  </si>
  <si>
    <t>TOWLB-DES-XL-GRECSHR</t>
  </si>
  <si>
    <t>10234013-10284494</t>
  </si>
  <si>
    <t>Sofie</t>
  </si>
  <si>
    <t>Peeters</t>
  </si>
  <si>
    <t>EU-43062</t>
  </si>
  <si>
    <t>2026-06-01 12:34:38</t>
  </si>
  <si>
    <t>Jozef Hertogslaan, 12, Antwerpen, Antwerpen</t>
  </si>
  <si>
    <t>PICNIC-DES-XL-MARGMAD,PONCHK-KID-MD-GVCLUB</t>
  </si>
  <si>
    <t>10233654-10284127</t>
  </si>
  <si>
    <t>Joana</t>
  </si>
  <si>
    <t>Schnell da Silva</t>
  </si>
  <si>
    <t>EU-43058</t>
  </si>
  <si>
    <t>2026-06-01 12:35:26</t>
  </si>
  <si>
    <t>Kornstraße 4, Stadtbergen, Stadtbergen</t>
  </si>
  <si>
    <t>10227714-10278066</t>
  </si>
  <si>
    <t>Fiona</t>
  </si>
  <si>
    <t>Moorhead</t>
  </si>
  <si>
    <t>EU-42963</t>
  </si>
  <si>
    <t>2026-06-01 12:37:19</t>
  </si>
  <si>
    <t>Glaslacken, Bunclody, Wexford</t>
  </si>
  <si>
    <t>Y21 K763</t>
  </si>
  <si>
    <t>PONCHK-KID-MD-CHECKOUT,PONCHK-KID-MD-INTOWILD,PONCHK-KID-MD-JELLY,PONCHK-KID-MD-SKATER,TOWLB-CAB-LG-BLUE-R,TOWLB-CAB-LG-GREEN-R,TOWLB-CAB-LG-ORANG-R,TOWLB-CAB-LG-PINK-R,TOWLB-CAB-LG-RED-R,TOWLB-CAB-LG-YELL-R</t>
  </si>
  <si>
    <t>10228535-10278891</t>
  </si>
  <si>
    <t>Ann</t>
  </si>
  <si>
    <t>Van Droogenbroeck</t>
  </si>
  <si>
    <t>EU-42973</t>
  </si>
  <si>
    <t>2026-06-02 04:56:18</t>
  </si>
  <si>
    <t>Alsembergsteenweg 1106, Beersel, Beersel</t>
  </si>
  <si>
    <t>PONCHA-SUM-LG-CSTCANDY,PONCHA-SUM-LG-UNICN-NS,PONCHK-KID-SM-CHECKOUT,PONCHK-SUM-MD-UNICN-NS,TOWLB-DOB-XL-CALM</t>
  </si>
  <si>
    <t>10234561-10285054</t>
  </si>
  <si>
    <t>Melanie</t>
  </si>
  <si>
    <t>Mahr</t>
  </si>
  <si>
    <t>EU-43072</t>
  </si>
  <si>
    <t>2026-06-02 05:23:52</t>
  </si>
  <si>
    <t>An der Felderhalde 9/3, Isny im Allgäu, Isny im Allgäu</t>
  </si>
  <si>
    <t>10234571-10285064</t>
  </si>
  <si>
    <t>Jeannine</t>
  </si>
  <si>
    <t>Kühnle</t>
  </si>
  <si>
    <t>302-5136336-9694769</t>
  </si>
  <si>
    <t>2026-06-02 05:25:53</t>
  </si>
  <si>
    <t>Weiherweg 15, Homburg, Homburg</t>
  </si>
  <si>
    <t>10234564-10285057</t>
  </si>
  <si>
    <t>ANDREA CASTAÑO GONZALEZ</t>
  </si>
  <si>
    <t>EU-43073</t>
  </si>
  <si>
    <t>2026-06-02 05:26:32</t>
  </si>
  <si>
    <t>Rue Victor hugo 200, Bte 27, Schaerbeek, Schaerbeek</t>
  </si>
  <si>
    <t>TOWLB-DES-LG-GRECSHR,TOWLB-SUM-LG-COLAGN</t>
  </si>
  <si>
    <t>10237208-10287735</t>
  </si>
  <si>
    <t>Mihaela</t>
  </si>
  <si>
    <t>Balig</t>
  </si>
  <si>
    <t>EU-43111</t>
  </si>
  <si>
    <t>2026-06-02 05:26:38</t>
  </si>
  <si>
    <t>Scheffelstr 20, Leipzig, Leipzig</t>
  </si>
  <si>
    <t>04277</t>
  </si>
  <si>
    <t>10235130-10285629</t>
  </si>
  <si>
    <t>Tromp</t>
  </si>
  <si>
    <t>EU-43087</t>
  </si>
  <si>
    <t>2026-06-02 05:27:29</t>
  </si>
  <si>
    <t>Gerben Nannesstraat 16, SNEEK, SNEEK</t>
  </si>
  <si>
    <t>8603 ET</t>
  </si>
  <si>
    <t>10234560-10285053</t>
  </si>
  <si>
    <t>Maria</t>
  </si>
  <si>
    <t>Subinas</t>
  </si>
  <si>
    <t>EU-43070</t>
  </si>
  <si>
    <t>2026-06-02 05:27:50</t>
  </si>
  <si>
    <t>Calle León 30, 1D, Madrid, Madrid</t>
  </si>
  <si>
    <t>PONCHK-KID-MD-CAMOCUBE,TOWLB-DES-LG-ALOHGLW,TOWLB-DES-LG-HOTTROP,TOWLB-DES-LG-TROPTRT</t>
  </si>
  <si>
    <t>10213939-10264170</t>
  </si>
  <si>
    <t>Nathalia</t>
  </si>
  <si>
    <t>Soares</t>
  </si>
  <si>
    <t>EU-42781</t>
  </si>
  <si>
    <t>2026-06-02 05:28:11</t>
  </si>
  <si>
    <t>Aziëweg 144, Haarlem, Haarlem</t>
  </si>
  <si>
    <t>2037 XZ</t>
  </si>
  <si>
    <t>10234833-10285329</t>
  </si>
  <si>
    <t>Ghan House</t>
  </si>
  <si>
    <t>Finola</t>
  </si>
  <si>
    <t>EU-43081</t>
  </si>
  <si>
    <t>2026-06-02 05:28:24</t>
  </si>
  <si>
    <t>Carlingford, Dundalk, Louth</t>
  </si>
  <si>
    <t>A91 DXY5</t>
  </si>
  <si>
    <t>BALLAST-CAB-NAVY,TOWLB-CAB-LG-NAVY-R</t>
  </si>
  <si>
    <t>10234559-10285052</t>
  </si>
  <si>
    <t>Thijs</t>
  </si>
  <si>
    <t>Heerink</t>
  </si>
  <si>
    <t>EU-43071</t>
  </si>
  <si>
    <t>2026-06-02 05:28:42</t>
  </si>
  <si>
    <t>Daalbree 3, 24, OOTMARSUM, OOTMARSUM</t>
  </si>
  <si>
    <t>7631 KG</t>
  </si>
  <si>
    <t>10236190-10286716</t>
  </si>
  <si>
    <t>Susann</t>
  </si>
  <si>
    <t>Gehrmann</t>
  </si>
  <si>
    <t>304-9809503-8865924</t>
  </si>
  <si>
    <t>2026-06-02 05:29:45</t>
  </si>
  <si>
    <t>Vor Dem Kapellentor 4 B, Osterwieck, Osterwieck</t>
  </si>
  <si>
    <t>TOWLB-DES-XL-ALOHGLW</t>
  </si>
  <si>
    <t>10234839-10285335</t>
  </si>
  <si>
    <t>coogan</t>
  </si>
  <si>
    <t>EU-43083</t>
  </si>
  <si>
    <t>2026-06-02 05:30:18</t>
  </si>
  <si>
    <t>Knockaulin, Kilcullen, Kildare</t>
  </si>
  <si>
    <t>R56 CT06</t>
  </si>
  <si>
    <t>10234574-10285067</t>
  </si>
  <si>
    <t>Feikens</t>
  </si>
  <si>
    <t>304-3024401-4090703</t>
  </si>
  <si>
    <t>2026-06-02 05:30:19</t>
  </si>
  <si>
    <t>Am Eisenbrand 36, Meerbusch, Meerbusch</t>
  </si>
  <si>
    <t>TOWLB-CAB-LG-LTBLU-R,TOWLB-CAB-LG-LTGRY-R,TOWLB-CAB-LG-LTPNK-R,TOWLB-CAB-LG-NAVY-R</t>
  </si>
  <si>
    <t>10236863-10287389</t>
  </si>
  <si>
    <t>CAP Roda de Ter</t>
  </si>
  <si>
    <t>Manich Moya</t>
  </si>
  <si>
    <t>EU-43098</t>
  </si>
  <si>
    <t>2026-06-02 05:31:05</t>
  </si>
  <si>
    <t>Carrer Sant de Sebastià 11, Centre Atenció Primària CAP, RODA DE TER, Roda de Ter, Barcelona</t>
  </si>
  <si>
    <t>08510</t>
  </si>
  <si>
    <t>10235133-10285632</t>
  </si>
  <si>
    <t>Cansel</t>
  </si>
  <si>
    <t>Aydin</t>
  </si>
  <si>
    <t>028-2946663-4814745</t>
  </si>
  <si>
    <t>2026-06-02 05:31:48</t>
  </si>
  <si>
    <t>Pregelstraße 19, Pregelstr 19, Ennepetal, Nordrhein-Westfalen</t>
  </si>
  <si>
    <t>10234563-10285056</t>
  </si>
  <si>
    <t>Moritz</t>
  </si>
  <si>
    <t>Niesel</t>
  </si>
  <si>
    <t>EU-43074</t>
  </si>
  <si>
    <t>2026-06-02 05:32:18</t>
  </si>
  <si>
    <t>Geibelstrasse 7, Karlsruhe, Karlsruhe</t>
  </si>
  <si>
    <t>10215727-10265976</t>
  </si>
  <si>
    <t>Eva-Maria</t>
  </si>
  <si>
    <t>Lebtig</t>
  </si>
  <si>
    <t>EU-42810</t>
  </si>
  <si>
    <t>2026-06-02 05:32:39</t>
  </si>
  <si>
    <t>Persantestraße 18, Berlin, Berlin</t>
  </si>
  <si>
    <t>TOWLB-CAB-LG-BLUE-R,TOWLB-CAB-LG-NAVY-R,TOWLB-CAB-LG-PINK-R,TOWLB-CAB-LG-YELL-R,TOWLB-SUM-LG-RAINB-R,TOWLB-SUM-LG-UNICN-R</t>
  </si>
  <si>
    <t>10235134-10285633</t>
  </si>
  <si>
    <t>EU-43089</t>
  </si>
  <si>
    <t>2026-06-02 05:32:50</t>
  </si>
  <si>
    <t>10235725-10286251</t>
  </si>
  <si>
    <t>Mulvin</t>
  </si>
  <si>
    <t>EU-43093</t>
  </si>
  <si>
    <t>2026-06-02 05:35:39</t>
  </si>
  <si>
    <t>8A Lynn Heights, Mullingar, Westmeath</t>
  </si>
  <si>
    <t>N91 E5Y2</t>
  </si>
  <si>
    <t>TOWLB-CAB-XL-GREEN-R,TOWLB-CAB-XL-NAVY-R,TOWLB-CAB-XL-RED-R,TOWLB-CAB-XL-YELL-R</t>
  </si>
  <si>
    <t>10235127-10285626</t>
  </si>
  <si>
    <t>Isabell</t>
  </si>
  <si>
    <t>Hofmann</t>
  </si>
  <si>
    <t>EU-43085</t>
  </si>
  <si>
    <t>2026-06-02 05:36:36</t>
  </si>
  <si>
    <t>Panoramastraße 4, Neckarwestheim, Neckarwestheim</t>
  </si>
  <si>
    <t>PICNIC-DES-XL-CANDSTR,TOWLB-SUM-XL-CSTCANDY</t>
  </si>
  <si>
    <t>10213443-10263656</t>
  </si>
  <si>
    <t>ELENI</t>
  </si>
  <si>
    <t>KYRIAKIDI</t>
  </si>
  <si>
    <t>EU-42772</t>
  </si>
  <si>
    <t>2026-06-02 05:37:02</t>
  </si>
  <si>
    <t>AGATHOCLEOUS 20, STYLIDA FTHIOTIDA, STYLIDA FTHIOTIDA</t>
  </si>
  <si>
    <t>353 00</t>
  </si>
  <si>
    <t>TEATWL-MD-TRPPNCH,TOWLH-CLB-LG-CHRYBMB,TOWLH-CLB-XL-PEPPNCH,TOWLH-DES-LG-TIGPALM</t>
  </si>
  <si>
    <t>10234841-10285337</t>
  </si>
  <si>
    <t>Jamin</t>
  </si>
  <si>
    <t>EU-43084</t>
  </si>
  <si>
    <t>2026-06-02 05:37:04</t>
  </si>
  <si>
    <t>Fazantlaan, 31, Leende, Leende</t>
  </si>
  <si>
    <t>5595 BE</t>
  </si>
  <si>
    <t>BAGF-SUM-MD-UNICN,PONCHK-SUM-MD-UNICN-NS,PP-TOWLB-CAB-LG-4SET-PINK,TOWLB-SUM-LG-UNICN-R</t>
  </si>
  <si>
    <t>10235724-10286250</t>
  </si>
  <si>
    <t>Roswitha</t>
  </si>
  <si>
    <t>Reichenecker</t>
  </si>
  <si>
    <t>EU-43091</t>
  </si>
  <si>
    <t>2026-06-02 05:38:09</t>
  </si>
  <si>
    <t>Olgastraße 9, Pliezhausen, Pliezhausen</t>
  </si>
  <si>
    <t>BAGF-SUM-MD-UNICN,PICNIC-SUM-XL-UNICN,TOWLB-SUM-MD-UNICN</t>
  </si>
  <si>
    <t>10235446-10285970</t>
  </si>
  <si>
    <t>Anita</t>
  </si>
  <si>
    <t>Steinhoff</t>
  </si>
  <si>
    <t>EU-43090</t>
  </si>
  <si>
    <t>2026-06-02 05:38:34</t>
  </si>
  <si>
    <t>Am Teich 1, Northeim, Northeim</t>
  </si>
  <si>
    <t>TOWLB-SUM-LG-COLAGN,TOWLB-SUM-XL-CSTCANDY</t>
  </si>
  <si>
    <t>10234565-10285058</t>
  </si>
  <si>
    <t>Martyna</t>
  </si>
  <si>
    <t>Golau</t>
  </si>
  <si>
    <t>EU-43075</t>
  </si>
  <si>
    <t>2026-06-02 05:38:53</t>
  </si>
  <si>
    <t>Hirschhornstrasse 17, Frankfurt am Main, Frankfurt am Main</t>
  </si>
  <si>
    <t>BAGF-SUM-MD-CSTCANDY,TOWLB-SUM-XL-CSTCANDY,TOWLB-SUM-XL-SANDSEA</t>
  </si>
  <si>
    <t>10235135-10285634</t>
  </si>
  <si>
    <t>Carol</t>
  </si>
  <si>
    <t>Kenny</t>
  </si>
  <si>
    <t>EU-43088</t>
  </si>
  <si>
    <t>2026-06-02 05:38:54</t>
  </si>
  <si>
    <t>Hillswood, Kilconnell, Ballinasloe, Galway</t>
  </si>
  <si>
    <t>H53 E170</t>
  </si>
  <si>
    <t>TOWLB-SUM-LG-COLAGN,TOWLB-SUM-LG-CSTCANDY,TOWLB-SUM-LG-MIAMI</t>
  </si>
  <si>
    <t>10234836-10285332</t>
  </si>
  <si>
    <t>Farré</t>
  </si>
  <si>
    <t>EU-43082</t>
  </si>
  <si>
    <t>2026-06-02 05:39:34</t>
  </si>
  <si>
    <t>C/ Escoles Pies, 11, 8-1, Barcelona, Barcelona</t>
  </si>
  <si>
    <t>08017</t>
  </si>
  <si>
    <t>TOWLB-DES-LG-PSTPIER</t>
  </si>
  <si>
    <t>10232785-10283152</t>
  </si>
  <si>
    <t>Mariya</t>
  </si>
  <si>
    <t>Baykoucheva</t>
  </si>
  <si>
    <t>EU-43047</t>
  </si>
  <si>
    <t>2026-06-02 05:39:49</t>
  </si>
  <si>
    <t>Konrad-Wolf-Allee 33, Potsdam, Potsdam</t>
  </si>
  <si>
    <t>TOWLB-DES-LG-TANTIDE,TOWLB-KID-LG-KARMCHAM</t>
  </si>
  <si>
    <t>10234569-10285062</t>
  </si>
  <si>
    <t>Hünig</t>
  </si>
  <si>
    <t>EU-43078</t>
  </si>
  <si>
    <t>2026-06-02 05:40:49</t>
  </si>
  <si>
    <t>Holunderweg 2, Aarbergen, Aarbergen</t>
  </si>
  <si>
    <t>TOWLB-SUM-XL-COLAGN,TOWLB-SUM-XL-MIAMI</t>
  </si>
  <si>
    <t>10237201-10287728</t>
  </si>
  <si>
    <t>Schauf</t>
  </si>
  <si>
    <t>EU-43105</t>
  </si>
  <si>
    <t>2026-06-02 05:42:10</t>
  </si>
  <si>
    <t>Leher Heerstr 80 L, Bremen, Bremen</t>
  </si>
  <si>
    <t>TOWLB-CAB-MD-NAVY,TOWLB-SUM-LG-COLAGN</t>
  </si>
  <si>
    <t>10237202-10287729</t>
  </si>
  <si>
    <t>Caoimhe</t>
  </si>
  <si>
    <t>Madigan</t>
  </si>
  <si>
    <t>EU-43107</t>
  </si>
  <si>
    <t>2026-06-02 05:42:57</t>
  </si>
  <si>
    <t>Kilnagnady, Innishannon, Cork</t>
  </si>
  <si>
    <t>T12 A6CA</t>
  </si>
  <si>
    <t>TOWLB-CAB-XL-GREEN-R</t>
  </si>
  <si>
    <t>10235983-10286509</t>
  </si>
  <si>
    <t>Helen</t>
  </si>
  <si>
    <t>Creed</t>
  </si>
  <si>
    <t>EU-43094</t>
  </si>
  <si>
    <t>2026-06-02 05:43:41</t>
  </si>
  <si>
    <t>31 Nessan Court, Lower Church Rd, Raheen, Limerick, Limerick</t>
  </si>
  <si>
    <t>V94 K5NX</t>
  </si>
  <si>
    <t>10237472-10288000</t>
  </si>
  <si>
    <t>Beate</t>
  </si>
  <si>
    <t>Kuhn</t>
  </si>
  <si>
    <t>EU-43113</t>
  </si>
  <si>
    <t>2026-06-02 05:50:12</t>
  </si>
  <si>
    <t>Zeismeringerstr 22, München, München</t>
  </si>
  <si>
    <t>TOWLB-DES-XL-BLUSPRIT,TOWLB-SUM-XL-MIAMI</t>
  </si>
  <si>
    <t>10237477-10288005</t>
  </si>
  <si>
    <t>Mycke</t>
  </si>
  <si>
    <t>Bösing</t>
  </si>
  <si>
    <t>EU-43115</t>
  </si>
  <si>
    <t>2026-06-02 05:52:14</t>
  </si>
  <si>
    <t>Livingstonestraat 43, Enschede, Enschede</t>
  </si>
  <si>
    <t>7532 CJ</t>
  </si>
  <si>
    <t>TOWLB-DES-XL-BLUSPRIT,TOWLB-DES-XL-LEMWAV,TOWLB-SUM-XL-COLAGN,TOWLB-SUM-XL-CSTCANDY,TOWLB-SUM-XL-MIAMI,TOWLB-SUM-XL-RAINB-R,TOWLB-SUM-XL-SANDSEA,TOWLB-SUM-XL-UNICN-R</t>
  </si>
  <si>
    <t>10237204-10287731</t>
  </si>
  <si>
    <t>EU-43108</t>
  </si>
  <si>
    <t>2026-06-02 05:53:21</t>
  </si>
  <si>
    <t>10 Foxglove Drive, Abbeyquarter, Abbeyquarter, BALLYHAUNIS, Mayo</t>
  </si>
  <si>
    <t>F35 WF72</t>
  </si>
  <si>
    <t>10237474-10288002</t>
  </si>
  <si>
    <t>McGonigle Murray</t>
  </si>
  <si>
    <t>EU-43114</t>
  </si>
  <si>
    <t>2026-06-02 05:54:20</t>
  </si>
  <si>
    <t>The Purts, Newpark, Kiltoom, Athlone, Roscommon</t>
  </si>
  <si>
    <t>N37 D567</t>
  </si>
  <si>
    <t>10237700-10288228</t>
  </si>
  <si>
    <t>Maura Gilmore</t>
  </si>
  <si>
    <t>EU-43117</t>
  </si>
  <si>
    <t>2026-06-02 05:56:12</t>
  </si>
  <si>
    <t>6 Riverside Ave, 6 Circular Rd, Roscommon, Roscommon</t>
  </si>
  <si>
    <t>F42 P308</t>
  </si>
  <si>
    <t>10236472-10286998</t>
  </si>
  <si>
    <t>Denise</t>
  </si>
  <si>
    <t>EU-43096</t>
  </si>
  <si>
    <t>2026-06-02 05:58:12</t>
  </si>
  <si>
    <t>Eoin Gavin Transport, Woodpark, Bunratty, Clare</t>
  </si>
  <si>
    <t>V95 ND37</t>
  </si>
  <si>
    <t>10236867-10287393</t>
  </si>
  <si>
    <t>Gillespie</t>
  </si>
  <si>
    <t>EU-43104</t>
  </si>
  <si>
    <t>2026-06-02 05:59:05</t>
  </si>
  <si>
    <t>Kildoney, Kildoney, Ballyshannon, Donegal</t>
  </si>
  <si>
    <t>F94 A008</t>
  </si>
  <si>
    <t>TOWLB-CAB-LG-LTBLU-R,TOWLB-DES-LG-GRECSHR</t>
  </si>
  <si>
    <t>10236865-10287391</t>
  </si>
  <si>
    <t>Eleanor</t>
  </si>
  <si>
    <t>Bagnall</t>
  </si>
  <si>
    <t>EU-43102</t>
  </si>
  <si>
    <t>2026-06-02 05:59:17</t>
  </si>
  <si>
    <t>Little Trinity Montessori, Puttaghaun, Tullamore, Offaly</t>
  </si>
  <si>
    <t>R35 ER83</t>
  </si>
  <si>
    <t>TOWLB-CAB-LG-BLUE-R,TOWLB-CAB-LG-GREEN-R,TOWLB-CAB-LG-KHAKI-R,TOWLB-CAB-LG-NAVY-R</t>
  </si>
  <si>
    <t>10237480-10288008</t>
  </si>
  <si>
    <t>Shauna</t>
  </si>
  <si>
    <t>Cuddihy</t>
  </si>
  <si>
    <t>EU-43116</t>
  </si>
  <si>
    <t>2026-06-02 06:00:56</t>
  </si>
  <si>
    <t>11 Silverwood, Ferrybank, Waterford, Waterford</t>
  </si>
  <si>
    <t>X91 HT2X</t>
  </si>
  <si>
    <t>BAGF-SUM-MD-UNICN,TOWLB-SUM-LG-UNICN-R</t>
  </si>
  <si>
    <t>10237207-10287734</t>
  </si>
  <si>
    <t>Quilaudem</t>
  </si>
  <si>
    <t>Van den haute</t>
  </si>
  <si>
    <t>EU-43112</t>
  </si>
  <si>
    <t>2026-06-02 06:02:20</t>
  </si>
  <si>
    <t>Neromstraat 74, Meise, Meise</t>
  </si>
  <si>
    <t>PONCHA-SUM-MD-CSTCANDY,PONCHK-KID-MD-CHECKOUT</t>
  </si>
  <si>
    <t>10237205-10287732</t>
  </si>
  <si>
    <t>Büker-Antonowitsch</t>
  </si>
  <si>
    <t>EU-43110</t>
  </si>
  <si>
    <t>2026-06-02 06:03:17</t>
  </si>
  <si>
    <t>Welschenweg 14b, Oerlinghausen, Oerlinghausen</t>
  </si>
  <si>
    <t>TOWLB-DOB-LG-CALM,TOWLB-SUM-LG-SANDSEA</t>
  </si>
  <si>
    <t>10235982-10286508</t>
  </si>
  <si>
    <t>Bieke</t>
  </si>
  <si>
    <t>Blondé</t>
  </si>
  <si>
    <t>EU-43095</t>
  </si>
  <si>
    <t>2026-06-02 06:03:31</t>
  </si>
  <si>
    <t>Van Hovestraat 4, Antwerp, Antwerp</t>
  </si>
  <si>
    <t>BAGDRY-MD-NAVY,BAGDRY-XS-NAVY,TOWLB-DES-XL-SUNSPL,TOWLB-KID-MD-KARMCHAM</t>
  </si>
  <si>
    <t>10237203-10287730</t>
  </si>
  <si>
    <t>Annette</t>
  </si>
  <si>
    <t>Rohrbach</t>
  </si>
  <si>
    <t>EU-43106</t>
  </si>
  <si>
    <t>2026-06-02 06:04:27</t>
  </si>
  <si>
    <t>Weinbergstraße 6, Leonberg, Leonberg</t>
  </si>
  <si>
    <t>BAGDRY-MD-NAVY,BAGDRY-XS-NAVY,TOWLB-CAB-XL-LTGRY-R</t>
  </si>
  <si>
    <t>10236864-10287390</t>
  </si>
  <si>
    <t>Noor</t>
  </si>
  <si>
    <t>Devlieger</t>
  </si>
  <si>
    <t>EU-43101</t>
  </si>
  <si>
    <t>2026-06-02 06:05:29</t>
  </si>
  <si>
    <t>Spinnewielstraat 5, Lokeren, Lokeren</t>
  </si>
  <si>
    <t>BAGF-DES-MD-WYWH,BALLAST-SUM-MIAMI,TOWLB-DES-XL-BLUSPRIT,TOWLB-DES-XL-LEMWAV,TOWLB-SUM-XL-COLAGN,TOWLB-SUM-XL-MIAMI</t>
  </si>
  <si>
    <t>10234568-10285061</t>
  </si>
  <si>
    <t>Sabine</t>
  </si>
  <si>
    <t>Rudhard</t>
  </si>
  <si>
    <t>EU-43077</t>
  </si>
  <si>
    <t>2026-06-02 06:37:12</t>
  </si>
  <si>
    <t>Max-Planck-Strasse 22, Gau-Algesheim, Gau-Algesheim</t>
  </si>
  <si>
    <t>TOWLB-CAB-XL-ORANG-R,TOWLB-SUM-XL-COLAGN,TOWLB-SUM-XL-MIAMI,TOWLF-ESS-XL-DKBLU</t>
  </si>
  <si>
    <t>10237206-10287733</t>
  </si>
  <si>
    <t>Evert</t>
  </si>
  <si>
    <t>Stoffels</t>
  </si>
  <si>
    <t>EU-43109</t>
  </si>
  <si>
    <t>2026-06-02 06:50:00</t>
  </si>
  <si>
    <t>Gestelsestraat 54, Eindhoven, Eindhoven</t>
  </si>
  <si>
    <t>5615 LG</t>
  </si>
  <si>
    <t>TOWLB-CAB-XL-LTPNK-R,TOWLB-CAB-XL-ORANG-R</t>
  </si>
  <si>
    <t>10235726-10286252</t>
  </si>
  <si>
    <t>Sergio</t>
  </si>
  <si>
    <t>Edelman</t>
  </si>
  <si>
    <t>EU-43092</t>
  </si>
  <si>
    <t>2026-06-02 06:50:55</t>
  </si>
  <si>
    <t>Concordiastraat 18, Utrecht, Utrecht</t>
  </si>
  <si>
    <t>3551 EN</t>
  </si>
  <si>
    <t>10236861-10287387</t>
  </si>
  <si>
    <t>Roisin</t>
  </si>
  <si>
    <t>Finnegan</t>
  </si>
  <si>
    <t>EU-43099</t>
  </si>
  <si>
    <t>2026-06-02 06:52:08</t>
  </si>
  <si>
    <t>57 Mounttown Rd Lower, Glenageary, Dublin</t>
  </si>
  <si>
    <t>A96 K5N0</t>
  </si>
  <si>
    <t>10234570-10285063</t>
  </si>
  <si>
    <t>Victoria</t>
  </si>
  <si>
    <t>Poole</t>
  </si>
  <si>
    <t>EU-43080</t>
  </si>
  <si>
    <t>2026-06-02 06:55:06</t>
  </si>
  <si>
    <t>105 Clos des Psalliotes, Chamonix, Chamonix</t>
  </si>
  <si>
    <t>TOWLB-CAB-LG-LTBLU-R,TOWLB-CAB-LG-LTPPL-R,TOWLB-CAB-LG-ORANG-R,TOWLB-CAB-LG-PINK-R</t>
  </si>
  <si>
    <t>10238536-10289064</t>
  </si>
  <si>
    <t>Pauline</t>
  </si>
  <si>
    <t>Peikert</t>
  </si>
  <si>
    <t>EU-43121</t>
  </si>
  <si>
    <t>2026-06-02 08:02:10</t>
  </si>
  <si>
    <t>Schneebergstraße 27, Dresden, Dresden</t>
  </si>
  <si>
    <t>01277</t>
  </si>
  <si>
    <t>TOWLB-DES-LG-LEMWAV</t>
  </si>
  <si>
    <t>10238538-10289066</t>
  </si>
  <si>
    <t>Sonja</t>
  </si>
  <si>
    <t>Kappenberger</t>
  </si>
  <si>
    <t>EU-43122</t>
  </si>
  <si>
    <t>2026-06-02 08:03:11</t>
  </si>
  <si>
    <t>Wiesengrund 6, CHAMERAU, CHAMERAU</t>
  </si>
  <si>
    <t>10233656-10284129</t>
  </si>
  <si>
    <t>Heike</t>
  </si>
  <si>
    <t>Stöber</t>
  </si>
  <si>
    <t>EU-43057</t>
  </si>
  <si>
    <t>2026-06-02 09:18:05</t>
  </si>
  <si>
    <t>Auf der Hostert 32b, Taunusstein, Taunusstein</t>
  </si>
  <si>
    <t>TOWLB-CAB-LG-BLUE-R,TOWLB-CAB-LG-LTBLU-R,TOWLB-CAB-LG-LTPNK-R,TOWLB-CAB-XL-BLACK-R,TOWLB-DES-LG-PNKPARA,TOWLB-DES-LG-TANTIDE,TOWLB-DES-XL-BLUSPRIT,TOWLB-DES-XL-LEMWAV,TOWLB-DES-XL-MELLOW,TOWLF-ESS-XL-PINK-R</t>
  </si>
  <si>
    <t>10234567-10285060</t>
  </si>
  <si>
    <t>Co Dooley Precast Concrete</t>
  </si>
  <si>
    <t>Dooley</t>
  </si>
  <si>
    <t>EU-43076</t>
  </si>
  <si>
    <t>2026-06-02 09:45:06</t>
  </si>
  <si>
    <t>Cloonagh, Roscrea, Tipperary</t>
  </si>
  <si>
    <t>E53 WT26</t>
  </si>
  <si>
    <t>BAGBCH-MD-NAVY,HAIRW-SUE-PSTPIER,HAIRW-WAF-CHRYBMB,PONCHA-DES-MD-WAVYBBY,PONCHK-CAB-MD-BLUE-NS,TOWLB-SUM-XL-OCEAN,TOWLH-CLB-XL-CHRYBMB,TOWLH-CLB-XL-PEPPNCH</t>
  </si>
  <si>
    <t>10238955-10289487</t>
  </si>
  <si>
    <t>Jasmin</t>
  </si>
  <si>
    <t>Lenz-Klarić</t>
  </si>
  <si>
    <t>EU-43129</t>
  </si>
  <si>
    <t>2026-06-02 09:59:20</t>
  </si>
  <si>
    <t>Rudolf-Breitscheid-Str 9, Zehdenick, Zehdenick</t>
  </si>
  <si>
    <t>PP-TOWLB-CAB-LG-4SET-PINK</t>
  </si>
  <si>
    <t>10238953-10289485</t>
  </si>
  <si>
    <t>Plasse</t>
  </si>
  <si>
    <t>EU-43126</t>
  </si>
  <si>
    <t>2026-06-02 10:00:31</t>
  </si>
  <si>
    <t>Sansibarstraße 43, Berlin, Berlin</t>
  </si>
  <si>
    <t>BAGF-SUM-MD-MIAMI,PONCHA-DES-MD-WTRSUG,PONCHA-SUM-MD-CSTCANDY,PONCHA-SUM-MD-UNICN-NS</t>
  </si>
  <si>
    <t>10238952-10289484</t>
  </si>
  <si>
    <t>Hye Uon</t>
  </si>
  <si>
    <t>Fayolle</t>
  </si>
  <si>
    <t>EU-43127</t>
  </si>
  <si>
    <t>2026-06-02 10:01:44</t>
  </si>
  <si>
    <t>24 Maywood Ave, Dublin, Dublin</t>
  </si>
  <si>
    <t>D05 TW80</t>
  </si>
  <si>
    <t>TOWLB-CAB-XL-KHAKI-R,TOWLB-SUM-XL-COLAGN</t>
  </si>
  <si>
    <t>10238954-10289486</t>
  </si>
  <si>
    <t>Amélie</t>
  </si>
  <si>
    <t>HERVE</t>
  </si>
  <si>
    <t>EU-43125</t>
  </si>
  <si>
    <t>2026-06-02 10:02:32</t>
  </si>
  <si>
    <t>16 RUE DE LA POSTE, CHEMAZE, CHEMAZE</t>
  </si>
  <si>
    <t>10238951-10289483</t>
  </si>
  <si>
    <t>Veronique</t>
  </si>
  <si>
    <t>dongay</t>
  </si>
  <si>
    <t>406-8110006-6389928</t>
  </si>
  <si>
    <t>2026-06-02 10:02:59</t>
  </si>
  <si>
    <t>18 Rue Edouard Baudrimont, Toulouse, Toulouse</t>
  </si>
  <si>
    <t>10236868-10287394</t>
  </si>
  <si>
    <t>WRO5</t>
  </si>
  <si>
    <t>FBA15LVNJ8P7</t>
  </si>
  <si>
    <t>2026-06-02 10:21:24</t>
  </si>
  <si>
    <t>Hamburger Str, Nuernberg, Bavaria</t>
  </si>
  <si>
    <t xml:space="preserve">16211 (x6) A-SCRUNCH-PAPER (x1) A-KRAFT-PAPER-TAPE (x2) </t>
  </si>
  <si>
    <t>TOWLB-CAB-LG-LTPPL-R,TOWLB-CAB-LG-ORANG-R,TOWLB-CAB-MD-LTPNK,TOWLB-CAB-MD-NAVY,TOWLB-CAB-XL-LTBLU-R,TOWLB-CAB-XL-ORANG-R,TOWLB-COLLAB-LG-UNO,TOWLB-COLLAB-XL-UNO,TOWLB-SUM-LG-CSTCANDY,TOWLB-SUM-LG-MIAMI,TOWLB-SUM-LG-SANDSEA,TOWLB-SUM-LG-UNICN-R</t>
  </si>
  <si>
    <t>10239213-10289757</t>
  </si>
  <si>
    <t>Rheza</t>
  </si>
  <si>
    <t>Van Roij</t>
  </si>
  <si>
    <t>EU-43131</t>
  </si>
  <si>
    <t>2026-06-02 11:01:31</t>
  </si>
  <si>
    <t>Kievit 76, Sprang-Capelle, Sprang-Capelle</t>
  </si>
  <si>
    <t>5161 WZ</t>
  </si>
  <si>
    <t>TOWLB-CAB-XL-KHAKI-R,TOWLB-CAB-XL-NAVY-R</t>
  </si>
  <si>
    <t>10238956-10289488</t>
  </si>
  <si>
    <t>AINE</t>
  </si>
  <si>
    <t>OSBORNE</t>
  </si>
  <si>
    <t>EU-43128</t>
  </si>
  <si>
    <t>2026-06-02 11:33:27</t>
  </si>
  <si>
    <t>KISHAVANNA, CARBURY, Kildare</t>
  </si>
  <si>
    <t>W91 H5W9</t>
  </si>
  <si>
    <t>10239212-10289756</t>
  </si>
  <si>
    <t>Trinity</t>
  </si>
  <si>
    <t>Perry</t>
  </si>
  <si>
    <t>EU-43130</t>
  </si>
  <si>
    <t>2026-06-02 11:35:48</t>
  </si>
  <si>
    <t>Borngasse 8e, Büttelborn, Büttelborn</t>
  </si>
  <si>
    <t>PICNIC-DES-XL-MARGMAD,TOWLB-DES-LG-SUNSPL,TOWLB-KID-LG-SANDSTRT,TOWLB-KID-MD-TURTROP</t>
  </si>
  <si>
    <t>10239480-10290031</t>
  </si>
  <si>
    <t>Meagan</t>
  </si>
  <si>
    <t>Stack</t>
  </si>
  <si>
    <t>EU-43134</t>
  </si>
  <si>
    <t>2026-06-02 11:36:57</t>
  </si>
  <si>
    <t>10 Roman St, Shandon, Cork, Cork</t>
  </si>
  <si>
    <t>T23 K2PF</t>
  </si>
  <si>
    <t>10238725-10289253</t>
  </si>
  <si>
    <t>Steyer</t>
  </si>
  <si>
    <t>EU-43124</t>
  </si>
  <si>
    <t>2026-06-02 11:38:35</t>
  </si>
  <si>
    <t>Deichland 25, Bremen, Bremen</t>
  </si>
  <si>
    <t>TOWLB-CAB-XL-NAVY-R,TOWLB-SUM-XL-MIAMI,TOWLB-SUM-XL-SANDSEA</t>
  </si>
  <si>
    <t>10239482-10290033</t>
  </si>
  <si>
    <t>Annet</t>
  </si>
  <si>
    <t>Groen</t>
  </si>
  <si>
    <t>EU-43135</t>
  </si>
  <si>
    <t>2026-06-02 12:41:19</t>
  </si>
  <si>
    <t>Buntwal 9, Nijkerkerveen, Nijkerkerveen</t>
  </si>
  <si>
    <t>3864 MX</t>
  </si>
  <si>
    <t>10239481-10290032</t>
  </si>
  <si>
    <t>Swanton</t>
  </si>
  <si>
    <t>EU-43133</t>
  </si>
  <si>
    <t>2026-06-02 12:43:26</t>
  </si>
  <si>
    <t>Illamata 43 Forestridge, Doughcloyne, Togher, Cork</t>
  </si>
  <si>
    <t>T12 X0PV</t>
  </si>
  <si>
    <t>BAGF-DES-MD-GROOVCH,TOWLB-CAB-XL-ORANG-R,TOWLB-DOB-XL-CALM</t>
  </si>
  <si>
    <t>10223891-10274233</t>
  </si>
  <si>
    <t>Vicky</t>
  </si>
  <si>
    <t>Evans</t>
  </si>
  <si>
    <t>EU-42921</t>
  </si>
  <si>
    <t>2026-06-02 12:46:26</t>
  </si>
  <si>
    <t>Via dei Colli, 8, Silvi, Teramo</t>
  </si>
  <si>
    <t>TEATWL-MD-CTCHDAY,TOWLB-DES-XL-BLUSPRIT,TOWLB-SUM-XL-SANDSEA</t>
  </si>
  <si>
    <t>10220466-10270794</t>
  </si>
  <si>
    <t>Marmagic Bordados</t>
  </si>
  <si>
    <t>Kantar UK LTD</t>
  </si>
  <si>
    <t>Paula Carrion</t>
  </si>
  <si>
    <t>EU-42869</t>
  </si>
  <si>
    <t>2026-06-02 12:49:57</t>
  </si>
  <si>
    <t>Carrer de Mèxic 17, 2º Izquierda, Barcelona, Barcelona</t>
  </si>
  <si>
    <t>08004</t>
  </si>
  <si>
    <t>PP-TOWLB-CAB-LG-6SET-PINK,TOWLB-CAB-LG-LTBLU-R,TOWLB-CAB-LG-LTPPL-R,TOWLB-CAB-LG-ORANG-R,TOWLB-CAB-LG-PINK-R</t>
  </si>
  <si>
    <t>10239701-10290257</t>
  </si>
  <si>
    <t>Chrystalla</t>
  </si>
  <si>
    <t>Pieri</t>
  </si>
  <si>
    <t>EU-43137</t>
  </si>
  <si>
    <t>2026-06-02 12:50:13</t>
  </si>
  <si>
    <t>Patroklou 24AB, Latsia, Latsia</t>
  </si>
  <si>
    <t>COOL-CAB-LTGRY-R,COOL-CAB-LTPNK-R,COOL-DES-SUNSRUN,TOWLB-CAB-LG-LTBLU-R,TOWLB-CAB-LG-LTPPL-R,TOWLB-CAB-LG-ORANG-R,TOWLB-CAB-LG-PINK-R</t>
  </si>
  <si>
    <t>10234002-10284483</t>
  </si>
  <si>
    <t>WeekendMode</t>
  </si>
  <si>
    <t>Vandenbroucke</t>
  </si>
  <si>
    <t>EUWS-3160</t>
  </si>
  <si>
    <t>2026-06-03 04:23:41</t>
  </si>
  <si>
    <t>Strandlaan 313, Koksijde, Koksijde</t>
  </si>
  <si>
    <t>TEATWL-MD-DINPRTY,TEATWL-MD-RGRTTI,TEATWL-MD-SOUSCHEF,TEATWL-MD-STRAWFZ,TEATWL-MD-WINEDINE,TOWLB-CAB-LG-BLUE-R,TOWLB-CAB-LG-KHAKI-R,TOWLB-CAB-LG-NAVY-R,TOWLB-CAB-LG-PINK-R,TOWLB-CAB-LG-RED-R,TOWLB-DES-LG-PNKPARA,TOWLB-DOB-LG-CALM,TOWLB-SUM-LG-MIAMI,TOWLB-SUM-LG-RAINB-R,TOWLB-SUM-LG-TUTFRU,TOWLB-SUM-LG-UNICN-R</t>
  </si>
  <si>
    <t>10234312-10284800</t>
  </si>
  <si>
    <t>Sarl Jorca / Jolibo</t>
  </si>
  <si>
    <t>Orlane</t>
  </si>
  <si>
    <t>CARO</t>
  </si>
  <si>
    <t>EUWS-3170</t>
  </si>
  <si>
    <t>2026-06-03 04:27:05</t>
  </si>
  <si>
    <t>1 rue Fabien Calloud, Annecy, Annecy</t>
  </si>
  <si>
    <t>GIFT-BOX-BEAUTY-TIGPALM,PICNIC-DES-XL-BRGTSIDE,PICNIC-DES-XL-SORBET,PICNIC-DES-XL-SPRCLUB,PONCHA-DES-MD-IBZAGLW,PONCHA-DES-MD-WAVYBBY,PONCHA-SUM-MD-CSTCANDY,TEATWL-MD-DINPRTY,TEATWL-MD-GLDHOUR,TEATWL-MD-SHRIMP,TEATWL-MD-TRPPNCH,TEATWL-MD-WINEDINE,TOWLB-DES-LG-LEMWAV,TOWLB-DES-LG-TROPTRT</t>
  </si>
  <si>
    <t>10233643-10284114</t>
  </si>
  <si>
    <t>SiRiPiRi Concept Store</t>
  </si>
  <si>
    <t>Iris</t>
  </si>
  <si>
    <t>Weidemann</t>
  </si>
  <si>
    <t>EUWS-3167</t>
  </si>
  <si>
    <t>2026-06-03 04:29:41</t>
  </si>
  <si>
    <t>Konviktstraße 53, Freiburg im Breisgau, Freiburg im Breisgau</t>
  </si>
  <si>
    <t>BAGDRY-MD-MIAMI,BAGDRY-MD-NAVY,BAGDRY-XS-HOTTROP,BAGDRY-XS-NAVY,TEATWL-MD-APPLTRT,TEATWL-MD-SQCLEAN,TEATWL-MD-STRAWFZ,TOWLB-DES-LG-LEMWAV,TOWLB-DES-LG-PNKPARA,TOWLB-DES-XL-BLUSPRIT,TOWLB-SUM-LG-CSTCANDY,TOWLB-SUM-XL-COLAGN,TOWLB-SUM-XL-OCEAN</t>
  </si>
  <si>
    <t>10239940-10290500</t>
  </si>
  <si>
    <t>Ellen</t>
  </si>
  <si>
    <t>Young</t>
  </si>
  <si>
    <t>EU-43139</t>
  </si>
  <si>
    <t>2026-06-03 04:42:52</t>
  </si>
  <si>
    <t>24 Ayrfield Grove, Dublin, Dublin</t>
  </si>
  <si>
    <t>D13 V8Y7</t>
  </si>
  <si>
    <t>TOWLB-CAB-LG-BLUE-R,TOWLB-CAB-LG-KHAKI-R</t>
  </si>
  <si>
    <t>10239478-10290029</t>
  </si>
  <si>
    <t>Sigalit</t>
  </si>
  <si>
    <t>EU-43132</t>
  </si>
  <si>
    <t>2026-06-03 04:43:56</t>
  </si>
  <si>
    <t>Ryefield, Virginia, Cavan</t>
  </si>
  <si>
    <t>A82 VX08</t>
  </si>
  <si>
    <t>TOWLB-CAB-LG-LTBLU-R,TOWLB-CAB-LG-LTPNK-R</t>
  </si>
  <si>
    <t>10239703-10290259</t>
  </si>
  <si>
    <t>Luca</t>
  </si>
  <si>
    <t>Maier</t>
  </si>
  <si>
    <t>EU-43138</t>
  </si>
  <si>
    <t>2026-06-03 04:45:09</t>
  </si>
  <si>
    <t>Hohenzollernstraße 9, Albstadt, Albstadt</t>
  </si>
  <si>
    <t>10239483-10290034</t>
  </si>
  <si>
    <t>Therese</t>
  </si>
  <si>
    <t>Ketelaar</t>
  </si>
  <si>
    <t>EU-43136</t>
  </si>
  <si>
    <t>2026-06-03 04:46:39</t>
  </si>
  <si>
    <t>Hacquartstraat 18, Amsterdam, Amsterdam</t>
  </si>
  <si>
    <t>1071 SJ</t>
  </si>
  <si>
    <t>TOWLB-CAB-LG-LTPNK-R,TOWLB-CAB-XL-YELL-R</t>
  </si>
  <si>
    <t>10241218-10291815</t>
  </si>
  <si>
    <t>Mulligan</t>
  </si>
  <si>
    <t>EU-43157</t>
  </si>
  <si>
    <t>2026-06-03 04:47:13</t>
  </si>
  <si>
    <t>Allingham Ave,The Mall, Ballyshannon, Ballyshannon, Donegal</t>
  </si>
  <si>
    <t>F94 KV25</t>
  </si>
  <si>
    <t>BAGF-CAB-MD-NAVY,PP-TOWLB-CAB-XL-6SET-R</t>
  </si>
  <si>
    <t>10241678-10292275</t>
  </si>
  <si>
    <t>Koopmans</t>
  </si>
  <si>
    <t>EU-43163</t>
  </si>
  <si>
    <t>2026-06-03 04:50:20</t>
  </si>
  <si>
    <t>Plaats van middendorp 4, Voorburg, Voorburg</t>
  </si>
  <si>
    <t>2271 VC</t>
  </si>
  <si>
    <t>PICNIC-DES-XL-SPRCLUB,TOWLB-CAB-XL-NAVY-R,TOWLB-KID-LG-INTOWILD,TOWLB-KID-LG-SKATER,TOWLB-SUM-XL-MIAMI</t>
  </si>
  <si>
    <t>10241965-10292563</t>
  </si>
  <si>
    <t>Kimberly</t>
  </si>
  <si>
    <t>Döbel</t>
  </si>
  <si>
    <t>EU-43166</t>
  </si>
  <si>
    <t>2026-06-03 04:50:23</t>
  </si>
  <si>
    <t>Schulstr 38, Hemslingen, Hemslingen</t>
  </si>
  <si>
    <t>TOWLB-CAB-XL-LTBGE-R,TOWLB-SUM-XL-MIAMI</t>
  </si>
  <si>
    <t>10242612-10293212</t>
  </si>
  <si>
    <t>M</t>
  </si>
  <si>
    <t>Chiapello</t>
  </si>
  <si>
    <t>EU-43171</t>
  </si>
  <si>
    <t>2026-06-03 04:51:21</t>
  </si>
  <si>
    <t>25 Rue Finkmatt, Strasbourg, Strasbourg</t>
  </si>
  <si>
    <t>10241221-10291818</t>
  </si>
  <si>
    <t>Joule</t>
  </si>
  <si>
    <t>EU-43160</t>
  </si>
  <si>
    <t>2026-06-03 04:52:22</t>
  </si>
  <si>
    <t>Kadettgatan 1, Stockholm, Stockholm</t>
  </si>
  <si>
    <t>113 33</t>
  </si>
  <si>
    <t>TOWLB-CAB-LG-LTBGE-R</t>
  </si>
  <si>
    <t>10239943-10290503</t>
  </si>
  <si>
    <t>Olga</t>
  </si>
  <si>
    <t>Downey</t>
  </si>
  <si>
    <t>EU-43142</t>
  </si>
  <si>
    <t>2026-06-03 04:52:37</t>
  </si>
  <si>
    <t>Ballyknockan, Glenfiled, Portlaoise, Laois</t>
  </si>
  <si>
    <t>R32 XK10</t>
  </si>
  <si>
    <t>HAIRW-SUE-HOTTROP,PONCHA-CLA-LG-NAVY-NS,PONCHK-KID-MD-GVCLUB,PONCHK-KID-MD-INTOWILD</t>
  </si>
  <si>
    <t>10241022-10291615</t>
  </si>
  <si>
    <t>Chang</t>
  </si>
  <si>
    <t>EU-43155</t>
  </si>
  <si>
    <t>2026-06-03 04:53:21</t>
  </si>
  <si>
    <t>Admiralengracht 138-1, Amsterdam, Amsterdam</t>
  </si>
  <si>
    <t>1057 GG</t>
  </si>
  <si>
    <t>TOWLB-DES-LG-LEMWAV,TOWLB-DES-LG-MELLOW</t>
  </si>
  <si>
    <t>10241217-10291814</t>
  </si>
  <si>
    <t>Joao</t>
  </si>
  <si>
    <t>Pedro Oliveira</t>
  </si>
  <si>
    <t>EU-43158</t>
  </si>
  <si>
    <t>2026-06-03 04:55:26</t>
  </si>
  <si>
    <t>Rua Do Castelo, 12, Salir Do Porto, Leiria</t>
  </si>
  <si>
    <t>2500-681</t>
  </si>
  <si>
    <t>TOWLB-CAB-LG-BLUE-R,TOWLB-CAB-MD-LTPNK,TOWLB-SUM-LG-SANDSEA</t>
  </si>
  <si>
    <t>10240503-10291078</t>
  </si>
  <si>
    <t>The Millstone</t>
  </si>
  <si>
    <t>Kennedy</t>
  </si>
  <si>
    <t>EU-43146</t>
  </si>
  <si>
    <t>2026-06-03 04:56:57</t>
  </si>
  <si>
    <t>Smarmore, ARDEE, Louth</t>
  </si>
  <si>
    <t>A92 EV59</t>
  </si>
  <si>
    <t>TOWLB-CAB-XL-LTBLU-R,TOWLB-CAB-XL-LTPNK-R</t>
  </si>
  <si>
    <t>10240516-10291091</t>
  </si>
  <si>
    <t>Lucienne</t>
  </si>
  <si>
    <t>Vanhout</t>
  </si>
  <si>
    <t>EU-43152</t>
  </si>
  <si>
    <t>2026-06-03 04:57:47</t>
  </si>
  <si>
    <t>Blijdenberg 5 box202, Herentals, Herentals</t>
  </si>
  <si>
    <t>BAGF-DES-MD-WAVYBBY,TOWLB-DES-LG-SWTESC,TOWLB-DES-LG-WTRSUG,TOWLB-DES-LG-WYWH,TOWLB-SUM-LG-TUTFRU</t>
  </si>
  <si>
    <t>10240517-10291093</t>
  </si>
  <si>
    <t>Noreen</t>
  </si>
  <si>
    <t>Cregg</t>
  </si>
  <si>
    <t>EU-43151</t>
  </si>
  <si>
    <t>2026-06-03 04:58:06</t>
  </si>
  <si>
    <t>UpperChurchfield, Tourmakeady, Claremorris, Mayo</t>
  </si>
  <si>
    <t>F12 CD35</t>
  </si>
  <si>
    <t>TOWLB-CAB-XL-BLACK-R,TOWLB-SUM-XL-TUTFRU</t>
  </si>
  <si>
    <t>10240500-10291075</t>
  </si>
  <si>
    <t>Cathy</t>
  </si>
  <si>
    <t>Smets</t>
  </si>
  <si>
    <t>EU-43143</t>
  </si>
  <si>
    <t>2026-06-03 05:00:58</t>
  </si>
  <si>
    <t>Hagebeuk 34, Merchtem, Merchtem</t>
  </si>
  <si>
    <t>TOWLB-CAB-XL-LTPNK-R,TOWLB-CAB-XL-NAVY-R,TOWLB-CAB-XL-YELL-R</t>
  </si>
  <si>
    <t>10241966-10292564</t>
  </si>
  <si>
    <t>Caren-Maria</t>
  </si>
  <si>
    <t>Brinkmeyer</t>
  </si>
  <si>
    <t>EU-43167</t>
  </si>
  <si>
    <t>2026-06-03 05:08:11</t>
  </si>
  <si>
    <t>Blasheimer Straße 19, Lübbecke, Lübbecke</t>
  </si>
  <si>
    <t>TOWLB-DES-XL-MELLOW,TOWLF-ESS-LG-LTPPL,TOWLF-ESS-XL-DKBLU</t>
  </si>
  <si>
    <t>10241963-10292561</t>
  </si>
  <si>
    <t>HJ</t>
  </si>
  <si>
    <t>van den Berg</t>
  </si>
  <si>
    <t>EU-43164</t>
  </si>
  <si>
    <t>2026-06-03 05:10:24</t>
  </si>
  <si>
    <t>Tjørnelunds Allé 26, Valby, Valby</t>
  </si>
  <si>
    <t>10242834-10293434</t>
  </si>
  <si>
    <t>O'Reilly</t>
  </si>
  <si>
    <t>EU-43173</t>
  </si>
  <si>
    <t>2026-06-03 05:11:53</t>
  </si>
  <si>
    <t>Teach stathan, Crossreagh, Mullagh, Cavan</t>
  </si>
  <si>
    <t>A82 FP30</t>
  </si>
  <si>
    <t>BAGBCH-MD-NAVY,BAGF-CAB-MD-NAVY,BAGF-SUM-MD-COLAGN</t>
  </si>
  <si>
    <t>10240497-10291072</t>
  </si>
  <si>
    <t>Cliona</t>
  </si>
  <si>
    <t>Richardson</t>
  </si>
  <si>
    <t>EU-43144</t>
  </si>
  <si>
    <t>2026-06-03 06:18:23</t>
  </si>
  <si>
    <t>1 Laurelville, Mill Rd, Corbally, Limerick</t>
  </si>
  <si>
    <t>V94 42Y1</t>
  </si>
  <si>
    <t>10240512-10291087</t>
  </si>
  <si>
    <t>Hunt</t>
  </si>
  <si>
    <t>EU-43149</t>
  </si>
  <si>
    <t>2026-06-03 06:20:46</t>
  </si>
  <si>
    <t>Golf Links Rd, Roscommon, Roscommon</t>
  </si>
  <si>
    <t>F42 E953</t>
  </si>
  <si>
    <t>10242991-10293591</t>
  </si>
  <si>
    <t>Anke</t>
  </si>
  <si>
    <t>Seelig</t>
  </si>
  <si>
    <t>EU-43177</t>
  </si>
  <si>
    <t>2026-06-03 06:24:48</t>
  </si>
  <si>
    <t>Backhausstraße 5, Kriftel, Kriftel</t>
  </si>
  <si>
    <t>10241964-10292562</t>
  </si>
  <si>
    <t>Kristina</t>
  </si>
  <si>
    <t>Tropitzsch</t>
  </si>
  <si>
    <t>EU-43165</t>
  </si>
  <si>
    <t>2026-06-03 06:25:57</t>
  </si>
  <si>
    <t>Fichtenweg 1, Waldershof, Waldershof</t>
  </si>
  <si>
    <t>10240155-10290722</t>
  </si>
  <si>
    <t>Emma Jean</t>
  </si>
  <si>
    <t>Costine</t>
  </si>
  <si>
    <t>EU-43145</t>
  </si>
  <si>
    <t>2026-06-03 06:30:05</t>
  </si>
  <si>
    <t>Asgard, 44 Pinewood Ave, Hillview, Waterford</t>
  </si>
  <si>
    <t>X91 AXT4</t>
  </si>
  <si>
    <t>TOWLB-DES-XL-IBZAGLW</t>
  </si>
  <si>
    <t>10242611-10293211</t>
  </si>
  <si>
    <t>Gengler</t>
  </si>
  <si>
    <t>Martine</t>
  </si>
  <si>
    <t>302-5405565-7131569</t>
  </si>
  <si>
    <t>2026-06-03 06:32:19</t>
  </si>
  <si>
    <t>22 rue belle -vue, rue Belle-Vue 22, Soleuvre, LUXEMBURG</t>
  </si>
  <si>
    <t>10241220-10291817</t>
  </si>
  <si>
    <t>Agnes</t>
  </si>
  <si>
    <t>Janovics</t>
  </si>
  <si>
    <t>EU-43159</t>
  </si>
  <si>
    <t>2026-06-03 06:33:58</t>
  </si>
  <si>
    <t>73 Alexandra Walk, Clane, Clane, Kildare</t>
  </si>
  <si>
    <t>W91 XY1F</t>
  </si>
  <si>
    <t>10240507-10291082</t>
  </si>
  <si>
    <t>jackie</t>
  </si>
  <si>
    <t>parke</t>
  </si>
  <si>
    <t>EU-43148</t>
  </si>
  <si>
    <t>2026-06-03 06:34:57</t>
  </si>
  <si>
    <t>Devlinmore, Carrigart, Letterkenny, Donegal</t>
  </si>
  <si>
    <t>F92 HK82</t>
  </si>
  <si>
    <t>10242418-10293018</t>
  </si>
  <si>
    <t>EU-43169</t>
  </si>
  <si>
    <t>2026-06-03 06:36:40</t>
  </si>
  <si>
    <t>4 The Green, Hazelbrook Square, Churchtown, Dublin 14, Dublin</t>
  </si>
  <si>
    <t>D14 AY64</t>
  </si>
  <si>
    <t>TOWLB-CAB-LG-LTGRY-R</t>
  </si>
  <si>
    <t>10239941-10290501</t>
  </si>
  <si>
    <t>Evelyne</t>
  </si>
  <si>
    <t>Vanvlasselaer</t>
  </si>
  <si>
    <t>EU-43141</t>
  </si>
  <si>
    <t>2026-06-03 06:37:53</t>
  </si>
  <si>
    <t>Hameau de Hussompont 4A, Jodoigne, Jodoigne</t>
  </si>
  <si>
    <t>10242218-10292817</t>
  </si>
  <si>
    <t>Schulze</t>
  </si>
  <si>
    <t>302-6175592-6243560</t>
  </si>
  <si>
    <t>2026-06-03 06:39:55</t>
  </si>
  <si>
    <t>Düppler Grund 29, Magdeburg, Magdeburg</t>
  </si>
  <si>
    <t>10242613-10293213</t>
  </si>
  <si>
    <t>Emer</t>
  </si>
  <si>
    <t>Egan</t>
  </si>
  <si>
    <t>EU-43172</t>
  </si>
  <si>
    <t>2026-06-03 06:41:07</t>
  </si>
  <si>
    <t>34 Sallins Wharf, Sallins, Kildare</t>
  </si>
  <si>
    <t>W91 W568</t>
  </si>
  <si>
    <t>PONCHA-CAB-MD-BLUE-NS</t>
  </si>
  <si>
    <t>10241021-10291614</t>
  </si>
  <si>
    <t>Troschau</t>
  </si>
  <si>
    <t>EU-43154</t>
  </si>
  <si>
    <t>2026-06-03 06:55:15</t>
  </si>
  <si>
    <t>Storchgasse 18, Frankfurt Am Main, Frankfurt Am Main</t>
  </si>
  <si>
    <t>PICNIC-SUM-XL-UNICN,TOWLB-SUM-XL-UNICN-R</t>
  </si>
  <si>
    <t>10241219-10291816</t>
  </si>
  <si>
    <t>Finlay</t>
  </si>
  <si>
    <t>Thorburn</t>
  </si>
  <si>
    <t>EU-43156</t>
  </si>
  <si>
    <t>2026-06-03 06:57:17</t>
  </si>
  <si>
    <t>Hellbrunner Straße 7A, Apartment 11, Salzburg, Salzburg</t>
  </si>
  <si>
    <t>PICNIC-DES-XL-STRIPLIFE,TOWLB-CAB-XL-LTGRY-R,TOWLB-CAB-XL-LTPNK-R,TOWLB-CAB-XL-ORANG-R</t>
  </si>
  <si>
    <t>10241222-10291819</t>
  </si>
  <si>
    <t>hanna</t>
  </si>
  <si>
    <t>Oester</t>
  </si>
  <si>
    <t>028-1823168-9420353</t>
  </si>
  <si>
    <t>2026-06-03 07:03:18</t>
  </si>
  <si>
    <t>ziegelbrückstrasse 23, weesen, sg</t>
  </si>
  <si>
    <t>DHL DE - Economy Select DE ROEUR</t>
  </si>
  <si>
    <t>10240510-10291085</t>
  </si>
  <si>
    <t>Anthony</t>
  </si>
  <si>
    <t>Morena</t>
  </si>
  <si>
    <t>EU-43147</t>
  </si>
  <si>
    <t>2026-06-03 07:04:40</t>
  </si>
  <si>
    <t>Rue Bruno 10, App 02, Namur, Namur</t>
  </si>
  <si>
    <t>10235124-10285623</t>
  </si>
  <si>
    <t>Henkel</t>
  </si>
  <si>
    <t>EU-43086</t>
  </si>
  <si>
    <t>2026-06-03 07:09:34</t>
  </si>
  <si>
    <t>Uhlandstraße, 7, Bad Überkingen, Bad Überkingen</t>
  </si>
  <si>
    <t>BAGDRY-XS-HOTTROP,BAGF-SUM-MD-MIAMI,BALLAST-SUM-CSTCANDY,BALLAST-SUM-MIAMI,PICNIC-DES-XL-SORBET,PONCHA-SUM-MD-CSTCANDY,TOWLB-DES-LG-HOTTROP,TOWLB-DOB-LG-CALM,TOWLB-SUM-XL-COLAGN,TOWLB-SUM-XL-MIAMI,TOWLB-SUM-XL-OCEAN,TOWLB-SUM-XL-TUTFRU</t>
  </si>
  <si>
    <t>10243447-10294048</t>
  </si>
  <si>
    <t>Britt</t>
  </si>
  <si>
    <t>Henny</t>
  </si>
  <si>
    <t>EU-43180</t>
  </si>
  <si>
    <t>2026-06-03 09:00:11</t>
  </si>
  <si>
    <t>De goudvink, 38, Schilde, Schilde</t>
  </si>
  <si>
    <t>10243660-10294296</t>
  </si>
  <si>
    <t>Jane</t>
  </si>
  <si>
    <t>Signorelli</t>
  </si>
  <si>
    <t>EU-43182</t>
  </si>
  <si>
    <t>2026-06-03 09:01:46</t>
  </si>
  <si>
    <t>3 Williamstown Village, Grantstown, Waterford, Waterford</t>
  </si>
  <si>
    <t>X91 T6X6</t>
  </si>
  <si>
    <t>10229309-10279672</t>
  </si>
  <si>
    <t>Buchenauer</t>
  </si>
  <si>
    <t>305-3932588-7228343</t>
  </si>
  <si>
    <t>2026-06-03 09:03:16</t>
  </si>
  <si>
    <t>Juliusstraße 19, Hamburg, Hamburg</t>
  </si>
  <si>
    <t>10240784-10291365</t>
  </si>
  <si>
    <t>Das Lädchen</t>
  </si>
  <si>
    <t>Grüninger</t>
  </si>
  <si>
    <t>EUWS-3178</t>
  </si>
  <si>
    <t>2026-06-03 09:21:29</t>
  </si>
  <si>
    <t>Blessenstätte 8, Gütersloh, Gütersloh</t>
  </si>
  <si>
    <t>BAGF-CAB-MD-LTPNK,BAGF-DES-MD-CHECKMT,BAGF-DES-MD-GROOVCH,TOWLB-CAB-LG-LTBGE-R,TOWLB-CAB-LG-LTBLU-R,TOWLB-CAB-LG-LTPNK-R,TOWLB-CAB-LG-YELL-R,TOWLB-DES-LG-ALOHGLW,TOWLB-DES-LG-LEMWAV,TOWLB-DES-LG-PNKPARA</t>
  </si>
  <si>
    <t>10243446-10294047</t>
  </si>
  <si>
    <t>Yulia</t>
  </si>
  <si>
    <t>Makhova</t>
  </si>
  <si>
    <t>EU-43179</t>
  </si>
  <si>
    <t>2026-06-03 09:26:10</t>
  </si>
  <si>
    <t>De Bosuil 1, Amersfoort, Amersfoort</t>
  </si>
  <si>
    <t>3815 XW</t>
  </si>
  <si>
    <t>TOWLB-CAB-XL-BLUE-R,TOWLB-SUM-XL-OCEAN</t>
  </si>
  <si>
    <t>10243659-10294295</t>
  </si>
  <si>
    <t>Heinrichs</t>
  </si>
  <si>
    <t>EU-43181</t>
  </si>
  <si>
    <t>2026-06-03 09:27:02</t>
  </si>
  <si>
    <t>Am Wingertsberg 13, Breinig, Stolberg, Stolberg</t>
  </si>
  <si>
    <t>TOWLB-DES-LG-MELLOW,TOWLB-DES-LG-PSTPIER</t>
  </si>
  <si>
    <t>10243926-10294574</t>
  </si>
  <si>
    <t>André</t>
  </si>
  <si>
    <t>EU-43185</t>
  </si>
  <si>
    <t>2026-06-03 10:21:31</t>
  </si>
  <si>
    <t>Barer Straße 39, München, München</t>
  </si>
  <si>
    <t>TOWLB-CAB-X2-LTPNK</t>
  </si>
  <si>
    <t>10243928-10294576</t>
  </si>
  <si>
    <t>EU-43187</t>
  </si>
  <si>
    <t>2026-06-03 10:23:24</t>
  </si>
  <si>
    <t>28 Kilheale Ave, Kill, Kildare</t>
  </si>
  <si>
    <t>W91 X4F5</t>
  </si>
  <si>
    <t>BAGF-DES-MD-IBZAGLW,HAIRW-SUE-IBZAGLW,TOWLB-DES-XL-IBZAGLW</t>
  </si>
  <si>
    <t>10243929-10294577</t>
  </si>
  <si>
    <t>Konze</t>
  </si>
  <si>
    <t>EU-43188</t>
  </si>
  <si>
    <t>2026-06-03 10:25:12</t>
  </si>
  <si>
    <t>Garmischer Str 229, München, München</t>
  </si>
  <si>
    <t>PICNIC-SUM-LG-UNICN</t>
  </si>
  <si>
    <t>10243922-10294570</t>
  </si>
  <si>
    <t>Härtl</t>
  </si>
  <si>
    <t>EU-43184</t>
  </si>
  <si>
    <t>2026-06-03 10:26:39</t>
  </si>
  <si>
    <t>Am Schwall 12, Postbauer-Heng, Postbauer-Heng</t>
  </si>
  <si>
    <t>10243925-10294573</t>
  </si>
  <si>
    <t>Mulsow</t>
  </si>
  <si>
    <t>EU-43186</t>
  </si>
  <si>
    <t>2026-06-03 10:27:25</t>
  </si>
  <si>
    <t>12 Eaton Square Monkstown, 12 Eaton Square, Co Dublin, Dublin</t>
  </si>
  <si>
    <t>A94 PF34</t>
  </si>
  <si>
    <t>TOWLB-DES-XL-ALOHGLW,TOWLB-SUM-XL-UNICN-R</t>
  </si>
  <si>
    <t>10240785-10291366</t>
  </si>
  <si>
    <t>HAJ1</t>
  </si>
  <si>
    <t>FBA15LW1NNKR</t>
  </si>
  <si>
    <t>2026-06-03 11:21:05</t>
  </si>
  <si>
    <t xml:space="preserve">16211 (x5), 16212 (x1) A-SCRUNCH-PAPER (x1) A-KRAFT-PAPER-TAPE (x2) </t>
  </si>
  <si>
    <t>BAGDRY-XS-HOTTROP,BAGDRY-XS-NAVY,BAGDRY-XS-WAVYBBY,BAGDRY-XS-WYWH,BAGF-CAB-MD-LTPNK,BAGF-CAB-MD-NAVY,BAGF-DES-MD-BANARAM,BAGF-DES-MD-CHECKMT,BAGF-DES-MD-GROOVCH,BAGF-DES-MD-IBZAGLW,BAGF-DES-MD-SPRCLUB,BAGF-DES-MD-WAVYBBY,BAGF-DES-MD-WTRSUG,BAGF-DES-MD-WYWH,BAGF-SUM-MD-COLAGN,BAGF-SUM-MD-CSTCANDY,BAGF-SUM-MD-MIAMI,BAGF-SUM-MD-UNICN,COOL-CAB-LTGRY-R,COOL-CAB-LTPNK-R,PICNIC-CAB-XL-NAVY,PICNIC-DES-LG-BANARAM,PICNIC-DES-LG-CANDSTR,PICNIC-DES-LG-MARGMAD,PICNIC-DES-LG-STRIPLIFE,PICNIC-DES-XL-BANARAM,PICNIC-DES-XL-CANDSTR,PICNIC-DES-XL-MARGMAD,PICNIC-DES-XL-STRIPLIFE,PICNIC-SUM-LG-UNICN,PICNIC-SUM-XL-UNICN,PONCHK-KID-MD-CAMOCUBE,PONCHK-KID-SM-BUBDRM,PONCHK-KID-SM-CAMOCUBE,PONCHK-KID-SM-TURTROP,TOWLB-CAB-LG-BLACK-R,TOWLB-CAB-XL-KHAKI-R,TOWLB-DES-LG-GRECSHR,TOWLB-DES-LG-PSTPIER,TOWLB-DES-LG-TANTIDE,TOWLB-DES-XL-BLUSPRIT,TOWLB-DES-XL-GRECSHR,TOWLB-DES-XL-HOTTROP,TOWLB-DES-XL-KARMA,TOWLB-DES-XL-TANTIDE,TOWLB-DOB-XL-CALM,TOWLB-SUM-LG-OCEAN,TOWLB-SUM-LG-TUTFRU,TOWLB-SUM-MD-UNICN,TOWLB-SUM-XL-COLAGN,TOWLB-SUM-XL-MIAMI,TOWLF-ESS-LG-BLUE-R,TOWLF-ESS-LG-DKBLU,TOWLF-ESS-XL-BLUE-R,TOWLF-ESS-XL-DKBLU,TOWLF-ESS-XL-GREEN-R</t>
  </si>
  <si>
    <t>10243662-10294298</t>
  </si>
  <si>
    <t>Brunkhorst</t>
  </si>
  <si>
    <t>EU-43183</t>
  </si>
  <si>
    <t>2026-06-03 11:53:49</t>
  </si>
  <si>
    <t>Dorfstraße 37, Vierden, Vierden</t>
  </si>
  <si>
    <t>10244424-10295088</t>
  </si>
  <si>
    <t>Ward</t>
  </si>
  <si>
    <t>EU-43194</t>
  </si>
  <si>
    <t>2026-06-03 12:34:54</t>
  </si>
  <si>
    <t>Bunbeg, Letterkenny, Co Donegal, Donegal</t>
  </si>
  <si>
    <t>F92 D682</t>
  </si>
  <si>
    <t>TOWLB-CAB-XL-BLACK-R</t>
  </si>
  <si>
    <t>10244418-10295082</t>
  </si>
  <si>
    <t>Gesine</t>
  </si>
  <si>
    <t>Jancar</t>
  </si>
  <si>
    <t>EU-43192</t>
  </si>
  <si>
    <t>2026-06-03 12:37:12</t>
  </si>
  <si>
    <t>Schmittburgstraße 6, Mörfelden-Walldorf, Mörfelden-Walldorf</t>
  </si>
  <si>
    <t>BAGDRY-XS-HOTTROP,TOWLB-SUM-LG-COLAGN,TOWLB-SUM-LG-CSTCANDY,TOWLB-SUM-LG-MIAMI,TOWLB-SUM-LG-RAINB-R,TOWLB-SUM-LG-SANDSEA,TOWLB-SUM-LG-UNICN-R</t>
  </si>
  <si>
    <t>10243661-10294297</t>
  </si>
  <si>
    <t>LAVLY STORE</t>
  </si>
  <si>
    <t>Jarek</t>
  </si>
  <si>
    <t>Kulenda</t>
  </si>
  <si>
    <t>EUWS-3180</t>
  </si>
  <si>
    <t>2026-06-03 12:38:06</t>
  </si>
  <si>
    <t>Kamenicka 673/5, Prague, Prague</t>
  </si>
  <si>
    <t>170 00</t>
  </si>
  <si>
    <t>BAGDRY-XS-HOTTROP,BAGDRY-XS-NAVY,BALLAST-SUM-CSTCANDY,BALLAST-SUM-MIAMI,TOWLB-CAB-LG-LTBLU-R,TOWLB-CAB-LG-PINK-R,TOWLB-CAB-X2-LTPNK,TOWLB-SUM-LG-MIAMI</t>
  </si>
  <si>
    <t>10244420-10295084</t>
  </si>
  <si>
    <t>Louise</t>
  </si>
  <si>
    <t>McGowan</t>
  </si>
  <si>
    <t>EU-43191</t>
  </si>
  <si>
    <t>2026-06-03 12:38:25</t>
  </si>
  <si>
    <t>35 Obelisk Rise, Blackrock, Dublin, Dublin</t>
  </si>
  <si>
    <t>A94 E718</t>
  </si>
  <si>
    <t>TOWLB-DES-LG-MELLOW</t>
  </si>
  <si>
    <t>10244422-10295086</t>
  </si>
  <si>
    <t>Maura</t>
  </si>
  <si>
    <t>Helena Gomes Tannenberger</t>
  </si>
  <si>
    <t>EU-43193</t>
  </si>
  <si>
    <t>2026-06-03 12:45:11</t>
  </si>
  <si>
    <t>Am Forstacker 25, 13587 Berlin, 25, Berlin, Berlin</t>
  </si>
  <si>
    <t>TOWLB-DES-XL-GRECSHR,TOWLB-DES-XL-IBZAGLW</t>
  </si>
  <si>
    <t>10244423-10295087</t>
  </si>
  <si>
    <t>Macmahon</t>
  </si>
  <si>
    <t>EU-43195</t>
  </si>
  <si>
    <t>2026-06-03 12:46:21</t>
  </si>
  <si>
    <t>133 Butterfield ave, Dublin14, Dublin</t>
  </si>
  <si>
    <t>D14 X372</t>
  </si>
  <si>
    <t>TOWLB-CAB-LG-LTBLU-R,TOWLB-CAB-LG-NAVY-R</t>
  </si>
  <si>
    <t>10233330-10283772</t>
  </si>
  <si>
    <t>Karusa</t>
  </si>
  <si>
    <t>Monika</t>
  </si>
  <si>
    <t>Holzhauser</t>
  </si>
  <si>
    <t>EUWS-3174</t>
  </si>
  <si>
    <t>2026-06-05 04:43:32</t>
  </si>
  <si>
    <t>Humboldtstraße 6, München, München</t>
  </si>
  <si>
    <t>BAGDRY-MD-NAVY,BAGDRY-XS-HOTTROP,BAGDRY-XS-NAVY,BAGDRY-XS-WAVYBBY,BAGDRY-XS-WYWH,BAGF-DES-MD-GROOVCH,BALLAST-CAB-NAVY,BALLAST-DES-GRECSH,BALLAST-SUM-CSTCANDY,BALLAST-SUM-MIAMI,EYEMASK-DES-OOO,HAIRW-CAB-NAVY-NB,HAIRW-SUE-MIAMI,PICNIC-DES-LG-SPRCLUB,TEATWL-MD-APPLTRT,TEATWL-MD-DINPRTY,TEATWL-MD-GRTFROM,TEATWL-MD-TRPPNCH,TOWLB-CAB-LG-BLACK-R,TOWLB-CAB-LG-KHAKI-R,TOWLB-CAB-LG-NAVY-R,TOWLB-CAB-LG-YELL-R,TOWLB-CAB-XL-BLACK-R,TOWLB-CAB-XL-NAVY-R,TOWLB-CAB-XL-YELL-R,TOWLB-DES-LG-GRECSHR,TOWLB-DES-LG-MELLOW,TOWLB-DES-LG-PSTPIER,TOWLB-DES-LG-TROPTRT,TOWLB-DES-LG-WYWH,TOWLB-DES-XL-GRECSHR,TOWLB-DES-XL-MELLOW,TOWLB-DOB-LG-CALM,TOWLB-DOB-XL-CALM,TOWLB-SUM-LG-COLAGN,TOWLB-SUM-LG-CSTCANDY,TOWLB-SUM-LG-MIAMI,TOWLB-SUM-LG-OCEAN,TOWLB-SUM-LG-RAINB-R,TOWLB-SUM-LG-SANDSEA,TOWLB-SUM-LG-TUTFRU,TOWLB-SUM-XL-CSTCANDY,TOWLB-SUM-XL-OCEAN,TOWLB-SUM-XL-RAINB-R,TOWLB-SUM-XL-SANDSEA,TOWLB-SUM-XL-TUTFRU</t>
  </si>
  <si>
    <t>10244201-10294856</t>
  </si>
  <si>
    <t>Emma Phone</t>
  </si>
  <si>
    <t>EU-43190</t>
  </si>
  <si>
    <t>2026-06-05 04:48:06</t>
  </si>
  <si>
    <t>Emmalees, Curragha Rd, Ratoath, Meath</t>
  </si>
  <si>
    <t>A85 HH63</t>
  </si>
  <si>
    <t>PONCHA-CAB-MD-LTPNK-NS,PONCHA-DES-MD-WAVYBBY,PONCHA-SUM-MD-CSTCANDY</t>
  </si>
  <si>
    <t>10244655-10295327</t>
  </si>
  <si>
    <t>Schattling</t>
  </si>
  <si>
    <t>EU-43197</t>
  </si>
  <si>
    <t>2026-06-05 04:49:53</t>
  </si>
  <si>
    <t>Heinrich-Kock-Weg 5, Hamburg, Hamburg</t>
  </si>
  <si>
    <t>10244894-10295588</t>
  </si>
  <si>
    <t>Wetter</t>
  </si>
  <si>
    <t>EU-42384</t>
  </si>
  <si>
    <t>2026-06-05 04:51:28</t>
  </si>
  <si>
    <t>Am Stadtbach 8, Zofingen, Zofingen</t>
  </si>
  <si>
    <t>BAGDRY-MD-MIAMI,BAGDRY-XS-MIAMI,BAGF-SUM-MD-CSTCANDY,PICNIC-DES-XL-GRCSHR</t>
  </si>
  <si>
    <t>10244793-10295471</t>
  </si>
  <si>
    <t>Dyson</t>
  </si>
  <si>
    <t>EU-43203</t>
  </si>
  <si>
    <t>2026-06-05 04:52:44</t>
  </si>
  <si>
    <t>Wayside Kinsale Rd, Ballygarvan, Cork, Cork</t>
  </si>
  <si>
    <t>T12 AWH3</t>
  </si>
  <si>
    <t>TEATWL-MD-APPLTRT,TEATWL-MD-CCOOL,TOWLB-DES-XL-LEMWAV</t>
  </si>
  <si>
    <t>10244660-10295332</t>
  </si>
  <si>
    <t>Carly</t>
  </si>
  <si>
    <t>O Halloran</t>
  </si>
  <si>
    <t>EU-43201</t>
  </si>
  <si>
    <t>2026-06-05 04:54:23</t>
  </si>
  <si>
    <t>43 Ardagh Park, BlackRock, Dublin</t>
  </si>
  <si>
    <t>A94 AD79</t>
  </si>
  <si>
    <t>PONCHA-CAB-MD-LTPNK-NS,PONCHA-SUM-MD-CSTCANDY,PONCHK-CAB-MD-NAVY-NS,TOWLB-DES-XL-BLUSPRIT,TOWLB-DES-XL-LEMWAV,TOWLB-SUM-XL-COLAGN,TOWLB-SUM-XL-MIAMI</t>
  </si>
  <si>
    <t>10244656-10295328</t>
  </si>
  <si>
    <t>Paula</t>
  </si>
  <si>
    <t>Flaherty</t>
  </si>
  <si>
    <t>EU-43196</t>
  </si>
  <si>
    <t>2026-06-05 04:55:13</t>
  </si>
  <si>
    <t>141A Woodfield, Scholarstown Rd, Dublin16, Dublin</t>
  </si>
  <si>
    <t>D16 P7R6</t>
  </si>
  <si>
    <t>10241435-10292032</t>
  </si>
  <si>
    <t>Petra</t>
  </si>
  <si>
    <t>Ujmiakova</t>
  </si>
  <si>
    <t>EU-43162</t>
  </si>
  <si>
    <t>2026-06-05 05:00:34</t>
  </si>
  <si>
    <t>Albinusstraat 13, Rotterdam, Rotterdam</t>
  </si>
  <si>
    <t>3045 CA</t>
  </si>
  <si>
    <t>PONCHK-CAB-MD-LTPNK-NS,PONCHK-CAB-SM-BLUE-NS,PONCHK-KID-MD-INTOWILD,PONCHK-KID-SM-BUBDRM,PONCHK-SUM-MD-CSTCANDY,PONCHK-SUM-SM-CSTCANDY</t>
  </si>
  <si>
    <t>10247900-10298662</t>
  </si>
  <si>
    <t>Birgit</t>
  </si>
  <si>
    <t>Keiser</t>
  </si>
  <si>
    <t>EU-43244</t>
  </si>
  <si>
    <t>2026-06-05 05:47:59</t>
  </si>
  <si>
    <t>Am Lusthaus 28, Köln, Köln</t>
  </si>
  <si>
    <t>10245504-10296238</t>
  </si>
  <si>
    <t>schrema GmbH &amp; Co. KG</t>
  </si>
  <si>
    <t>Markus</t>
  </si>
  <si>
    <t>Mueller</t>
  </si>
  <si>
    <t>EU-43212</t>
  </si>
  <si>
    <t>2026-06-05 05:49:34</t>
  </si>
  <si>
    <t>Petersburg 53, Gladenbach, Gladenbach</t>
  </si>
  <si>
    <t>TOWLB-CAB-LG-LTPNK-R,TOWLB-CAB-LG-NAVY-R,TOWLB-CAB-LG-ORANG-R,TOWLB-CAB-XL-ORANG-R</t>
  </si>
  <si>
    <t>10248574-10299354</t>
  </si>
  <si>
    <t>Sonia</t>
  </si>
  <si>
    <t>De Weerdt</t>
  </si>
  <si>
    <t>EU-43259</t>
  </si>
  <si>
    <t>2026-06-05 05:51:14</t>
  </si>
  <si>
    <t>Verlorenkostbaan 82, Opwijk, Opwijk</t>
  </si>
  <si>
    <t>BALLAST-CAB-NAVY,TOWLB-SUM-XL-COLAGN,TOWLB-SUM-XL-MIAMI</t>
  </si>
  <si>
    <t>10248572-10299352</t>
  </si>
  <si>
    <t>Oppmann</t>
  </si>
  <si>
    <t>EU-43256</t>
  </si>
  <si>
    <t>2026-06-05 05:52:32</t>
  </si>
  <si>
    <t>Frankenstr 1, Margetshöchheim, Margetshöchheim</t>
  </si>
  <si>
    <t>PONCHA-CAB-MD-BLUE-NS,PONCHA-CAB-XL-LTPNK,PONCHA-CAB-XL-NAVY</t>
  </si>
  <si>
    <t>10246592-10297344</t>
  </si>
  <si>
    <t>Zeynep</t>
  </si>
  <si>
    <t>Cetin</t>
  </si>
  <si>
    <t>EU-43223</t>
  </si>
  <si>
    <t>2026-06-05 05:56:13</t>
  </si>
  <si>
    <t>Obdamstraat 21, Zaandam, Zaandam</t>
  </si>
  <si>
    <t>1507 JC</t>
  </si>
  <si>
    <t>BAGDRY-XS-NAVY,BAGF-SUM-MD-CSTCANDY,TOWLB-CAB-LG-NAVY-R,TOWLB-CAB-XL-BLUE-R,TOWLB-CAB-XL-LTPPL-R</t>
  </si>
  <si>
    <t>10246381-10297133</t>
  </si>
  <si>
    <t>Annick</t>
  </si>
  <si>
    <t>Reiser</t>
  </si>
  <si>
    <t>EU-43220</t>
  </si>
  <si>
    <t>2026-06-05 06:05:13</t>
  </si>
  <si>
    <t>am Brill, 13, Stegen, Stegen</t>
  </si>
  <si>
    <t>BAGF-SUM-MD-CSTCANDY,TOWLB-SUM-XL-COLAGN,TOWLB-SUM-XL-MIAMI,TOWLB-SUM-XL-OCEAN,TOWLB-SUM-XL-TUTFRU</t>
  </si>
  <si>
    <t>10246093-10296842</t>
  </si>
  <si>
    <t>Chelsea</t>
  </si>
  <si>
    <t>Flagg</t>
  </si>
  <si>
    <t>EU-43216</t>
  </si>
  <si>
    <t>2026-06-05 06:09:25</t>
  </si>
  <si>
    <t>Rua Papoilas 664, Cascais, Lisboa</t>
  </si>
  <si>
    <t>2705-757</t>
  </si>
  <si>
    <t>TOWLB-DES-XL-BLUSKY,TOWLB-DES-XL-MELLOW,TOWLB-DES-XL-PSTPIER,TOWLB-DES-XL-RSPROAD,TOWLB-SUM-XL-COLAGN</t>
  </si>
  <si>
    <t>10247894-10298656</t>
  </si>
  <si>
    <t>Diederich-Predak</t>
  </si>
  <si>
    <t>EU-43241</t>
  </si>
  <si>
    <t>2026-06-05 06:10:41</t>
  </si>
  <si>
    <t>Weimarer Weg 1, Espenau, Espenau</t>
  </si>
  <si>
    <t>TOWLB-DES-XL-LEMWAV,TOWLB-DOB-XL-CALM,TOWLB-SUM-XL-CSTCANDY</t>
  </si>
  <si>
    <t>10247713-10298470</t>
  </si>
  <si>
    <t>Diane</t>
  </si>
  <si>
    <t>Diterwich</t>
  </si>
  <si>
    <t>EU-43236</t>
  </si>
  <si>
    <t>2026-06-05 06:12:07</t>
  </si>
  <si>
    <t>Heesterlaan 2, Groningen, Groningen</t>
  </si>
  <si>
    <t>9713 NW</t>
  </si>
  <si>
    <t>BAGF-SUM-MD-CSTCANDY,HAIRW-SUE-MIAMI,TOWLB-SUM-XL-MIAMI</t>
  </si>
  <si>
    <t>10247898-10298660</t>
  </si>
  <si>
    <t>Sinead</t>
  </si>
  <si>
    <t>Marconi</t>
  </si>
  <si>
    <t>EU-43242</t>
  </si>
  <si>
    <t>2026-06-05 06:13:20</t>
  </si>
  <si>
    <t>58 Kenilworth Park, Dublin, Dublin</t>
  </si>
  <si>
    <t>D6W WK68</t>
  </si>
  <si>
    <t>HAIRW-CAB-LTPNK-NB,HAIRW-SUE-PSTPIER,HAIRW-WAF-CHRYBMB</t>
  </si>
  <si>
    <t>10244898-10295592</t>
  </si>
  <si>
    <t>Morick</t>
  </si>
  <si>
    <t>EU-43207</t>
  </si>
  <si>
    <t>2026-06-05 06:16:12</t>
  </si>
  <si>
    <t>Gravelstraße 10, Lingen, Lingen</t>
  </si>
  <si>
    <t>BAGF-DES-MD-GROOVCH,PONCHA-DES-LG-WTRSUG,PONCHK-SUM-MD-CSTCANDY</t>
  </si>
  <si>
    <t>10245501-10296235</t>
  </si>
  <si>
    <t>Brecht</t>
  </si>
  <si>
    <t>Belmans</t>
  </si>
  <si>
    <t>EU-43209</t>
  </si>
  <si>
    <t>2026-06-05 06:18:35</t>
  </si>
  <si>
    <t>Koebaan 4A, Genk, Genk</t>
  </si>
  <si>
    <t>HAIRW-SUE-BBGWLK,TOWLB-SUM-XL-COLAGN,TOWLB-SUM-XL-MIAMI,TOWLB-SUM-XL-OCEAN,TOWLB-SUM-XL-TUTFRU</t>
  </si>
  <si>
    <t>10245502-10296236</t>
  </si>
  <si>
    <t>Cooke</t>
  </si>
  <si>
    <t>EU-43211</t>
  </si>
  <si>
    <t>2026-06-05 06:20:28</t>
  </si>
  <si>
    <t>Scart, Kildorrery, Scart, Kildorrery, Cork, Cork</t>
  </si>
  <si>
    <t>P67 YX88</t>
  </si>
  <si>
    <t>10245694-10296434</t>
  </si>
  <si>
    <t>Wendelien</t>
  </si>
  <si>
    <t>Bakelaar</t>
  </si>
  <si>
    <t>EU-43215</t>
  </si>
  <si>
    <t>2026-06-05 06:22:39</t>
  </si>
  <si>
    <t>Baarsjesweg 274, 4, Amsterdam, Amsterdam</t>
  </si>
  <si>
    <t>1058 AD</t>
  </si>
  <si>
    <t>BAGDRY-MD-MIAMI,BAGDRY-XS-WAVYBBY,BAGF-SUM-MD-MIAMI,TOWLB-CAB-XL-BLUE-R,TOWLB-SUM-XL-MIAMI</t>
  </si>
  <si>
    <t>10245693-10296432</t>
  </si>
  <si>
    <t>Caroline</t>
  </si>
  <si>
    <t>Van der Voort</t>
  </si>
  <si>
    <t>EU-43214</t>
  </si>
  <si>
    <t>2026-06-05 06:24:06</t>
  </si>
  <si>
    <t>Lazarijstraat 156 bus 207, Hasselt, Hasselt</t>
  </si>
  <si>
    <t>COOL-DES-MIDNMOV,TOWLB-CAB-XL-BLUE-R,TOWLB-CAB-XL-LTPNK-R,TOWLB-COLLAB-XL-UNO</t>
  </si>
  <si>
    <t>10249296-10300086</t>
  </si>
  <si>
    <t>Carmen</t>
  </si>
  <si>
    <t>Leißing</t>
  </si>
  <si>
    <t>306-7640635-8199566</t>
  </si>
  <si>
    <t>2026-06-05 06:31:05</t>
  </si>
  <si>
    <t>Thorwaldsenplatz 6, Frankfurt Am Main, Frankfurt Am Main</t>
  </si>
  <si>
    <t>10247901-10298663</t>
  </si>
  <si>
    <t>EU-43245</t>
  </si>
  <si>
    <t>2026-06-05 06:32:57</t>
  </si>
  <si>
    <t>Gurteenina, Midleton, Midleton, Cork</t>
  </si>
  <si>
    <t>P25 H7W3</t>
  </si>
  <si>
    <t>10246788-10297540</t>
  </si>
  <si>
    <t>Aine</t>
  </si>
  <si>
    <t>EU-43226</t>
  </si>
  <si>
    <t>2026-06-05 06:34:04</t>
  </si>
  <si>
    <t>12 The paddocks, Gorey, Gorey, Wexford</t>
  </si>
  <si>
    <t>Y25 A668</t>
  </si>
  <si>
    <t>10247897-10298659</t>
  </si>
  <si>
    <t>Simone</t>
  </si>
  <si>
    <t>Löhr</t>
  </si>
  <si>
    <t>EU-43243</t>
  </si>
  <si>
    <t>2026-06-05 06:36:16</t>
  </si>
  <si>
    <t>Carl-Goerdeler-Straße 23, Mainz, Mainz</t>
  </si>
  <si>
    <t>10247285-10298039</t>
  </si>
  <si>
    <t>Hanan</t>
  </si>
  <si>
    <t>Marouk</t>
  </si>
  <si>
    <t>EU-43228</t>
  </si>
  <si>
    <t>2026-06-05 06:37:49</t>
  </si>
  <si>
    <t>langenfelder damm 95c, hamburg, hamburg</t>
  </si>
  <si>
    <t>TOWLB-DES-XL-MELLOW,TOWLB-DES-XL-PSTPIER</t>
  </si>
  <si>
    <t>10247495-10298249</t>
  </si>
  <si>
    <t>Schildermans</t>
  </si>
  <si>
    <t>EU-43231</t>
  </si>
  <si>
    <t>2026-06-05 06:39:12</t>
  </si>
  <si>
    <t>Herent 7, Herent 118/7, Pelt, Pelt</t>
  </si>
  <si>
    <t>TOWLB-DES-XL-BLUSKY,TOWLB-DES-XL-MELLOW</t>
  </si>
  <si>
    <t>10245505-10296239</t>
  </si>
  <si>
    <t>O'Connor</t>
  </si>
  <si>
    <t>EU-43213</t>
  </si>
  <si>
    <t>2026-06-05 06:40:50</t>
  </si>
  <si>
    <t>203 Pearse Rd, Sallynoggin, Dublin</t>
  </si>
  <si>
    <t>A96 E9T7</t>
  </si>
  <si>
    <t>TOWLB-CAB-LG-LTBLU-R,TOWLB-CAB-XL-BLUE-R</t>
  </si>
  <si>
    <t>10247494-10298248</t>
  </si>
  <si>
    <t>Tanja</t>
  </si>
  <si>
    <t>Seny</t>
  </si>
  <si>
    <t>EU-43232</t>
  </si>
  <si>
    <t>2026-06-05 06:41:49</t>
  </si>
  <si>
    <t>1a, rue du chemin de fer, Heisdorf, Heisdorf</t>
  </si>
  <si>
    <t>PONCHK-KID-MD-GVCLUB,PONCHK-KID-MD-SKATER</t>
  </si>
  <si>
    <t>10247583-10298337</t>
  </si>
  <si>
    <t>Avril</t>
  </si>
  <si>
    <t>Hevey</t>
  </si>
  <si>
    <t>EU-43234</t>
  </si>
  <si>
    <t>2026-06-05 06:43:07</t>
  </si>
  <si>
    <t>67 Limekiln Wood, Navan, Meath</t>
  </si>
  <si>
    <t>C15 CX3R</t>
  </si>
  <si>
    <t>TOWLB-CAB-XL-LTPPL-R,TOWLB-SUM-XL-COLAGN</t>
  </si>
  <si>
    <t>10248576-10299356</t>
  </si>
  <si>
    <t>Silke</t>
  </si>
  <si>
    <t>Juric</t>
  </si>
  <si>
    <t>EU-43257</t>
  </si>
  <si>
    <t>2026-06-05 06:43:22</t>
  </si>
  <si>
    <t>Graf-Arco-Straße, Stein an der Traun, Stein an der Traun</t>
  </si>
  <si>
    <t>PONCHK-KID-MD-CAMOCUBE,PONCHK-KID-MD-SKATER,TOWLB-CAB-LG-BLACK-R,TOWLB-DES-LG-ALOHGLW,TOWLB-KID-LG-SANDSTRT</t>
  </si>
  <si>
    <t>10244662-10295334</t>
  </si>
  <si>
    <t>Ana Carolina</t>
  </si>
  <si>
    <t>Ferreira Pereira</t>
  </si>
  <si>
    <t>EU-43202</t>
  </si>
  <si>
    <t>2026-06-05 06:45:11</t>
  </si>
  <si>
    <t>Sailerstraße 3, München, München</t>
  </si>
  <si>
    <t>PICNIC-DES-XL-MARGMAD,TOWLB-DES-XL-HOTTROP</t>
  </si>
  <si>
    <t>10246380-10297132</t>
  </si>
  <si>
    <t>Seyfarth</t>
  </si>
  <si>
    <t>EU-43218</t>
  </si>
  <si>
    <t>2026-06-05 06:45:44</t>
  </si>
  <si>
    <t>Dominikanerstr 37, Düsseldorf, Düsseldorf</t>
  </si>
  <si>
    <t>BAGCOOL-MD-NAVY,BAGF-SUM-MD-CSTCANDY,BAGF-SUM-MD-UNICN,PP-TOWLB-CAB-XL-6SET-R</t>
  </si>
  <si>
    <t>10244897-10295591</t>
  </si>
  <si>
    <t>O Neill</t>
  </si>
  <si>
    <t>EU-43206</t>
  </si>
  <si>
    <t>2026-06-05 06:46:33</t>
  </si>
  <si>
    <t>APARTMENT 62 NEPHIN HALLS, HOPKINS Rd APARTMENT 62 NEPHIN, HALLS HOPKINS Rd, CASTLEBAR, Mayo</t>
  </si>
  <si>
    <t>F23 HK71</t>
  </si>
  <si>
    <t>BAGDRY-MD-MIAMI,TOWLB-DES-LG-WYWH</t>
  </si>
  <si>
    <t>10247904-10298666</t>
  </si>
  <si>
    <t>EU-43248</t>
  </si>
  <si>
    <t>2026-06-05 06:47:40</t>
  </si>
  <si>
    <t>53 Rowan Hill, Cork, Cork</t>
  </si>
  <si>
    <t>T12 F62N</t>
  </si>
  <si>
    <t>PONCHA-CAB-MD-BLUE-NS,PONCHK-SUM-MD-CSTCANDY</t>
  </si>
  <si>
    <t>10248364-10299139</t>
  </si>
  <si>
    <t>Susanne Maria</t>
  </si>
  <si>
    <t>Rombach</t>
  </si>
  <si>
    <t>EU-43254</t>
  </si>
  <si>
    <t>2026-06-05 06:47:58</t>
  </si>
  <si>
    <t>Pfarrer-Frommeld-Str 5, Pfaffenhofen an der Ilm, Pfaffenhofen an der Ilm</t>
  </si>
  <si>
    <t>PP-TOWLB-CAB-XL-6SET-R,TOWLB-SUM-XL-COLAGN,TOWLB-SUM-XL-MIAMI,TOWLB-SUM-XL-OCEAN,TOWLB-SUM-XL-TUTFRU</t>
  </si>
  <si>
    <t>10247715-10298472</t>
  </si>
  <si>
    <t>BARBARA</t>
  </si>
  <si>
    <t>LECAT</t>
  </si>
  <si>
    <t>EU-43239</t>
  </si>
  <si>
    <t>2026-06-05 06:48:49</t>
  </si>
  <si>
    <t>Avenue Boesdaal 3A, Rhode-Saint-Genèse, Rhode-Saint-Genèse</t>
  </si>
  <si>
    <t>10246590-10297342</t>
  </si>
  <si>
    <t>Dam</t>
  </si>
  <si>
    <t>EU-43221</t>
  </si>
  <si>
    <t>2026-06-05 06:49:29</t>
  </si>
  <si>
    <t>Binnnenpas 9, Heesch, Heesch</t>
  </si>
  <si>
    <t>5384 NG</t>
  </si>
  <si>
    <t>TOWLB-SUM-LG-CSTCANDY,TOWLB-SUM-LG-MIAMI</t>
  </si>
  <si>
    <t>10248819-10299603</t>
  </si>
  <si>
    <t>EU-43261</t>
  </si>
  <si>
    <t>2026-06-05 06:49:43</t>
  </si>
  <si>
    <t>Calle Tomas lopez 15 Torremendo, Orihuela, Alicante</t>
  </si>
  <si>
    <t>TOWLB-CAB-LG-NAVY-R,TOWLB-SUM-LG-CSTCANDY,TOWLB-SUM-LG-MIAMI</t>
  </si>
  <si>
    <t>10210336-10260517</t>
  </si>
  <si>
    <t>Kristien</t>
  </si>
  <si>
    <t>Buyse</t>
  </si>
  <si>
    <t>EU-42737</t>
  </si>
  <si>
    <t>2026-06-05 06:57:03</t>
  </si>
  <si>
    <t>Calle Lirios 150, El Poble Nou de Benitatxell, Benitachell, Alicante</t>
  </si>
  <si>
    <t>03726</t>
  </si>
  <si>
    <t>10246095-10296844</t>
  </si>
  <si>
    <t>Pierre De Lee</t>
  </si>
  <si>
    <t>EU-43217</t>
  </si>
  <si>
    <t>2026-06-05 06:57:32</t>
  </si>
  <si>
    <t>Stationsstraat, 31, 2, Lokeren, Lokeren</t>
  </si>
  <si>
    <t>10210335-10260516</t>
  </si>
  <si>
    <t>Coucke-Buyse</t>
  </si>
  <si>
    <t>EU-42736</t>
  </si>
  <si>
    <t>2026-06-05 06:57:47</t>
  </si>
  <si>
    <t>10246378-10297130</t>
  </si>
  <si>
    <t>Murray</t>
  </si>
  <si>
    <t>305-5619173-9914714</t>
  </si>
  <si>
    <t>2026-06-05 06:58:37</t>
  </si>
  <si>
    <t>Martin Müller Str 25, Wedemark, Wedemark</t>
  </si>
  <si>
    <t>10246382-10297134</t>
  </si>
  <si>
    <t>Isabel</t>
  </si>
  <si>
    <t>Wagner</t>
  </si>
  <si>
    <t>028-2197092-0414761</t>
  </si>
  <si>
    <t>2026-06-05 06:59:27</t>
  </si>
  <si>
    <t>Ifflandstraße 18, Mannheim, Baden-Württemberg</t>
  </si>
  <si>
    <t>10236866-10287392</t>
  </si>
  <si>
    <t>Eichinger</t>
  </si>
  <si>
    <t>EU-43103</t>
  </si>
  <si>
    <t>2026-06-05 07:00:05</t>
  </si>
  <si>
    <t>Roseggergasse, Rh 14/7, Mannersdorf am,  Leithagebirge, Mannersdorf am Leithagebirge</t>
  </si>
  <si>
    <t>PONCHA-CAB-XL-NAVY,PONCHA-SUM-LG-CSTCANDY,TOWLB-SUM-XL-COLAGN,TOWLB-SUM-XL-MIAMI</t>
  </si>
  <si>
    <t>10248823-10299607</t>
  </si>
  <si>
    <t>Mayer</t>
  </si>
  <si>
    <t>EU-43262</t>
  </si>
  <si>
    <t>2026-06-05 07:00:20</t>
  </si>
  <si>
    <t>Reinsburgstr 35a, Stuttgart, Stuttgart</t>
  </si>
  <si>
    <t>10246379-10297131</t>
  </si>
  <si>
    <t>Zohar</t>
  </si>
  <si>
    <t>EU-43219</t>
  </si>
  <si>
    <t>2026-06-05 07:01:29</t>
  </si>
  <si>
    <t>25 KINGSLAND BEAVERSTOWN Rd, Donabate, Dublin</t>
  </si>
  <si>
    <t>K34 N234</t>
  </si>
  <si>
    <t>PONCHK-KID-MD-JELLY</t>
  </si>
  <si>
    <t>10238537-10289065</t>
  </si>
  <si>
    <t>Katz</t>
  </si>
  <si>
    <t>EU-43120</t>
  </si>
  <si>
    <t>2026-06-05 07:02:12</t>
  </si>
  <si>
    <t>Römerweg 113, Neustadt an der , Weinstraße, Neustadt an der Weinstraße</t>
  </si>
  <si>
    <t>10244659-10295331</t>
  </si>
  <si>
    <t>McWade</t>
  </si>
  <si>
    <t>EU-43200</t>
  </si>
  <si>
    <t>2026-06-05 07:02:17</t>
  </si>
  <si>
    <t>Pier 19, Bridgefoot St, Apt 68, Dublin, Dublin</t>
  </si>
  <si>
    <t>D08 C2R9</t>
  </si>
  <si>
    <t>PONCHA-DES-MD-WAVYBBY</t>
  </si>
  <si>
    <t>10239942-10290502</t>
  </si>
  <si>
    <t>Tivda</t>
  </si>
  <si>
    <t>EU-43140</t>
  </si>
  <si>
    <t>2026-06-05 07:02:57</t>
  </si>
  <si>
    <t>Bd expoziției 1c, Building B2, 6th floor, Bucharest, București</t>
  </si>
  <si>
    <t>012101</t>
  </si>
  <si>
    <t>Romania</t>
  </si>
  <si>
    <t>TOWLB-DES-LG-ALOHGLW,TOWLB-DES-LG-TROPTRT,TOWLB-DES-XL-SUNSPL</t>
  </si>
  <si>
    <t>10248570-10299350</t>
  </si>
  <si>
    <t>Pamela</t>
  </si>
  <si>
    <t>Darcy</t>
  </si>
  <si>
    <t>EU-43255</t>
  </si>
  <si>
    <t>2026-06-05 07:03:15</t>
  </si>
  <si>
    <t>147 Ardmore Drive, Artane, Yes, Dublin</t>
  </si>
  <si>
    <t>D05 FD74</t>
  </si>
  <si>
    <t>10244661-10295333</t>
  </si>
  <si>
    <t>Abuhani</t>
  </si>
  <si>
    <t>306-4202291-6269164</t>
  </si>
  <si>
    <t>2026-06-05 07:04:17</t>
  </si>
  <si>
    <t>Am Sportfeld 68, Mainz, Mainz</t>
  </si>
  <si>
    <t>COOL-DES-SUNSRUN</t>
  </si>
  <si>
    <t>10244658-10295330</t>
  </si>
  <si>
    <t>OBrien</t>
  </si>
  <si>
    <t>EU-43199</t>
  </si>
  <si>
    <t>2026-06-05 07:05:02</t>
  </si>
  <si>
    <t>1 Rathmiles Ave, Killenard, Killenard, Laois</t>
  </si>
  <si>
    <t>R32 RW28</t>
  </si>
  <si>
    <t>10247902-10298664</t>
  </si>
  <si>
    <t>Matson</t>
  </si>
  <si>
    <t>EU-43247</t>
  </si>
  <si>
    <t>2026-06-05 07:06:29</t>
  </si>
  <si>
    <t>Knockane, Ovens, Cork</t>
  </si>
  <si>
    <t>P31 FT59</t>
  </si>
  <si>
    <t>TOWLB-SUM-LG-COLAGN,TOWLB-SUM-LG-CSTCANDY,TOWLB-SUM-LG-MIAMI,TOWLB-SUM-LG-RAINB-R,TOWLB-SUM-LG-SANDSEA,TOWLB-SUM-LG-UNICN-R</t>
  </si>
  <si>
    <t>10245692-10296431</t>
  </si>
  <si>
    <t>Juliane Wagner-van der</t>
  </si>
  <si>
    <t>Straten</t>
  </si>
  <si>
    <t>304-0016691-0033164</t>
  </si>
  <si>
    <t>2026-06-05 07:06:50</t>
  </si>
  <si>
    <t>Sternstr 39, Münster, Nordrhein-Westfalen</t>
  </si>
  <si>
    <t>10211573-10261758</t>
  </si>
  <si>
    <t>Coelho</t>
  </si>
  <si>
    <t>EU-42748</t>
  </si>
  <si>
    <t>2026-06-05 07:07:44</t>
  </si>
  <si>
    <t>Rua União Desportiva de Vila, Chã 32, Santo António,  da Charneca, Setúbal</t>
  </si>
  <si>
    <t>2835-748</t>
  </si>
  <si>
    <t>10248070-10298838</t>
  </si>
  <si>
    <t>Burgess</t>
  </si>
  <si>
    <t>EU-43252</t>
  </si>
  <si>
    <t>2026-06-05 07:09:07</t>
  </si>
  <si>
    <t>3527 Chemin de la Cigale, Nîmes, Nîmes</t>
  </si>
  <si>
    <t>10246787-10297539</t>
  </si>
  <si>
    <t>Walsh</t>
  </si>
  <si>
    <t>EU-43225</t>
  </si>
  <si>
    <t>2026-06-05 07:09:18</t>
  </si>
  <si>
    <t>4 Cluain Larach, Knockenduff, Tramore, Waterford</t>
  </si>
  <si>
    <t>X91 W704</t>
  </si>
  <si>
    <t>PONCHK-CAB-MD-LTPNK-NS,PONCHK-CAB-SM-BLUE-NS,PONCHK-CAB-SM-NAVY-NS,TOWLB-CAB-LG-BLUE-R,TOWLB-CAB-LG-NAVY-R,TOWLB-CAB-LG-PINK-R,TOWLB-CAB-LG-YELL-R,TOWLB-SUM-LG-RAINB-R,TOWLB-SUM-LG-UNICN-R</t>
  </si>
  <si>
    <t>10245503-10296237</t>
  </si>
  <si>
    <t>Boris</t>
  </si>
  <si>
    <t>Tsvetkov</t>
  </si>
  <si>
    <t>EU-43210</t>
  </si>
  <si>
    <t>2026-06-05 07:10:10</t>
  </si>
  <si>
    <t>Bulgaria, Varna, Opalchenska 18, Ap 14, 5th floor, Varna, Varna</t>
  </si>
  <si>
    <t>Bulgaria</t>
  </si>
  <si>
    <t>10244794-10295472</t>
  </si>
  <si>
    <t>Grenzpaket Ehnes</t>
  </si>
  <si>
    <t>Matthias</t>
  </si>
  <si>
    <t>Külling</t>
  </si>
  <si>
    <t>EU-43204</t>
  </si>
  <si>
    <t>2026-06-05 07:10:42</t>
  </si>
  <si>
    <t>Ramsener Straße 49, 19745, Gailingen am Hochrhein, Gailingen am Hochrhein</t>
  </si>
  <si>
    <t>10247497-10298251</t>
  </si>
  <si>
    <t>Natalia</t>
  </si>
  <si>
    <t>Jefimow</t>
  </si>
  <si>
    <t>EU-43229</t>
  </si>
  <si>
    <t>2026-06-05 07:12:40</t>
  </si>
  <si>
    <t>Dominique Lang, 30 b, Dudelange, Dudelange</t>
  </si>
  <si>
    <t>10247496-10298250</t>
  </si>
  <si>
    <t>Jolene</t>
  </si>
  <si>
    <t>Gybels</t>
  </si>
  <si>
    <t>EU-43230</t>
  </si>
  <si>
    <t>2026-06-05 07:12:42</t>
  </si>
  <si>
    <t>Maalderstraat 2, 2, Eindhout, Eindhout</t>
  </si>
  <si>
    <t>PONCHA-CAB-MD-BLUE-NS,PONCHA-SUM-MD-CSTCANDY,PONCHA-SUM-MD-LAZRIV,TOWLB-CAB-LG-BLUE-R,TOWLB-CAB-LG-NAVY-R,TOWLB-CAB-LG-ORANG-R,TOWLB-CAB-LG-PINK-R,TOWLB-CAB-LG-RED-R,TOWLB-CAB-LG-YELL-R</t>
  </si>
  <si>
    <t>10247716-10298473</t>
  </si>
  <si>
    <t>Christiane</t>
  </si>
  <si>
    <t>Von Herder</t>
  </si>
  <si>
    <t>EU-43240</t>
  </si>
  <si>
    <t>2026-06-05 07:14:16</t>
  </si>
  <si>
    <t>Machtolfweg 39, 39, Stuttgart, Stuttgart</t>
  </si>
  <si>
    <t>10249724-10300528</t>
  </si>
  <si>
    <t>Emanuela</t>
  </si>
  <si>
    <t>Drago</t>
  </si>
  <si>
    <t>EU-43277</t>
  </si>
  <si>
    <t>2026-06-05 07:17:23</t>
  </si>
  <si>
    <t>Via Roma 89, Martinsicuro, Teramo</t>
  </si>
  <si>
    <t>PONCHK-CAB-SM-NAVY-NS,PONCHK-KID-SM-KARMCHAM</t>
  </si>
  <si>
    <t>10250088-10300897</t>
  </si>
  <si>
    <t>EU-43280</t>
  </si>
  <si>
    <t>2026-06-05 07:18:14</t>
  </si>
  <si>
    <t>Farragh, Crossdoney, Cavan, Cavan</t>
  </si>
  <si>
    <t>H12 HX20</t>
  </si>
  <si>
    <t>10246591-10297343</t>
  </si>
  <si>
    <t>Judit</t>
  </si>
  <si>
    <t>Bolla</t>
  </si>
  <si>
    <t>EU-43222</t>
  </si>
  <si>
    <t>2026-06-05 07:18:25</t>
  </si>
  <si>
    <t>Hoola van Nootenstraat 113, Utrecht, Utrecht</t>
  </si>
  <si>
    <t>3521 HB</t>
  </si>
  <si>
    <t>10244795-10295473</t>
  </si>
  <si>
    <t>Muhhamedjanova</t>
  </si>
  <si>
    <t>EU-43205</t>
  </si>
  <si>
    <t>2026-06-05 07:19:21</t>
  </si>
  <si>
    <t>Pirita tee 26b/4, 102, Tallinn, Tallinn</t>
  </si>
  <si>
    <t>Estonia</t>
  </si>
  <si>
    <t>10249723-10300527</t>
  </si>
  <si>
    <t>Manon</t>
  </si>
  <si>
    <t>LEESCH</t>
  </si>
  <si>
    <t>EU-43276</t>
  </si>
  <si>
    <t>2026-06-05 07:19:26</t>
  </si>
  <si>
    <t>16 A Schmitzbongert, MARNACH, MARNACH</t>
  </si>
  <si>
    <t>PONCHA-CAB-MD-LTPNK-NS,PONCHA-SUM-MD-UNICN-NS,TOWLB-CAB-XL-LTBLU-R,TOWLB-CAB-XL-LTPNK-R</t>
  </si>
  <si>
    <t>10249526-10300321</t>
  </si>
  <si>
    <t>Kuchenliebe Mannheim UG</t>
  </si>
  <si>
    <t>Harald</t>
  </si>
  <si>
    <t>Blum</t>
  </si>
  <si>
    <t>EU-43274</t>
  </si>
  <si>
    <t>2026-06-05 07:20:33</t>
  </si>
  <si>
    <t>Schwetzinger Str 92, Mannheim, Mannheim</t>
  </si>
  <si>
    <t>BALLAST-CAB-NAVY,TOWLB-CAB-LG-LTBGE-R,TOWLB-CAB-XL-LTBGE-R,TOWLB-DES-LG-BLUSPRIT,TOWLB-DES-XL-BLUSPRIT</t>
  </si>
  <si>
    <t>10246947-10297701</t>
  </si>
  <si>
    <t>Joshua</t>
  </si>
  <si>
    <t>Brown</t>
  </si>
  <si>
    <t>EU-43227</t>
  </si>
  <si>
    <t>2026-06-05 07:20:57</t>
  </si>
  <si>
    <t>201 The Cubes 3, Beacon South Quarter, Sandyford, Dublin, Dublin</t>
  </si>
  <si>
    <t>D18 DY63</t>
  </si>
  <si>
    <t>TOWLB-CAB-LG-KHAKI-R</t>
  </si>
  <si>
    <t>10250089-10300898</t>
  </si>
  <si>
    <t>Scherübl</t>
  </si>
  <si>
    <t>EU-43281</t>
  </si>
  <si>
    <t>2026-06-05 07:21:27</t>
  </si>
  <si>
    <t>Hochgernstraße 21, Dorfen, Dorfen</t>
  </si>
  <si>
    <t>PICNIC-DES-LG-GRCSHR,PICNIC-DES-LG-MARGMAD,TOWLB-CAB-XL-KHAKI-R</t>
  </si>
  <si>
    <t>10244899-10295593</t>
  </si>
  <si>
    <t>Marion</t>
  </si>
  <si>
    <t>Presuhn</t>
  </si>
  <si>
    <t>EU-43208</t>
  </si>
  <si>
    <t>2026-06-05 07:21:45</t>
  </si>
  <si>
    <t>Heinrichstraße 2 A, Wunstorf, Wunstorf</t>
  </si>
  <si>
    <t>10231125-10281492</t>
  </si>
  <si>
    <t>María</t>
  </si>
  <si>
    <t>Espeleta Alfaro</t>
  </si>
  <si>
    <t>EU-43033</t>
  </si>
  <si>
    <t>2026-06-05 07:23:08</t>
  </si>
  <si>
    <t>Calle Junio 252, Ciudad Residencial el , Zorongo, Zaragoza</t>
  </si>
  <si>
    <t>PP-TOWLB-CAB-XL-4SET-PINK</t>
  </si>
  <si>
    <t>10246786-10297538</t>
  </si>
  <si>
    <t>Hazel</t>
  </si>
  <si>
    <t>Carry</t>
  </si>
  <si>
    <t>EU-43224</t>
  </si>
  <si>
    <t>2026-06-05 07:24:40</t>
  </si>
  <si>
    <t>Ballyshane, Kinnitty, Birr, Offaly</t>
  </si>
  <si>
    <t>R42 NX86</t>
  </si>
  <si>
    <t>10248821-10299605</t>
  </si>
  <si>
    <t>Pamela Kelly</t>
  </si>
  <si>
    <t>EU-43264</t>
  </si>
  <si>
    <t>2026-06-05 07:25:09</t>
  </si>
  <si>
    <t>Callystown Rd, Clogherhead, COUNTY LOUTH, Louth</t>
  </si>
  <si>
    <t>A92 W0Y7</t>
  </si>
  <si>
    <t>PP-TOWLB-CAB-XL-6SETM</t>
  </si>
  <si>
    <t>10247498-10298252</t>
  </si>
  <si>
    <t>Judith</t>
  </si>
  <si>
    <t>Keijzer</t>
  </si>
  <si>
    <t>EU-43233</t>
  </si>
  <si>
    <t>2026-06-05 07:25:53</t>
  </si>
  <si>
    <t>Appelgaard 13, Nieuw-Beijerland, Nieuw-Beijerland</t>
  </si>
  <si>
    <t>3264 PA</t>
  </si>
  <si>
    <t>10248825-10299609</t>
  </si>
  <si>
    <t>Heseding</t>
  </si>
  <si>
    <t>EU-43267</t>
  </si>
  <si>
    <t>2026-06-05 07:26:02</t>
  </si>
  <si>
    <t>Havixbeck, Am Stopfer 56a, Havixbeck, Havixbeck</t>
  </si>
  <si>
    <t>TOWLB-CAB-XL-BLUE-R,TOWLB-CAB-XL-GREEN-R,TOWLB-CAB-XL-RED-R,TOWLB-CAB-XL-YELL-R,TOWLB-SUM-XL-UNICN-R</t>
  </si>
  <si>
    <t>10250758-10301577</t>
  </si>
  <si>
    <t>Pope</t>
  </si>
  <si>
    <t>EU-43293</t>
  </si>
  <si>
    <t>2026-06-05 07:26:28</t>
  </si>
  <si>
    <t>24 New Bawn Park, Dublin 24, Dublin</t>
  </si>
  <si>
    <t>D24 YHW2</t>
  </si>
  <si>
    <t>10250762-10301581</t>
  </si>
  <si>
    <t>Strobel</t>
  </si>
  <si>
    <t>028-8273740-2457100</t>
  </si>
  <si>
    <t>2026-06-05 07:49:58</t>
  </si>
  <si>
    <t>Penzendorfer Straße 63b5, Schwabach, Schwabach</t>
  </si>
  <si>
    <t>10250568-10301387</t>
  </si>
  <si>
    <t>Seufert</t>
  </si>
  <si>
    <t>303-4760294-9605145</t>
  </si>
  <si>
    <t>2026-06-05 07:50:43</t>
  </si>
  <si>
    <t>Mirabellenstr 26, Stuttgart, Stuttgart</t>
  </si>
  <si>
    <t>10249525-10300320</t>
  </si>
  <si>
    <t>Francisca</t>
  </si>
  <si>
    <t>Alfaiate</t>
  </si>
  <si>
    <t>EU-43275</t>
  </si>
  <si>
    <t>2026-06-05 07:51:14</t>
  </si>
  <si>
    <t>Alto dos Moinhos, 4, 4D, Lisboa, Lisboa</t>
  </si>
  <si>
    <t>1500-459</t>
  </si>
  <si>
    <t>TOWLB-CAB-MD-LTPNK</t>
  </si>
  <si>
    <t>10249015-10299803</t>
  </si>
  <si>
    <t>Majella</t>
  </si>
  <si>
    <t>Feeney</t>
  </si>
  <si>
    <t>EU-43269</t>
  </si>
  <si>
    <t>2026-06-05 07:51:26</t>
  </si>
  <si>
    <t>Oldcastle, Collooney, Sligo</t>
  </si>
  <si>
    <t>F91 W7W2</t>
  </si>
  <si>
    <t>10249524-10300319</t>
  </si>
  <si>
    <t>Leonard</t>
  </si>
  <si>
    <t>Gutmann</t>
  </si>
  <si>
    <t>EU-43273</t>
  </si>
  <si>
    <t>2026-06-05 07:51:57</t>
  </si>
  <si>
    <t>Robert-Koch Str, 13, Leverkusen, Leverkusen</t>
  </si>
  <si>
    <t>10250566-10301385</t>
  </si>
  <si>
    <t>Graf</t>
  </si>
  <si>
    <t>EU-43291</t>
  </si>
  <si>
    <t>2026-06-05 07:52:36</t>
  </si>
  <si>
    <t>Abt-Kaspar-Straße 18, Holzkirchen, Holzkirchen</t>
  </si>
  <si>
    <t>10249295-10300085</t>
  </si>
  <si>
    <t>Zeep</t>
  </si>
  <si>
    <t>EU-43272</t>
  </si>
  <si>
    <t>2026-06-05 07:52:54</t>
  </si>
  <si>
    <t>Oelschlägerstr 47, Stuttgart, Stuttgart</t>
  </si>
  <si>
    <t>10250284-10301102</t>
  </si>
  <si>
    <t>Arana Pastor</t>
  </si>
  <si>
    <t>EU-43284</t>
  </si>
  <si>
    <t>2026-06-05 07:53:33</t>
  </si>
  <si>
    <t>29 Rue Des Champs Elysees, Brussels, Brussels</t>
  </si>
  <si>
    <t>10250760-10301579</t>
  </si>
  <si>
    <t>Liia</t>
  </si>
  <si>
    <t>Piirmets</t>
  </si>
  <si>
    <t>EU-43295</t>
  </si>
  <si>
    <t>2026-06-05 07:54:12</t>
  </si>
  <si>
    <t>Avenue de lHippodrome 45, Ixelles/Elsene, Ixelles/Elsene</t>
  </si>
  <si>
    <t>10249294-10300084</t>
  </si>
  <si>
    <t>Liberatore</t>
  </si>
  <si>
    <t>EU-43271</t>
  </si>
  <si>
    <t>2026-06-05 07:54:44</t>
  </si>
  <si>
    <t>7, rue Centrale, Fingig, Fingig</t>
  </si>
  <si>
    <t>PONCHK-KID-SM-CHECKOUT,PONCHK-KID-SM-INTOWILD,PONCHK-KID-SM-JELLY,TOWLB-DES-LG-SWTESC,TOWLB-DES-LG-WTRSUG,TOWLB-DES-LG-WYWH,TOWLB-SUM-LG-TUTFRU</t>
  </si>
  <si>
    <t>10249014-10299802</t>
  </si>
  <si>
    <t>Francoise</t>
  </si>
  <si>
    <t>Rath</t>
  </si>
  <si>
    <t>EU-43268</t>
  </si>
  <si>
    <t>2026-06-05 07:55:42</t>
  </si>
  <si>
    <t>51 Rue Nicolas Margue, Fingig, Fingig</t>
  </si>
  <si>
    <t>PONCHK-SUM-MD-CSTCANDY,PONCHK-SUM-SM-CSTCANDY,TOWLB-DES-LG-LEMWAV,TOWLB-SUM-LG-CSTCANDY</t>
  </si>
  <si>
    <t>10250565-10301384</t>
  </si>
  <si>
    <t>Armelle</t>
  </si>
  <si>
    <t>Ballet</t>
  </si>
  <si>
    <t>EU-43286</t>
  </si>
  <si>
    <t>2026-06-05 08:26:10</t>
  </si>
  <si>
    <t>15 Résidence du Cardonnay, Saint-Jean-du-Cardonnay, Saint-Jean-du-Cardonnay</t>
  </si>
  <si>
    <t>COOL-DES-MIDNMOV,PONCHA-CLA-MD-NAVY-NS,PONCHK-CAB-SM-BLUE-NS,TEATWL-MD-CCOOL,TOWLB-DES-LG-TROPTRT,TOWLB-DES-XL-BLUSPRIT</t>
  </si>
  <si>
    <t>10250286-10301104</t>
  </si>
  <si>
    <t>Artem</t>
  </si>
  <si>
    <t>Yarmilko</t>
  </si>
  <si>
    <t>EU-43285</t>
  </si>
  <si>
    <t>2026-06-05 08:29:51</t>
  </si>
  <si>
    <t>Fred Roeskestraat 92 C7, C7, Amsterdam, Amsterdam</t>
  </si>
  <si>
    <t>1076 ED</t>
  </si>
  <si>
    <t>BAGF-SUM-MD-MIAMI,TOWLB-SUM-XL-COLAGN,TOWLB-SUM-XL-MIAMI,TOWLB-SUM-XL-OCEAN,TOWLB-SUM-XL-TUTFRU</t>
  </si>
  <si>
    <t>10251528-10302349</t>
  </si>
  <si>
    <t>Vaillemans</t>
  </si>
  <si>
    <t>EU-43297</t>
  </si>
  <si>
    <t>2026-06-05 08:35:41</t>
  </si>
  <si>
    <t>Jérôme Ameysstraat 5, Sint-Pieters-Leeuw, Sint-Pieters-Leeuw</t>
  </si>
  <si>
    <t>BAGCOOL-MD-NAVY,BAGF-SUM-MD-CSTCANDY,TOWLB-SUM-XL-COLAGN,TOWLB-SUM-XL-MIAMI,TOWLB-SUM-XL-OCEAN,TOWLB-SUM-XL-TUTFRU</t>
  </si>
  <si>
    <t>10251721-10302542</t>
  </si>
  <si>
    <t>Bayer</t>
  </si>
  <si>
    <t>EU-43298</t>
  </si>
  <si>
    <t>2026-06-05 08:37:14</t>
  </si>
  <si>
    <t>Edeldorfer Ringstraße 1, Edeldorf, Theisseil, Theisseil</t>
  </si>
  <si>
    <t>BAGF-SUM-MD-MIAMI,PONCHK-SUM-MD-CSTCANDY,TOWLB-CAB-MD-NAVY,TOWLB-CAB-X2-LTPNK</t>
  </si>
  <si>
    <t>10250282-10301100</t>
  </si>
  <si>
    <t>Sinéad</t>
  </si>
  <si>
    <t>Treacy</t>
  </si>
  <si>
    <t>EU-43283</t>
  </si>
  <si>
    <t>2026-06-05 08:38:18</t>
  </si>
  <si>
    <t>Curragh Grange House, Green Rd, Green Rd, Newbridge, Co. Kildare, Kildare</t>
  </si>
  <si>
    <t>R56 F886</t>
  </si>
  <si>
    <t>10252065-10302890</t>
  </si>
  <si>
    <t>Türke</t>
  </si>
  <si>
    <t>EU-43311</t>
  </si>
  <si>
    <t>2026-06-05 09:06:26</t>
  </si>
  <si>
    <t>Peters Gärten 5, Bad Bentheim, Bad Bentheim</t>
  </si>
  <si>
    <t>PONCHK-SUM-MD-UNICN-NS</t>
  </si>
  <si>
    <t>10252062-10302887</t>
  </si>
  <si>
    <t>Jean-Yves</t>
  </si>
  <si>
    <t>De Rouck</t>
  </si>
  <si>
    <t>EU-43308</t>
  </si>
  <si>
    <t>2026-06-05 09:07:37</t>
  </si>
  <si>
    <t>Heusdensteenweg, 47, Wetteren, Wetteren</t>
  </si>
  <si>
    <t>PP-TOWLB-CAB-XL-4SET-BLUE</t>
  </si>
  <si>
    <t>10252063-10302888</t>
  </si>
  <si>
    <t>EU-43307</t>
  </si>
  <si>
    <t>2026-06-05 09:08:49</t>
  </si>
  <si>
    <t>Beechmount House, Carrigrohane, Cork</t>
  </si>
  <si>
    <t>T12 WR6A</t>
  </si>
  <si>
    <t>10252061-10302886</t>
  </si>
  <si>
    <t>Rawa</t>
  </si>
  <si>
    <t>Arif</t>
  </si>
  <si>
    <t>EU-43309</t>
  </si>
  <si>
    <t>2026-06-05 09:11:44</t>
  </si>
  <si>
    <t>Steubenstr 20, Heidelberg, Heidelberg</t>
  </si>
  <si>
    <t>PICNIC-DES-XL-STRIPLIFE,TOWLB-CAB-XL-KHAKI-R,TOWLB-SUM-XL-COLAGN</t>
  </si>
  <si>
    <t>10252060-10302885</t>
  </si>
  <si>
    <t>Karolina</t>
  </si>
  <si>
    <t>Gothnell</t>
  </si>
  <si>
    <t>EU-43305</t>
  </si>
  <si>
    <t>2026-06-05 09:13:38</t>
  </si>
  <si>
    <t>Strandgatan 53, Vännäsby, Vännäsby</t>
  </si>
  <si>
    <t>911 36</t>
  </si>
  <si>
    <t>TOWLB-CAB-LG-KHAKI-R,TOWLB-CAB-LG-NAVY-R,TOWLB-CAB-LG-ORANG-R,TOWLF-ESS-LG-GREEN-R</t>
  </si>
  <si>
    <t>10252064-10302889</t>
  </si>
  <si>
    <t>Altmeier</t>
  </si>
  <si>
    <t>EU-43310</t>
  </si>
  <si>
    <t>2026-06-05 09:15:33</t>
  </si>
  <si>
    <t>Rottenbucher Straße 42, Gräfelfing, Gräfelfing</t>
  </si>
  <si>
    <t>TOWLB-CAB-XL-BLUE-R,TOWLB-DES-XL-HOTTROP,TOWLB-SUM-XL-UNICN-R</t>
  </si>
  <si>
    <t>10248069-10298837</t>
  </si>
  <si>
    <t>Hillary</t>
  </si>
  <si>
    <t>Curley</t>
  </si>
  <si>
    <t>EU-43250</t>
  </si>
  <si>
    <t>2026-06-05 09:42:32</t>
  </si>
  <si>
    <t>Abhaile, 9 Heatherbrook, Wicklow, Wicklow</t>
  </si>
  <si>
    <t>A67 Y671</t>
  </si>
  <si>
    <t>TOWLB-SUM-XL-MIAMI,TOWLB-SUM-XL-TUTFRU</t>
  </si>
  <si>
    <t>10247903-10298665</t>
  </si>
  <si>
    <t>MUEGGENBURG</t>
  </si>
  <si>
    <t>EU-43246</t>
  </si>
  <si>
    <t>2026-06-05 09:45:07</t>
  </si>
  <si>
    <t>SCHEFFELSTRASSE 12, HAMBURG, HAMBURG</t>
  </si>
  <si>
    <t>TOWLB-CAB-XL-KHAKI-R,TOWLB-CAB-XL-LTGRY-R</t>
  </si>
  <si>
    <t>10248067-10298835</t>
  </si>
  <si>
    <t>Leinfelder</t>
  </si>
  <si>
    <t>EU-43249</t>
  </si>
  <si>
    <t>2026-06-05 09:46:15</t>
  </si>
  <si>
    <t>Riedweg 16, Wemding, Wemding</t>
  </si>
  <si>
    <t>TOWLB-CAB-XL-LTBGE-R,TOWLB-CAB-XL-LTPNK-R</t>
  </si>
  <si>
    <t>10248068-10298836</t>
  </si>
  <si>
    <t>Rudolph-Schulze</t>
  </si>
  <si>
    <t>EU-43251</t>
  </si>
  <si>
    <t>2026-06-05 09:48:25</t>
  </si>
  <si>
    <t>Bei der Kirche 3, Kalefeld, Kalefeld</t>
  </si>
  <si>
    <t>TOWLB-CAB-XL-ORANG-R,TOWLB-SUM-XL-TUTFRU</t>
  </si>
  <si>
    <t>10247584-10298338</t>
  </si>
  <si>
    <t>EISCHEN</t>
  </si>
  <si>
    <t>EU-43235</t>
  </si>
  <si>
    <t>2026-06-05 09:49:35</t>
  </si>
  <si>
    <t>Rue Des Martyts 21, MONDORF, MONDORF</t>
  </si>
  <si>
    <t>PP-TOWLB-CAB-LG-4SETA-R,TOWLB-CAB-LG-PINK-R</t>
  </si>
  <si>
    <t>10248824-10299608</t>
  </si>
  <si>
    <t>EU-43265</t>
  </si>
  <si>
    <t>2026-06-05 09:50:47</t>
  </si>
  <si>
    <t>3 Sli An Fhearghas, Clarecastle, Clare</t>
  </si>
  <si>
    <t>V95 YH1F</t>
  </si>
  <si>
    <t>TOWLB-CAB-LG-BLUE-R,TOWLB-DES-LG-ALOHGLW</t>
  </si>
  <si>
    <t>10248575-10299355</t>
  </si>
  <si>
    <t>Outi</t>
  </si>
  <si>
    <t>Ahlholm</t>
  </si>
  <si>
    <t>EU-43258</t>
  </si>
  <si>
    <t>2026-06-05 09:51:53</t>
  </si>
  <si>
    <t>Kuusitie 5 C 1, JOENSUU, JOENSUU</t>
  </si>
  <si>
    <t>Finland</t>
  </si>
  <si>
    <t>BAGF-CAB-MD-LTPNK,PICNIC-SUM-LG-UNICN</t>
  </si>
  <si>
    <t>10248822-10299606</t>
  </si>
  <si>
    <t>Chanelle</t>
  </si>
  <si>
    <t>Tarbuck</t>
  </si>
  <si>
    <t>EU-43263</t>
  </si>
  <si>
    <t>2026-06-05 09:53:22</t>
  </si>
  <si>
    <t>65 Castletown Manor, Athboy, Meath</t>
  </si>
  <si>
    <t>C15 K2RF</t>
  </si>
  <si>
    <t>TOWLB-CAB-LG-KHAKI-R,TOWLB-CAB-LG-LTPNK-R</t>
  </si>
  <si>
    <t>10248363-10299138</t>
  </si>
  <si>
    <t>Heidrun</t>
  </si>
  <si>
    <t>Hohler</t>
  </si>
  <si>
    <t>EU-43253</t>
  </si>
  <si>
    <t>2026-06-05 09:54:22</t>
  </si>
  <si>
    <t>Hammerstraße 1A, Schwandorf, Schwandorf</t>
  </si>
  <si>
    <t>TOWLB-DES-XL-SUNSPL,TOWLB-DES-XL-WTRSUG</t>
  </si>
  <si>
    <t>10251859-10302684</t>
  </si>
  <si>
    <t>Melissa</t>
  </si>
  <si>
    <t>De Bruyne</t>
  </si>
  <si>
    <t>EU-43303</t>
  </si>
  <si>
    <t>2026-06-05 10:00:58</t>
  </si>
  <si>
    <t>Berkenstraat 52, Aalter, Aalter</t>
  </si>
  <si>
    <t>TOWLB-CAB-XL-BLUE-R,TOWLB-CAB-XL-GREEN-R,TOWLB-CAB-XL-RED-R,TOWLB-CAB-XL-YELL-R,TOWLB-COLLAB-LG-UNO,TOWLB-DOB-LG-CALM</t>
  </si>
  <si>
    <t>10251856-10302681</t>
  </si>
  <si>
    <t>Sharon</t>
  </si>
  <si>
    <t>Murtagh</t>
  </si>
  <si>
    <t>EU-43301</t>
  </si>
  <si>
    <t>2026-06-05 10:01:44</t>
  </si>
  <si>
    <t>1 Cul Na greine, Talbotsinch, Kilkenny, Kilkenny</t>
  </si>
  <si>
    <t>R95 TD9D</t>
  </si>
  <si>
    <t>10236858-10287384</t>
  </si>
  <si>
    <t>Sasha</t>
  </si>
  <si>
    <t>Carroll</t>
  </si>
  <si>
    <t>EU-43100</t>
  </si>
  <si>
    <t>2026-06-05 10:03:52</t>
  </si>
  <si>
    <t>9 Thormanby Hill, Howth, Dublin</t>
  </si>
  <si>
    <t>D13 E4E6</t>
  </si>
  <si>
    <t>PICNIC-DES-LG-CANDSTR,TEATWL-MD-CHECKPLS,TOWLB-CAB-LG-BLUE-R,TOWLB-CAB-LG-NAVY-R,TOWLB-CAB-LG-PINK-R,TOWLB-CAB-LG-YELL-R,TOWLB-SUM-LG-RAINB-R,TOWLB-SUM-LG-UNICN-R</t>
  </si>
  <si>
    <t>10251858-10302683</t>
  </si>
  <si>
    <t>Susan</t>
  </si>
  <si>
    <t>Eyles</t>
  </si>
  <si>
    <t>EU-43302</t>
  </si>
  <si>
    <t>2026-06-05 10:04:45</t>
  </si>
  <si>
    <t>54 westfields 54 westfields, Clare Rd ennis, Ennis, Clare</t>
  </si>
  <si>
    <t>V95 RT2P</t>
  </si>
  <si>
    <t>TOWLB-SUM-LG-COLAGN</t>
  </si>
  <si>
    <t>10251857-10302682</t>
  </si>
  <si>
    <t>Damms</t>
  </si>
  <si>
    <t>EU-43300</t>
  </si>
  <si>
    <t>2026-06-05 10:05:44</t>
  </si>
  <si>
    <t>Birkenweg 4, Vögelsen, Vögelsen</t>
  </si>
  <si>
    <t>10214658-10264900</t>
  </si>
  <si>
    <t xml:space="preserve">THE FASHION GALLERY GDN3 </t>
  </si>
  <si>
    <t>Radosław Oponowicz</t>
  </si>
  <si>
    <t>LAGARDERE DUTY FREE</t>
  </si>
  <si>
    <t>EUWS-3171</t>
  </si>
  <si>
    <t>2026-06-05 10:55:08</t>
  </si>
  <si>
    <t>Lotnisko Gdańsk wjazd na rampę, Magazyn Lagardere Duty Free, Słowackiego 210, Gdansk, Gdansk</t>
  </si>
  <si>
    <t>80-298</t>
  </si>
  <si>
    <t xml:space="preserve">16211 (x4), ownpack1 (x1) A-SCRUNCH-PAPER (x1) A-KRAFT-PAPER-TAPE (x2) </t>
  </si>
  <si>
    <t>BAGF-SUM-MD-MIAMI,HAIRW-CAB-NAVY-NB,HAIRW-SUE-MIAMI,HAIRW-SUE-OCETRES,HAIRW-SUE-WYWH,TOWLB-CAB-LG-LTPNK-R,TOWLB-COLLAB-LG-UNO,TOWLB-DES-LG-OCETRES,TOWLB-DES-LG-WYWH,TOWLB-KID-LG-GVCLUB,TOWLB-KID-LG-INTOWILD,TOWLB-KID-LG-JELLY,TOWLB-SUM-LG-MIAMI,TOWLB-SUM-LG-TUTFRU</t>
  </si>
  <si>
    <t>10236666-10287192</t>
  </si>
  <si>
    <t>FBA15LV4W2G5</t>
  </si>
  <si>
    <t>2026-06-05 10:57:30</t>
  </si>
  <si>
    <t xml:space="preserve">OWNPACK (x6)   </t>
  </si>
  <si>
    <t>TOWLB-CAB-LG-KHAKI-R,TOWLB-CAB-XL-BLACK-R,TOWLB-CAB-XL-LTBGE-R</t>
  </si>
  <si>
    <t>10249016-10299804</t>
  </si>
  <si>
    <t>Meyer</t>
  </si>
  <si>
    <t>EU-43270</t>
  </si>
  <si>
    <t>2026-06-05 11:12:20</t>
  </si>
  <si>
    <t>Birkenweg 15, Gemünden, Gemünden</t>
  </si>
  <si>
    <t>TOWLB-CAB-XL-LTBLU-R,TOWLB-CAB-XL-LTPPL-R</t>
  </si>
  <si>
    <t>10250761-10301580</t>
  </si>
  <si>
    <t>Aveline</t>
  </si>
  <si>
    <t>EU-43294</t>
  </si>
  <si>
    <t>2026-06-05 11:13:20</t>
  </si>
  <si>
    <t>37 Rue Saint-Fargeau, Paris, Paris</t>
  </si>
  <si>
    <t>PONCHA-CAB-MD-LTPNK-NS,PONCHA-DES-MD-WTRSUG</t>
  </si>
  <si>
    <t>10249725-10300529</t>
  </si>
  <si>
    <t>Lane-Walsh</t>
  </si>
  <si>
    <t>EU-43278</t>
  </si>
  <si>
    <t>2026-06-05 11:14:17</t>
  </si>
  <si>
    <t>70 Ballintyre Square, Ballinteer, Dublin 16, Dublin</t>
  </si>
  <si>
    <t>D16 WF25</t>
  </si>
  <si>
    <t>10250567-10301386</t>
  </si>
  <si>
    <t>Ryan</t>
  </si>
  <si>
    <t>EU-43290</t>
  </si>
  <si>
    <t>2026-06-05 11:15:21</t>
  </si>
  <si>
    <t>Coolnageragh, Scartaglen, Killarney, Kerry</t>
  </si>
  <si>
    <t>V93 A299</t>
  </si>
  <si>
    <t>10248826-10299610</t>
  </si>
  <si>
    <t>Michaele</t>
  </si>
  <si>
    <t>Berzen</t>
  </si>
  <si>
    <t>EU-43266</t>
  </si>
  <si>
    <t>2026-06-05 11:16:03</t>
  </si>
  <si>
    <t>Veilchenstraße 1, Alsdorf, Alsdorf</t>
  </si>
  <si>
    <t>TOWLB-CAB-XL-KHAKI-R,TOWLB-CAB-XL-LTPPL-R</t>
  </si>
  <si>
    <t>10250759-10301578</t>
  </si>
  <si>
    <t>Jayne</t>
  </si>
  <si>
    <t>O Regan</t>
  </si>
  <si>
    <t>EU-43292</t>
  </si>
  <si>
    <t>2026-06-05 11:16:47</t>
  </si>
  <si>
    <t>Inchingerig, Drimoleague, Cork</t>
  </si>
  <si>
    <t>P47 HN83</t>
  </si>
  <si>
    <t>TOWLB-DES-LG-GRECSHR,TOWLB-DES-LG-WYWH</t>
  </si>
  <si>
    <t>10204362-10254428</t>
  </si>
  <si>
    <t>SANSPORT.SK</t>
  </si>
  <si>
    <t>BAUMEDIA, SRO</t>
  </si>
  <si>
    <t>IC DPH: 2021770806</t>
  </si>
  <si>
    <t>EUWS-3164</t>
  </si>
  <si>
    <t>2026-06-05 11:35:34</t>
  </si>
  <si>
    <t>Molecova 4/D, ICO 35871199, Bratislava, Bratislava</t>
  </si>
  <si>
    <t>841 04</t>
  </si>
  <si>
    <t>Slovakia</t>
  </si>
  <si>
    <t>BAGDRY-MD-NAVY,BAGDRY-XS-NAVY,BAGF-CAB-MD-NAVY,BAGF-DES-MD-WAVYBBY,PONCHA-CAB-LG-NAVY-NS,PONCHA-CAB-MD-BLUE-NS,PONCHA-CAB-MD-NAVY-NS,PONCHA-CAB-XL-NAVY,PONCHA-CLA-LG-NAVY-NS,PONCHA-CLA-MD-NAVY-NS,PONCHA-DES-MD-IBZAGLW,PONCHA-DES-MD-WAVYBBY,TEATWL-MD-RGRTTI,TOWLB-DES-LG-BLUSKY,TOWLB-DES-LG-HOTTROP,TOWLB-DES-LG-IBZAGLW,TOWLB-DES-LG-KARMA,TOWLB-DES-LG-MELLOW,TOWLB-DES-LG-PNKPARA,TOWLB-DES-LG-PSTPIER,TOWLB-DES-LG-SWTESC,TOWLB-DOB-LG-CALM,TOWLB-SUM-LG-MIAMI</t>
  </si>
  <si>
    <t>10252067-10302892</t>
  </si>
  <si>
    <t>Lips</t>
  </si>
  <si>
    <t>EU-43312</t>
  </si>
  <si>
    <t>2026-06-05 11:36:39</t>
  </si>
  <si>
    <t>Bierstraat, 185, Rotterdam, Rotterdam</t>
  </si>
  <si>
    <t>3011 XA</t>
  </si>
  <si>
    <t>TOWLB-CAB-XL-ORANG-R</t>
  </si>
  <si>
    <t>10252522-10303364</t>
  </si>
  <si>
    <t>Mabel</t>
  </si>
  <si>
    <t>Cornwell</t>
  </si>
  <si>
    <t>EU-43321</t>
  </si>
  <si>
    <t>2026-06-05 11:37:24</t>
  </si>
  <si>
    <t>Via Roma 2, 47, Genova, Genova</t>
  </si>
  <si>
    <t>TOWLB-CAB-LG-ORANG-R,TOWLB-CAB-XL-GREEN-R</t>
  </si>
  <si>
    <t>10251855-10302680</t>
  </si>
  <si>
    <t>Iryna</t>
  </si>
  <si>
    <t>Garmish</t>
  </si>
  <si>
    <t>EU-43299</t>
  </si>
  <si>
    <t>2026-06-05 11:38:06</t>
  </si>
  <si>
    <t>Leipziger Straße 8, Potsdam, Potsdam</t>
  </si>
  <si>
    <t>TOWLB-DES-XL-MELLOW,TOWLB-SUM-XL-COLAGN</t>
  </si>
  <si>
    <t>10252524-10303366</t>
  </si>
  <si>
    <t>Lara</t>
  </si>
  <si>
    <t>Kayser</t>
  </si>
  <si>
    <t>EU-43322</t>
  </si>
  <si>
    <t>2026-06-05 11:38:32</t>
  </si>
  <si>
    <t>Langenhorster Str 13, Velbert, Velbert</t>
  </si>
  <si>
    <t>10252304-10303135</t>
  </si>
  <si>
    <t>Sterling pharma</t>
  </si>
  <si>
    <t>Maeve Maria</t>
  </si>
  <si>
    <t>EU-43316</t>
  </si>
  <si>
    <t>2026-06-05 11:39:31</t>
  </si>
  <si>
    <t>6 Cois Muileann, Ballincurrig, Leamlara, Cork</t>
  </si>
  <si>
    <t>T56 C667</t>
  </si>
  <si>
    <t>DOGTWL-DES-LG-DOGDIN,TOWLB-SUM-LG-COLAGN</t>
  </si>
  <si>
    <t>10251860-10302685</t>
  </si>
  <si>
    <t>Buckley</t>
  </si>
  <si>
    <t>EU-43304</t>
  </si>
  <si>
    <t>2026-06-05 11:40:38</t>
  </si>
  <si>
    <t>Corrymeela Farranlea Park, Model Farm Rd, Cork, Cork</t>
  </si>
  <si>
    <t>T12 D8C9</t>
  </si>
  <si>
    <t>10252066-10302891</t>
  </si>
  <si>
    <t>O'Gorman</t>
  </si>
  <si>
    <t>EU-43313</t>
  </si>
  <si>
    <t>2026-06-05 11:44:04</t>
  </si>
  <si>
    <t>84 Monastery Rd, Clondalkin, Dublin 22, Dublin</t>
  </si>
  <si>
    <t>D22 N6K5</t>
  </si>
  <si>
    <t>TOWLB-SUM-XL-COLAGN,TOWLB-SUM-XL-OCEAN</t>
  </si>
  <si>
    <t>10252525-10303367</t>
  </si>
  <si>
    <t>Boyle</t>
  </si>
  <si>
    <t>EU-43324</t>
  </si>
  <si>
    <t>2026-06-05 11:46:15</t>
  </si>
  <si>
    <t>Keadue Lower, Barnesmore, Donegal, Donegal</t>
  </si>
  <si>
    <t>F94 KC8C</t>
  </si>
  <si>
    <t>10244657-10295329</t>
  </si>
  <si>
    <t>marlies</t>
  </si>
  <si>
    <t>1014 624</t>
  </si>
  <si>
    <t>EU-43198</t>
  </si>
  <si>
    <t>2026-06-05 11:53:22</t>
  </si>
  <si>
    <t>Seggelant-Noord 17, Vierpolders, Vierpolders</t>
  </si>
  <si>
    <t>3237 MG</t>
  </si>
  <si>
    <t>BAGDRY-XS-NAVY</t>
  </si>
  <si>
    <t>10252523-10303365</t>
  </si>
  <si>
    <t>Mahony</t>
  </si>
  <si>
    <t>EU-43320</t>
  </si>
  <si>
    <t>2026-06-05 11:56:04</t>
  </si>
  <si>
    <t>Treborth West, 14 claremont Rd, Howth, Dublin</t>
  </si>
  <si>
    <t>D13 XW52</t>
  </si>
  <si>
    <t>BAGF-DES-MD-WYWH,PONCHA-DES-LG-WTRSUG,TOWLB-DES-XL-KARMA</t>
  </si>
  <si>
    <t>10252302-10303133</t>
  </si>
  <si>
    <t>Notaire</t>
  </si>
  <si>
    <t>Heymans SA</t>
  </si>
  <si>
    <t>EU-43315</t>
  </si>
  <si>
    <t>2026-06-05 11:57:05</t>
  </si>
  <si>
    <t>Avenue de lEchevinage 1A, Uccle, Uccle</t>
  </si>
  <si>
    <t>TOWLB-CAB-XL-KHAKI-R,TOWLB-DES-XL-MELLOW,TOWLB-DOB-XL-CALM,TOWLB-SUM-XL-UNICN-R</t>
  </si>
  <si>
    <t>10252303-10303134</t>
  </si>
  <si>
    <t>Rupp Tyla</t>
  </si>
  <si>
    <t>EU-43314</t>
  </si>
  <si>
    <t>2026-06-05 11:58:18</t>
  </si>
  <si>
    <t>Curt-Goetz-Straße 26, Mainz, Mainz</t>
  </si>
  <si>
    <t>BAGF-CAB-MD-NAVY,TOWLB-CAB-LG-NAVY-R,TOWLB-CAB-LG-ORANG-R,TOWLB-SUM-LG-SANDSEA</t>
  </si>
  <si>
    <t>10252526-10303368</t>
  </si>
  <si>
    <t>EU-43323</t>
  </si>
  <si>
    <t>2026-06-05 11:59:17</t>
  </si>
  <si>
    <t>Europastraße 7, Bonn, Bonn</t>
  </si>
  <si>
    <t>BAGF-CAB-MD-NAVY,TOWLB-CAB-LG-KHAKI-R,TOWLB-CAB-LG-LTBLU-R,TOWLB-DES-LG-BLUSPRIT</t>
  </si>
  <si>
    <t>10252521-10303363</t>
  </si>
  <si>
    <t>Nicolas</t>
  </si>
  <si>
    <t>Friedrichs</t>
  </si>
  <si>
    <t>EU-43319</t>
  </si>
  <si>
    <t>2026-06-05 12:00:30</t>
  </si>
  <si>
    <t>Beckershöfe 6, Willich, Willich</t>
  </si>
  <si>
    <t>10252305-10303136</t>
  </si>
  <si>
    <t>Justyna</t>
  </si>
  <si>
    <t>Sandomierska-Wasik</t>
  </si>
  <si>
    <t>EU-43317</t>
  </si>
  <si>
    <t>2026-06-05 12:01:18</t>
  </si>
  <si>
    <t>Wąwozowa, 14/2, Koszalin, Koszalin</t>
  </si>
  <si>
    <t>75-339</t>
  </si>
  <si>
    <t>10253593-10304443</t>
  </si>
  <si>
    <t>Granwal</t>
  </si>
  <si>
    <t>EU-43338</t>
  </si>
  <si>
    <t>2026-06-08 05:47:16</t>
  </si>
  <si>
    <t>Beim Schlump 26, Haus 2, Hamburg, Hamburg</t>
  </si>
  <si>
    <t>10254656-10305511</t>
  </si>
  <si>
    <t>Isabelle</t>
  </si>
  <si>
    <t>De Noyette</t>
  </si>
  <si>
    <t>EU-43357</t>
  </si>
  <si>
    <t>2026-06-08 05:49:02</t>
  </si>
  <si>
    <t>Meirelos 23, Deinze, Deinze</t>
  </si>
  <si>
    <t>TOWLB-CAB-LG-BLUE-R,TOWLB-CAB-LG-GREEN-R,TOWLB-CAB-LG-ORANG-R,TOWLB-CAB-LG-PINK-R,TOWLB-CAB-LG-RED-R,TOWLB-CAB-LG-YELL-R</t>
  </si>
  <si>
    <t>10255616-10306472</t>
  </si>
  <si>
    <t>Dobbe</t>
  </si>
  <si>
    <t>EU-43367</t>
  </si>
  <si>
    <t>2026-06-08 05:50:00</t>
  </si>
  <si>
    <t>Dunantstraat 629, Zoetermeer, Zoetermeer</t>
  </si>
  <si>
    <t>2713 TA</t>
  </si>
  <si>
    <t>TOWLB-DES-XL-KARMA,TOWLB-DOB-XL-CALM</t>
  </si>
  <si>
    <t>10254829-10305685</t>
  </si>
  <si>
    <t>Farisha</t>
  </si>
  <si>
    <t>Haime</t>
  </si>
  <si>
    <t>EU-43363</t>
  </si>
  <si>
    <t>2026-06-08 05:51:33</t>
  </si>
  <si>
    <t>Tasmanstraat 110A, Den Haag, Den Haag</t>
  </si>
  <si>
    <t>2518 VR</t>
  </si>
  <si>
    <t>TOWLB-CAB-XL-LTBGE-R,TOWLB-CAB-XL-LTGRY-R</t>
  </si>
  <si>
    <t>10254658-10305513</t>
  </si>
  <si>
    <t>Eleni</t>
  </si>
  <si>
    <t>Sarrigianni</t>
  </si>
  <si>
    <t>EU-43358</t>
  </si>
  <si>
    <t>2026-06-08 05:52:35</t>
  </si>
  <si>
    <t>Agion Anargiron 1B, Palaio Faliro, Palaio Faliro</t>
  </si>
  <si>
    <t>175 64</t>
  </si>
  <si>
    <t>BAGF-SUM-MD-UNICN,TOWLB-CAB-XL-LTBGE-R,TOWLB-CAB-XL-LTPPL-R,TOWLB-SUM-XL-MIAMI,TOWLF-ESS-XL-DKBLU</t>
  </si>
  <si>
    <t>10253168-10304022</t>
  </si>
  <si>
    <t>Catriona</t>
  </si>
  <si>
    <t>Doherty</t>
  </si>
  <si>
    <t>EU-43333</t>
  </si>
  <si>
    <t>2026-06-08 05:53:16</t>
  </si>
  <si>
    <t>LOGATEMPLE, Claremorris, CLAREMORRIS, Mayo</t>
  </si>
  <si>
    <t>F12 W6K4</t>
  </si>
  <si>
    <t>PP-TOWLB-CAB-LG-4SETA-R,TOWLB-CAB-XL-BLUE-R</t>
  </si>
  <si>
    <t>10255617-10306473</t>
  </si>
  <si>
    <t>ANNA</t>
  </si>
  <si>
    <t>Claudel</t>
  </si>
  <si>
    <t>EU-43366</t>
  </si>
  <si>
    <t>2026-06-08 05:54:02</t>
  </si>
  <si>
    <t>Seesener Straße 23, Berlin, Berlin</t>
  </si>
  <si>
    <t>PONCHK-CAB-SM-BLUE-NS,PONCHK-KID-SM-JELLY</t>
  </si>
  <si>
    <t>10255750-10306606</t>
  </si>
  <si>
    <t>Elin</t>
  </si>
  <si>
    <t>Kann</t>
  </si>
  <si>
    <t>EU-43370</t>
  </si>
  <si>
    <t>2026-06-08 05:54:37</t>
  </si>
  <si>
    <t>Biesalskistrasse 1, Berlin, Berlin</t>
  </si>
  <si>
    <t>10254826-10305682</t>
  </si>
  <si>
    <t>Clémentine</t>
  </si>
  <si>
    <t>Razaoarinelina-Hickl</t>
  </si>
  <si>
    <t>EU-43354</t>
  </si>
  <si>
    <t>2026-06-08 05:56:19</t>
  </si>
  <si>
    <t>Donato-Polli-Straße 46, Erlangen, Erlangen</t>
  </si>
  <si>
    <t>TOWLB-DES-LG-PNKPARA,TOWLB-DES-LG-SWTESC</t>
  </si>
  <si>
    <t>10257479-10308350</t>
  </si>
  <si>
    <t>Luke</t>
  </si>
  <si>
    <t>Mitchell</t>
  </si>
  <si>
    <t>EU-43400</t>
  </si>
  <si>
    <t>2026-06-08 05:57:52</t>
  </si>
  <si>
    <t>33 Goldsmith St, Phibsborough, Dublin 7, Dublin</t>
  </si>
  <si>
    <t>D07 N6K4</t>
  </si>
  <si>
    <t>PONCHA-CLA-LG-NAVY-NS,TOWLB-CAB-XL-KHAKI-R</t>
  </si>
  <si>
    <t>10256278-10307143</t>
  </si>
  <si>
    <t>Leu</t>
  </si>
  <si>
    <t>EU-43378</t>
  </si>
  <si>
    <t>2026-06-08 05:59:07</t>
  </si>
  <si>
    <t>Caroline-Scriba-Weg 10, Dietzenbach, Dietzenbach</t>
  </si>
  <si>
    <t>10255903-10306760</t>
  </si>
  <si>
    <t>Georgia</t>
  </si>
  <si>
    <t>Niceas</t>
  </si>
  <si>
    <t>EU-43377</t>
  </si>
  <si>
    <t>2026-06-08 06:02:27</t>
  </si>
  <si>
    <t>Dewandelaerstraat 36B, Zaventem, Zaventem</t>
  </si>
  <si>
    <t>TOWLB-CAB-LG-LTBGE-R,TOWLB-CAB-LG-NAVY-R</t>
  </si>
  <si>
    <t>10253367-10304223</t>
  </si>
  <si>
    <t>Yaron</t>
  </si>
  <si>
    <t>Toonen</t>
  </si>
  <si>
    <t>EU-43334</t>
  </si>
  <si>
    <t>2026-06-08 06:04:24</t>
  </si>
  <si>
    <t>Bosscheweg, Tilburg, Tilburg</t>
  </si>
  <si>
    <t>5015 AE</t>
  </si>
  <si>
    <t>10253974-10304829</t>
  </si>
  <si>
    <t>Jos</t>
  </si>
  <si>
    <t>Weesjes</t>
  </si>
  <si>
    <t>EU-43348</t>
  </si>
  <si>
    <t>2026-06-08 06:10:03</t>
  </si>
  <si>
    <t>Sloterkade 170 HS, Amsterdam-Zuid, Amsterdam, Amsterdam</t>
  </si>
  <si>
    <t>1059 EB</t>
  </si>
  <si>
    <t>PP-TOWLB-CAB-XL-4SETL</t>
  </si>
  <si>
    <t>10255756-10306612</t>
  </si>
  <si>
    <t>Fitzsimons</t>
  </si>
  <si>
    <t>EU-43374</t>
  </si>
  <si>
    <t>2026-06-08 06:11:51</t>
  </si>
  <si>
    <t>19 Lambourne Wood, Dublin 18, Dublin</t>
  </si>
  <si>
    <t>D18 A4A0</t>
  </si>
  <si>
    <t>10255751-10306607</t>
  </si>
  <si>
    <t>Nele</t>
  </si>
  <si>
    <t>Maene</t>
  </si>
  <si>
    <t>EU-43369</t>
  </si>
  <si>
    <t>2026-06-08 06:13:47</t>
  </si>
  <si>
    <t>Fritz Vinckelaan 2, Bredene, Bredene</t>
  </si>
  <si>
    <t>10254831-10305687</t>
  </si>
  <si>
    <t>Schellander</t>
  </si>
  <si>
    <t>EU-43364</t>
  </si>
  <si>
    <t>2026-06-08 06:15:25</t>
  </si>
  <si>
    <t>Schubertgasse 1, Ebenthal, Ebenthal</t>
  </si>
  <si>
    <t>PICNIC-DES-LG-BANARAM</t>
  </si>
  <si>
    <t>10253370-10304226</t>
  </si>
  <si>
    <t>Ieva</t>
  </si>
  <si>
    <t>Rubule</t>
  </si>
  <si>
    <t>EU-43335</t>
  </si>
  <si>
    <t>2026-06-08 06:16:16</t>
  </si>
  <si>
    <t>237 Val Des Bons Malades, Luxembourg, Luxembourg</t>
  </si>
  <si>
    <t>10254825-10305681</t>
  </si>
  <si>
    <t>Léa</t>
  </si>
  <si>
    <t>Moussu</t>
  </si>
  <si>
    <t>EU-43355</t>
  </si>
  <si>
    <t>2026-06-08 06:17:29</t>
  </si>
  <si>
    <t>Rue François Gay 170, Woluwe-Saint-Pierre, Woluwe-Saint-Pierre</t>
  </si>
  <si>
    <t>10252959-10303809</t>
  </si>
  <si>
    <t>Gavrilovic</t>
  </si>
  <si>
    <t>Mladen</t>
  </si>
  <si>
    <t>028-2898120-5017158</t>
  </si>
  <si>
    <t>2026-06-08 06:18:48</t>
  </si>
  <si>
    <t>Kiesow, Beim Umspannwerk 153, Norderstedt, Norderstedt</t>
  </si>
  <si>
    <t>10254659-10305514</t>
  </si>
  <si>
    <t>Dalma</t>
  </si>
  <si>
    <t>Szello</t>
  </si>
  <si>
    <t>EU-43359</t>
  </si>
  <si>
    <t>2026-06-08 06:20:02</t>
  </si>
  <si>
    <t>Stargarder Str 21, Ingolstadt, Ingolstadt</t>
  </si>
  <si>
    <t>PICNIC-DES-LG-MARGMAD</t>
  </si>
  <si>
    <t>10253591-10304441</t>
  </si>
  <si>
    <t>Liam</t>
  </si>
  <si>
    <t>Manning</t>
  </si>
  <si>
    <t>EU-43340</t>
  </si>
  <si>
    <t>2026-06-08 06:21:10</t>
  </si>
  <si>
    <t>Newbristy South, Moyvore, Westmeath</t>
  </si>
  <si>
    <t>N91 CC82</t>
  </si>
  <si>
    <t>TOWLB-DES-LG-WTRSUG</t>
  </si>
  <si>
    <t>10253973-10304828</t>
  </si>
  <si>
    <t>Meggiolaro</t>
  </si>
  <si>
    <t>EU-43344</t>
  </si>
  <si>
    <t>2026-06-08 06:22:17</t>
  </si>
  <si>
    <t>Don Loser 3, Abano Terme, Padova</t>
  </si>
  <si>
    <t>10253979-10304834</t>
  </si>
  <si>
    <t>Lea</t>
  </si>
  <si>
    <t>El-Kurdi</t>
  </si>
  <si>
    <t>EU-43350</t>
  </si>
  <si>
    <t>2026-06-08 06:24:16</t>
  </si>
  <si>
    <t>1 Rue Perronet, Neuilly Sur Seine, Neuilly Sur Seine</t>
  </si>
  <si>
    <t>10253368-10304224</t>
  </si>
  <si>
    <t>Veit</t>
  </si>
  <si>
    <t>EU-43337</t>
  </si>
  <si>
    <t>2026-06-08 06:25:51</t>
  </si>
  <si>
    <t>Louis-Pasteur-Straße 122, Frankfurt am Main, Frankfurt am Main</t>
  </si>
  <si>
    <t>10252958-10303808</t>
  </si>
  <si>
    <t>Adela</t>
  </si>
  <si>
    <t>Hajkova</t>
  </si>
  <si>
    <t>EU-43329</t>
  </si>
  <si>
    <t>2026-06-08 06:26:56</t>
  </si>
  <si>
    <t>Jírovcova 2, Brno, Brno</t>
  </si>
  <si>
    <t>623 00</t>
  </si>
  <si>
    <t>10253589-10304439</t>
  </si>
  <si>
    <t>Heidi</t>
  </si>
  <si>
    <t>Klein</t>
  </si>
  <si>
    <t>303-9264730-9271520</t>
  </si>
  <si>
    <t>2026-06-08 06:28:05</t>
  </si>
  <si>
    <t>Waldstraße 16b, Pullach I. Isartal, Pullach I. Isartal</t>
  </si>
  <si>
    <t>PONCHK-KID-MD-INTOWILD</t>
  </si>
  <si>
    <t>10256279-10307144</t>
  </si>
  <si>
    <t>Leov</t>
  </si>
  <si>
    <t>EU-43385</t>
  </si>
  <si>
    <t>2026-06-08 06:29:05</t>
  </si>
  <si>
    <t>Cecilienkoog 11, Reußenköge, Reußenköge</t>
  </si>
  <si>
    <t>10254660-10305515</t>
  </si>
  <si>
    <t>Dölle</t>
  </si>
  <si>
    <t>EU-43360</t>
  </si>
  <si>
    <t>2026-06-08 06:30:31</t>
  </si>
  <si>
    <t>Wilhelm-Eichler-Str 8, Radebeul, Radebeul</t>
  </si>
  <si>
    <t>01445</t>
  </si>
  <si>
    <t>TOWLB-CAB-XL-BLUE-R,TOWLB-DES-XL-GRECSHR,TOWLB-DOB-LG-CALM,TOWLB-KID-MD-TURTROP</t>
  </si>
  <si>
    <t>10255755-10306611</t>
  </si>
  <si>
    <t>Gautier</t>
  </si>
  <si>
    <t>EU-43375</t>
  </si>
  <si>
    <t>2026-06-08 06:30:34</t>
  </si>
  <si>
    <t>7 bis, Rue des Fiefs, Rue des Fiefs, 79000 - NIORT, 79000 - NIORT</t>
  </si>
  <si>
    <t>10252767-10303614</t>
  </si>
  <si>
    <t>EU-43325</t>
  </si>
  <si>
    <t>2026-06-08 06:32:17</t>
  </si>
  <si>
    <t>Blessington Rd, 13 Oak Glade, Naas, Kildare</t>
  </si>
  <si>
    <t>W91 VAP2</t>
  </si>
  <si>
    <t>10254657-10305512</t>
  </si>
  <si>
    <t>Flowers Power</t>
  </si>
  <si>
    <t>EU-43356</t>
  </si>
  <si>
    <t>2026-06-08 06:32:30</t>
  </si>
  <si>
    <t>Kealfoun, Kilmacthomas, Waterford, Waterford</t>
  </si>
  <si>
    <t>X42 A273</t>
  </si>
  <si>
    <t>10255757-10306613</t>
  </si>
  <si>
    <t>Luerssen</t>
  </si>
  <si>
    <t>EU-43376</t>
  </si>
  <si>
    <t>2026-06-08 06:33:39</t>
  </si>
  <si>
    <t>Elbstorfer Straße 107, Drage, Drage</t>
  </si>
  <si>
    <t>10253594-10304444</t>
  </si>
  <si>
    <t>Lonneke</t>
  </si>
  <si>
    <t>Sattelmeijer</t>
  </si>
  <si>
    <t>EU-43341</t>
  </si>
  <si>
    <t>2026-06-08 06:35:00</t>
  </si>
  <si>
    <t>Weegbreestraat, 163, Soest, Soest</t>
  </si>
  <si>
    <t>3765 XD</t>
  </si>
  <si>
    <t>TOWLB-CAB-XL-LTPPL-R</t>
  </si>
  <si>
    <t>10261145-10312019</t>
  </si>
  <si>
    <t>Azzi</t>
  </si>
  <si>
    <t>EU-43443</t>
  </si>
  <si>
    <t>2026-06-08 06:37:08</t>
  </si>
  <si>
    <t>Postjeskade 21-1, Amsterdam, Amsterdam</t>
  </si>
  <si>
    <t>1058 DE</t>
  </si>
  <si>
    <t>10256097-10306957</t>
  </si>
  <si>
    <t>Marieke</t>
  </si>
  <si>
    <t>Sprietsma</t>
  </si>
  <si>
    <t>EU-43380</t>
  </si>
  <si>
    <t>2026-06-08 06:37:34</t>
  </si>
  <si>
    <t>Lloydstraat 130, Rotterdam, Rotterdam</t>
  </si>
  <si>
    <t>3024 EA</t>
  </si>
  <si>
    <t>10254357-10305212</t>
  </si>
  <si>
    <t>Doreen</t>
  </si>
  <si>
    <t>Curran</t>
  </si>
  <si>
    <t>EU-43353</t>
  </si>
  <si>
    <t>2026-06-08 06:38:09</t>
  </si>
  <si>
    <t>92 Ballintyre Square, Ballinteer Ave, Ballinteer, Dublin</t>
  </si>
  <si>
    <t>D16 VT19</t>
  </si>
  <si>
    <t>10255752-10306608</t>
  </si>
  <si>
    <t>McElroy</t>
  </si>
  <si>
    <t>EU-43371</t>
  </si>
  <si>
    <t>2026-06-08 06:38:58</t>
  </si>
  <si>
    <t>7 Newbridge Ave, Sandymount, Dublin, Dublin</t>
  </si>
  <si>
    <t>D04 Y9X0</t>
  </si>
  <si>
    <t>10257834-10308705</t>
  </si>
  <si>
    <t>Henry</t>
  </si>
  <si>
    <t>EU-43409</t>
  </si>
  <si>
    <t>2026-06-08 06:39:11</t>
  </si>
  <si>
    <t>5 Saint Vincents Park, Blackrock, Dublin, Dublin</t>
  </si>
  <si>
    <t>A94 F856</t>
  </si>
  <si>
    <t>PONCHA-CAB-XL-NAVY</t>
  </si>
  <si>
    <t>10261146-10312020</t>
  </si>
  <si>
    <t>Borg</t>
  </si>
  <si>
    <t>EU-43455</t>
  </si>
  <si>
    <t>2026-06-08 06:40:07</t>
  </si>
  <si>
    <t>Groenestraat 5, Sint-lievens-houtem, Sint-lievens-houtem</t>
  </si>
  <si>
    <t>10255754-10306610</t>
  </si>
  <si>
    <t>Cian</t>
  </si>
  <si>
    <t>McGuinness</t>
  </si>
  <si>
    <t>EU-43373</t>
  </si>
  <si>
    <t>2026-06-08 06:40:30</t>
  </si>
  <si>
    <t>The Gate Lodge, Ross Rd, Screggan, Tullamore, Offaly</t>
  </si>
  <si>
    <t>R35 KV06</t>
  </si>
  <si>
    <t>10258650-10309521</t>
  </si>
  <si>
    <t>Jeramy</t>
  </si>
  <si>
    <t>Van Menxel</t>
  </si>
  <si>
    <t>EU-43419</t>
  </si>
  <si>
    <t>2026-06-08 06:41:02</t>
  </si>
  <si>
    <t>Westeinde 8a, Voorburg, Voorburg</t>
  </si>
  <si>
    <t>2275 AD</t>
  </si>
  <si>
    <t>10253977-10304832</t>
  </si>
  <si>
    <t>Siabhra</t>
  </si>
  <si>
    <t>EU-43345</t>
  </si>
  <si>
    <t>2026-06-08 06:41:21</t>
  </si>
  <si>
    <t>Seapoint lodge, Rosbeg, Westport, Mayo</t>
  </si>
  <si>
    <t>F28 K791</t>
  </si>
  <si>
    <t>PICNIC-DES-XL-GRCSHR,TOWLB-SUM-LG-COLAGN,TOWLB-SUM-LG-MIAMI,TOWLB-SUM-LG-OCEAN,TOWLB-SUM-LG-TUTFRU</t>
  </si>
  <si>
    <t>10259181-10310053</t>
  </si>
  <si>
    <t>Alice</t>
  </si>
  <si>
    <t>Brückmann</t>
  </si>
  <si>
    <t>EU-43426</t>
  </si>
  <si>
    <t>2026-06-08 06:41:39</t>
  </si>
  <si>
    <t>Emil Claarstrasse 26, Frankfurt, Frankfurt</t>
  </si>
  <si>
    <t>10256099-10306959</t>
  </si>
  <si>
    <t>Elena</t>
  </si>
  <si>
    <t>Bartolucci</t>
  </si>
  <si>
    <t>EU-43383</t>
  </si>
  <si>
    <t>2026-06-08 06:42:32</t>
  </si>
  <si>
    <t>Gluckstraße 4c, Hamburg, Hamburg</t>
  </si>
  <si>
    <t>BAGF-SUM-MD-COLAGN,BAGF-SUM-MD-MIAMI,TOWLB-SUM-LG-COLAGN,TOWLB-SUM-LG-MIAMI</t>
  </si>
  <si>
    <t>10254149-10305004</t>
  </si>
  <si>
    <t>Czarnota</t>
  </si>
  <si>
    <t>EU-43351</t>
  </si>
  <si>
    <t>2026-06-08 06:43:04</t>
  </si>
  <si>
    <t>Warandepoort 9, Oosterhout, Oosterhout</t>
  </si>
  <si>
    <t>4904 AX</t>
  </si>
  <si>
    <t>TOWLB-DES-LG-WTRSUG,TOWLB-SUM-LG-COLAGN,TOWLB-SUM-LG-SANDSEA,TOWLF-ESS-LG-DKBLU</t>
  </si>
  <si>
    <t>10259671-10310543</t>
  </si>
  <si>
    <t>P</t>
  </si>
  <si>
    <t>Havid</t>
  </si>
  <si>
    <t>EU-43433</t>
  </si>
  <si>
    <t>2026-06-08 06:43:07</t>
  </si>
  <si>
    <t>Purmerweg 78, Purmerend, Purmerend</t>
  </si>
  <si>
    <t>1441 RC</t>
  </si>
  <si>
    <t>10257838-10308709</t>
  </si>
  <si>
    <t>Ruth</t>
  </si>
  <si>
    <t>Böhnel</t>
  </si>
  <si>
    <t>EU-43413</t>
  </si>
  <si>
    <t>2026-06-08 06:43:45</t>
  </si>
  <si>
    <t>Alkuinstr 23, Münster, Münster</t>
  </si>
  <si>
    <t>10254827-10305683</t>
  </si>
  <si>
    <t>Powell</t>
  </si>
  <si>
    <t>EU-43361</t>
  </si>
  <si>
    <t>2026-06-08 06:44:49</t>
  </si>
  <si>
    <t>Clough Keenagh, Longford, Longford</t>
  </si>
  <si>
    <t>N39 V184</t>
  </si>
  <si>
    <t>BAGF-SUM-MD-CSTCANDY,TOWLB-CAB-LG-BLUE-R,TOWLB-CAB-LG-LTPNK-R,TOWLB-CAB-LG-NAVY-R,TOWLB-CAB-LG-PINK-R</t>
  </si>
  <si>
    <t>10255753-10306609</t>
  </si>
  <si>
    <t>EU-43372</t>
  </si>
  <si>
    <t>2026-06-08 06:45:55</t>
  </si>
  <si>
    <t>6 The Links, Dundalk, Louth</t>
  </si>
  <si>
    <t>A91 RD27</t>
  </si>
  <si>
    <t>10256096-10306956</t>
  </si>
  <si>
    <t>van der Perk-Dijkgraaf</t>
  </si>
  <si>
    <t>EU-43381</t>
  </si>
  <si>
    <t>2026-06-08 06:46:41</t>
  </si>
  <si>
    <t>Korte Molenstraat, 10, Veenendaal, Veenendaal</t>
  </si>
  <si>
    <t>3905 AG</t>
  </si>
  <si>
    <t>10257643-10308514</t>
  </si>
  <si>
    <t>Francesca</t>
  </si>
  <si>
    <t>EU-43402</t>
  </si>
  <si>
    <t>2026-06-08 06:46:43</t>
  </si>
  <si>
    <t>Kaiserstrasse 37, Kindsbach, Kindsbach</t>
  </si>
  <si>
    <t>10254828-10305684</t>
  </si>
  <si>
    <t>Cassidy</t>
  </si>
  <si>
    <t>EU-43362</t>
  </si>
  <si>
    <t>2026-06-08 06:47:24</t>
  </si>
  <si>
    <t>Lisconor, Stonehall, Newmarket On fergus, Clare</t>
  </si>
  <si>
    <t>V95 A6R9</t>
  </si>
  <si>
    <t>10258223-10309094</t>
  </si>
  <si>
    <t>jessica</t>
  </si>
  <si>
    <t>povoa</t>
  </si>
  <si>
    <t>303-0961599-6748358</t>
  </si>
  <si>
    <t>2026-06-08 06:47:40</t>
  </si>
  <si>
    <t>Lenaustrasse 22, Berlin, Berlin</t>
  </si>
  <si>
    <t>10256098-10306958</t>
  </si>
  <si>
    <t>Dowdall</t>
  </si>
  <si>
    <t>EU-43379</t>
  </si>
  <si>
    <t>2026-06-08 06:48:32</t>
  </si>
  <si>
    <t>24 Priorland Gardens, Dundalk, Louth</t>
  </si>
  <si>
    <t>A91 D76K</t>
  </si>
  <si>
    <t>10258649-10309520</t>
  </si>
  <si>
    <t>Raimond</t>
  </si>
  <si>
    <t>El-Guindi</t>
  </si>
  <si>
    <t>303-0249860-8599524</t>
  </si>
  <si>
    <t>2026-06-08 06:49:05</t>
  </si>
  <si>
    <t>Karlsruher Straße 7a, Berlin, Berlin</t>
  </si>
  <si>
    <t>10259183-10310055</t>
  </si>
  <si>
    <t>Adrijana</t>
  </si>
  <si>
    <t>Lepojevic</t>
  </si>
  <si>
    <t>EU-43424</t>
  </si>
  <si>
    <t>2026-06-08 06:50:16</t>
  </si>
  <si>
    <t>Aquinostrasse  14, Köln, Köln</t>
  </si>
  <si>
    <t>10260875-10311748</t>
  </si>
  <si>
    <t>Timo</t>
  </si>
  <si>
    <t>Saibert</t>
  </si>
  <si>
    <t>305-8737571-9049114</t>
  </si>
  <si>
    <t>2026-06-08 06:51:25</t>
  </si>
  <si>
    <t>Frankfurter Str 70, Altenkirchen (westerwald), Altenkirchen (westerwald)</t>
  </si>
  <si>
    <t>10260200-10311073</t>
  </si>
  <si>
    <t>Jasmina</t>
  </si>
  <si>
    <t>Strasser</t>
  </si>
  <si>
    <t>306-5774137-6635566</t>
  </si>
  <si>
    <t>2026-06-08 06:52:24</t>
  </si>
  <si>
    <t>Eiffestraße 652b, Hamburg, Hamburg</t>
  </si>
  <si>
    <t>10259676-10310548</t>
  </si>
  <si>
    <t>Grieger</t>
  </si>
  <si>
    <t>303-6415599-1809111</t>
  </si>
  <si>
    <t>2026-06-08 06:53:20</t>
  </si>
  <si>
    <t>Drosselweg 7, Bayreuth, Bayern</t>
  </si>
  <si>
    <t>10260195-10311068</t>
  </si>
  <si>
    <t>Kania</t>
  </si>
  <si>
    <t>EU-43440</t>
  </si>
  <si>
    <t>2026-06-08 06:54:36</t>
  </si>
  <si>
    <t>Aigenweg 4, Ravensburg, Ravensburg</t>
  </si>
  <si>
    <t>10257073-10307942</t>
  </si>
  <si>
    <t>Shinnors</t>
  </si>
  <si>
    <t>EU-43396</t>
  </si>
  <si>
    <t>2026-06-08 06:55:30</t>
  </si>
  <si>
    <t>Ballyduane, Mungret, Limerick</t>
  </si>
  <si>
    <t>V94 X7EK</t>
  </si>
  <si>
    <t>10256478-10307343</t>
  </si>
  <si>
    <t>Jill</t>
  </si>
  <si>
    <t>Coogan</t>
  </si>
  <si>
    <t>EU-43387</t>
  </si>
  <si>
    <t>2026-06-08 06:56:38</t>
  </si>
  <si>
    <t>6 Lissadell, Maryborough Hill, Douglas, Cork</t>
  </si>
  <si>
    <t>T12 K65R</t>
  </si>
  <si>
    <t>10256280-10307145</t>
  </si>
  <si>
    <t>Ulrike</t>
  </si>
  <si>
    <t>Zschoche</t>
  </si>
  <si>
    <t>306-3029265-0269153</t>
  </si>
  <si>
    <t>2026-06-08 06:57:43</t>
  </si>
  <si>
    <t>Rütistrasse 14, Gockhausen, Gockhausen</t>
  </si>
  <si>
    <t>10260191-10311064</t>
  </si>
  <si>
    <t>Alma</t>
  </si>
  <si>
    <t>OSullivan</t>
  </si>
  <si>
    <t>EU-43438</t>
  </si>
  <si>
    <t>2026-06-08 06:59:29</t>
  </si>
  <si>
    <t>10 Ardilea Crescent, Dublin 14, Dublin</t>
  </si>
  <si>
    <t>D14 N258</t>
  </si>
  <si>
    <t>PP-TOWLB-CAB-LG-6SETM</t>
  </si>
  <si>
    <t>10256861-10307729</t>
  </si>
  <si>
    <t>Iratxe</t>
  </si>
  <si>
    <t>Barcena Rousse</t>
  </si>
  <si>
    <t>EU-43393</t>
  </si>
  <si>
    <t>2026-06-08 07:17:44</t>
  </si>
  <si>
    <t>Amorraga 4, 1F, Lemoiz, Vizcaya</t>
  </si>
  <si>
    <t>BAGF-DES-MD-CHECKMT,PICNIC-DES-LG-BANARAM,PONCHK-KID-MD-CAMOCUBE,TOWLB-KID-MD-TURTROP</t>
  </si>
  <si>
    <t>10257480-10308351</t>
  </si>
  <si>
    <t>Howard</t>
  </si>
  <si>
    <t>EU-43399</t>
  </si>
  <si>
    <t>2026-06-08 07:20:40</t>
  </si>
  <si>
    <t>Oakvale, Ballintombay, Arklow, Wicklow</t>
  </si>
  <si>
    <t>Y14 R123</t>
  </si>
  <si>
    <t>BAGDRY-MD-MIAMI,BAGDRY-XS-HOTTROP,PONCHA-DES-LG-IBZAGLW,PONCHA-DES-LG-WAVYBBY,PONCHA-DES-LG-WTRSUG</t>
  </si>
  <si>
    <t>10257481-10308352</t>
  </si>
  <si>
    <t>Röpke</t>
  </si>
  <si>
    <t>EU-43398</t>
  </si>
  <si>
    <t>2026-06-08 07:21:59</t>
  </si>
  <si>
    <t>Altmühlweg 98, Hamburg, Hamburg</t>
  </si>
  <si>
    <t>10256862-10307730</t>
  </si>
  <si>
    <t>Ordner</t>
  </si>
  <si>
    <t>EU-43394</t>
  </si>
  <si>
    <t>2026-06-08 07:23:45</t>
  </si>
  <si>
    <t>Pfaffengrund 11, Ergersheim, Ergersheim</t>
  </si>
  <si>
    <t>TOWLB-DES-XL-BLUSPRIT,TOWLB-DES-XL-LEMWAV,TOWLB-DOB-LG-CALM</t>
  </si>
  <si>
    <t>10256681-10307548</t>
  </si>
  <si>
    <t>Aisling</t>
  </si>
  <si>
    <t>Gray</t>
  </si>
  <si>
    <t>EU-43390</t>
  </si>
  <si>
    <t>2026-06-08 07:25:12</t>
  </si>
  <si>
    <t>22 Talbot Downs, Castleknock, Dublin 15, Dublin</t>
  </si>
  <si>
    <t>D15 TX6E</t>
  </si>
  <si>
    <t>TOWLB-CAB-XL-BLUE-R,TOWLB-CAB-XL-GREEN-R,TOWLB-CAB-XL-RED-R</t>
  </si>
  <si>
    <t>10257646-10308517</t>
  </si>
  <si>
    <t>Nadine</t>
  </si>
  <si>
    <t>Stepanek</t>
  </si>
  <si>
    <t>EU-43407</t>
  </si>
  <si>
    <t>2026-06-08 07:25:36</t>
  </si>
  <si>
    <t>An der Schanz 2, Wohnung 248, Köln, Köln</t>
  </si>
  <si>
    <t>TOWLB-CAB-LG-NAVY-R,TOWLB-CAB-LG-ORANG-R</t>
  </si>
  <si>
    <t>10258009-10308880</t>
  </si>
  <si>
    <t>Ute</t>
  </si>
  <si>
    <t>Möllers</t>
  </si>
  <si>
    <t>EU-43416</t>
  </si>
  <si>
    <t>2026-06-08 07:28:37</t>
  </si>
  <si>
    <t>Rüdesheimer Straße 3, Berlin, Berlin</t>
  </si>
  <si>
    <t>TOWLB-CAB-XL-KHAKI-R,TOWLF-ESS-LG-DKBLU</t>
  </si>
  <si>
    <t>10258010-10308881</t>
  </si>
  <si>
    <t>Slováková</t>
  </si>
  <si>
    <t>EU-43415</t>
  </si>
  <si>
    <t>2026-06-08 07:33:17</t>
  </si>
  <si>
    <t>Narcisová 1, Trnava, Trnava</t>
  </si>
  <si>
    <t>917 01</t>
  </si>
  <si>
    <t>TOWLB-CAB-LG-LTBLU-R,TOWLB-CAB-LG-RED-R</t>
  </si>
  <si>
    <t>10257832-10308703</t>
  </si>
  <si>
    <t>Haneefa</t>
  </si>
  <si>
    <t>Carrim</t>
  </si>
  <si>
    <t>EU-43411</t>
  </si>
  <si>
    <t>2026-06-08 07:35:35</t>
  </si>
  <si>
    <t>Westendstrasse 29, Frankfurt am Main, Frankfurt am Main</t>
  </si>
  <si>
    <t>TOWLB-CAB-LG-NAVY-R,TOWLB-DES-LG-WYWH</t>
  </si>
  <si>
    <t>10258222-10309093</t>
  </si>
  <si>
    <t>Jörn</t>
  </si>
  <si>
    <t>Roos</t>
  </si>
  <si>
    <t>EU-43417</t>
  </si>
  <si>
    <t>2026-06-08 07:36:46</t>
  </si>
  <si>
    <t>Im Biegel 13/1, Altensteig, Altensteig</t>
  </si>
  <si>
    <t>TOWLB-DES-LG-GRECSHR,TOWLB-DES-LG-PNKPARA</t>
  </si>
  <si>
    <t>10259120-10309991</t>
  </si>
  <si>
    <t>Phaedra</t>
  </si>
  <si>
    <t>Laermans</t>
  </si>
  <si>
    <t>EU-43422</t>
  </si>
  <si>
    <t>2026-06-08 07:38:02</t>
  </si>
  <si>
    <t>Belliardstraat 65, Brussel, Brussel</t>
  </si>
  <si>
    <t>10257644-10308515</t>
  </si>
  <si>
    <t>Julie</t>
  </si>
  <si>
    <t>Michel</t>
  </si>
  <si>
    <t>EU-43403</t>
  </si>
  <si>
    <t>2026-06-08 07:40:00</t>
  </si>
  <si>
    <t>Rue Parapet, 34, Bioul, Bioul</t>
  </si>
  <si>
    <t>TOWLB-DOB-LG-CALM,TOWLB-SUM-LG-CSTCANDY</t>
  </si>
  <si>
    <t>10257837-10308708</t>
  </si>
  <si>
    <t>Freudenmann</t>
  </si>
  <si>
    <t>EU-43412</t>
  </si>
  <si>
    <t>2026-06-08 07:41:39</t>
  </si>
  <si>
    <t>Untere Dorfstraße 48, Balingen, Balingen</t>
  </si>
  <si>
    <t>TOWLB-DES-LG-PSTPIER,TOWLB-DES-LG-WYWH</t>
  </si>
  <si>
    <t>10257647-10308518</t>
  </si>
  <si>
    <t>Bea</t>
  </si>
  <si>
    <t>Rubin</t>
  </si>
  <si>
    <t>EU-43406</t>
  </si>
  <si>
    <t>2026-06-08 07:42:42</t>
  </si>
  <si>
    <t>Karlstrasse 23, 23, Freiburg, Freiburg</t>
  </si>
  <si>
    <t>BALLAST-CAB-NAVY,BALLAST-SUM-CSTCANDY</t>
  </si>
  <si>
    <t>10257482-10308353</t>
  </si>
  <si>
    <t>Natale</t>
  </si>
  <si>
    <t>EU-43397</t>
  </si>
  <si>
    <t>2026-06-08 07:43:44</t>
  </si>
  <si>
    <t>Via Barchi 31, Corana, Pavia</t>
  </si>
  <si>
    <t>HAIRW-SUE-HOTTROP,HAIRW-SUE-PNKPARA</t>
  </si>
  <si>
    <t>10257648-10308519</t>
  </si>
  <si>
    <t>UNA</t>
  </si>
  <si>
    <t>O'REILLY</t>
  </si>
  <si>
    <t>EU-43405</t>
  </si>
  <si>
    <t>2026-06-08 07:49:02</t>
  </si>
  <si>
    <t>6 WOODLANE, ROSCHOILL, DROGHEDA, DROGHEDA, Louth</t>
  </si>
  <si>
    <t>A92 KF2X</t>
  </si>
  <si>
    <t>10257645-10308516</t>
  </si>
  <si>
    <t>Nona</t>
  </si>
  <si>
    <t>De Saeytyd</t>
  </si>
  <si>
    <t>EU-43404</t>
  </si>
  <si>
    <t>2026-06-08 07:51:25</t>
  </si>
  <si>
    <t>Vredegerechtstraat 13, Lokeren, Lokeren</t>
  </si>
  <si>
    <t>TOWLB-CAB-XL-GREEN-R,TOWLB-CAB-XL-YELL-R,TOWLH-CLB-XL-PEPPNCH,TOWLH-DES-XL-TIGPALM</t>
  </si>
  <si>
    <t>10257836-10308707</t>
  </si>
  <si>
    <t>EU-43408</t>
  </si>
  <si>
    <t>2026-06-08 07:53:27</t>
  </si>
  <si>
    <t>Ballycashin, Butlerstown, Waterford, Waterford</t>
  </si>
  <si>
    <t>X91 K76C</t>
  </si>
  <si>
    <t>10257642-10308513</t>
  </si>
  <si>
    <t>Clarke</t>
  </si>
  <si>
    <t>EU-43401</t>
  </si>
  <si>
    <t>2026-06-08 07:55:26</t>
  </si>
  <si>
    <t>33 Carrickhill Walk, Co Dublin, Dublin</t>
  </si>
  <si>
    <t>D13 TR28</t>
  </si>
  <si>
    <t>10254830-10305686</t>
  </si>
  <si>
    <t>Hines</t>
  </si>
  <si>
    <t>EU-43365</t>
  </si>
  <si>
    <t>2026-06-08 07:56:49</t>
  </si>
  <si>
    <t>Sandpit, Termonfeckin, Drogheda,, Louth</t>
  </si>
  <si>
    <t>A92 W5XY</t>
  </si>
  <si>
    <t>TOWLB-CAB-LG-KHAKI-R,TOWLB-CAB-LG-NAVY-R,TOWLB-CAB-LG-ORANG-R</t>
  </si>
  <si>
    <t>10258011-10308882</t>
  </si>
  <si>
    <t>Michels</t>
  </si>
  <si>
    <t>EU-43414</t>
  </si>
  <si>
    <t>2026-06-08 07:57:32</t>
  </si>
  <si>
    <t>Wanderweg 2A, Borgwedel, Borgwedel</t>
  </si>
  <si>
    <t>TOWLB-CAB-XL-LTBLU-R,TOWLB-CAB-XL-LTPNK-R,TOWLB-CAB-XL-LTPPL-R,TOWLB-CAB-XL-YELL-R,TOWLB-SUM-XL-UNICN-R</t>
  </si>
  <si>
    <t>10256680-10307547</t>
  </si>
  <si>
    <t>Kassing</t>
  </si>
  <si>
    <t>EU-43391</t>
  </si>
  <si>
    <t>2026-06-08 07:59:22</t>
  </si>
  <si>
    <t>Peterstraße, 33a, Nürnberg, Nürnberg</t>
  </si>
  <si>
    <t>10257071-10307940</t>
  </si>
  <si>
    <t>Cláudia</t>
  </si>
  <si>
    <t>Gameiro</t>
  </si>
  <si>
    <t>EU-43395</t>
  </si>
  <si>
    <t>2026-06-08 08:00:45</t>
  </si>
  <si>
    <t>Rua do Cemitério, N 2, Albergaria Dos Doze, Leiria</t>
  </si>
  <si>
    <t>3100-081</t>
  </si>
  <si>
    <t>TOWLB-CAB-LG-KHAKI-R,TOWLB-CAB-LG-YELL-R,TOWLB-SUM-MD-UNICN</t>
  </si>
  <si>
    <t>10258651-10309522</t>
  </si>
  <si>
    <t>Brid</t>
  </si>
  <si>
    <t>Horan</t>
  </si>
  <si>
    <t>EU-43420</t>
  </si>
  <si>
    <t>2026-06-08 08:01:49</t>
  </si>
  <si>
    <t>Rahaly, Ardrahan, Galway, Galway</t>
  </si>
  <si>
    <t>H91 CFN1</t>
  </si>
  <si>
    <t>TOWLB-SUM-XL-COLAGN,TOWLB-SUM-XL-MIAMI,TOWLB-SUM-XL-OCEAN</t>
  </si>
  <si>
    <t>10257833-10308704</t>
  </si>
  <si>
    <t>Hickey</t>
  </si>
  <si>
    <t>EU-43410</t>
  </si>
  <si>
    <t>2026-06-08 08:02:45</t>
  </si>
  <si>
    <t>Ballyda, Danesfort, Kilkenny, Kilkenny</t>
  </si>
  <si>
    <t>R95 N884</t>
  </si>
  <si>
    <t>BAGF-CAB-MD-NAVY,TOWLB-CAB-LG-KHAKI-R,TOWLB-CAB-LG-LTPPL-R,TOWLB-CAB-LG-RED-R,TOWLB-SUM-XL-COLAGN,TOWLB-SUM-XL-MIAMI</t>
  </si>
  <si>
    <t>10260181-10311054</t>
  </si>
  <si>
    <t>c/o LAS Burg 40929</t>
  </si>
  <si>
    <t>Tim</t>
  </si>
  <si>
    <t>Schreiber</t>
  </si>
  <si>
    <t>EU-43434</t>
  </si>
  <si>
    <t>2026-06-08 08:03:40</t>
  </si>
  <si>
    <t>Colmarerstrasse 10, Weil am Rhein, Weil am Rhein</t>
  </si>
  <si>
    <t>TOWLB-DES-XL-GRECSHR,TOWLB-DES-XL-SUNSPL,TOWLB-DES-XL-TANTIDE</t>
  </si>
  <si>
    <t>10262331-10313216</t>
  </si>
  <si>
    <t>Apotheek Ann</t>
  </si>
  <si>
    <t>Bourgeois</t>
  </si>
  <si>
    <t>EU-43477</t>
  </si>
  <si>
    <t>2026-06-08 08:04:01</t>
  </si>
  <si>
    <t>Bremtstraat 105 Nieuwerkerken, Nieuwerkerken, Nieuwerkerken</t>
  </si>
  <si>
    <t>10253975-10304830</t>
  </si>
  <si>
    <t>Mccawley</t>
  </si>
  <si>
    <t>EU-43347</t>
  </si>
  <si>
    <t>2026-06-08 08:05:42</t>
  </si>
  <si>
    <t>88 Goatstown Rd, Goatstown, Dublin</t>
  </si>
  <si>
    <t>D14 K462</t>
  </si>
  <si>
    <t>10256281-10307146</t>
  </si>
  <si>
    <t>Fredelle</t>
  </si>
  <si>
    <t>Keogh</t>
  </si>
  <si>
    <t>EU-43386</t>
  </si>
  <si>
    <t>2026-06-08 08:07:10</t>
  </si>
  <si>
    <t>21 meadow bank, palatine, carlow, Carlow</t>
  </si>
  <si>
    <t>R93 C8D4</t>
  </si>
  <si>
    <t>10263133-10314019</t>
  </si>
  <si>
    <t>Nicolene</t>
  </si>
  <si>
    <t>Shannon</t>
  </si>
  <si>
    <t>EU-43494</t>
  </si>
  <si>
    <t>2026-06-08 08:08:30</t>
  </si>
  <si>
    <t>109 Grianan Fidh, Aikens Village, Sandyford, Dublin 18, Dublin</t>
  </si>
  <si>
    <t>D18 XN60</t>
  </si>
  <si>
    <t>PP-TOWLB-CAB-XL-4SETN</t>
  </si>
  <si>
    <t>10262588-10313474</t>
  </si>
  <si>
    <t>Thomas</t>
  </si>
  <si>
    <t>de Ruiter</t>
  </si>
  <si>
    <t>EU-43482</t>
  </si>
  <si>
    <t>2026-06-08 08:09:15</t>
  </si>
  <si>
    <t>Van Zuijtland, 20, Benthuizen, Benthuizen</t>
  </si>
  <si>
    <t>2731 GP</t>
  </si>
  <si>
    <t>10259297-10310169</t>
  </si>
  <si>
    <t>Soyer</t>
  </si>
  <si>
    <t>EU-43428</t>
  </si>
  <si>
    <t>2026-06-08 08:09:39</t>
  </si>
  <si>
    <t>Langestraat 20, Huldenberg, Huldenberg</t>
  </si>
  <si>
    <t>BAGF-CAB-MD-LTPNK,PP-TOWLB-CAB-XL-4SET-PINK,TOWLB-CAB-XL-KHAKI-R,TOWLB-CAB-XL-LTGRY-R</t>
  </si>
  <si>
    <t>10263399-10314285</t>
  </si>
  <si>
    <t>Dr. Matthias</t>
  </si>
  <si>
    <t>Buchholz</t>
  </si>
  <si>
    <t>306-0234543-1523539</t>
  </si>
  <si>
    <t>2026-06-08 08:10:17</t>
  </si>
  <si>
    <t>Buchholz Schulze Gbr, Klein Pretzier Nr 3, Wrestedt, Wrestedt</t>
  </si>
  <si>
    <t>10244199-10294854</t>
  </si>
  <si>
    <t>Rita</t>
  </si>
  <si>
    <t>Kesrouani</t>
  </si>
  <si>
    <t>EUWS-3179</t>
  </si>
  <si>
    <t>2026-06-08 08:10:39</t>
  </si>
  <si>
    <t>24 rue Saint Charles, 4th floor, Paris, Paris</t>
  </si>
  <si>
    <t>BAGDRY-XS-MIAMI,BAGDRY-XS-NAVY,BAGDRY-XS-WAVYBBY,BAGF-CAB-MD-NAVY,BAGF-SUM-MD-COLAGN,BAGF-SUM-MD-CSTCANDY,BAGF-SUM-MD-MIAMI,BAGF-SUM-MD-UNICN,BALLAST-CAB-NAVY,BALLAST-SUM-CSTCANDY,HAIRW-CAB-NAVY-NB,HAIRW-SUE-MIAMI,HAIRW-SUE-PSTPIER,HAIRW-SUM-UNICN-NB,TOWLB-CAB-LG-NAVY-R,TOWLB-CAB-MD-LTPNK,TOWLB-CAB-MD-NAVY,TOWLB-DES-LG-BLUSKY,TOWLB-SUM-LG-COLAGN,TOWLB-SUM-LG-CSTCANDY,TOWLB-SUM-LG-OCEAN,TOWLB-SUM-LG-TUTFRU,TOWLB-SUM-LG-UNICN-R</t>
  </si>
  <si>
    <t>10255615-10306471</t>
  </si>
  <si>
    <t>Adrian</t>
  </si>
  <si>
    <t>EU-43368</t>
  </si>
  <si>
    <t>2026-06-08 08:11:16</t>
  </si>
  <si>
    <t>Straßfeldring 12, Oberding, Oberding</t>
  </si>
  <si>
    <t>10263806-10314692</t>
  </si>
  <si>
    <t>Tin</t>
  </si>
  <si>
    <t>Kolovrat</t>
  </si>
  <si>
    <t>303-2779756-1116348</t>
  </si>
  <si>
    <t>2026-06-08 08:12:12</t>
  </si>
  <si>
    <t>Kreuzhofstraße 10 App 136, München, München</t>
  </si>
  <si>
    <t>BAGF-DES-MD-BANARAM</t>
  </si>
  <si>
    <t>10259298-10310170</t>
  </si>
  <si>
    <t>Saskia</t>
  </si>
  <si>
    <t>Courtmans</t>
  </si>
  <si>
    <t>EU-43429</t>
  </si>
  <si>
    <t>2026-06-08 08:12:25</t>
  </si>
  <si>
    <t>Dokter Spitaelslaan, 395, Lembeek, Lembeek</t>
  </si>
  <si>
    <t>10262327-10313212</t>
  </si>
  <si>
    <t>Lidia</t>
  </si>
  <si>
    <t>de Reese</t>
  </si>
  <si>
    <t>EU-43474</t>
  </si>
  <si>
    <t>2026-06-08 08:13:17</t>
  </si>
  <si>
    <t>Atzpodienstr 13, Berlin, Berlin</t>
  </si>
  <si>
    <t>10262109-10312991</t>
  </si>
  <si>
    <t>E</t>
  </si>
  <si>
    <t>Rook</t>
  </si>
  <si>
    <t>EU-43472</t>
  </si>
  <si>
    <t>2026-06-08 08:14:03</t>
  </si>
  <si>
    <t>Davenschot 5, Heino, Heino</t>
  </si>
  <si>
    <t>8141 BB</t>
  </si>
  <si>
    <t>10262335-10313220</t>
  </si>
  <si>
    <t>Ayasse</t>
  </si>
  <si>
    <t>306-8150185-8630729</t>
  </si>
  <si>
    <t>2026-06-08 08:14:41</t>
  </si>
  <si>
    <t>Steinachweg 2/1, Sindelfingen, Sindelfingen</t>
  </si>
  <si>
    <t>TOWLB-DES-LG-ALOHGLW</t>
  </si>
  <si>
    <t>10256473-10307338</t>
  </si>
  <si>
    <t>Martina</t>
  </si>
  <si>
    <t>Bertele</t>
  </si>
  <si>
    <t>EU-43389</t>
  </si>
  <si>
    <t>2026-06-08 08:15:04</t>
  </si>
  <si>
    <t>Burgstraße 31, Markt Rettenbach, Markt Rettenbach</t>
  </si>
  <si>
    <t>DOGTWL-LG-SUNSPL,PICNIC-SUM-XL-UNICN,TOWLB-DES-XL-ALOHGLW,TOWLB-DES-XL-LEMWAV</t>
  </si>
  <si>
    <t>10262336-10313221</t>
  </si>
  <si>
    <t>Dominik</t>
  </si>
  <si>
    <t>EU-43481</t>
  </si>
  <si>
    <t>2026-06-08 08:15:32</t>
  </si>
  <si>
    <t>Moltkestr 9, Schwelm, Schwelm</t>
  </si>
  <si>
    <t>10262591-10313477</t>
  </si>
  <si>
    <t>Marjolein</t>
  </si>
  <si>
    <t>Hartog-Groeneveld</t>
  </si>
  <si>
    <t>EU-43484</t>
  </si>
  <si>
    <t>2026-06-08 08:16:15</t>
  </si>
  <si>
    <t>Gardameer 21, Woerden, Woerden</t>
  </si>
  <si>
    <t>3446 JV</t>
  </si>
  <si>
    <t>TOWLB-DOB-LG-CALM</t>
  </si>
  <si>
    <t>10262102-10312984</t>
  </si>
  <si>
    <t>Donohoe</t>
  </si>
  <si>
    <t>EU-43465</t>
  </si>
  <si>
    <t>2026-06-08 08:16:53</t>
  </si>
  <si>
    <t>Gortnaleck Ballyconnell, Ballyconnell, Co.cavan, Cavan</t>
  </si>
  <si>
    <t>H14 H265</t>
  </si>
  <si>
    <t>TOWLB-SUM-XL-OCEAN</t>
  </si>
  <si>
    <t>10256100-10306960</t>
  </si>
  <si>
    <t>van der Kroon</t>
  </si>
  <si>
    <t>EU-43382</t>
  </si>
  <si>
    <t>2026-06-08 08:18:00</t>
  </si>
  <si>
    <t>10 Orchid Grove, Abbey Fort, Kinsale, Cork</t>
  </si>
  <si>
    <t>P17 WV91</t>
  </si>
  <si>
    <t>TOWLB-SUM-XL-CSTCANDY,TOWLB-SUM-XL-MIAMI,TOWLF-ESS-XL-DKBLU,TOWLF-ESS-XL-GREY-R</t>
  </si>
  <si>
    <t>10263130-10314016</t>
  </si>
  <si>
    <t>De Kok</t>
  </si>
  <si>
    <t>EU-43491</t>
  </si>
  <si>
    <t>2026-06-08 08:19:25</t>
  </si>
  <si>
    <t>Walserijstraat 108, Eindhoven, Eindhoven</t>
  </si>
  <si>
    <t>5617 AR</t>
  </si>
  <si>
    <t>10260183-10311056</t>
  </si>
  <si>
    <t>Cardoso</t>
  </si>
  <si>
    <t>EU-43437</t>
  </si>
  <si>
    <t>2026-06-08 08:20:02</t>
  </si>
  <si>
    <t>55 Rue de Rumelange, Tétange, Tétange</t>
  </si>
  <si>
    <t>10253592-10304442</t>
  </si>
  <si>
    <t>Merqes</t>
  </si>
  <si>
    <t>Telushi</t>
  </si>
  <si>
    <t>EU-43339</t>
  </si>
  <si>
    <t>2026-06-08 08:20:14</t>
  </si>
  <si>
    <t>Korrisia, Kea, Kea</t>
  </si>
  <si>
    <t>840 02</t>
  </si>
  <si>
    <t>BAGF-SUM-MD-CSTCANDY,PONCHK-KID-MD-JELLY,PONCHK-SUM-MD-CSTCANDY,TOWLB-DES-XL-HOTTROP,TOWLB-DOB-XL-CALM,TOWLB-SUM-XL-TUTFRU</t>
  </si>
  <si>
    <t>10261611-10312489</t>
  </si>
  <si>
    <t>KLAUS</t>
  </si>
  <si>
    <t>GUENTHER</t>
  </si>
  <si>
    <t>304-8244770-3170724</t>
  </si>
  <si>
    <t>2026-06-08 08:21:15</t>
  </si>
  <si>
    <t>Bogenstr 39, Nürnberg, Bayern</t>
  </si>
  <si>
    <t>TOWLF-ESS-XL-DKBLU</t>
  </si>
  <si>
    <t>10256101-10306961</t>
  </si>
  <si>
    <t>Ana Sofia</t>
  </si>
  <si>
    <t>Pinelo</t>
  </si>
  <si>
    <t>EU-43384</t>
  </si>
  <si>
    <t>2026-06-08 08:22:17</t>
  </si>
  <si>
    <t>Rua Prof Manuel Cav de Ferreira, 4C 2D, Lisboa, Lisboa</t>
  </si>
  <si>
    <t>1600-642</t>
  </si>
  <si>
    <t>BAGF-DES-MD-CHECKMT,TOWLB-DES-XL-BLUSPRIT,TOWLB-SUM-XL-COLAGN,TOWLB-SUM-XL-CSTCANDY</t>
  </si>
  <si>
    <t>10262822-10313708</t>
  </si>
  <si>
    <t>Leonora</t>
  </si>
  <si>
    <t>O'Brien</t>
  </si>
  <si>
    <t>EU-43488</t>
  </si>
  <si>
    <t>2026-06-08 08:22:30</t>
  </si>
  <si>
    <t>Killucan house, killucan, Killucan, Westmeath</t>
  </si>
  <si>
    <t>N91 CP77</t>
  </si>
  <si>
    <t>10261610-10312488</t>
  </si>
  <si>
    <t>Tilly</t>
  </si>
  <si>
    <t>EU-43459</t>
  </si>
  <si>
    <t>2026-06-08 08:23:21</t>
  </si>
  <si>
    <t>Schützenstraße 18, Börger, Börger</t>
  </si>
  <si>
    <t>10256476-10307341</t>
  </si>
  <si>
    <t>Foley</t>
  </si>
  <si>
    <t>EU-43388</t>
  </si>
  <si>
    <t>2026-06-08 08:23:34</t>
  </si>
  <si>
    <t>15 The Ave, Druids Glen, Newtownmountkennedy, Wicklow</t>
  </si>
  <si>
    <t>A63 X765</t>
  </si>
  <si>
    <t>10260887-10311760</t>
  </si>
  <si>
    <t>Lachmayr</t>
  </si>
  <si>
    <t>EU-43453</t>
  </si>
  <si>
    <t>2026-06-08 08:24:15</t>
  </si>
  <si>
    <t>Beingasse 8/26, Wien, Wien</t>
  </si>
  <si>
    <t>TOWLB-SUM-MD-UNICN</t>
  </si>
  <si>
    <t>10261378-10312256</t>
  </si>
  <si>
    <t>Nordheim</t>
  </si>
  <si>
    <t>304-8314529-4083544</t>
  </si>
  <si>
    <t>2026-06-08 08:26:37</t>
  </si>
  <si>
    <t>Adolf Ehmann Str 11, Köngen, Köngen</t>
  </si>
  <si>
    <t>10253170-10304024</t>
  </si>
  <si>
    <t>Maureen</t>
  </si>
  <si>
    <t>O Donovan</t>
  </si>
  <si>
    <t>EU-43332</t>
  </si>
  <si>
    <t>2026-06-08 08:27:19</t>
  </si>
  <si>
    <t>7 River Valley, Lurriga, Skibbereen, Cork</t>
  </si>
  <si>
    <t>P81 TT42</t>
  </si>
  <si>
    <t>10252766-10303613</t>
  </si>
  <si>
    <t>Bringme Chiara</t>
  </si>
  <si>
    <t>Mancini</t>
  </si>
  <si>
    <t>EU-43326</t>
  </si>
  <si>
    <t>2026-06-08 08:29:06</t>
  </si>
  <si>
    <t>Remisebosweg 1, Leuven, Leuven</t>
  </si>
  <si>
    <t>BAGF-DES-MD-SPRCLUB,TOWLB-DES-XL-ALOHGLW,TOWLB-DES-XL-SUNSPL</t>
  </si>
  <si>
    <t>10253163-10304017</t>
  </si>
  <si>
    <t>de Ruijter</t>
  </si>
  <si>
    <t>EU-43330</t>
  </si>
  <si>
    <t>2026-06-08 08:30:49</t>
  </si>
  <si>
    <t>Corneillelaan 11, Utrecht, Utrecht</t>
  </si>
  <si>
    <t>3533 CV</t>
  </si>
  <si>
    <t>10253799-10304654</t>
  </si>
  <si>
    <t>EU-43342</t>
  </si>
  <si>
    <t>2026-06-08 08:32:55</t>
  </si>
  <si>
    <t>8 Cois Inbhir, Shandon, Dungarvan, Waterford</t>
  </si>
  <si>
    <t>X35 TP28</t>
  </si>
  <si>
    <t>BAGDRY-XS-HOTTROP,BAGF-SUM-MD-MIAMI,BALLAST-SUM-MIAMI,TOWLB-SUM-LG-MIAMI,TOWLB-SUM-LG-OCEAN</t>
  </si>
  <si>
    <t>10253165-10304019</t>
  </si>
  <si>
    <t>Christians</t>
  </si>
  <si>
    <t>EU-43331</t>
  </si>
  <si>
    <t>2026-06-08 08:34:30</t>
  </si>
  <si>
    <t>Emilienstraße  10, Essen, Essen</t>
  </si>
  <si>
    <t>BAGF-SUM-MD-CSTCANDY,BALLAST-SUM-CSTCANDY,TOWLB-CAB-LG-PINK-R,TOWLB-SUM-XL-CSTCANDY</t>
  </si>
  <si>
    <t>10260188-10311061</t>
  </si>
  <si>
    <t>Denter</t>
  </si>
  <si>
    <t>EU-43435</t>
  </si>
  <si>
    <t>2026-06-08 08:35:18</t>
  </si>
  <si>
    <t>13a, rue Giesebour, Rosport, Rosport</t>
  </si>
  <si>
    <t>HAIRW-SUE-MIAMI,HAIRW-SUE-PNKPARA,TOWLB-SUM-XL-COLAGN,TOWLB-SUM-XL-MIAMI,TOWLB-SUM-XL-OCEAN,TOWLB-SUM-XL-TUTFRU</t>
  </si>
  <si>
    <t>10260870-10311743</t>
  </si>
  <si>
    <t>Sonya</t>
  </si>
  <si>
    <t>Doran</t>
  </si>
  <si>
    <t>EU-43442</t>
  </si>
  <si>
    <t>2026-06-08 08:37:34</t>
  </si>
  <si>
    <t>20 Cill Chaoide, Clarina, Limerick</t>
  </si>
  <si>
    <t>V94 R3HP</t>
  </si>
  <si>
    <t>BAGF-SUM-MD-COLAGN,PONCHK-KID-MD-CAMOCUBE,TOWLB-SUM-XL-COLAGN,TOWLB-SUM-XL-MIAMI,TOWLB-SUM-XL-OCEAN,TOWLB-SUM-XL-TUTFRU</t>
  </si>
  <si>
    <t>10260186-10311059</t>
  </si>
  <si>
    <t>Angela</t>
  </si>
  <si>
    <t>de Grauw</t>
  </si>
  <si>
    <t>EU-43436</t>
  </si>
  <si>
    <t>2026-06-08 08:39:41</t>
  </si>
  <si>
    <t>Diepenbrocklaan 72, Rotterdam, Rotterdam</t>
  </si>
  <si>
    <t>3055 WC</t>
  </si>
  <si>
    <t>PONCHK-CAB-MD-LTPNK-NS,PONCHK-KID-MD-JELLY,PONCHK-SUM-MD-UNICN-NS</t>
  </si>
  <si>
    <t>10260193-10311066</t>
  </si>
  <si>
    <t>Dushica</t>
  </si>
  <si>
    <t>Dimitrova</t>
  </si>
  <si>
    <t>EU-43441</t>
  </si>
  <si>
    <t>2026-06-08 08:40:59</t>
  </si>
  <si>
    <t>Marktstraße, 13, Lippstadt, Lippstadt</t>
  </si>
  <si>
    <t>10260558-10311431</t>
  </si>
  <si>
    <t>Rose</t>
  </si>
  <si>
    <t>McCabe</t>
  </si>
  <si>
    <t>EU-43445</t>
  </si>
  <si>
    <t>2026-06-08 08:42:16</t>
  </si>
  <si>
    <t>21 Rue Alphonse München, Luxembourg, Luxembourg</t>
  </si>
  <si>
    <t>TEATWL-MD-APPLTRT,TEATWL-MD-STRAWFZ</t>
  </si>
  <si>
    <t>10253590-10304440</t>
  </si>
  <si>
    <t>303-2184621-7147525</t>
  </si>
  <si>
    <t>2026-06-08 08:43:56</t>
  </si>
  <si>
    <t>10260882-10311755</t>
  </si>
  <si>
    <t>Clemens</t>
  </si>
  <si>
    <t>EU-43449</t>
  </si>
  <si>
    <t>2026-06-08 08:47:16</t>
  </si>
  <si>
    <t>Paul-Breuer-Straße 10, Nettetal, Nettetal</t>
  </si>
  <si>
    <t>10260888-10311761</t>
  </si>
  <si>
    <t>EU-43452</t>
  </si>
  <si>
    <t>2026-06-08 08:49:58</t>
  </si>
  <si>
    <t>Drumbawn Cottage, Newtownmountkennedy, Wicklow</t>
  </si>
  <si>
    <t>A63 PK84</t>
  </si>
  <si>
    <t>HAIRW-SUE-HOTTROP,TOWLB-COLLAB-XL-UNO,TOWLB-DES-XL-ALOHGLW</t>
  </si>
  <si>
    <t>10260880-10311753</t>
  </si>
  <si>
    <t>Babitsch</t>
  </si>
  <si>
    <t>EU-43447</t>
  </si>
  <si>
    <t>2026-06-08 08:51:46</t>
  </si>
  <si>
    <t>Neuweg 17A, Ober-Ramstadt, Ober-Ramstadt</t>
  </si>
  <si>
    <t>TOWLB-CAB-XL-BLACK-R,TOWLB-DES-XL-HOTTROP,TOWLB-DOB-LG-CALM,TOWLB-KID-LG-JELLY</t>
  </si>
  <si>
    <t>10260884-10311757</t>
  </si>
  <si>
    <t>Ege</t>
  </si>
  <si>
    <t>EU-43450</t>
  </si>
  <si>
    <t>2026-06-08 08:52:39</t>
  </si>
  <si>
    <t>Isolde-Kurz-Str42, Bempflingen, Bempflingen</t>
  </si>
  <si>
    <t>TOWLB-KID-LG-KARMCHAM,TOWLB-KID-LG-SANDSTRT</t>
  </si>
  <si>
    <t>10261148-10312022</t>
  </si>
  <si>
    <t>Mikey</t>
  </si>
  <si>
    <t>EU-43456</t>
  </si>
  <si>
    <t>2026-06-08 08:53:12</t>
  </si>
  <si>
    <t>6 Woodstown Crescent, Dublin 16, Dublin</t>
  </si>
  <si>
    <t>D16 X095</t>
  </si>
  <si>
    <t>TOWLF-ESS-XL-BLUE-R,TOWLF-ESS-XL-GREEN-R,TOWLF-ESS-XL-GREY-R,TOWLF-ESS-XL-PINK-R</t>
  </si>
  <si>
    <t>10259674-10310546</t>
  </si>
  <si>
    <t>Bourkel</t>
  </si>
  <si>
    <t>EU-43432</t>
  </si>
  <si>
    <t>2026-06-08 08:54:27</t>
  </si>
  <si>
    <t>31, Wisestrooss, Noertzange, Noertzange</t>
  </si>
  <si>
    <t>10260873-10311746</t>
  </si>
  <si>
    <t>Winni</t>
  </si>
  <si>
    <t>Notenboom</t>
  </si>
  <si>
    <t>EU-43446</t>
  </si>
  <si>
    <t>2026-06-08 08:54:54</t>
  </si>
  <si>
    <t>Ringvaartdijk 40, Amsterdam, Amsterdam</t>
  </si>
  <si>
    <t>1066 DE</t>
  </si>
  <si>
    <t>TOWLB-CAB-XL-BLACK-R,TOWLB-CAB-XL-LTBGE-R,TOWLB-CAB-XL-LTGRY-R</t>
  </si>
  <si>
    <t>10259299-10310171</t>
  </si>
  <si>
    <t>Axelle</t>
  </si>
  <si>
    <t>De Maesschalck</t>
  </si>
  <si>
    <t>EU-43430</t>
  </si>
  <si>
    <t>2026-06-08 08:55:44</t>
  </si>
  <si>
    <t>Boterlaarbaan 328, Antwerpen, Antwerpen</t>
  </si>
  <si>
    <t>TOWLB-DES-XL-GRECSHR,TOWLB-DES-XL-TANTIDE</t>
  </si>
  <si>
    <t>10260197-10311070</t>
  </si>
  <si>
    <t>Ralph</t>
  </si>
  <si>
    <t>Heym</t>
  </si>
  <si>
    <t>EU-43439</t>
  </si>
  <si>
    <t>2026-06-08 08:57:36</t>
  </si>
  <si>
    <t>Apenrader Straße 17, Köln, Köln</t>
  </si>
  <si>
    <t>TOWLB-DES-LG-PNKPARA,TOWLB-DES-LG-WYWH</t>
  </si>
  <si>
    <t>10261144-10312018</t>
  </si>
  <si>
    <t>Rosalie</t>
  </si>
  <si>
    <t>Mair</t>
  </si>
  <si>
    <t>EU-43444</t>
  </si>
  <si>
    <t>2026-06-08 08:59:13</t>
  </si>
  <si>
    <t>Tulpenstraße 29, Odelzhausen, Odelzhausen</t>
  </si>
  <si>
    <t>TOWLB-DES-LG-SWTESC,TOWLB-DES-XL-GRECSHR</t>
  </si>
  <si>
    <t>10259669-10310541</t>
  </si>
  <si>
    <t>Cath</t>
  </si>
  <si>
    <t>Gregson</t>
  </si>
  <si>
    <t>EU-43431</t>
  </si>
  <si>
    <t>2026-06-08 09:00:36</t>
  </si>
  <si>
    <t>Durachweg 1, Ismaning, Ismaning</t>
  </si>
  <si>
    <t>10259184-10310056</t>
  </si>
  <si>
    <t>Antun</t>
  </si>
  <si>
    <t>Kovacevic</t>
  </si>
  <si>
    <t>EU-43423</t>
  </si>
  <si>
    <t>2026-06-08 09:01:49</t>
  </si>
  <si>
    <t>Baron Joostensstraat 1, 502, Antwerpen, Antwerpen</t>
  </si>
  <si>
    <t>10260886-10311759</t>
  </si>
  <si>
    <t>Nina</t>
  </si>
  <si>
    <t>Schneider</t>
  </si>
  <si>
    <t>EU-43451</t>
  </si>
  <si>
    <t>2026-06-08 09:03:15</t>
  </si>
  <si>
    <t>Wiesenstr 54, Buseck, Buseck</t>
  </si>
  <si>
    <t>TOWLB-DES-LG-SUNSPL,TOWLB-DES-XL-SUNSPL</t>
  </si>
  <si>
    <t>10259182-10310054</t>
  </si>
  <si>
    <t>Véronique</t>
  </si>
  <si>
    <t>Kerger</t>
  </si>
  <si>
    <t>EU-43425</t>
  </si>
  <si>
    <t>2026-06-08 09:04:34</t>
  </si>
  <si>
    <t>23 An Der Gewan, Niederfeulen, Niederfeulen</t>
  </si>
  <si>
    <t>COOL-DES-SUNSRUN,TOWLB-DES-XL-LEMWAV</t>
  </si>
  <si>
    <t>10259185-10310057</t>
  </si>
  <si>
    <t>EU-43427</t>
  </si>
  <si>
    <t>2026-06-08 09:06:48</t>
  </si>
  <si>
    <t>31 Pembroke Park, Ballsbridge, Dublin 4, Dublin</t>
  </si>
  <si>
    <t>D04 F6V9</t>
  </si>
  <si>
    <t>BAGF-CAB-MD-NAVY,PP-TOWLB-CAB-XL-4SETN</t>
  </si>
  <si>
    <t>10261872-10312753</t>
  </si>
  <si>
    <t>Teresa</t>
  </si>
  <si>
    <t>nolan</t>
  </si>
  <si>
    <t>EU-43463</t>
  </si>
  <si>
    <t>2026-06-08 09:09:59</t>
  </si>
  <si>
    <t>Ballinakilbeg, Bennekerry, Carlow, Carlow</t>
  </si>
  <si>
    <t>R93 H0F1</t>
  </si>
  <si>
    <t>10262330-10313215</t>
  </si>
  <si>
    <t>maria</t>
  </si>
  <si>
    <t>byrne</t>
  </si>
  <si>
    <t>EU-43475</t>
  </si>
  <si>
    <t>2026-06-08 09:12:18</t>
  </si>
  <si>
    <t>Downings North, Prosperous, Naas, Kildare</t>
  </si>
  <si>
    <t>W91 DD37</t>
  </si>
  <si>
    <t>PONCHA-CAB-MD-LTPNK-NS,PONCHA-CAB-MD-NAVY-NS</t>
  </si>
  <si>
    <t>10261376-10312254</t>
  </si>
  <si>
    <t>Christopher</t>
  </si>
  <si>
    <t>Delpomdor</t>
  </si>
  <si>
    <t>EU-43457</t>
  </si>
  <si>
    <t>2026-06-08 09:12:34</t>
  </si>
  <si>
    <t>Rue dAumale 46, Anderlecht, Anderlecht</t>
  </si>
  <si>
    <t>TOWLB-CAB-LG-NAVY-R,TOWLB-CAB-LG-PINK-R,TOWLB-CAB-XL-BLUE-R,TOWLB-CAB-XL-LTPNK-R</t>
  </si>
  <si>
    <t>10262821-10313707</t>
  </si>
  <si>
    <t>Marivoet</t>
  </si>
  <si>
    <t>EU-43487</t>
  </si>
  <si>
    <t>2026-06-08 09:13:52</t>
  </si>
  <si>
    <t>Esdoornstraat 10, Sint-Katelijne-Waver, Sint-Katelijne-Waver</t>
  </si>
  <si>
    <t>PONCHK-SUM-MD-CSTCANDY,TOWLB-CAB-XL-KHAKI-R,TOWLB-SUM-LG-CSTCANDY</t>
  </si>
  <si>
    <t>10262103-10312985</t>
  </si>
  <si>
    <t>Balbina</t>
  </si>
  <si>
    <t>Pecher</t>
  </si>
  <si>
    <t>EU-43467</t>
  </si>
  <si>
    <t>2026-06-08 09:14:55</t>
  </si>
  <si>
    <t>Alte Gärtnerei 14, Huglfing, Huglfing</t>
  </si>
  <si>
    <t>10262333-10313218</t>
  </si>
  <si>
    <t>International House of Reiki</t>
  </si>
  <si>
    <t>Frans</t>
  </si>
  <si>
    <t>Stiene</t>
  </si>
  <si>
    <t>EU-43479</t>
  </si>
  <si>
    <t>2026-06-08 09:15:29</t>
  </si>
  <si>
    <t>Bellevuelaan, 211, HAARLEM, HAARLEM</t>
  </si>
  <si>
    <t>2012 BX</t>
  </si>
  <si>
    <t>10261871-10312752</t>
  </si>
  <si>
    <t>Arrazina</t>
  </si>
  <si>
    <t>Baelus</t>
  </si>
  <si>
    <t>EU-43462</t>
  </si>
  <si>
    <t>2026-06-08 09:16:45</t>
  </si>
  <si>
    <t>Bosdorp 201, Stekene, Stekene</t>
  </si>
  <si>
    <t>10262332-10313217</t>
  </si>
  <si>
    <t>Andrew</t>
  </si>
  <si>
    <t>Langley</t>
  </si>
  <si>
    <t>EU-43480</t>
  </si>
  <si>
    <t>2026-06-08 09:17:27</t>
  </si>
  <si>
    <t>Eppsteiner Strasse, 8, Frankfurt am Main, Frankfurt am Main</t>
  </si>
  <si>
    <t>TOWLB-CAB-LG-LTBGE-R,TOWLB-DES-LG-SUNSPL,TOWLB-SUM-MD-UNICN,TOWLF-ESS-LG-GREEN-R</t>
  </si>
  <si>
    <t>10261870-10312751</t>
  </si>
  <si>
    <t>McCaffrey</t>
  </si>
  <si>
    <t>EU-43461</t>
  </si>
  <si>
    <t>2026-06-08 09:18:28</t>
  </si>
  <si>
    <t>19 Greenfields, Bandon, Cork</t>
  </si>
  <si>
    <t>P72 FX08</t>
  </si>
  <si>
    <t>BAGDRY-XS-HOTTROP,DOGTWL-DES-LG-GOLONG,GIFT-BOX-BEAUTY-TIGPALM,HAIRW-SUE-MIAMI,TOWLB-DES-LG-PSTPIER</t>
  </si>
  <si>
    <t>10262823-10313709</t>
  </si>
  <si>
    <t>Joan</t>
  </si>
  <si>
    <t>EU-43489</t>
  </si>
  <si>
    <t>2026-06-08 09:18:57</t>
  </si>
  <si>
    <t>2 Killeeneenmore craughwell, Galway, Galway</t>
  </si>
  <si>
    <t>H91 V60P</t>
  </si>
  <si>
    <t>BAGF-CAB-MD-NAVY,TOWLB-CAB-LG-BLUE-R,TOWLB-CAB-LG-GREEN-R,TOWLB-CAB-LG-NAVY-R,TOWLB-CAB-LG-PINK-R</t>
  </si>
  <si>
    <t>10262108-10312990</t>
  </si>
  <si>
    <t>Oleksandr</t>
  </si>
  <si>
    <t>Zhurba</t>
  </si>
  <si>
    <t>EU-43471</t>
  </si>
  <si>
    <t>2026-06-08 09:21:42</t>
  </si>
  <si>
    <t>Berlaarsesteenweg 93, 9, Lier, Lier</t>
  </si>
  <si>
    <t>10262329-10313214</t>
  </si>
  <si>
    <t>Mortarino</t>
  </si>
  <si>
    <t>EU-43476</t>
  </si>
  <si>
    <t>2026-06-08 09:24:14</t>
  </si>
  <si>
    <t>Lorschstr 7, München, München</t>
  </si>
  <si>
    <t>PICNIC-DES-LG-CANDSTR,TEATWL-MD-PEAPOD,TEATWL-MD-SHRIMP,TOWLB-CAB-LG-LTPPL-R,TOWLB-CAB-LG-NAVY-R,TOWLB-CAB-LG-RED-R,TOWLB-SUM-LG-UNICN-R</t>
  </si>
  <si>
    <t>10262104-10312986</t>
  </si>
  <si>
    <t>Evelyn</t>
  </si>
  <si>
    <t>Fein</t>
  </si>
  <si>
    <t>EU-43466</t>
  </si>
  <si>
    <t>2026-06-08 09:25:50</t>
  </si>
  <si>
    <t>Alarichstr 15, Stuttgart Feuerbach, Stuttgart Feuerbach</t>
  </si>
  <si>
    <t>COOL-DES-MIDNMOV,COOL-DES-SUNSRUN,TOWLB-DES-XL-HOTTROP,TOWLB-SUM-XL-COLAGN</t>
  </si>
  <si>
    <t>10262592-10313478</t>
  </si>
  <si>
    <t>Marleen</t>
  </si>
  <si>
    <t>de Zoete-Kooijmans</t>
  </si>
  <si>
    <t>EU-43485</t>
  </si>
  <si>
    <t>2026-06-08 09:26:49</t>
  </si>
  <si>
    <t>Kapelstraat 16, Ophemert, Ophemert</t>
  </si>
  <si>
    <t>4061 RC</t>
  </si>
  <si>
    <t>PICNIC-DES-XL-STRIPLIFE,PP-TOWLB-CAB-XL-4SETO</t>
  </si>
  <si>
    <t>10262110-10312992</t>
  </si>
  <si>
    <t>Alexander</t>
  </si>
  <si>
    <t>Paar</t>
  </si>
  <si>
    <t>EU-43473</t>
  </si>
  <si>
    <t>2026-06-08 09:27:19</t>
  </si>
  <si>
    <t>Am Stadtpark 22, Baunatal, Baunatal</t>
  </si>
  <si>
    <t>10261373-10312251</t>
  </si>
  <si>
    <t>Modeshill</t>
  </si>
  <si>
    <t>Power Bryan</t>
  </si>
  <si>
    <t>EU-43458</t>
  </si>
  <si>
    <t>2026-06-08 09:28:06</t>
  </si>
  <si>
    <t>Modeshill, Mullinahone, Mullinahone, Thurles, Tipperary</t>
  </si>
  <si>
    <t>E41 TH22</t>
  </si>
  <si>
    <t>BAGF-SUM-MD-COLAGN,TOWLB-CAB-LG-GREEN-R</t>
  </si>
  <si>
    <t>10262105-10312987</t>
  </si>
  <si>
    <t>LACOMBE</t>
  </si>
  <si>
    <t>EU-43469</t>
  </si>
  <si>
    <t>2026-06-08 09:28:30</t>
  </si>
  <si>
    <t>244 Rue des Argousiers, France, Poisy, Poisy</t>
  </si>
  <si>
    <t>TOWLB-DES-LG-BLUSPRIT,TOWLB-DES-LG-PNKPARA,TOWLB-SUM-LG-MIAMI</t>
  </si>
  <si>
    <t>10262593-10313479</t>
  </si>
  <si>
    <t>303-0155319-1965912</t>
  </si>
  <si>
    <t>2026-06-08 09:29:37</t>
  </si>
  <si>
    <t>Waldblick 6, Dürmentingen, Baden-Württemberg</t>
  </si>
  <si>
    <t>PICNIC-DES-XL-BRGTSIDE,PICNIC-DES-XL-CANDSTR</t>
  </si>
  <si>
    <t>10262106-10312988</t>
  </si>
  <si>
    <t>Spangenberg</t>
  </si>
  <si>
    <t>EU-43468</t>
  </si>
  <si>
    <t>2026-06-08 09:31:52</t>
  </si>
  <si>
    <t>Brahmsstrasse, 7, Frankfurt, Frankfurt</t>
  </si>
  <si>
    <t>BAGCOOL-MD-NAVY,PONCHK-CAB-SM-NAVY-NS</t>
  </si>
  <si>
    <t>10262334-10313219</t>
  </si>
  <si>
    <t>Breffní</t>
  </si>
  <si>
    <t>Ingerton</t>
  </si>
  <si>
    <t>EU-43478</t>
  </si>
  <si>
    <t>2026-06-08 09:33:54</t>
  </si>
  <si>
    <t>4 Three Arches, Coolcorcoran, Killarney, Kerry</t>
  </si>
  <si>
    <t>V93 V8C9</t>
  </si>
  <si>
    <t>TOWLB-DES-LG-BLUSPRIT,TOWLH-CLB-LG-PEPPNCH</t>
  </si>
  <si>
    <t>10262101-10312983</t>
  </si>
  <si>
    <t>Margaret</t>
  </si>
  <si>
    <t>Cabey</t>
  </si>
  <si>
    <t>EU-43464</t>
  </si>
  <si>
    <t>2026-06-08 09:35:23</t>
  </si>
  <si>
    <t>Gortmore Gortmore Ennis, Co Clare, Clare</t>
  </si>
  <si>
    <t>V95 CAA0</t>
  </si>
  <si>
    <t>TOWLF-ESS-XL-GREY-R,TOWLF-ESS-XL-LTPPL</t>
  </si>
  <si>
    <t>10261147-10312021</t>
  </si>
  <si>
    <t>Nayila</t>
  </si>
  <si>
    <t>Aslan</t>
  </si>
  <si>
    <t>EU-43454</t>
  </si>
  <si>
    <t>2026-06-08 09:36:48</t>
  </si>
  <si>
    <t>Boîte 2, Jules Adantstraat 122, Kraainem, Kraainem</t>
  </si>
  <si>
    <t>10263132-10314018</t>
  </si>
  <si>
    <t>Sander</t>
  </si>
  <si>
    <t>Cornelis</t>
  </si>
  <si>
    <t>EU-43493</t>
  </si>
  <si>
    <t>2026-06-08 09:38:22</t>
  </si>
  <si>
    <t>Waterkluiskaai 9/101, Sint-Amandsberg (Gent), Sint-Amandsberg (Gent)</t>
  </si>
  <si>
    <t>TOWLB-CAB-XL-BLUE-R,TOWLB-CAB-XL-YELL-R</t>
  </si>
  <si>
    <t>10264802-10315689</t>
  </si>
  <si>
    <t>Jean</t>
  </si>
  <si>
    <t>Liston</t>
  </si>
  <si>
    <t>EU-43510</t>
  </si>
  <si>
    <t>2026-06-08 09:40:10</t>
  </si>
  <si>
    <t>Lartigue Rd, Ballybunion, Ballybunion, Kerry</t>
  </si>
  <si>
    <t>V31 YY10</t>
  </si>
  <si>
    <t>PONCHA-DES-MD-IBZAGLW,TOWLB-DES-XL-HOTTROP</t>
  </si>
  <si>
    <t>10263404-10314290</t>
  </si>
  <si>
    <t>Maja</t>
  </si>
  <si>
    <t>Grigaliuniene</t>
  </si>
  <si>
    <t>EU-43500</t>
  </si>
  <si>
    <t>2026-06-08 09:42:01</t>
  </si>
  <si>
    <t>Leuvensesteenweg 227, Bus 012, Zaventem, Zaventem</t>
  </si>
  <si>
    <t>10264150-10315036</t>
  </si>
  <si>
    <t>Alan</t>
  </si>
  <si>
    <t>kennedy</t>
  </si>
  <si>
    <t>EU-43505</t>
  </si>
  <si>
    <t>2026-06-08 09:45:06</t>
  </si>
  <si>
    <t>Castlecranna, Burgess Beg, Nenagh, Tipperary</t>
  </si>
  <si>
    <t>E45 H588</t>
  </si>
  <si>
    <t>TOWLF-ESS-LG-BLUE-R,TOWLF-ESS-LG-GREEN-R,TOWLF-ESS-LG-GREY-R,TOWLF-ESS-LG-PINK-R</t>
  </si>
  <si>
    <t>10263656-10314542</t>
  </si>
  <si>
    <t>Jacky</t>
  </si>
  <si>
    <t>Koop</t>
  </si>
  <si>
    <t>EU-43503</t>
  </si>
  <si>
    <t>2026-06-08 09:46:45</t>
  </si>
  <si>
    <t>Engelbacher Str 36, Wetter, Wetter</t>
  </si>
  <si>
    <t>10261609-10312487</t>
  </si>
  <si>
    <t>Tinka</t>
  </si>
  <si>
    <t>Kuscar</t>
  </si>
  <si>
    <t>EU-43460</t>
  </si>
  <si>
    <t>2026-06-08 09:47:42</t>
  </si>
  <si>
    <t>Na hribih 42, Tolmin, Tolmin</t>
  </si>
  <si>
    <t>TOWLB-KID-LG-POWPOS</t>
  </si>
  <si>
    <t>10263406-10314292</t>
  </si>
  <si>
    <t>Una</t>
  </si>
  <si>
    <t>Woods</t>
  </si>
  <si>
    <t>EU-43502</t>
  </si>
  <si>
    <t>2026-06-08 09:49:09</t>
  </si>
  <si>
    <t>Cratloe House, Cratloe, Clare</t>
  </si>
  <si>
    <t>V95 Y895</t>
  </si>
  <si>
    <t>TOWLB-DES-LG-HOTTROP,TOWLB-DES-LG-IBZAGLW,TOWLB-DES-LG-PNKPARA,TOWLB-DES-LG-SWTESC,TOWLB-DES-LG-TANTIDE,TOWLB-DES-LG-WYWH</t>
  </si>
  <si>
    <t>10263129-10314015</t>
  </si>
  <si>
    <t>Pütz</t>
  </si>
  <si>
    <t>EU-43492</t>
  </si>
  <si>
    <t>2026-06-08 09:50:21</t>
  </si>
  <si>
    <t>Siegstr, 6, Köln, Köln</t>
  </si>
  <si>
    <t>TOWLB-CAB-LG-LTGRY-R,TOWLB-CAB-LG-NAVY-R</t>
  </si>
  <si>
    <t>10264798-10315685</t>
  </si>
  <si>
    <t>Wallace</t>
  </si>
  <si>
    <t>EU-43507</t>
  </si>
  <si>
    <t>2026-06-08 09:50:59</t>
  </si>
  <si>
    <t>Ennisnag Lane, Stoneyford, Co. Kilkenny, Kilkenny</t>
  </si>
  <si>
    <t>R95 D7X2</t>
  </si>
  <si>
    <t>10262590-10313476</t>
  </si>
  <si>
    <t>Hughes</t>
  </si>
  <si>
    <t>EU-43483</t>
  </si>
  <si>
    <t>2026-06-08 09:51:35</t>
  </si>
  <si>
    <t>Scherrstr 17, EG, Wolfratshausen, Wolfratshausen</t>
  </si>
  <si>
    <t>PONCHK-KID-MD-GVCLUB,PONCHK-KID-MD-JELLY</t>
  </si>
  <si>
    <t>10264149-10315035</t>
  </si>
  <si>
    <t>Rettweiler</t>
  </si>
  <si>
    <t>EU-43504</t>
  </si>
  <si>
    <t>2026-06-08 09:52:34</t>
  </si>
  <si>
    <t>Im Schleng 12, Riede, Riede</t>
  </si>
  <si>
    <t>TOWLB-DES-XL-SUNSPL,TOWLB-SUM-XL-OCEAN,TOWLF-ESS-XL-GREEN-R,TOWLF-ESS-XL-PINK-R</t>
  </si>
  <si>
    <t>10265011-10315901</t>
  </si>
  <si>
    <t>McCarra</t>
  </si>
  <si>
    <t>EU-43512</t>
  </si>
  <si>
    <t>2026-06-08 10:07:28</t>
  </si>
  <si>
    <t>Apartment 210, Ashbrook, Victoria Cross, Cork</t>
  </si>
  <si>
    <t>T12 XH63</t>
  </si>
  <si>
    <t>PONCHK-KID-MD-SKATER,PONCHK-KID-SM-JELLY,PONCHK-KID-SM-SKATER,TOWLB-CAB-LG-BLUE-R,TOWLB-CAB-LG-NAVY-R,TOWLB-CAB-LG-ORANG-R,TOWLB-CAB-LG-RED-R</t>
  </si>
  <si>
    <t>10265300-10316195</t>
  </si>
  <si>
    <t>EU-43519</t>
  </si>
  <si>
    <t>2026-06-08 10:09:13</t>
  </si>
  <si>
    <t>10265298-10316193</t>
  </si>
  <si>
    <t>Schnitzler</t>
  </si>
  <si>
    <t>EU-43517</t>
  </si>
  <si>
    <t>2026-06-08 10:11:30</t>
  </si>
  <si>
    <t>Weinesch 13, Erkelenz, Erkelenz</t>
  </si>
  <si>
    <t>10265287-10316182</t>
  </si>
  <si>
    <t>Dr. Marggraf-Micheel</t>
  </si>
  <si>
    <t>EU-43513</t>
  </si>
  <si>
    <t>2026-06-08 10:12:45</t>
  </si>
  <si>
    <t>Andreas-Knack-Ring 11a, Hamburg, Hamburg</t>
  </si>
  <si>
    <t>10265301-10316196</t>
  </si>
  <si>
    <t>Kolodziej</t>
  </si>
  <si>
    <t>EU-43520</t>
  </si>
  <si>
    <t>2026-06-08 10:14:48</t>
  </si>
  <si>
    <t>Talstraße 89, Mülheim an der Ruhr, Mülheim an der Ruhr</t>
  </si>
  <si>
    <t>10265014-10315904</t>
  </si>
  <si>
    <t>Annett</t>
  </si>
  <si>
    <t>Kudra</t>
  </si>
  <si>
    <t>EU-43511</t>
  </si>
  <si>
    <t>2026-06-08 10:15:45</t>
  </si>
  <si>
    <t>Parkstraße 24, Börgerende-Rethwisch, Börgerende-Rethwisch</t>
  </si>
  <si>
    <t>10265296-10316191</t>
  </si>
  <si>
    <t>EU-43515</t>
  </si>
  <si>
    <t>2026-06-08 10:16:45</t>
  </si>
  <si>
    <t>10265295-10316190</t>
  </si>
  <si>
    <t>EU-43514</t>
  </si>
  <si>
    <t>2026-06-08 10:18:30</t>
  </si>
  <si>
    <t>20 Thornville Drive, Kilbarrack, Dublin 5, Dublin</t>
  </si>
  <si>
    <t>D05 HX92</t>
  </si>
  <si>
    <t>10263131-10314017</t>
  </si>
  <si>
    <t>SAP Digital Hub</t>
  </si>
  <si>
    <t>Kateryna</t>
  </si>
  <si>
    <t>Korbutova</t>
  </si>
  <si>
    <t>EU-43490</t>
  </si>
  <si>
    <t>2026-06-08 10:22:27</t>
  </si>
  <si>
    <t>C/Jose Pl 2, TDM B1 Planta, Barcelona, Barcelona</t>
  </si>
  <si>
    <t>08019</t>
  </si>
  <si>
    <t>BAGCOOL-MD-NAVY,BAGDRY-XS-NAVY,BALLAST-CAB-NAVY,COOL-CAB-NAVY-R,TOWLB-CAB-XL-BLUE-R</t>
  </si>
  <si>
    <t>10248820-10299604</t>
  </si>
  <si>
    <t>EU-43260</t>
  </si>
  <si>
    <t>2026-06-08 10:53:13</t>
  </si>
  <si>
    <t>BAGF-CAB-MD-LTPNK,BAGF-CAB-MD-NAVY,BAGF-DES-MD-GROOVCH,BAGF-DES-MD-WTRSUG,BAGF-SUM-MD-COLAGN,BAGF-SUM-MD-MIAMI,TOWLB-DES-XL-BLUSPRIT,TOWLB-DES-XL-LEMWAV,TOWLB-DOB-XL-CALM</t>
  </si>
  <si>
    <t>10263136-10314022</t>
  </si>
  <si>
    <t>Endress</t>
  </si>
  <si>
    <t>EU-43497</t>
  </si>
  <si>
    <t>2026-06-08 10:54:25</t>
  </si>
  <si>
    <t>Am Einlaß 1, München, München</t>
  </si>
  <si>
    <t>BAGF-SUM-MD-CSTCANDY,COOL-DES-SUNSRUN,HAIRW-SUE-MIAMI,PONCHA-SUM-MD-CSTCANDY,TOWLB-DES-XL-BLUSPRIT,TOWLB-DES-XL-LEMWAV,TOWLB-SUM-XL-COLAGN,TOWLB-SUM-XL-CSTCANDY,TOWLB-SUM-XL-MIAMI</t>
  </si>
  <si>
    <t>10263134-10314020</t>
  </si>
  <si>
    <t>EU-43496</t>
  </si>
  <si>
    <t>2026-06-08 10:56:55</t>
  </si>
  <si>
    <t>Olcote, Garrynagereagh East, Ballinroad, Dungarvan, Waterford</t>
  </si>
  <si>
    <t>X35 X212</t>
  </si>
  <si>
    <t>10263405-10314291</t>
  </si>
  <si>
    <t>Violet</t>
  </si>
  <si>
    <t>EU-43499</t>
  </si>
  <si>
    <t>2026-06-08 10:58:43</t>
  </si>
  <si>
    <t>6 bis Blvd de Verdun, Saint-Nazaire, Saint-Nazaire</t>
  </si>
  <si>
    <t>10263135-10314021</t>
  </si>
  <si>
    <t>Jason</t>
  </si>
  <si>
    <t>Winfield</t>
  </si>
  <si>
    <t>EU-43495</t>
  </si>
  <si>
    <t>2026-06-08 11:00:08</t>
  </si>
  <si>
    <t>The Treehouse, Rafeenan, Ballinode, Monaghan</t>
  </si>
  <si>
    <t>H18 PY84</t>
  </si>
  <si>
    <t>10250280-10301098</t>
  </si>
  <si>
    <t>Cannes Lions 2026</t>
  </si>
  <si>
    <t>Marketing</t>
  </si>
  <si>
    <t>Card</t>
  </si>
  <si>
    <t>EU-43282</t>
  </si>
  <si>
    <t>2026-06-08 11:13:14</t>
  </si>
  <si>
    <t>47 Ave Maurice Chevalier, Cannes, Cannes</t>
  </si>
  <si>
    <t>06150</t>
  </si>
  <si>
    <t>10265299-10316194</t>
  </si>
  <si>
    <t>Breen</t>
  </si>
  <si>
    <t>EU-43518</t>
  </si>
  <si>
    <t>2026-06-08 12:17:35</t>
  </si>
  <si>
    <t>Garran House, Williamstown, Waterford, Waterford</t>
  </si>
  <si>
    <t>X91 C5RH</t>
  </si>
  <si>
    <t>10244896-10295590</t>
  </si>
  <si>
    <t>Panama boutique</t>
  </si>
  <si>
    <t>Stephane</t>
  </si>
  <si>
    <t>Meunier</t>
  </si>
  <si>
    <t>EUWS-3169</t>
  </si>
  <si>
    <t>2026-06-09 04:22:04</t>
  </si>
  <si>
    <t>22 Rue de la Halle, Fouras, Fouras</t>
  </si>
  <si>
    <t>PONCHA-CAB-LG-NAVY-NS,PONCHA-CAB-XL-NAVY,PONCHA-SUM-LG-CSTCANDY,PONCHA-SUM-LG-LAZRIV,PONCHA-SUM-MD-CSTCANDY,PONCHA-SUM-MD-LAZRIV,TOWLB-CAB-XL-GREEN-R,TOWLB-CAB-XL-LTBLU-R,TOWLB-CAB-XL-NAVY-R,TOWLB-CAB-XL-PINK-R,TOWLB-CAB-XL-RED-R</t>
  </si>
  <si>
    <t>10241020-10291613</t>
  </si>
  <si>
    <t>Lonilead</t>
  </si>
  <si>
    <t>EUWS-3177</t>
  </si>
  <si>
    <t>2026-06-09 04:29:26</t>
  </si>
  <si>
    <t>48 rue ferdinand Buisson, Begles, Begles</t>
  </si>
  <si>
    <t>BAGBCH-MD-RSPROAD,BAGDRY-XS-HOTTROP,BAGDRY-XS-MIAMI,BAGDRY-XS-NAVY,BAGDRY-XS-WAVYBBY,BAGDRY-XS-WYWH,TOWLB-CAB-XL-ORANG-R,TOWLB-CAB-XL-PINK-R,TOWLB-DES-XL-GRECSHR,TOWLB-DES-XL-KARMA,TOWLB-DES-XL-WYWH,TOWLB-SUM-XL-CSTCANDY</t>
  </si>
  <si>
    <t>10248362-10299137</t>
  </si>
  <si>
    <t>Bathroom graffitti</t>
  </si>
  <si>
    <t>EUWS-3182</t>
  </si>
  <si>
    <t>2026-06-09 04:33:59</t>
  </si>
  <si>
    <t>22 Rue Madeleine Michelis, Neuilly-sur-Seine, Neuilly-sur-Seine</t>
  </si>
  <si>
    <t>10249722-10300526</t>
  </si>
  <si>
    <t>EURL OBLADA</t>
  </si>
  <si>
    <t>MARINE</t>
  </si>
  <si>
    <t>MEROLA</t>
  </si>
  <si>
    <t>EUWS-3186</t>
  </si>
  <si>
    <t>2026-06-09 04:37:00</t>
  </si>
  <si>
    <t>14 RUE LAMALGUE, RDC, TOULON, TOULON</t>
  </si>
  <si>
    <t>TEATWL-MD-DINPRTY,TOWLB-CAB-XL-BLACK-R,TOWLB-CAB-XL-BLUE-R,TOWLB-DES-XL-BLUSPRIT,TOWLB-DES-XL-LEMWAV,TOWLB-DES-XL-MELLOW,TOWLB-SUM-XL-COLAGN,TOWLB-SUM-XL-OCEAN,TOWLB-SUM-XL-RAINB-R</t>
  </si>
  <si>
    <t>10240782-10291363</t>
  </si>
  <si>
    <t>Crassard</t>
  </si>
  <si>
    <t>EUWS-3166</t>
  </si>
  <si>
    <t>2026-06-09 04:40:44</t>
  </si>
  <si>
    <t>76 grande rue, Divonne-les-Bains, Divonne-les-Bains</t>
  </si>
  <si>
    <t>01220</t>
  </si>
  <si>
    <t xml:space="preserve">16211 (x4) A-SCRUNCH-PAPER (x1) A-KRAFT-PAPER-TAPE (x2) </t>
  </si>
  <si>
    <t>BAGF-DES-MD-IBZAGLW,BAGF-DES-MD-WAVYBBY,BAGF-SUM-MD-COLAGN,BAGF-SUM-MD-CSTCANDY,PICNIC-DES-LG-APPLTRT,PICNIC-DES-LG-CANDSTR,PICNIC-DES-LG-SPRCLUB,PONCHA-DES-LG-WAVYBBY,PONCHA-DES-MD-IBZAGLW,PONCHA-DES-MD-WAVYBBY,PONCHA-SUM-LG-CSTCANDY,PONCHA-SUM-LG-LAZRIV,PONCHK-SUM-MD-UNICN-NS,TOWLB-CAB-XL-LTBLU-R,TOWLB-CAB-XL-NAVY-R,TOWLB-CAB-XL-RED-R,TOWLB-DES-XL-GRECSHR,TOWLB-DES-XL-OCETRES,TOWLB-DES-XL-SWTESC,TOWLB-DES-XL-TANTIDE,TOWLB-KID-LG-JELLY,TOWLB-SUM-LG-UNICN-R,TOWLB-SUM-XL-COLAGN,TOWLB-SUM-XL-MIAMI,TOWLB-SUM-XL-UNICN-R</t>
  </si>
  <si>
    <t>10233646-10284117</t>
  </si>
  <si>
    <t>EUWS-3172</t>
  </si>
  <si>
    <t>2026-06-09 04:43:09</t>
  </si>
  <si>
    <t>HAIRW-CAB-LTBLU-NB,HAIRW-CAB-LTPNK-NB,HAIRW-CAB-NAVY-NB,HAIRW-SUE-HOTTROP,HAIRW-SUE-MIAMI,HAIRW-SUE-PNKPARA,HAIRW-SUE-SURFCHK,HAIRW-SUE-WYWH,HAIRW-SUM-UNICN-NB,TOWLB-CAB-LG-KHAKI-R,TOWLB-CAB-LG-LTBLU-R,TOWLB-CAB-LG-LTPNK-R,TOWLB-CAB-LG-NAVY-R,TOWLB-CAB-LG-ORANG-R,TOWLB-CAB-LG-PINK-R,TOWLB-CAB-LG-YELL-R,TOWLB-CAB-MD-LTBLU,TOWLB-CAB-MD-LTPNK,TOWLB-CAB-XL-KHAKI-R,TOWLB-CAB-XL-LTBLU-R,TOWLB-CAB-XL-LTPNK-R,TOWLB-CAB-XL-NAVY-R,TOWLB-CAB-XL-ORANG-R,TOWLB-CAB-XL-PINK-R,TOWLB-CAB-XL-YELL-R,TOWLB-DES-XL-GRECSHR,TOWLB-DES-XL-HOTTROP,TOWLB-DES-XL-KARMA,TOWLB-DES-XL-SWTESC,TOWLB-DOB-XL-CALM,TOWLB-KID-MD-GVCLUB,TOWLB-KID-MD-INTOWILD,TOWLB-KID-MD-JELLY,TOWLB-SUM-LG-COLAGN,TOWLB-SUM-LG-MIAMI,TOWLB-SUM-LG-TUTFRU,TOWLB-SUM-XL-COLAGN,TOWLB-SUM-XL-MIAMI,TOWLB-SUM-XL-TUTFRU</t>
  </si>
  <si>
    <t>10265541-10316444</t>
  </si>
  <si>
    <t>Thelma</t>
  </si>
  <si>
    <t>Gilmore</t>
  </si>
  <si>
    <t>EU-43524</t>
  </si>
  <si>
    <t>2026-06-09 05:17:11</t>
  </si>
  <si>
    <t>Dublin Rd, Tuam, Galway</t>
  </si>
  <si>
    <t>H54 A230</t>
  </si>
  <si>
    <t>PONCHA-CAB-XL-NAVY,PONCHA-DES-LG-IBZAGLW,PONCHA-SUM-LG-LAZRIV,PONCHK-KID-MD-INTOWILD,PONCHK-KID-MD-JELLY,PONCHK-SUM-MD-CSTCANDY</t>
  </si>
  <si>
    <t>10265539-10316442</t>
  </si>
  <si>
    <t>EU-43522</t>
  </si>
  <si>
    <t>2026-06-09 05:20:42</t>
  </si>
  <si>
    <t>Caherhoereigh House, Birr, Offaly</t>
  </si>
  <si>
    <t>R42 Y934</t>
  </si>
  <si>
    <t>10265789-10316704</t>
  </si>
  <si>
    <t>O'Leary</t>
  </si>
  <si>
    <t>EU-43529</t>
  </si>
  <si>
    <t>2026-06-09 05:22:11</t>
  </si>
  <si>
    <t>Ballaghderg, Letterkenny, Donegal</t>
  </si>
  <si>
    <t>F92 KNH5</t>
  </si>
  <si>
    <t>10265787-10316702</t>
  </si>
  <si>
    <t>Julius</t>
  </si>
  <si>
    <t>Koblitzek</t>
  </si>
  <si>
    <t>EU-43527</t>
  </si>
  <si>
    <t>2026-06-09 05:22:54</t>
  </si>
  <si>
    <t>45 Birketweg, München, München</t>
  </si>
  <si>
    <t>10250564-10301383</t>
  </si>
  <si>
    <t>Ailish</t>
  </si>
  <si>
    <t>EU-43288</t>
  </si>
  <si>
    <t>2026-06-09 05:24:19</t>
  </si>
  <si>
    <t>Ardnapreaghaun, Ballylin, Croagh, Limerick, Limerick</t>
  </si>
  <si>
    <t>V94 V4PN</t>
  </si>
  <si>
    <t>BAGF-DES-MD-BANARAM,TOWLB-DES-LG-ALOHGLW,TOWLB-DES-LG-KARMA,TOWLB-SUM-LG-SANDSEA</t>
  </si>
  <si>
    <t>10268538-10319465</t>
  </si>
  <si>
    <t>Mairead</t>
  </si>
  <si>
    <t>EU-43568</t>
  </si>
  <si>
    <t>2026-06-09 05:28:01</t>
  </si>
  <si>
    <t>Meath Hill 1, Drumconrath, Navan, Meath, Meath</t>
  </si>
  <si>
    <t>C15 K5XD</t>
  </si>
  <si>
    <t>10268765-10319693</t>
  </si>
  <si>
    <t>Collins</t>
  </si>
  <si>
    <t>EU-43572</t>
  </si>
  <si>
    <t>2026-06-09 05:29:07</t>
  </si>
  <si>
    <t>Farranthomas, Newcestown, Bandon, Cork</t>
  </si>
  <si>
    <t>P72 Y179</t>
  </si>
  <si>
    <t>BAGDRY-XS-HOTTROP,TOWLB-DES-XL-HOTTROP,TOWLB-SUM-XL-COLAGN</t>
  </si>
  <si>
    <t>10268535-10319462</t>
  </si>
  <si>
    <t>Celine</t>
  </si>
  <si>
    <t>Geyer</t>
  </si>
  <si>
    <t>EU-43567</t>
  </si>
  <si>
    <t>2026-06-09 05:33:37</t>
  </si>
  <si>
    <t>Bahnhofstraße 74, Perl, Perl</t>
  </si>
  <si>
    <t>10267276-10318200</t>
  </si>
  <si>
    <t>Goessling</t>
  </si>
  <si>
    <t>EU-43549</t>
  </si>
  <si>
    <t>2026-06-09 05:34:29</t>
  </si>
  <si>
    <t>Lohkoppelstraße 66, Hamburg, Hamburg</t>
  </si>
  <si>
    <t>HAIRW-WAF-CHRYBMB,PICNIC-DES-XL-BRGTSIDE</t>
  </si>
  <si>
    <t>10263401-10314287</t>
  </si>
  <si>
    <t>Matthiensen</t>
  </si>
  <si>
    <t>EU-43501</t>
  </si>
  <si>
    <t>2026-06-09 05:35:37</t>
  </si>
  <si>
    <t>Marbachweg 310, Frankfurt am Main, Frankfurt am Main</t>
  </si>
  <si>
    <t>BAGF-DES-MD-CHECKMT,PICNIC-DES-LG-MARGMAD</t>
  </si>
  <si>
    <t>10268238-10319164</t>
  </si>
  <si>
    <t>Karla</t>
  </si>
  <si>
    <t>Bayliss</t>
  </si>
  <si>
    <t>EU-43562</t>
  </si>
  <si>
    <t>2026-06-09 05:37:10</t>
  </si>
  <si>
    <t>83 Walnut Rise, Courtlands, Drumcondra, Dublin</t>
  </si>
  <si>
    <t>D09 A3V2</t>
  </si>
  <si>
    <t>HAIRW-SUE-PNKPARA,TOWLB-DES-LG-PNKPARA</t>
  </si>
  <si>
    <t>10267676-10318602</t>
  </si>
  <si>
    <t>Scholz</t>
  </si>
  <si>
    <t>EU-43553</t>
  </si>
  <si>
    <t>2026-06-09 05:38:34</t>
  </si>
  <si>
    <t>Trierer Straße 48, Weimar, Weimar</t>
  </si>
  <si>
    <t>BALLAST-DES-GRECSH,TOWLB-DES-XL-GRECSHR</t>
  </si>
  <si>
    <t>10265542-10316445</t>
  </si>
  <si>
    <t>Torben</t>
  </si>
  <si>
    <t>Korb</t>
  </si>
  <si>
    <t>EU-43523</t>
  </si>
  <si>
    <t>2026-06-09 05:39:45</t>
  </si>
  <si>
    <t>Büdingenstraße, 4, Wiesbaden, Wiesbaden</t>
  </si>
  <si>
    <t>TOWLB-SUM-LG-CSTCANDY,TOWLB-SUM-LG-OCEAN</t>
  </si>
  <si>
    <t>10265544-10316447</t>
  </si>
  <si>
    <t>Treasa</t>
  </si>
  <si>
    <t>Obrien</t>
  </si>
  <si>
    <t>EU-43525</t>
  </si>
  <si>
    <t>2026-06-09 05:41:10</t>
  </si>
  <si>
    <t>127 Redford Park, Greystones, Wicklow</t>
  </si>
  <si>
    <t>A63 Y864</t>
  </si>
  <si>
    <t>BAGTOI-MD-CHRYBMB,TOWLB-CAB-LG-LTPPL-R</t>
  </si>
  <si>
    <t>10265791-10316706</t>
  </si>
  <si>
    <t>Milos</t>
  </si>
  <si>
    <t>EU-43531</t>
  </si>
  <si>
    <t>2026-06-09 05:42:31</t>
  </si>
  <si>
    <t>Stallschreiberstraße, 17, Berlin, Berlin</t>
  </si>
  <si>
    <t>TOWLB-CAB-LG-BLUE-R,TOWLB-CAB-LG-YELL-R</t>
  </si>
  <si>
    <t>10265547-10316450</t>
  </si>
  <si>
    <t>Geraldine</t>
  </si>
  <si>
    <t>Morrin</t>
  </si>
  <si>
    <t>EU-43526</t>
  </si>
  <si>
    <t>2026-06-09 05:43:15</t>
  </si>
  <si>
    <t>26, Mount prospect Lawns, Clontarf, Dublin</t>
  </si>
  <si>
    <t>D03 AN24</t>
  </si>
  <si>
    <t>TOWLB-CAB-LG-NAVY-R,TOWLB-DES-LG-GRECSHR</t>
  </si>
  <si>
    <t>10265540-10316443</t>
  </si>
  <si>
    <t>Rother</t>
  </si>
  <si>
    <t>EU-43521</t>
  </si>
  <si>
    <t>2026-06-09 05:44:03</t>
  </si>
  <si>
    <t>Schonensche Straße 14, Berlin, Berlin</t>
  </si>
  <si>
    <t>10266709-10317626</t>
  </si>
  <si>
    <t>O Brien</t>
  </si>
  <si>
    <t>EU-43534</t>
  </si>
  <si>
    <t>2026-06-09 05:51:52</t>
  </si>
  <si>
    <t>110 Drakes Point, Crosshaven, Cork, Cork</t>
  </si>
  <si>
    <t>P43 V580</t>
  </si>
  <si>
    <t>PONCHK-KID-MD-INTOWILD,TOWLB-CAB-LG-LTBLU-R,TOWLB-CAB-LG-LTPPL-R,TOWLB-CAB-LG-ORANG-R,TOWLB-CAB-LG-PINK-R</t>
  </si>
  <si>
    <t>10267030-10317953</t>
  </si>
  <si>
    <t>Marie-Louise</t>
  </si>
  <si>
    <t>Bank</t>
  </si>
  <si>
    <t>EU-43544</t>
  </si>
  <si>
    <t>2026-06-09 05:53:49</t>
  </si>
  <si>
    <t>Elvirastraße 16C, München, München</t>
  </si>
  <si>
    <t>10256276-10307141</t>
  </si>
  <si>
    <t>Christina Wolff-Staudigl</t>
  </si>
  <si>
    <t>Staudigl</t>
  </si>
  <si>
    <t>EUWS-3181</t>
  </si>
  <si>
    <t>2026-06-09 05:55:10</t>
  </si>
  <si>
    <t>Wollzeile 25, Wien, Wien</t>
  </si>
  <si>
    <t>BAGF-DES-MD-WYWH,BAGF-SUM-MD-COLAGN,BAGTOI-MD-CHRYBMB,BAGTOI-MD-PEPPNCH,TOWLB-DES-LG-ALOHGLW,TOWLB-DES-LG-BLUSPRIT</t>
  </si>
  <si>
    <t>10266712-10317629</t>
  </si>
  <si>
    <t>Böhne</t>
  </si>
  <si>
    <t>EU-43535</t>
  </si>
  <si>
    <t>2026-06-09 05:55:28</t>
  </si>
  <si>
    <t>Johannesweg 3, Leopoldshöhe, Leopoldshöhe</t>
  </si>
  <si>
    <t>10267032-10317955</t>
  </si>
  <si>
    <t>Brunner</t>
  </si>
  <si>
    <t>EU-43546</t>
  </si>
  <si>
    <t>2026-06-09 05:56:42</t>
  </si>
  <si>
    <t>Apenser Straße 9, Rechtes Haus, Beckdorf / Nindorf, Beckdorf / Nindorf</t>
  </si>
  <si>
    <t>BAGF-DES-MD-CHECKMT,BAGF-DES-MD-GROOVCH</t>
  </si>
  <si>
    <t>10268763-10319691</t>
  </si>
  <si>
    <t>Stéphane</t>
  </si>
  <si>
    <t>Pirsoul</t>
  </si>
  <si>
    <t>EU-43571</t>
  </si>
  <si>
    <t>2026-06-09 05:57:14</t>
  </si>
  <si>
    <t>Weverstraat 100, Boechout, Boechout</t>
  </si>
  <si>
    <t>TOWLB-SUM-XL-MIAMI,TOWLB-SUM-XL-RAINB-R</t>
  </si>
  <si>
    <t>10266387-10317308</t>
  </si>
  <si>
    <t>EU-43536</t>
  </si>
  <si>
    <t>2026-06-09 05:57:43</t>
  </si>
  <si>
    <t>COOL-DES-SUNSRUN,HAIRW-SUE-MIAMI,PONCHA-SUM-LG-CSTCANDY,TOWLB-DES-XL-TANTIDE</t>
  </si>
  <si>
    <t>10269135-10320063</t>
  </si>
  <si>
    <t>EU-43573</t>
  </si>
  <si>
    <t>2026-06-09 05:58:17</t>
  </si>
  <si>
    <t>Wawozowa, 14/2, KOSZALIN, KOSZALIN</t>
  </si>
  <si>
    <t>HAIRW-CLA-NAVY-NB,TEATWL-MD-CCOOL</t>
  </si>
  <si>
    <t>10244900-10295594</t>
  </si>
  <si>
    <t>Zalando</t>
  </si>
  <si>
    <t>Erfurt</t>
  </si>
  <si>
    <t>TRF-1735792</t>
  </si>
  <si>
    <t>2026-06-09 06:30:01</t>
  </si>
  <si>
    <t>In der Hochstedter Ecke 1, Erfurt</t>
  </si>
  <si>
    <t>DHL DE (&gt;15KG) - Express Domestic (DE) &gt;15KG</t>
  </si>
  <si>
    <t xml:space="preserve">OWNPACK (x7), 16211 (x2), 16210 (x1) A-SCRUNCH-PAPER (x1) A-KRAFT-PAPER-TAPE (x2) </t>
  </si>
  <si>
    <t>TOWLB-CAB-LG-GREEN-R,TOWLB-CAB-LG-KHAKI-R,TOWLB-CAB-LG-NAVY-R,TOWLB-CAB-LG-PINK-R,TOWLB-CAB-LG-YELL-R,TOWLB-CAB-XL-NAVY-R,TOWLB-CAB-XL-ORANG-R,TOWLB-CAB-XL-RED-R,TOWLB-SUM-LG-RAINB-R,TOWLB-SUM-LG-UNICN-R,TOWLB-SUM-XL-RAINB-R,TOWLB-SUM-XL-UNICN-R</t>
  </si>
  <si>
    <t>10248366-10299141</t>
  </si>
  <si>
    <t>OHMAY</t>
  </si>
  <si>
    <t>Tiffany</t>
  </si>
  <si>
    <t>Piquet Daumas</t>
  </si>
  <si>
    <t>EUWS-3183</t>
  </si>
  <si>
    <t>2026-06-09 06:34:46</t>
  </si>
  <si>
    <t>10 Traverse Lacan, Antibes, Antibes</t>
  </si>
  <si>
    <t>06600</t>
  </si>
  <si>
    <t xml:space="preserve">16212 (x1), 16211 (x1) A-SCRUNCH-PAPER (x1) A-KRAFT-PAPER-TAPE (x2) </t>
  </si>
  <si>
    <t>HAIRW-CAB-NAVY-NB,HAIRW-CLA-NAVY-NB,HAIRW-SUE-HOTTROP,HAIRW-SUE-PNKPARA,HAIRW-SUE-SQZDAY,HAIRW-SUE-SURFCHK,HAIRW-SUE-WYWH,HAIRW-WAF-CHRYBMB,HAIRW-WAF-TIGPALM,TEATWL-MD-DINPRTY,TEATWL-MD-SHRIMP,TEATWL-MD-SOUSCHEF,TEATWL-MD-TRPPNCH,TOWLB-CAB-XL-BLUE-R,TOWLB-DES-XL-TANTIDE</t>
  </si>
  <si>
    <t>10268243-10319169</t>
  </si>
  <si>
    <t>Salzburger</t>
  </si>
  <si>
    <t>EU-43564</t>
  </si>
  <si>
    <t>2026-06-09 06:40:13</t>
  </si>
  <si>
    <t>Neubaugasse 5/20, Wien, Wien</t>
  </si>
  <si>
    <t>BAGF-SUM-MD-MIAMI,PONCHA-SUM-LG-CSTCANDY,TOWLB-SUM-XL-MIAMI</t>
  </si>
  <si>
    <t>10268536-10319463</t>
  </si>
  <si>
    <t>Joke</t>
  </si>
  <si>
    <t>Cuppens</t>
  </si>
  <si>
    <t>EU-43570</t>
  </si>
  <si>
    <t>2026-06-09 06:42:03</t>
  </si>
  <si>
    <t>Fortbaan 28B, Wommelgem, Wommelgem</t>
  </si>
  <si>
    <t>TOWLB-CAB-XL-LTPNK-R,TOWLB-CAB-XL-LTPPL-R,TOWLB-SUM-XL-TUTFRU</t>
  </si>
  <si>
    <t>10268235-10319161</t>
  </si>
  <si>
    <t>Kempter</t>
  </si>
  <si>
    <t>EU-43563</t>
  </si>
  <si>
    <t>2026-06-09 06:43:30</t>
  </si>
  <si>
    <t>Malas 8-16, Mondi Resort, Oberstaufen, Oberstaufen</t>
  </si>
  <si>
    <t>TOWLB-DES-XL-ALOHGLW,TOWLB-DES-XL-BLUSPRIT,TOWLB-SUM-XL-CSTCANDY</t>
  </si>
  <si>
    <t>10267916-10318842</t>
  </si>
  <si>
    <t>O'Sullivan</t>
  </si>
  <si>
    <t>EU-43554</t>
  </si>
  <si>
    <t>2026-06-09 06:45:28</t>
  </si>
  <si>
    <t>64 Foxrock Ave, Foxrock, Dublin</t>
  </si>
  <si>
    <t>D18 E6W6</t>
  </si>
  <si>
    <t>PONCHK-KID-MD-CAMOCUBE,PONCHK-KID-MD-INTOWILD,PONCHK-KID-SM-JELLY,TOWLB-CAB-LG-GREEN-R,TOWLB-CAB-LG-LTPPL-R</t>
  </si>
  <si>
    <t>10267677-10318603</t>
  </si>
  <si>
    <t>Filipa</t>
  </si>
  <si>
    <t>Cristovão</t>
  </si>
  <si>
    <t>EU-43552</t>
  </si>
  <si>
    <t>2026-06-09 06:47:47</t>
  </si>
  <si>
    <t>RUA DO POMBAL, 39, Ral, Sintra, Lisboa</t>
  </si>
  <si>
    <t>2710-449</t>
  </si>
  <si>
    <t>HAIRW-CAB-LTBLU-NB,HAIRW-CAB-LTPPL-NB,HAIRW-SUE-SQZDAY</t>
  </si>
  <si>
    <t>10269572-10320501</t>
  </si>
  <si>
    <t>Fernandes</t>
  </si>
  <si>
    <t>EU-43574</t>
  </si>
  <si>
    <t>2026-06-09 06:59:32</t>
  </si>
  <si>
    <t>Um Knupp 16, Nocher, Nocher</t>
  </si>
  <si>
    <t>TOWLB-SUM-LG-MIAMI,TOWLB-SUM-XL-MIAMI</t>
  </si>
  <si>
    <t>10257072-10307941</t>
  </si>
  <si>
    <t>Patricia Maldonado</t>
  </si>
  <si>
    <t>Sobrino</t>
  </si>
  <si>
    <t>406-7984379-7684303</t>
  </si>
  <si>
    <t>2026-06-09 07:18:48</t>
  </si>
  <si>
    <t>Calle cinca 11, Madrid, Madrid</t>
  </si>
  <si>
    <t>10268533-10319460</t>
  </si>
  <si>
    <t>Aga</t>
  </si>
  <si>
    <t>Wrobel</t>
  </si>
  <si>
    <t>EU-43565</t>
  </si>
  <si>
    <t>2026-06-09 07:59:57</t>
  </si>
  <si>
    <t>Rathgormack, Carrick on suir, Tipperary</t>
  </si>
  <si>
    <t>E32 PX81</t>
  </si>
  <si>
    <t>10268230-10319156</t>
  </si>
  <si>
    <t>Nismh</t>
  </si>
  <si>
    <t>EU-43557</t>
  </si>
  <si>
    <t>2026-06-09 08:03:28</t>
  </si>
  <si>
    <t>15 Citywest Village Ave, Citywest, Dublin, Dublin</t>
  </si>
  <si>
    <t>D24 C90H</t>
  </si>
  <si>
    <t>10268534-10319461</t>
  </si>
  <si>
    <t>Radina</t>
  </si>
  <si>
    <t>Kirkova</t>
  </si>
  <si>
    <t>EU-43566</t>
  </si>
  <si>
    <t>2026-06-09 08:05:37</t>
  </si>
  <si>
    <t>Neofit Rilski 7, Eye clinic Zrenieto, Sofia, Sofia</t>
  </si>
  <si>
    <t>BAGDRY-XS-WAVYBBY,BAGF-CAB-MD-NAVY,PICNIC-CAB-XL-NAVY</t>
  </si>
  <si>
    <t>10269696-10320626</t>
  </si>
  <si>
    <t>Danielle</t>
  </si>
  <si>
    <t>EU-43577</t>
  </si>
  <si>
    <t>2026-06-09 08:07:34</t>
  </si>
  <si>
    <t>Weteringstraat 76, Amsterdam, Amsterdam</t>
  </si>
  <si>
    <t>1017 SP</t>
  </si>
  <si>
    <t>TEATWL-MD-PEAPOD,TEATWL-MD-TRPPNCH,TOWLB-CAB-LG-NAVY-R,TOWLB-CAB-LG-PINK-R</t>
  </si>
  <si>
    <t>10268240-10319166</t>
  </si>
  <si>
    <t>Stavroula</t>
  </si>
  <si>
    <t>Tasiopoulou</t>
  </si>
  <si>
    <t>EU-43561</t>
  </si>
  <si>
    <t>2026-06-09 08:10:09</t>
  </si>
  <si>
    <t>Reinkenstraat 2, 's-Gravenhage, 's-Gravenhage</t>
  </si>
  <si>
    <t>2517 CV</t>
  </si>
  <si>
    <t>10258917-10309788</t>
  </si>
  <si>
    <t>Foster</t>
  </si>
  <si>
    <t>EU-43421</t>
  </si>
  <si>
    <t>2026-06-09 08:14:03</t>
  </si>
  <si>
    <t>Dernamuck, Emyvale, Monaghan</t>
  </si>
  <si>
    <t>H18 CY23</t>
  </si>
  <si>
    <t>BAGBCH-MD-NAVY,TOWLB-CAB-LG-BLUE-R,TOWLB-CAB-LG-LTBLU-R,TOWLB-CAB-LG-LTPNK-R,TOWLB-CAB-LG-NAVY-R,TOWLB-CAB-LG-PINK-R,TOWLB-CAB-LG-RED-R,TOWLB-CAB-LG-YELL-R,TOWLB-SUM-LG-RAINB-R,TOWLB-SUM-LG-UNICN-R</t>
  </si>
  <si>
    <t>10265790-10316705</t>
  </si>
  <si>
    <t>Chantalle</t>
  </si>
  <si>
    <t>de Heer</t>
  </si>
  <si>
    <t>EU-43530</t>
  </si>
  <si>
    <t>2026-06-09 08:27:05</t>
  </si>
  <si>
    <t>Agaatdrift 11, Nieuwegein, Nieuwegein</t>
  </si>
  <si>
    <t>3436 BS</t>
  </si>
  <si>
    <t>BAGF-CAB-MD-LTPNK,BAGF-DES-MD-IBZAGLW,TOWLB-DES-XL-BLUSPRIT,TOWLB-DES-XL-LEMWAV</t>
  </si>
  <si>
    <t>10267023-10317946</t>
  </si>
  <si>
    <t>Annemie</t>
  </si>
  <si>
    <t>Eggermont</t>
  </si>
  <si>
    <t>EU-43540</t>
  </si>
  <si>
    <t>2026-06-09 08:30:15</t>
  </si>
  <si>
    <t>A Stocletlaan 205, Duffel, Duffel</t>
  </si>
  <si>
    <t>PICNIC-DES-XL-CANDSTR,TOWLB-DES-XL-BLUSPRIT,TOWLB-DES-XL-LEMWAV,TOWLB-KID-LG-SKATER,TOWLB-SUM-LG-UNICN-R,TOWLB-SUM-XL-COLAGN,TOWLB-SUM-XL-MIAMI</t>
  </si>
  <si>
    <t>10267027-10317950</t>
  </si>
  <si>
    <t>Cavanagh</t>
  </si>
  <si>
    <t>EU-43543</t>
  </si>
  <si>
    <t>2026-06-09 08:31:59</t>
  </si>
  <si>
    <t>Newlawn Galbally Rd, Tipperary Town, Ireland, Tipperary</t>
  </si>
  <si>
    <t>E34 HT26</t>
  </si>
  <si>
    <t>10266718-10317635</t>
  </si>
  <si>
    <t>Goergen</t>
  </si>
  <si>
    <t>EU-43538</t>
  </si>
  <si>
    <t>2026-06-09 08:32:51</t>
  </si>
  <si>
    <t>Klosterkammerstraße 38, Sankt Aldegund, Sankt Aldegund</t>
  </si>
  <si>
    <t>10265788-10316703</t>
  </si>
  <si>
    <t>Kaylee</t>
  </si>
  <si>
    <t>Mast</t>
  </si>
  <si>
    <t>EU-43528</t>
  </si>
  <si>
    <t>2026-06-09 08:33:48</t>
  </si>
  <si>
    <t>Hagweg 9A, Albergen, Albergen</t>
  </si>
  <si>
    <t>7665 RH</t>
  </si>
  <si>
    <t>BAGF-SUM-MD-CSTCANDY,TOWLB-CAB-XL-BLUE-R,TOWLB-SUM-XL-CSTCANDY</t>
  </si>
  <si>
    <t>10268539-10319466</t>
  </si>
  <si>
    <t>Punkt</t>
  </si>
  <si>
    <t>303-1541268-1905142</t>
  </si>
  <si>
    <t>2026-06-09 08:34:46</t>
  </si>
  <si>
    <t>Vorbein 33, Loitz, Loitz</t>
  </si>
  <si>
    <t>10267025-10317948</t>
  </si>
  <si>
    <t>Mellor</t>
  </si>
  <si>
    <t>EU-43541</t>
  </si>
  <si>
    <t>2026-06-09 08:35:26</t>
  </si>
  <si>
    <t>23 rue du Crès, France, France</t>
  </si>
  <si>
    <t>HAIRW-WAF-CHRYBMB,PONCHA-CAB-LG-BLUE-NS,TOWLB-CAB-XL-BLUE-R</t>
  </si>
  <si>
    <t>10269694-10320624</t>
  </si>
  <si>
    <t>Leitner</t>
  </si>
  <si>
    <t>EU-43578</t>
  </si>
  <si>
    <t>2026-06-09 08:35:40</t>
  </si>
  <si>
    <t>Neukirchensteig 3, Hemau, Hemau</t>
  </si>
  <si>
    <t>10269697-10320627</t>
  </si>
  <si>
    <t>Wiedmann</t>
  </si>
  <si>
    <t>EU-43576</t>
  </si>
  <si>
    <t>2026-06-09 08:39:12</t>
  </si>
  <si>
    <t>Am Brünnele 3, Crailsheim, Crailsheim</t>
  </si>
  <si>
    <t>TOWLB-CAB-XL-LTPNK-R,TOWLB-SUM-XL-MIAMI</t>
  </si>
  <si>
    <t>10269698-10320628</t>
  </si>
  <si>
    <t>Elkjaer</t>
  </si>
  <si>
    <t>EU-43575</t>
  </si>
  <si>
    <t>2026-06-09 08:42:32</t>
  </si>
  <si>
    <t>Esplanade de la Moselle 71, Wasserbillig, Wasserbillig</t>
  </si>
  <si>
    <t>10266706-10317623</t>
  </si>
  <si>
    <t>Bianca</t>
  </si>
  <si>
    <t>EU-43532</t>
  </si>
  <si>
    <t>2026-06-09 08:44:31</t>
  </si>
  <si>
    <t>Liethfeld 5, Wedel, Wedel</t>
  </si>
  <si>
    <t>TOWLF-ESS-LG-GREY-R,TOWLF-ESS-XL-GREY-R</t>
  </si>
  <si>
    <t>10267277-10318201</t>
  </si>
  <si>
    <t>EU-43548</t>
  </si>
  <si>
    <t>2026-06-09 08:45:31</t>
  </si>
  <si>
    <t>Flittarder Hauptstraße 117, Köln, Köln</t>
  </si>
  <si>
    <t>10267280-10318204</t>
  </si>
  <si>
    <t>Gillian</t>
  </si>
  <si>
    <t>EU-43550</t>
  </si>
  <si>
    <t>2026-06-09 08:47:56</t>
  </si>
  <si>
    <t>48 MOOREHALL RISE, Ardee, Ardee, Louth</t>
  </si>
  <si>
    <t>A92 YP64</t>
  </si>
  <si>
    <t>TOWLB-CAB-XL-BLUE-R,TOWLB-CAB-XL-LTPPL-R</t>
  </si>
  <si>
    <t>10236475-10287001</t>
  </si>
  <si>
    <t>Jack Morton - Le Bureau MC021</t>
  </si>
  <si>
    <t>Holly</t>
  </si>
  <si>
    <t>Lightfoot</t>
  </si>
  <si>
    <t>EU-43097</t>
  </si>
  <si>
    <t>2026-06-09 09:00:47</t>
  </si>
  <si>
    <t>27 Ave Alphonse Toreille, Vence, Vence</t>
  </si>
  <si>
    <t>06140</t>
  </si>
  <si>
    <t xml:space="preserve">ownpack1 (x1)   </t>
  </si>
  <si>
    <t>TOWLB-DES-LG-GRECSHR</t>
  </si>
  <si>
    <t>10235723-10286249</t>
  </si>
  <si>
    <t>Masson</t>
  </si>
  <si>
    <t>EUWS-3175</t>
  </si>
  <si>
    <t>2026-06-09 09:03:20</t>
  </si>
  <si>
    <t>10 rue pierre eydin, Cassis, Cassis</t>
  </si>
  <si>
    <t>TOWLB-CAB-XL-KHAKI-R,TOWLB-CAB-XL-LTPNK-R,TOWLB-CAB-XL-NAVY-R,TOWLB-CAB-XL-ORANG-R,TOWLB-CAB-XL-YELL-R,TOWLB-SUM-XL-COLAGN,TOWLB-SUM-XL-MIAMI,TOWLB-SUM-XL-RAINB-R,TOWLB-SUM-XL-TUTFRU,TOWLB-SUM-XL-UNICN-R</t>
  </si>
  <si>
    <t>10265538-10316441</t>
  </si>
  <si>
    <t>Marine Concept Store SRL</t>
  </si>
  <si>
    <t>Andra</t>
  </si>
  <si>
    <t>EUWS-3185</t>
  </si>
  <si>
    <t>2026-06-09 09:05:54</t>
  </si>
  <si>
    <t>Strada Intrarea Epocii, numar 30, Scara B,  etaj 6,  ap 16B, București, București</t>
  </si>
  <si>
    <t>014122</t>
  </si>
  <si>
    <t>DOGTWL-LG-PUPLAID,DOGTWL-LG-RHUBARK,PONCHK-KID-MD-GVCLUB,PONCHK-KID-MD-INTOWILD,TOWLB-CAB-XL-BLACK-R,TOWLB-CAB-XL-KHAKI-R,TOWLB-CAB-XL-LTBGE-R,TOWLB-CAB-XL-LTPPL-R,TOWLB-DES-XL-GRECSHR,TOWLB-DOB-XL-CALM,TOWLB-KID-LG-GVCLUB,TOWLB-KID-LG-INTOWILD</t>
  </si>
  <si>
    <t>10266384-10317305</t>
  </si>
  <si>
    <t>Federica</t>
  </si>
  <si>
    <t>Silini</t>
  </si>
  <si>
    <t>EU-43537</t>
  </si>
  <si>
    <t>2026-06-09 09:13:56</t>
  </si>
  <si>
    <t>27 Rue Jean-Pierre Biermann, Luxembourg, Luxembourg</t>
  </si>
  <si>
    <t>PP-TOWLB-CAB-XL-4SET-ORANGE</t>
  </si>
  <si>
    <t>10253976-10304831</t>
  </si>
  <si>
    <t>Wolfgang</t>
  </si>
  <si>
    <t>Pielmeier</t>
  </si>
  <si>
    <t>EU-43346</t>
  </si>
  <si>
    <t>2026-06-09 09:16:15</t>
  </si>
  <si>
    <t>Rieschbogen 23, H'kirchen-Siegertsbrunn, Höhenkirchen-Siegertsbrunn</t>
  </si>
  <si>
    <t>10267031-10317954</t>
  </si>
  <si>
    <t>Adele</t>
  </si>
  <si>
    <t>EU-43547</t>
  </si>
  <si>
    <t>2026-06-09 09:18:14</t>
  </si>
  <si>
    <t>Etienne, Village Green, Blackrock Dundalk, Louth</t>
  </si>
  <si>
    <t>A91 EH7F</t>
  </si>
  <si>
    <t>10268226-10319152</t>
  </si>
  <si>
    <t>Weibelzahl</t>
  </si>
  <si>
    <t>EU-43559</t>
  </si>
  <si>
    <t>2026-06-09 09:19:29</t>
  </si>
  <si>
    <t>Lichtenfelser Straße 7, Untersiemau, Untersiemau</t>
  </si>
  <si>
    <t>10267029-10317952</t>
  </si>
  <si>
    <t>Pablo</t>
  </si>
  <si>
    <t>Tejada Belenguer</t>
  </si>
  <si>
    <t>EU-43542</t>
  </si>
  <si>
    <t>2026-06-09 09:21:08</t>
  </si>
  <si>
    <t>Calle Torrevieja nº 3, 4ºB, Oviedo, Asturias</t>
  </si>
  <si>
    <t>10268232-10319158</t>
  </si>
  <si>
    <t>Alicia</t>
  </si>
  <si>
    <t>Wienen</t>
  </si>
  <si>
    <t>EU-43556</t>
  </si>
  <si>
    <t>2026-06-09 09:22:13</t>
  </si>
  <si>
    <t>Klosterweg 2, Grevenbroich, Grevenbroich</t>
  </si>
  <si>
    <t>10253369-10304225</t>
  </si>
  <si>
    <t>Stoyanova</t>
  </si>
  <si>
    <t xml:space="preserve">DEPOTBG ID </t>
  </si>
  <si>
    <t>103029 Margarita</t>
  </si>
  <si>
    <t>EU-43336</t>
  </si>
  <si>
    <t>2026-06-09 09:22:20</t>
  </si>
  <si>
    <t>Nimrodstraße 25, Nürnberg, Nürnberg</t>
  </si>
  <si>
    <t>10269865-10320798</t>
  </si>
  <si>
    <t>Simona</t>
  </si>
  <si>
    <t>Tessore</t>
  </si>
  <si>
    <t>EU-43579</t>
  </si>
  <si>
    <t>2026-06-09 09:23:38</t>
  </si>
  <si>
    <t>Av Hoche 7, Bruxelles, Bruxelles</t>
  </si>
  <si>
    <t>10265545-10316448</t>
  </si>
  <si>
    <t>Marlena</t>
  </si>
  <si>
    <t>Strutz</t>
  </si>
  <si>
    <t>303-8656608-2128309</t>
  </si>
  <si>
    <t>2026-06-09 09:27:18</t>
  </si>
  <si>
    <t>Münsterstrasse 1a, Mainz, Mainz</t>
  </si>
  <si>
    <t>10266699-10317616</t>
  </si>
  <si>
    <t>Evan</t>
  </si>
  <si>
    <t>Shindzelorez</t>
  </si>
  <si>
    <t>EU-43533</t>
  </si>
  <si>
    <t>2026-06-09 09:28:50</t>
  </si>
  <si>
    <t>Lessingstrasse 68 87435 Kempten, Germany, Kempten (Allgäu), Kempten (Allgäu)</t>
  </si>
  <si>
    <t>10266715-10317632</t>
  </si>
  <si>
    <t>Haider</t>
  </si>
  <si>
    <t>EU-43539</t>
  </si>
  <si>
    <t>2026-06-09 09:30:17</t>
  </si>
  <si>
    <t>Hans-Brudl-Straße 3/2, Micheldorf, Micheldorf</t>
  </si>
  <si>
    <t>10268537-10319464</t>
  </si>
  <si>
    <t>Berry</t>
  </si>
  <si>
    <t>EU-43569</t>
  </si>
  <si>
    <t>2026-06-09 09:32:46</t>
  </si>
  <si>
    <t>Prinses Beatrixlaan 33, Leidschendam, Leidschendam</t>
  </si>
  <si>
    <t>2264 TG</t>
  </si>
  <si>
    <t>10268225-10319151</t>
  </si>
  <si>
    <t>Tatjana</t>
  </si>
  <si>
    <t>Jekic</t>
  </si>
  <si>
    <t>EU-43555</t>
  </si>
  <si>
    <t>2026-06-09 09:34:24</t>
  </si>
  <si>
    <t>Osteinstraße 1, Mainz, Mainz</t>
  </si>
  <si>
    <t>10268228-10319154</t>
  </si>
  <si>
    <t>Plättner</t>
  </si>
  <si>
    <t>EU-43558</t>
  </si>
  <si>
    <t>2026-06-09 09:36:14</t>
  </si>
  <si>
    <t>Richard-Taylor-Straße 84, Bremen, Bremen</t>
  </si>
  <si>
    <t>10268241-10319167</t>
  </si>
  <si>
    <t>Svenja</t>
  </si>
  <si>
    <t>Tuschka</t>
  </si>
  <si>
    <t>EU-43560</t>
  </si>
  <si>
    <t>2026-06-09 09:38:28</t>
  </si>
  <si>
    <t>Ziegelleite 10, Pirk, Pirk</t>
  </si>
  <si>
    <t>TOWLB-DES-LG-TANTIDE</t>
  </si>
  <si>
    <t>10269878-10320811</t>
  </si>
  <si>
    <t>Marlies</t>
  </si>
  <si>
    <t>Adamczyk</t>
  </si>
  <si>
    <t>EU-43582</t>
  </si>
  <si>
    <t>2026-06-09 10:05:42</t>
  </si>
  <si>
    <t>Kuilbergstraat, 29, Hasselt, Hasselt</t>
  </si>
  <si>
    <t>EYEMASK-DES-CHKOUT,PONCHA-CAB-MD-NAVY-NS,PONCHA-SUM-MD-LAZRIV,TOWLB-CAB-XL-KHAKI-R,TOWLB-CAB-XL-RED-R</t>
  </si>
  <si>
    <t>10262107-10312989</t>
  </si>
  <si>
    <t>Syed Ahmad</t>
  </si>
  <si>
    <t>Zimad</t>
  </si>
  <si>
    <t>EU-43470</t>
  </si>
  <si>
    <t>2026-06-09 10:11:06</t>
  </si>
  <si>
    <t>Grönegatan 16, lgh 1101, Lund, Lund</t>
  </si>
  <si>
    <t>222 24</t>
  </si>
  <si>
    <t>BAGDRY-XS-WYWH,PICNIC-DES-XL-MARGMAD,PONCHA-CAB-LG-BLUE-NS</t>
  </si>
  <si>
    <t>10269879-10320812</t>
  </si>
  <si>
    <t>Tynan</t>
  </si>
  <si>
    <t>EU-43581</t>
  </si>
  <si>
    <t>2026-06-09 10:14:12</t>
  </si>
  <si>
    <t>50 Ard na Greine, Banduff Rd, Ballyvolane, Cork, Cork</t>
  </si>
  <si>
    <t>T23 FE04</t>
  </si>
  <si>
    <t>TOWLB-CAB-XL-BLACK-R,TOWLB-CAB-XL-BLUE-R,TOWLB-DES-LG-SWTESC</t>
  </si>
  <si>
    <t>10269874-10320807</t>
  </si>
  <si>
    <t>Betül Ayça</t>
  </si>
  <si>
    <t>Cosar</t>
  </si>
  <si>
    <t>EU-43583</t>
  </si>
  <si>
    <t>2026-06-09 11:05:16</t>
  </si>
  <si>
    <t>Schleißheimer Straße 257, WG 60 4 Stock, München, München</t>
  </si>
  <si>
    <t>BAGDRY-XS-WYWH,BAGF-DES-MD-CHECKMT,TOWLB-DES-XL-BLUSPRIT,TOWLB-DES-XL-SUNSPL</t>
  </si>
  <si>
    <t>10253588-10304438</t>
  </si>
  <si>
    <t>LES TOILES DU SOLEIL</t>
  </si>
  <si>
    <t>MINELLA</t>
  </si>
  <si>
    <t>Franck</t>
  </si>
  <si>
    <t>EUWS-3173</t>
  </si>
  <si>
    <t>2026-06-09 11:06:18</t>
  </si>
  <si>
    <t>17 RUE DU PALAIS DES GUILHEM, MONTPELLIER, MONTPELLIER</t>
  </si>
  <si>
    <t>TOWLB-CAB-LG-BLUE-R,TOWLB-CAB-LG-LTBGE-R,TOWLB-CAB-LG-NAVY-R,TOWLB-CAB-XL-ORANG-R,TOWLB-DES-LG-TANTIDE,TOWLB-DES-LG-WYWH,TOWLB-SUM-LG-CSTCANDY,TOWLB-SUM-LG-MIAMI</t>
  </si>
  <si>
    <t>10270129-10321065</t>
  </si>
  <si>
    <t>Bahar</t>
  </si>
  <si>
    <t>Behzadi</t>
  </si>
  <si>
    <t>EU-42983</t>
  </si>
  <si>
    <t>2026-06-09 11:18:20</t>
  </si>
  <si>
    <t>Schoorenstrasse 5c, Uerikon, Uerikon</t>
  </si>
  <si>
    <t>BAGF-DES-MD-IBZAGLW,HAIRW-SUE-IBZAGLW,PONCHA-DES-MD-IBZAGLW,TOWLB-DES-XL-IBZAGLW</t>
  </si>
  <si>
    <t>10270136-10321072</t>
  </si>
  <si>
    <t>Minihane</t>
  </si>
  <si>
    <t>EU-43589</t>
  </si>
  <si>
    <t>2026-06-09 11:20:53</t>
  </si>
  <si>
    <t>Knockskeagh leap, Skibbereen, Cork, Cork</t>
  </si>
  <si>
    <t>P81 K795</t>
  </si>
  <si>
    <t>10270138-10321074</t>
  </si>
  <si>
    <t>Kati</t>
  </si>
  <si>
    <t>Kühnemund</t>
  </si>
  <si>
    <t>EU-43591</t>
  </si>
  <si>
    <t>2026-06-09 11:22:20</t>
  </si>
  <si>
    <t>Lohacker 10/10, 10, Rellingen, Rellingen</t>
  </si>
  <si>
    <t>TOWLB-CAB-LG-GREEN-R,TOWLB-DES-LG-MELLOW,TOWLB-KID-LG-SANDSTRT,TOWLB-SUM-MD-UNICN</t>
  </si>
  <si>
    <t>10270132-10321068</t>
  </si>
  <si>
    <t>Alessandra</t>
  </si>
  <si>
    <t>Guazzini</t>
  </si>
  <si>
    <t>EU-43588</t>
  </si>
  <si>
    <t>2026-06-09 11:23:36</t>
  </si>
  <si>
    <t>Via Pio Panfili, 13, Bissoli, Guazzini, BOLOGNA, Bologna</t>
  </si>
  <si>
    <t>TOWLB-DES-XL-ALOHGLW,TOWLB-DES-XL-IBZAGLW,TOWLB-DES-XL-KARMA,TOWLB-SUM-XL-TUTFRU</t>
  </si>
  <si>
    <t>10265292-10316187</t>
  </si>
  <si>
    <t>Armonik Ltd.</t>
  </si>
  <si>
    <t>Ivanova</t>
  </si>
  <si>
    <t>EUWS-3190</t>
  </si>
  <si>
    <t>2026-06-09 11:31:01</t>
  </si>
  <si>
    <t>bl13, Yordan Yovkov str, ap28, entrB, Sofia, Sofia</t>
  </si>
  <si>
    <t>PONCHK-KID-MD-JELLY,PONCHK-KID-SM-CAMOCUBE,PONCHK-KID-SM-KARMCHAM,PONCHK-KID-SM-TURTROP</t>
  </si>
  <si>
    <t>10270137-10321073</t>
  </si>
  <si>
    <t>Ken</t>
  </si>
  <si>
    <t>Daly</t>
  </si>
  <si>
    <t>EU-43590</t>
  </si>
  <si>
    <t>2026-06-09 11:33:28</t>
  </si>
  <si>
    <t>5 Rosewood, Whitechurch, Cork</t>
  </si>
  <si>
    <t>T34 YN15</t>
  </si>
  <si>
    <t>10270133-10321069</t>
  </si>
  <si>
    <t>siobhan</t>
  </si>
  <si>
    <t>harrahill</t>
  </si>
  <si>
    <t>EU-43587</t>
  </si>
  <si>
    <t>2026-06-09 11:34:54</t>
  </si>
  <si>
    <t>Ballyhane Templederry, Nenagh, Tipperary</t>
  </si>
  <si>
    <t>E45 DX80</t>
  </si>
  <si>
    <t>10270139-10321075</t>
  </si>
  <si>
    <t>Kirstin</t>
  </si>
  <si>
    <t>Dierdorf</t>
  </si>
  <si>
    <t>EU-43593</t>
  </si>
  <si>
    <t>2026-06-09 11:36:26</t>
  </si>
  <si>
    <t>Erasmusstraße 2, Berlin, Berlin</t>
  </si>
  <si>
    <t>10270135-10321071</t>
  </si>
  <si>
    <t>EU-43585</t>
  </si>
  <si>
    <t>2026-06-09 11:37:28</t>
  </si>
  <si>
    <t>Butterstream, Clane, Kildare, Kildare</t>
  </si>
  <si>
    <t>W91 Y072</t>
  </si>
  <si>
    <t>10269872-10320805</t>
  </si>
  <si>
    <t>Medivet GmbH</t>
  </si>
  <si>
    <t>Florian</t>
  </si>
  <si>
    <t>Neske</t>
  </si>
  <si>
    <t>EU-43584</t>
  </si>
  <si>
    <t>2026-06-09 11:39:19</t>
  </si>
  <si>
    <t>Monbijouplatz 5, Berlin, Berlin</t>
  </si>
  <si>
    <t>TOWLB-CAB-XL-BLUE-R,TOWLB-CAB-XL-LTBLU-R</t>
  </si>
  <si>
    <t>10270134-10321070</t>
  </si>
  <si>
    <t>Le Molaire</t>
  </si>
  <si>
    <t>EU-43586</t>
  </si>
  <si>
    <t>2026-06-09 11:40:55</t>
  </si>
  <si>
    <t>Schreibergasse, 4, Insheim, Insheim</t>
  </si>
  <si>
    <t>10270352-10321295</t>
  </si>
  <si>
    <t>Elitsa</t>
  </si>
  <si>
    <t>Marinova</t>
  </si>
  <si>
    <t>EU-43596</t>
  </si>
  <si>
    <t>2026-06-09 11:42:24</t>
  </si>
  <si>
    <t>Kroedhöfteplein 4, Enschede, Enschede</t>
  </si>
  <si>
    <t>7523 ZE</t>
  </si>
  <si>
    <t>BAGF-DES-MD-GROOVCH,TOWLB-DES-XL-LEMWAV</t>
  </si>
  <si>
    <t>10252306-10303137</t>
  </si>
  <si>
    <t>dorothee</t>
  </si>
  <si>
    <t>houba</t>
  </si>
  <si>
    <t>EU-43318</t>
  </si>
  <si>
    <t>2026-06-09 11:45:12</t>
  </si>
  <si>
    <t>Rue Du Chemin De Fer 4, Hannut, Hannut</t>
  </si>
  <si>
    <t>BAGF-SUM-MD-CSTCANDY,PONCHA-CAB-XL-LTPNK,PONCHA-SUM-LG-CSTCANDY,PONCHA-SUM-XL-UNICN,TOWLB-SUM-XL-COLAGN,TOWLB-SUM-XL-MIAMI,TOWLB-SUM-XL-OCEAN,TOWLB-SUM-XL-TUTFRU</t>
  </si>
  <si>
    <t>10270140-10321076</t>
  </si>
  <si>
    <t>sophie</t>
  </si>
  <si>
    <t>vantieghem</t>
  </si>
  <si>
    <t>EU-43592</t>
  </si>
  <si>
    <t>2026-06-09 11:50:21</t>
  </si>
  <si>
    <t>Jozef Huysmanslaan 31, Beersel, Beersel</t>
  </si>
  <si>
    <t>TOWLB-DES-XL-BLUSPRIT,TOWLB-DES-XL-LEMWAV,TOWLB-SUM-XL-COLAGN,TOWLB-SUM-XL-CSTCANDY,TOWLB-SUM-XL-MIAMI,TOWLB-SUM-XL-OCEAN</t>
  </si>
  <si>
    <t>10270356-10321299</t>
  </si>
  <si>
    <t>Steffi</t>
  </si>
  <si>
    <t>Heßbrüggen</t>
  </si>
  <si>
    <t>EU-43595</t>
  </si>
  <si>
    <t>2026-06-09 11:51:32</t>
  </si>
  <si>
    <t>Im Kirschgarten 7, Dassendorf, Dassendorf</t>
  </si>
  <si>
    <t>10270141-10321077</t>
  </si>
  <si>
    <t>McNamara</t>
  </si>
  <si>
    <t>EU-43594</t>
  </si>
  <si>
    <t>2026-06-09 11:55:51</t>
  </si>
  <si>
    <t>Moynoe, Scariff, Scariff, Clare</t>
  </si>
  <si>
    <t>V94 Y62H</t>
  </si>
  <si>
    <t>10270366-10321309</t>
  </si>
  <si>
    <t>Bomans</t>
  </si>
  <si>
    <t>EU-43599</t>
  </si>
  <si>
    <t>2026-06-09 12:00:43</t>
  </si>
  <si>
    <t>Gustaaf Garittestraat 26, Antwerpen, Antwerpen</t>
  </si>
  <si>
    <t>10270359-10321302</t>
  </si>
  <si>
    <t>Connors</t>
  </si>
  <si>
    <t>EU-43597</t>
  </si>
  <si>
    <t>2026-06-09 12:02:41</t>
  </si>
  <si>
    <t>35 Caiseal Na Rí, Cashel, Tipperary</t>
  </si>
  <si>
    <t>E25 Y300</t>
  </si>
  <si>
    <t>TOWLF-ESS-XL-BLUE-R,TOWLF-ESS-XL-DKBLU,TOWLF-ESS-XL-GREEN-R,TOWLF-ESS-XL-GREY-R,TOWLF-ESS-XL-LTPPL,TOWLF-ESS-XL-PINK-R</t>
  </si>
  <si>
    <t>10244892-10295586</t>
  </si>
  <si>
    <t>MÉTAMORPHOSE</t>
  </si>
  <si>
    <t>CECILE</t>
  </si>
  <si>
    <t>Sisco</t>
  </si>
  <si>
    <t>EUWS-3154</t>
  </si>
  <si>
    <t>2026-06-10 04:36:50</t>
  </si>
  <si>
    <t>8 rue Napoleon, L’ÎLE-ROUSSE, L’ÎLE-ROUSSE</t>
  </si>
  <si>
    <t xml:space="preserve">OWNPACK (x1), 16211 (x2) A-SCRUNCH-PAPER (x1) A-KRAFT-PAPER-TAPE (x2) </t>
  </si>
  <si>
    <t>BAGF-CAB-MD-NAVY,BAGF-DES-MD-SPRCLUB,BAGF-DES-MD-WAVYBBY,BAGF-DES-MD-WYWH,BAGF-SUM-MD-COLAGN,BAGF-SUM-MD-MIAMI,BAGF-SUM-MD-UNICN,POS-DIS-LG-FULL-TOWLB-EN-24,TOWLB-CAB-XL-KHAKI-R,TOWLB-CAB-XL-LTBLU-R,TOWLB-CAB-XL-LTPNK-R,TOWLB-DES-XL-WTRSUG,TOWLB-DES-XL-WYWH,TOWLB-DOB-XL-CALM,TOWLB-SUM-XL-CSTCANDY,TOWLB-SUM-XL-MIAMI,TOWLB-SUM-XL-RAINB-R,TOWLB-SUM-XL-TUTFRU,TOWLB-SUM-XL-UNICN-R</t>
  </si>
  <si>
    <t>10270369-10321312</t>
  </si>
  <si>
    <t>Tracy</t>
  </si>
  <si>
    <t>Fleming Hand</t>
  </si>
  <si>
    <t>EU-43600</t>
  </si>
  <si>
    <t>2026-06-10 04:58:51</t>
  </si>
  <si>
    <t>Ballincurrig, Courtmacsherry, Bandon, Cork</t>
  </si>
  <si>
    <t>P72 DK49</t>
  </si>
  <si>
    <t>BAGF-DES-MD-GROOVCH,BAGTOI-MD-CHRYBMB,HAIRW-SUE-MIAMI,HAIRW-SUM-UNICN-NB,TOWLB-DES-XL-BLUSPRIT,TOWLB-DES-XL-LEMWAV,TOWLB-SUM-XL-COLAGN,TOWLB-SUM-XL-MIAMI</t>
  </si>
  <si>
    <t>10264800-10315687</t>
  </si>
  <si>
    <t>Sinja</t>
  </si>
  <si>
    <t>Rieck</t>
  </si>
  <si>
    <t>EU-43508</t>
  </si>
  <si>
    <t>2026-06-10 05:00:50</t>
  </si>
  <si>
    <t>Sattlerstraße 9, H'kirchen-Siegertsbrunn, Höhenkirchen-Siegertsbrunn</t>
  </si>
  <si>
    <t>PONCHA-CLA-LG-NAVY-NS,TOWLF-ESS-LG-DKBLU,TOWLF-ESS-LG-GREY-R</t>
  </si>
  <si>
    <t>10219130-10269419</t>
  </si>
  <si>
    <t>Friel</t>
  </si>
  <si>
    <t>EU-42853</t>
  </si>
  <si>
    <t>2026-06-10 05:03:12</t>
  </si>
  <si>
    <t>Loughross, Milford, Milford, Donegal</t>
  </si>
  <si>
    <t>F92 D254</t>
  </si>
  <si>
    <t>TOWLB-CAB-LG-PINK-R,TOWLB-DES-LG-BLUSKY,TOWLB-DES-LG-PNKPARA,TOWLB-DES-LG-PSTPIER</t>
  </si>
  <si>
    <t>10271086-10322047</t>
  </si>
  <si>
    <t>Theodoulos</t>
  </si>
  <si>
    <t>Moreas</t>
  </si>
  <si>
    <t>EU-43604</t>
  </si>
  <si>
    <t>2026-06-10 05:05:10</t>
  </si>
  <si>
    <t>Lefkou Anastasiadi 24, Nicosia, Nicosia</t>
  </si>
  <si>
    <t>TOWLB-CAB-LG-BLACK-R,TOWLB-CAB-LG-KHAKI-R,TOWLB-CAB-LG-LTGRY-R,TOWLB-CAB-LG-NAVY-R</t>
  </si>
  <si>
    <t>10253978-10304833</t>
  </si>
  <si>
    <t>Guillarme</t>
  </si>
  <si>
    <t>EU-43349</t>
  </si>
  <si>
    <t>2026-06-10 05:06:51</t>
  </si>
  <si>
    <t>47 rue de la republique, La Talaudiere, La Talaudiere</t>
  </si>
  <si>
    <t>HAIRW-SUE-MIAMI,TEATWL-MD-DINPRTY,TOWLB-SUM-LG-MIAMI</t>
  </si>
  <si>
    <t>10272828-10323822</t>
  </si>
  <si>
    <t>Behaviour Detectives</t>
  </si>
  <si>
    <t>Virge</t>
  </si>
  <si>
    <t>Connery</t>
  </si>
  <si>
    <t>EU-43624</t>
  </si>
  <si>
    <t>2026-06-10 05:47:20</t>
  </si>
  <si>
    <t>18 William St, Killenny, Kilkenny, Kilkenny</t>
  </si>
  <si>
    <t>R95 DR90</t>
  </si>
  <si>
    <t>10272829-10323823</t>
  </si>
  <si>
    <t>Hayley</t>
  </si>
  <si>
    <t>Devlin</t>
  </si>
  <si>
    <t>EU-43623</t>
  </si>
  <si>
    <t>2026-06-10 05:50:10</t>
  </si>
  <si>
    <t>2 Glenville Lawn, Clonsilla, Dublin, Dublin</t>
  </si>
  <si>
    <t>D15 A3NX</t>
  </si>
  <si>
    <t>TOWLB-CAB-LG-LTPNK-R,TOWLB-DES-LG-BLUSPRIT,TOWLB-DES-LG-MELLOW</t>
  </si>
  <si>
    <t>10271468-10322441</t>
  </si>
  <si>
    <t>EU-43610</t>
  </si>
  <si>
    <t>2026-06-10 05:53:14</t>
  </si>
  <si>
    <t>1 Ashbury, Cork Rd, Carrigaline, Cork</t>
  </si>
  <si>
    <t>P43 RD90</t>
  </si>
  <si>
    <t>BALLAST-SUM-MIAMI,DOGTWL-MD-K9CAMO,TOWLB-SUM-XL-COLAGN,TOWLB-SUM-XL-MIAMI,TOWLB-SUM-XL-OCEAN,TOWLB-SUM-XL-TUTFRU</t>
  </si>
  <si>
    <t>10271869-10322852</t>
  </si>
  <si>
    <t>Goossens</t>
  </si>
  <si>
    <t>EU-43614</t>
  </si>
  <si>
    <t>2026-06-10 05:54:40</t>
  </si>
  <si>
    <t>Thonetlaan 76, Antwerpen, Antwerpen</t>
  </si>
  <si>
    <t>TOWLB-DES-XL-BLUSPRIT,TOWLB-DES-XL-LEMWAV,TOWLB-SUM-XL-COLAGN</t>
  </si>
  <si>
    <t>10258401-10309272</t>
  </si>
  <si>
    <t>Mrs</t>
  </si>
  <si>
    <t>Griffin</t>
  </si>
  <si>
    <t>EU-43418</t>
  </si>
  <si>
    <t>2026-06-10 05:58:08</t>
  </si>
  <si>
    <t>28 Deerpark, Crossmolina, Crossmolina, Mayo</t>
  </si>
  <si>
    <t>F26 F2P5</t>
  </si>
  <si>
    <t>PONCHK-CAB-MD-BLUE-NS</t>
  </si>
  <si>
    <t>10271082-10322043</t>
  </si>
  <si>
    <t>Köper</t>
  </si>
  <si>
    <t>EU-43161</t>
  </si>
  <si>
    <t>2026-06-10 06:00:07</t>
  </si>
  <si>
    <t>An Der Bergkoppel 4, Hamburg, Hamburg</t>
  </si>
  <si>
    <t>10272247-10323233</t>
  </si>
  <si>
    <t>028-8610522-0421102</t>
  </si>
  <si>
    <t>2026-06-10 06:01:16</t>
  </si>
  <si>
    <t>10270841-10321798</t>
  </si>
  <si>
    <t>Salvatore</t>
  </si>
  <si>
    <t>Casale</t>
  </si>
  <si>
    <t>EU-43602</t>
  </si>
  <si>
    <t>2026-06-10 06:01:58</t>
  </si>
  <si>
    <t>Rua Pioneiros 5, Aroeira, Setúbal</t>
  </si>
  <si>
    <t>2820-115</t>
  </si>
  <si>
    <t>10272825-10323819</t>
  </si>
  <si>
    <t>Eilish</t>
  </si>
  <si>
    <t>Cotter</t>
  </si>
  <si>
    <t>EU-43621</t>
  </si>
  <si>
    <t>2026-06-10 06:02:56</t>
  </si>
  <si>
    <t>Lacca east, Kilmorna, Listowel, Kerry</t>
  </si>
  <si>
    <t>V31 ET20</t>
  </si>
  <si>
    <t>10271672-10322653</t>
  </si>
  <si>
    <t>EU-43613</t>
  </si>
  <si>
    <t>2026-06-10 06:03:57</t>
  </si>
  <si>
    <t>HAIRW-SUE-IBZAGLW</t>
  </si>
  <si>
    <t>10218867-10269152</t>
  </si>
  <si>
    <t>Cornelia</t>
  </si>
  <si>
    <t>Frank</t>
  </si>
  <si>
    <t>306-0348699-8489913</t>
  </si>
  <si>
    <t>2026-06-10 06:04:30</t>
  </si>
  <si>
    <t>Franz-Xaver-Lenderstr6, Achern, Baden-Wuerttemberg</t>
  </si>
  <si>
    <t>COOL-CAB-NAVY-R</t>
  </si>
  <si>
    <t>10271077-10322038</t>
  </si>
  <si>
    <t>Marcella</t>
  </si>
  <si>
    <t>Fili</t>
  </si>
  <si>
    <t>402-1651391-2949109</t>
  </si>
  <si>
    <t>2026-06-10 06:04:39</t>
  </si>
  <si>
    <t>Via Jacopo da Mandra, 50, REGGIO EMILIA, Reggio Emilia</t>
  </si>
  <si>
    <t>10272245-10323231</t>
  </si>
  <si>
    <t>Susana</t>
  </si>
  <si>
    <t>Mesquita</t>
  </si>
  <si>
    <t>EU-43617</t>
  </si>
  <si>
    <t>2026-06-10 06:05:36</t>
  </si>
  <si>
    <t>Citerstraat 3f, Rijswijk, Rijswijk</t>
  </si>
  <si>
    <t>2287 EP</t>
  </si>
  <si>
    <t>BAGF-SUM-MD-COLAGN</t>
  </si>
  <si>
    <t>10272246-10323232</t>
  </si>
  <si>
    <t>EU-43618</t>
  </si>
  <si>
    <t>2026-06-10 06:06:23</t>
  </si>
  <si>
    <t>TOWLB-DES-XL-MELLOW,TOWLB-SUM-XL-OCEAN</t>
  </si>
  <si>
    <t>10270644-10321595</t>
  </si>
  <si>
    <t>EU-43601</t>
  </si>
  <si>
    <t>2026-06-10 06:07:59</t>
  </si>
  <si>
    <t>Boskouterstraat 80, Kerkom, Kerkom</t>
  </si>
  <si>
    <t>10271080-10322041</t>
  </si>
  <si>
    <t>Georgina</t>
  </si>
  <si>
    <t>Unanue</t>
  </si>
  <si>
    <t>EU-43119</t>
  </si>
  <si>
    <t>2026-06-10 06:09:20</t>
  </si>
  <si>
    <t>Austrasse 54, Zürich, Zürich</t>
  </si>
  <si>
    <t>PICNIC-DES-XL-BRGTSIDE,PONCHA-CAB-MD-LTPNK-NS</t>
  </si>
  <si>
    <t>10271285-10322251</t>
  </si>
  <si>
    <t>Annabel</t>
  </si>
  <si>
    <t>Pfifferling</t>
  </si>
  <si>
    <t>EU-43609</t>
  </si>
  <si>
    <t>2026-06-10 06:10:02</t>
  </si>
  <si>
    <t>Preußenstr 11a, München, München</t>
  </si>
  <si>
    <t>10271866-10322849</t>
  </si>
  <si>
    <t>Conor</t>
  </si>
  <si>
    <t>O’Flaherty</t>
  </si>
  <si>
    <t>EU-43611</t>
  </si>
  <si>
    <t>2026-06-10 06:11:59</t>
  </si>
  <si>
    <t>Barrettstown, Sallins, Kildare</t>
  </si>
  <si>
    <t>W91 V2T1</t>
  </si>
  <si>
    <t>TOWLB-DES-XL-BLUSPRIT,TOWLB-DES-XL-SUNSPL</t>
  </si>
  <si>
    <t>10271084-10322045</t>
  </si>
  <si>
    <t>Wohnpalette</t>
  </si>
  <si>
    <t>Bosch</t>
  </si>
  <si>
    <t>EUWS-3192</t>
  </si>
  <si>
    <t>2026-06-10 06:15:54</t>
  </si>
  <si>
    <t>Reichenbachstraße 28, München, München</t>
  </si>
  <si>
    <t>TOWLB-CAB-XL-BLUE-R,TOWLB-SUM-LG-MIAMI</t>
  </si>
  <si>
    <t>10272827-10323821</t>
  </si>
  <si>
    <t>Coralie</t>
  </si>
  <si>
    <t>Covi</t>
  </si>
  <si>
    <t>EU-43622</t>
  </si>
  <si>
    <t>2026-06-10 06:17:16</t>
  </si>
  <si>
    <t>47A Route dEsch, Fennange, Fennange</t>
  </si>
  <si>
    <t>TOWLB-CAB-LG-BLACK-R,TOWLB-CAB-LG-YELL-R</t>
  </si>
  <si>
    <t>10271087-10322048</t>
  </si>
  <si>
    <t>Steinrock</t>
  </si>
  <si>
    <t>EU-43603</t>
  </si>
  <si>
    <t>2026-06-10 06:18:41</t>
  </si>
  <si>
    <t>Oeverseestraße 10, Hamburg, Hamburg</t>
  </si>
  <si>
    <t>10272045-10323030</t>
  </si>
  <si>
    <t>Lievense</t>
  </si>
  <si>
    <t>EU-43616</t>
  </si>
  <si>
    <t>2026-06-10 06:19:57</t>
  </si>
  <si>
    <t>Schubertlaan 15, Goes, Goes</t>
  </si>
  <si>
    <t>4462 KA</t>
  </si>
  <si>
    <t>BAGF-DES-MD-GROOVCH,TOWLB-CAB-XL-KHAKI-R</t>
  </si>
  <si>
    <t>10270362-10321305</t>
  </si>
  <si>
    <t>Jan Künster Art Collection</t>
  </si>
  <si>
    <t>Milca Elisabeth</t>
  </si>
  <si>
    <t>Künster</t>
  </si>
  <si>
    <t>EU-43598</t>
  </si>
  <si>
    <t>2026-06-10 06:23:41</t>
  </si>
  <si>
    <t>Gudenauer Weg 75, Bonn, Ippendorf, Bonn, Ippendorf</t>
  </si>
  <si>
    <t>10271284-10322250</t>
  </si>
  <si>
    <t>Marco</t>
  </si>
  <si>
    <t>Di Girolamo</t>
  </si>
  <si>
    <t>EU-43608</t>
  </si>
  <si>
    <t>2026-06-10 06:25:11</t>
  </si>
  <si>
    <t>Calle Obispo Herrera Oria 1, Apartamentos Alicia 1F, Benalmádena, Málaga</t>
  </si>
  <si>
    <t>10271089-10322050</t>
  </si>
  <si>
    <t>Dunning</t>
  </si>
  <si>
    <t>EU-43607</t>
  </si>
  <si>
    <t>2026-06-10 07:02:34</t>
  </si>
  <si>
    <t>1 Sorrel Heath, Clonsilla, Dublin 15, Dublin</t>
  </si>
  <si>
    <t>D15 K4W0</t>
  </si>
  <si>
    <t>TOWLB-DES-XL-HOTTROP,TOWLB-DES-XL-IBZAGLW</t>
  </si>
  <si>
    <t>10271088-10322049</t>
  </si>
  <si>
    <t>Sanja</t>
  </si>
  <si>
    <t>Janjic</t>
  </si>
  <si>
    <t>EU-43606</t>
  </si>
  <si>
    <t>2026-06-10 07:09:18</t>
  </si>
  <si>
    <t>Rue du Nord 35, Bte 34, Bruxelles, Bruxelles</t>
  </si>
  <si>
    <t>TOWLB-CAB-XL-BLACK-R,TOWLB-CAB-XL-GREEN-R</t>
  </si>
  <si>
    <t>10269869-10320802</t>
  </si>
  <si>
    <t>Drumgoole</t>
  </si>
  <si>
    <t>EU-43580</t>
  </si>
  <si>
    <t>2026-06-10 07:17:47</t>
  </si>
  <si>
    <t>15 Croydon Terrace, Marino, Dublin</t>
  </si>
  <si>
    <t>D03 V525</t>
  </si>
  <si>
    <t>TOWLB-CAB-XL-GREEN-R,TOWLB-SUM-XL-TUTFRU</t>
  </si>
  <si>
    <t>10273795-10324791</t>
  </si>
  <si>
    <t>Irmgard</t>
  </si>
  <si>
    <t>Marx</t>
  </si>
  <si>
    <t>EU-43630</t>
  </si>
  <si>
    <t>2026-06-10 08:05:21</t>
  </si>
  <si>
    <t>Vilbeler Landstraße 162f, 2Stock, Frankfurt, Frankfurt</t>
  </si>
  <si>
    <t>TOWLF-ESS-LG-PINK-R</t>
  </si>
  <si>
    <t>10273794-10324790</t>
  </si>
  <si>
    <t>Lemaire</t>
  </si>
  <si>
    <t>EU-43629</t>
  </si>
  <si>
    <t>2026-06-10 08:06:27</t>
  </si>
  <si>
    <t>Kaiserstraße 56, Mainz, Mainz</t>
  </si>
  <si>
    <t>10272543-10323533</t>
  </si>
  <si>
    <t>Kronshagen</t>
  </si>
  <si>
    <t>EU-43619</t>
  </si>
  <si>
    <t>2026-06-10 08:16:08</t>
  </si>
  <si>
    <t>18, An Decker, Eselborn, Eselborn</t>
  </si>
  <si>
    <t>TOWLB-DES-LG-ALOHGLW,TOWLB-DES-XL-BLUSPRIT,TOWLB-DES-XL-LEMWAV,TOWLB-KID-LG-GVCLUB,TOWLB-KID-LG-KARMCHAM,TOWLB-SUM-XL-COLAGN,TOWLB-SUM-XL-MIAMI</t>
  </si>
  <si>
    <t>10273031-10324026</t>
  </si>
  <si>
    <t>Edghill</t>
  </si>
  <si>
    <t>EU-43627</t>
  </si>
  <si>
    <t>2026-06-10 08:18:49</t>
  </si>
  <si>
    <t>15 Grangemore Crescent, Donaghmede, Dublin 13, Dublin</t>
  </si>
  <si>
    <t>D13 Y1X5</t>
  </si>
  <si>
    <t>TOWLB-SUM-XL-MIAMI,TOWLF-ESS-XL-DKBLU</t>
  </si>
  <si>
    <t>10273514-10324510</t>
  </si>
  <si>
    <t>Johanna</t>
  </si>
  <si>
    <t>Lotz</t>
  </si>
  <si>
    <t>EU-43628</t>
  </si>
  <si>
    <t>2026-06-10 08:20:07</t>
  </si>
  <si>
    <t>Herrenweg 14, Frammersbach, Frammersbach</t>
  </si>
  <si>
    <t>PONCHA-DES-MD-IBZAGLW,PONCHA-SUM-MD-CSTCANDY,PONCHA-SUM-MD-UNICN-NS</t>
  </si>
  <si>
    <t>10273030-10324025</t>
  </si>
  <si>
    <t>Tobin</t>
  </si>
  <si>
    <t>EU-43625</t>
  </si>
  <si>
    <t>2026-06-10 08:24:27</t>
  </si>
  <si>
    <t>9 Clonbrock Court, Retreat Rd, Athlobe, Westmeath</t>
  </si>
  <si>
    <t>N37 AV82</t>
  </si>
  <si>
    <t>COOL-DES-MIDNMOV,PONCHA-CLA-LG-NAVY-NS,TOWLF-ESS-XL-DKBLU</t>
  </si>
  <si>
    <t>10256277-10307142</t>
  </si>
  <si>
    <t>Watt Bis</t>
  </si>
  <si>
    <t>Sandrine</t>
  </si>
  <si>
    <t>Legrix</t>
  </si>
  <si>
    <t>EUWS-3187</t>
  </si>
  <si>
    <t>2026-06-10 08:38:41</t>
  </si>
  <si>
    <t>3 Rue du Commandant-Thoreux, Saint-Briac-sur-Mer, Saint-Briac-sur-Mer</t>
  </si>
  <si>
    <t xml:space="preserve">16211 (x4), OWNPACK (x1) A-SCRUNCH-PAPER (x1) A-KRAFT-PAPER-TAPE (x2) </t>
  </si>
  <si>
    <t>BAGCOOL-MD-APPLTRT,BAGCOOL-MD-COLCLUB,BAGCOOL-MD-NAVY,BAGDRY-XS-NAVY,HAIRW-CAB-LTPNK-NB,HAIRW-SUE-MIAMI,HAIRW-SUE-SURFCHK,HAIRW-WAF-CHRYBMB,PONCHA-CAB-LG-NAVY-NS,PONCHA-CAB-MD-NAVY-NS,PONCHA-CAB-XL-NAVY,PONCHA-SUM-LG-CSTCANDY,PONCHA-SUM-LG-LAZRIV,PONCHA-SUM-MD-CSTCANDY,PONCHK-CAB-MD-LTPNK-NS,PONCHK-CAB-MD-NAVY-NS,PONCHK-CAB-SM-LTPNK-NS,PONCHK-CAB-SM-NAVY-NS,PONCHK-SUM-MD-CSTCANDY,PONCHK-SUM-SM-CSTCANDY,POS-DIS-SM-FULL-HAIRW-EN-24,TEATWL-MD-SHRIMP,TOWLB-CAB-LG-NAVY-R,TOWLB-CAB-XL-KHAKI-R,TOWLB-CAB-XL-LTPNK-R,TOWLB-SUM-XL-COLAGN,TOWLB-SUM-XL-CSTCANDY,TOWLB-SUM-XL-MIAMI</t>
  </si>
  <si>
    <t>10274147-10325144</t>
  </si>
  <si>
    <t>Van Renterghem</t>
  </si>
  <si>
    <t>EU-43636</t>
  </si>
  <si>
    <t>2026-06-10 10:08:53</t>
  </si>
  <si>
    <t>Pontweg 128, Gavere, Gavere</t>
  </si>
  <si>
    <t>10273967-10324963</t>
  </si>
  <si>
    <t>Carine</t>
  </si>
  <si>
    <t>Dejonghe</t>
  </si>
  <si>
    <t>EU-43631</t>
  </si>
  <si>
    <t>2026-06-10 10:10:39</t>
  </si>
  <si>
    <t>Molenheide 4, Wijnegem, Wijnegem</t>
  </si>
  <si>
    <t>10273969-10324965</t>
  </si>
  <si>
    <t>Dinara</t>
  </si>
  <si>
    <t>Sadibekova</t>
  </si>
  <si>
    <t>EU-43634</t>
  </si>
  <si>
    <t>2026-06-10 10:11:43</t>
  </si>
  <si>
    <t>14 Parc Rothweit, Alzingen, Alzingen</t>
  </si>
  <si>
    <t xml:space="preserve">16214 (x1) A-SCRUNCH-PAPER (x1) A-KRAFT-PAPER-TAPE (x2) </t>
  </si>
  <si>
    <t>TOWLB-CAB-MD-NAVY</t>
  </si>
  <si>
    <t>10274152-10325149</t>
  </si>
  <si>
    <t>Vartanova</t>
  </si>
  <si>
    <t>EU-43639</t>
  </si>
  <si>
    <t>2026-06-10 10:13:40</t>
  </si>
  <si>
    <t>Kyriakou Matsi 53, 501, Nicosia, Nicosia</t>
  </si>
  <si>
    <t>10265543-10316446</t>
  </si>
  <si>
    <t>Porte Plume</t>
  </si>
  <si>
    <t>Benedicte</t>
  </si>
  <si>
    <t>Ardilouze</t>
  </si>
  <si>
    <t>EUWS-3193</t>
  </si>
  <si>
    <t>2026-06-10 10:19:54</t>
  </si>
  <si>
    <t>10 Rue Gambetta, Saint Jean De Luz, Saint Jean De Luz</t>
  </si>
  <si>
    <t>BAGDRY-XS-HOTTROP,BAGDRY-XS-NAVY,BAGDRY-XS-WYWH,BAGF-DES-MD-IBZAGLW,BAGF-DES-MD-SPRCLUB,BAGF-DES-MD-WTRSUG,BAGF-DES-MD-WYWH,TOWLB-CAB-XL-GREEN-R,TOWLB-CAB-XL-RED-R,TOWLB-CAB-XL-YELL-R,TOWLB-DES-XL-GRECSHR,TOWLB-DES-XL-HOTTROP,TOWLB-DES-XL-IBZAGLW,TOWLB-DES-XL-MELLOW,TOWLB-SUM-XL-COLAGN,TOWLB-SUM-XL-CSTCANDY,TOWLB-SUM-XL-MIAMI,TOWLB-SUM-XL-TUTFRU,TOWLB-SUM-XL-UNICN-R</t>
  </si>
  <si>
    <t>10272544-10323534</t>
  </si>
  <si>
    <t>EU-43620</t>
  </si>
  <si>
    <t>2026-06-10 11:22:35</t>
  </si>
  <si>
    <t>COOL-DES-SUNSRUN,PONCHK-KID-MD-GVCLUB,PONCHK-KID-MD-JELLY,PONCHK-KID-SM-KARMCHAM</t>
  </si>
  <si>
    <t>10274441-10325442</t>
  </si>
  <si>
    <t>Brophy</t>
  </si>
  <si>
    <t>EU-43643</t>
  </si>
  <si>
    <t>2026-06-10 11:26:53</t>
  </si>
  <si>
    <t>Kellistown Farm, Kellistown, Carlow, Carlow</t>
  </si>
  <si>
    <t>R93 XE98</t>
  </si>
  <si>
    <t>BAGF-SUM-MD-COLAGN,PONCHA-CAB-MD-LTPNK-NS,PONCHA-SUM-LG-CSTCANDY,PONCHA-SUM-MD-LAZRIV,TOWLB-CAB-XL-BLUE-R,TOWLB-CAB-XL-GREEN-R,TOWLB-CAB-XL-RED-R,TOWLB-CAB-XL-YELL-R</t>
  </si>
  <si>
    <t>10274442-10325443</t>
  </si>
  <si>
    <t>Solivija</t>
  </si>
  <si>
    <t>Bakaite</t>
  </si>
  <si>
    <t>EU-43642</t>
  </si>
  <si>
    <t>2026-06-10 11:28:06</t>
  </si>
  <si>
    <t>Deurningerstraat 136-46, Enschede, Enschede</t>
  </si>
  <si>
    <t>7522 CG</t>
  </si>
  <si>
    <t>BAGF-DES-MD-GROOVCH,TOWLB-DES-XL-LEMWAV,TOWLB-SUM-XL-MIAMI</t>
  </si>
  <si>
    <t>10274438-10325439</t>
  </si>
  <si>
    <t>EU-43640</t>
  </si>
  <si>
    <t>2026-06-10 11:30:34</t>
  </si>
  <si>
    <t>Weinbergstrasse 6, Leonberg, Leonberg</t>
  </si>
  <si>
    <t>10274725-10325734</t>
  </si>
  <si>
    <t>Bell</t>
  </si>
  <si>
    <t>EU-43646</t>
  </si>
  <si>
    <t>2026-06-10 11:51:03</t>
  </si>
  <si>
    <t>59 Laraghcon, Lucan, Dublin</t>
  </si>
  <si>
    <t>K78 W6R7</t>
  </si>
  <si>
    <t>BAGF-SUM-MD-CSTCANDY,TOWLB-DES-XL-BLUSPRIT,TOWLB-DES-XL-LEMWAV,TOWLB-SUM-XL-COLAGN,TOWLB-SUM-XL-MIAMI</t>
  </si>
  <si>
    <t>10274722-10325731</t>
  </si>
  <si>
    <t>Gilligan</t>
  </si>
  <si>
    <t>EU-43644</t>
  </si>
  <si>
    <t>2026-06-10 11:52:15</t>
  </si>
  <si>
    <t>6 Mount Bellew Crescent, Lucan, Dublin</t>
  </si>
  <si>
    <t>K78 Y525</t>
  </si>
  <si>
    <t>BAGTOI-MD-CHRYBMB</t>
  </si>
  <si>
    <t>10274727-10325736</t>
  </si>
  <si>
    <t>Marijke</t>
  </si>
  <si>
    <t>Van Holen</t>
  </si>
  <si>
    <t>EU-43645</t>
  </si>
  <si>
    <t>2026-06-10 12:15:43</t>
  </si>
  <si>
    <t>Heirbaan 36B, Galmaarden, Galmaarden</t>
  </si>
  <si>
    <t>TOWLB-CAB-XL-LTBGE-R,TOWLB-CAB-XL-LTPNK-R,TOWLB-CAB-XL-LTPPL-R,TOWLB-CAB-XL-YELL-R</t>
  </si>
  <si>
    <t>10273971-10324967</t>
  </si>
  <si>
    <t>Hanne</t>
  </si>
  <si>
    <t>Wauters</t>
  </si>
  <si>
    <t>EU-43635</t>
  </si>
  <si>
    <t>2026-06-10 12:17:27</t>
  </si>
  <si>
    <t>Zandkuilstraat 7, A, Hoeselt, Hoeselt</t>
  </si>
  <si>
    <t>TOWLB-CAB-XL-KHAKI-R,TOWLB-CAB-XL-LTBGE-R,TOWLB-CAB-XL-LTPNK-R,TOWLB-DES-XL-MELLOW</t>
  </si>
  <si>
    <t>10274150-10325147</t>
  </si>
  <si>
    <t>Juliette</t>
  </si>
  <si>
    <t>Sanders</t>
  </si>
  <si>
    <t>EU-43637</t>
  </si>
  <si>
    <t>2026-06-10 12:18:58</t>
  </si>
  <si>
    <t>Duivenlaar 1, Bavel, Bavel</t>
  </si>
  <si>
    <t>4854 GK</t>
  </si>
  <si>
    <t>TOWLB-CAB-LG-LTPNK-R,TOWLB-CAB-XL-LTBGE-R,TOWLB-CAB-XL-LTPPL-R,TOWLB-SUM-LG-UNICN-R</t>
  </si>
  <si>
    <t>10274994-10326012</t>
  </si>
  <si>
    <t>Hijmans</t>
  </si>
  <si>
    <t>EU-43648</t>
  </si>
  <si>
    <t>2026-06-10 12:22:03</t>
  </si>
  <si>
    <t>Pj oudplein, 37, Zwijndrecht, Zwijndrecht</t>
  </si>
  <si>
    <t>3332 XH</t>
  </si>
  <si>
    <t>BAGF-DES-MD-CHECKMT,BAGF-DES-MD-GROOVCH,TOWLB-SUM-XL-COLAGN,TOWLB-SUM-XL-MIAMI,TOWLB-SUM-XL-OCEAN,TOWLB-SUM-XL-TUTFRU</t>
  </si>
  <si>
    <t>10274439-10325440</t>
  </si>
  <si>
    <t>Kühn</t>
  </si>
  <si>
    <t>EU-43641</t>
  </si>
  <si>
    <t>2026-06-10 12:23:25</t>
  </si>
  <si>
    <t>Ortsstraße 65, Blankenhain, Blankenhain</t>
  </si>
  <si>
    <t>BAGF-SUM-MD-COLAGN,BAGF-SUM-MD-CSTCANDY,BAGF-SUM-MD-MIAMI,BALLAST-SUM-CSTCANDY</t>
  </si>
  <si>
    <t>10273970-10324966</t>
  </si>
  <si>
    <t>Dova</t>
  </si>
  <si>
    <t>EU-43633</t>
  </si>
  <si>
    <t>2026-06-10 12:27:51</t>
  </si>
  <si>
    <t>Via Filippo Turati 6, Appartamento 23, Milano, Milano</t>
  </si>
  <si>
    <t>10273968-10324964</t>
  </si>
  <si>
    <t>Dr</t>
  </si>
  <si>
    <t>Nicola de Taranto</t>
  </si>
  <si>
    <t>EU-43632</t>
  </si>
  <si>
    <t>2026-06-10 12:28:53</t>
  </si>
  <si>
    <t>The Farmhouse, Magheramore, Oughterard, Galway</t>
  </si>
  <si>
    <t>H91 CK7D</t>
  </si>
  <si>
    <t>10274993-10326011</t>
  </si>
  <si>
    <t>Raitor</t>
  </si>
  <si>
    <t>EU-43649</t>
  </si>
  <si>
    <t>2026-06-10 12:31:27</t>
  </si>
  <si>
    <t>Karl-Herbert-Scheer-Straße 8, Friedrichsdorf, Friedrichsdorf</t>
  </si>
  <si>
    <t>10274995-10326013</t>
  </si>
  <si>
    <t>Isabella</t>
  </si>
  <si>
    <t>Witter</t>
  </si>
  <si>
    <t>EU-43647</t>
  </si>
  <si>
    <t>2026-06-10 12:34:33</t>
  </si>
  <si>
    <t>Ottostraße 38, 3, Ottobrunn, Ottobrunn</t>
  </si>
  <si>
    <t>10229311-10279674</t>
  </si>
  <si>
    <t>Klaudija</t>
  </si>
  <si>
    <t>Zivkovic</t>
  </si>
  <si>
    <t>EU-43004</t>
  </si>
  <si>
    <t>2026-06-10 12:49:41</t>
  </si>
  <si>
    <t>Karolingerstraße 62, Düsseldorf, Düsseldorf</t>
  </si>
  <si>
    <t>BAGF-DES-MD-IBZAGLW,TOWLB-DES-XL-MELLOW</t>
  </si>
  <si>
    <t>10275302-10326344</t>
  </si>
  <si>
    <t>Anda</t>
  </si>
  <si>
    <t>Pătru</t>
  </si>
  <si>
    <t>EU-43650</t>
  </si>
  <si>
    <t>2026-06-10 12:50:46</t>
  </si>
  <si>
    <t>Krugstraße 65, Nürnberg, Nürnberg</t>
  </si>
  <si>
    <t>10276890-10327970</t>
  </si>
  <si>
    <t>Geurtz</t>
  </si>
  <si>
    <t>EU-43669</t>
  </si>
  <si>
    <t>2026-06-11 04:54:14</t>
  </si>
  <si>
    <t>Hartogstr 23, Goch, Goch</t>
  </si>
  <si>
    <t>HAIRW-SUE-MIAMI,TOWLB-SUM-XL-MIAMI</t>
  </si>
  <si>
    <t>10276887-10327967</t>
  </si>
  <si>
    <t>Maiske</t>
  </si>
  <si>
    <t>Noppen</t>
  </si>
  <si>
    <t>EU-43662</t>
  </si>
  <si>
    <t>2026-06-11 04:56:07</t>
  </si>
  <si>
    <t>Willy Staeslei 78, Antwerpen, Antwerpen</t>
  </si>
  <si>
    <t>TOWLB-DES-XL-ALOHGLW,TOWLB-SUM-MD-UNICN</t>
  </si>
  <si>
    <t>10276318-10327393</t>
  </si>
  <si>
    <t>Amort</t>
  </si>
  <si>
    <t>EU-43658</t>
  </si>
  <si>
    <t>2026-06-11 04:57:14</t>
  </si>
  <si>
    <t>Krakaustr 1, Eingang Seite Kasernenstraße, Aachen, Aachen</t>
  </si>
  <si>
    <t>BALLAST-SUM-CSTCANDY,TOWLB-SUM-XL-CSTCANDY</t>
  </si>
  <si>
    <t>10276317-10327392</t>
  </si>
  <si>
    <t>Krista</t>
  </si>
  <si>
    <t>Mitros</t>
  </si>
  <si>
    <t>EU-43659</t>
  </si>
  <si>
    <t>2026-06-11 04:58:20</t>
  </si>
  <si>
    <t>Eleftheri Margaritiou, Eleutherio Margaritiou, Eleutherio Margaritiou</t>
  </si>
  <si>
    <t>460 30</t>
  </si>
  <si>
    <t>TOWLB-DES-LG-HOTTROP,TOWLB-SUM-LG-OCEAN</t>
  </si>
  <si>
    <t>10276888-10327968</t>
  </si>
  <si>
    <t>Wynne</t>
  </si>
  <si>
    <t>EU-43671</t>
  </si>
  <si>
    <t>2026-06-11 04:59:37</t>
  </si>
  <si>
    <t>Knocknarea, 9 St Mantans Rd, Wicklow, Wicklow</t>
  </si>
  <si>
    <t>A67 NX06</t>
  </si>
  <si>
    <t>TOWLB-CAB-LG-NAVY-R,TOWLB-CAB-LG-YELL-R</t>
  </si>
  <si>
    <t>10276886-10327966</t>
  </si>
  <si>
    <t>Stephan</t>
  </si>
  <si>
    <t>Drechsler</t>
  </si>
  <si>
    <t>EU-43661</t>
  </si>
  <si>
    <t>2026-06-11 05:00:41</t>
  </si>
  <si>
    <t>Otto-Zieske-Straße 20, Passau, Passau</t>
  </si>
  <si>
    <t>TOWLB-DOB-LG-CALM,TOWLB-SUM-LG-UNICN-R</t>
  </si>
  <si>
    <t>10276891-10327971</t>
  </si>
  <si>
    <t>Didier</t>
  </si>
  <si>
    <t>Kanaar</t>
  </si>
  <si>
    <t>EU-43668</t>
  </si>
  <si>
    <t>2026-06-11 05:01:54</t>
  </si>
  <si>
    <t>Liniestraat 3, Hoef en Haag, Hoef en Haag</t>
  </si>
  <si>
    <t>4125 XN</t>
  </si>
  <si>
    <t>TOWLB-CAB-LG-LTPNK-R,TOWLB-CAB-LG-NAVY-R</t>
  </si>
  <si>
    <t>10276082-10327153</t>
  </si>
  <si>
    <t>EU-43656</t>
  </si>
  <si>
    <t>2026-06-11 05:02:53</t>
  </si>
  <si>
    <t>Friedberger Landstraße 93, Frankfurt am Main, Frankfurt am Main</t>
  </si>
  <si>
    <t>10277762-10328848</t>
  </si>
  <si>
    <t>Liadain</t>
  </si>
  <si>
    <t>EU-43672</t>
  </si>
  <si>
    <t>2026-06-11 05:41:46</t>
  </si>
  <si>
    <t>93 Blarney St, Cork, Cork</t>
  </si>
  <si>
    <t>T23 EK4N</t>
  </si>
  <si>
    <t>TOWLB-CAB-LG-LTBGE-R,TOWLB-CAB-LG-ORANG-R,TOWLB-CAB-LG-RED-R,TOWLB-CAB-LG-YELL-R</t>
  </si>
  <si>
    <t>10276516-10327592</t>
  </si>
  <si>
    <t>Lucia</t>
  </si>
  <si>
    <t>Higgins</t>
  </si>
  <si>
    <t>EU-43660</t>
  </si>
  <si>
    <t>2026-06-11 05:43:41</t>
  </si>
  <si>
    <t>39 Sunnyhill, Castlemartin Lodge, Kilcullen, Kildare</t>
  </si>
  <si>
    <t>R56 ER86</t>
  </si>
  <si>
    <t>BAGF-CAB-MD-NAVY,TOWLB-DES-XL-BLUSPRIT,TOWLB-SUM-XL-COLAGN</t>
  </si>
  <si>
    <t>10275306-10326348</t>
  </si>
  <si>
    <t>Keating</t>
  </si>
  <si>
    <t>EU-43651</t>
  </si>
  <si>
    <t>2026-06-11 05:43:42</t>
  </si>
  <si>
    <t>Ballyea, Killaloe, Clare</t>
  </si>
  <si>
    <t>V94 E627</t>
  </si>
  <si>
    <t>PONCHA-SUM-XL-UNICN</t>
  </si>
  <si>
    <t>10278157-10329243</t>
  </si>
  <si>
    <t>Michaela</t>
  </si>
  <si>
    <t>Boanca</t>
  </si>
  <si>
    <t>EU-43673</t>
  </si>
  <si>
    <t>2026-06-11 05:45:02</t>
  </si>
  <si>
    <t>41 The Willows, Pollerton Rd, Carlow, Carlow</t>
  </si>
  <si>
    <t>R93 FR60</t>
  </si>
  <si>
    <t>10276889-10327969</t>
  </si>
  <si>
    <t>Gwendoline</t>
  </si>
  <si>
    <t>Lepièce</t>
  </si>
  <si>
    <t>EU-43670</t>
  </si>
  <si>
    <t>2026-06-11 06:13:13</t>
  </si>
  <si>
    <t>AVENUE DU PARC, 67, EMBOURG, EMBOURG</t>
  </si>
  <si>
    <t>PP-TOWLB-CAB-LG-6SETI,TOWLB-SUM-XL-COLAGN,TOWLB-SUM-XL-MIAMI,TOWLF-ESS-XL-DKBLU</t>
  </si>
  <si>
    <t>10276892-10327972</t>
  </si>
  <si>
    <t>Dorit</t>
  </si>
  <si>
    <t>EU-43667</t>
  </si>
  <si>
    <t>2026-06-11 06:23:08</t>
  </si>
  <si>
    <t>Eichenallee 8 Wieland Richter, Verkehrsbetrieb GmbH, Großenhain, Großenhain</t>
  </si>
  <si>
    <t>01558</t>
  </si>
  <si>
    <t>PONCHA-CAB-MD-LTPNK-NS,PONCHA-CAB-XL-NAVY,TOWLB-CAB-XL-LTGRY-R,TOWLB-CAB-XL-LTPNK-R</t>
  </si>
  <si>
    <t>10276083-10327154</t>
  </si>
  <si>
    <t>Heather</t>
  </si>
  <si>
    <t>Gibbons</t>
  </si>
  <si>
    <t>EU-43655</t>
  </si>
  <si>
    <t>2026-06-11 06:25:03</t>
  </si>
  <si>
    <t>Claggan, Westport, Mayo</t>
  </si>
  <si>
    <t>F28 X3P4</t>
  </si>
  <si>
    <t>10276689-10327768</t>
  </si>
  <si>
    <t>CELINE</t>
  </si>
  <si>
    <t>MONTEIRO</t>
  </si>
  <si>
    <t>EU-43663</t>
  </si>
  <si>
    <t>2026-06-11 06:26:04</t>
  </si>
  <si>
    <t>Avenida Dom João II, nº 33, lado A - 10º Dto, Lisboa, Lisboa</t>
  </si>
  <si>
    <t>1990-083</t>
  </si>
  <si>
    <t>TOWLB-DES-LG-KARMA,TOWLB-DES-LG-SWTESC,TOWLB-DES-LG-TROPTRT</t>
  </si>
  <si>
    <t>10276893-10327973</t>
  </si>
  <si>
    <t>Fytoula</t>
  </si>
  <si>
    <t>Ioannou</t>
  </si>
  <si>
    <t>EU-43666</t>
  </si>
  <si>
    <t>2026-06-11 06:31:20</t>
  </si>
  <si>
    <t>23 ATHINON GEROSKIPOU, PAPHOS, PAPHOS</t>
  </si>
  <si>
    <t>10275821-10326880</t>
  </si>
  <si>
    <t>Willnus</t>
  </si>
  <si>
    <t>EU-43654</t>
  </si>
  <si>
    <t>2026-06-11 06:33:41</t>
  </si>
  <si>
    <t>Ringstraße 36, Schorndorf, Schorndorf</t>
  </si>
  <si>
    <t>10276691-10327770</t>
  </si>
  <si>
    <t>EU-43665</t>
  </si>
  <si>
    <t>2026-06-11 06:36:03</t>
  </si>
  <si>
    <t>Frederikstraat 329, Den Haag, Den Haag</t>
  </si>
  <si>
    <t>10276081-10327152</t>
  </si>
  <si>
    <t>EU-43657</t>
  </si>
  <si>
    <t>2026-06-11 06:37:36</t>
  </si>
  <si>
    <t>Helmstraße 45, Nürnberg, Nürnberg</t>
  </si>
  <si>
    <t>10276316-10327391</t>
  </si>
  <si>
    <t>Charlyn</t>
  </si>
  <si>
    <t>Sabban</t>
  </si>
  <si>
    <t>304-5715702-1153169</t>
  </si>
  <si>
    <t>2026-06-11 06:38:26</t>
  </si>
  <si>
    <t>Meisenweg 12, Stade, Stade</t>
  </si>
  <si>
    <t>10277590-10328676</t>
  </si>
  <si>
    <t>Annemarie</t>
  </si>
  <si>
    <t>Wittmar</t>
  </si>
  <si>
    <t>304-8382152-3127546</t>
  </si>
  <si>
    <t>2026-06-11 06:39:26</t>
  </si>
  <si>
    <t>Seestraße 100 A, Schwerin, Schwerin</t>
  </si>
  <si>
    <t>10275497-10326546</t>
  </si>
  <si>
    <t>EU-43652</t>
  </si>
  <si>
    <t>2026-06-11 07:10:32</t>
  </si>
  <si>
    <t>10276690-10327769</t>
  </si>
  <si>
    <t>Elsa</t>
  </si>
  <si>
    <t>Garduño</t>
  </si>
  <si>
    <t>EU-43664</t>
  </si>
  <si>
    <t>2026-06-11 07:13:40</t>
  </si>
  <si>
    <t>Calle de Guzmán el Bueno 100, Bj B, Madrid, Madrid</t>
  </si>
  <si>
    <t>TOWLB-CAB-MD-LTPNK,TOWLB-DES-LG-MELLOW,TOWLB-DES-LG-PSTPIER,TOWLB-DES-XL-BLUSPRIT,TOWLB-DES-XL-LEMWAV,TOWLB-KID-LG-POWPOS,TOWLB-KID-MD-POWPOS,TOWLB-SUM-XL-COLAGN,TOWLB-SUM-XL-MIAMI</t>
  </si>
  <si>
    <t>10275824-10326883</t>
  </si>
  <si>
    <t>FBA15LX3LXKS</t>
  </si>
  <si>
    <t>2026-06-11 08:06:18</t>
  </si>
  <si>
    <t>BAGF-SUM-MD-CSTCANDY,PICNIC-DES-LG-BANARAM,PICNIC-DES-XL-MARGMAD,PONCHA-SUM-MD-UNICN-NS,TOWLB-CAB-LG-BLACK-R,TOWLB-CAB-LG-LTBGE-R,TOWLB-CAB-LG-LTGRY-R,TOWLB-CAB-LG-LTPPL-R,TOWLB-CAB-LG-YELL-R,TOWLB-CAB-MD-LTPNK,TOWLB-CAB-XL-KHAKI-R,TOWLB-CAB-XL-LTBLU-R,TOWLB-CAB-XL-LTPNK-R,TOWLB-DES-LG-ALOHGLW,TOWLB-DES-XL-BLUSPRIT,TOWLB-DES-XL-WTRSUG,TOWLB-SUM-LG-UNICN-R,TOWLB-SUM-XL-CSTCANDY,TOWLF-ESS-LG-BLUE-R,TOWLF-ESS-LG-DKBLU,TOWLF-ESS-LG-GREY-R,TOWLF-ESS-LG-LTPPL,TOWLF-ESS-XL-DKBLU,TOWLH-CLA-SM-WHITE</t>
  </si>
  <si>
    <t>10278357-10329444</t>
  </si>
  <si>
    <t>EVTA</t>
  </si>
  <si>
    <t>Meschino</t>
  </si>
  <si>
    <t>EU-43678</t>
  </si>
  <si>
    <t>2026-06-11 09:40:31</t>
  </si>
  <si>
    <t>Rue Victor Oudart 7, Bruxelles, Bruxelles</t>
  </si>
  <si>
    <t>TOWLB-DES-XL-HOTTROP,TOWLB-SUM-XL-COLAGN</t>
  </si>
  <si>
    <t>10278516-10329606</t>
  </si>
  <si>
    <t>Salmela</t>
  </si>
  <si>
    <t>EU-43683</t>
  </si>
  <si>
    <t>2026-06-11 09:42:19</t>
  </si>
  <si>
    <t>Wikke 21, Haaksbergen, Haaksbergen</t>
  </si>
  <si>
    <t>7483 BJ</t>
  </si>
  <si>
    <t>TOWLB-CAB-XL-BLACK-R,TOWLB-CAB-XL-LTBGE-R</t>
  </si>
  <si>
    <t>10278512-10329602</t>
  </si>
  <si>
    <t>Natalya</t>
  </si>
  <si>
    <t>Konovalova</t>
  </si>
  <si>
    <t>EU-43680</t>
  </si>
  <si>
    <t>2026-06-11 09:43:43</t>
  </si>
  <si>
    <t>Angelika-Machinek-Straße, 12, Frankfurt Am Main, Frankfurt Am Main</t>
  </si>
  <si>
    <t>TOWLB-CAB-LG-YELL-R</t>
  </si>
  <si>
    <t>10278712-10329820</t>
  </si>
  <si>
    <t>Joukje</t>
  </si>
  <si>
    <t>Andringa</t>
  </si>
  <si>
    <t>EU-43685</t>
  </si>
  <si>
    <t>2026-06-11 09:47:57</t>
  </si>
  <si>
    <t>Grachtstraat 68, Brunssum, Brunssum</t>
  </si>
  <si>
    <t>6441 CA</t>
  </si>
  <si>
    <t>BAGDRY-XS-NAVY,TOWLB-CAB-XL-LTBGE-R</t>
  </si>
  <si>
    <t>10278515-10329605</t>
  </si>
  <si>
    <t>Pries</t>
  </si>
  <si>
    <t>EU-43684</t>
  </si>
  <si>
    <t>2026-06-11 09:49:29</t>
  </si>
  <si>
    <t>Scharnhorststraße 22a, Münster, Münster</t>
  </si>
  <si>
    <t>10278711-10329819</t>
  </si>
  <si>
    <t>Mick</t>
  </si>
  <si>
    <t>McAuley</t>
  </si>
  <si>
    <t>EU-43675</t>
  </si>
  <si>
    <t>2026-06-11 09:52:25</t>
  </si>
  <si>
    <t>37, Grange Hall, Mountmellick, Laois</t>
  </si>
  <si>
    <t>R32 HD74</t>
  </si>
  <si>
    <t>TOWLB-CAB-XL-KHAKI-R,TOWLB-DES-XL-GRECSHR</t>
  </si>
  <si>
    <t>10278511-10329601</t>
  </si>
  <si>
    <t>Wim</t>
  </si>
  <si>
    <t>Mangelschots</t>
  </si>
  <si>
    <t>EU-43679</t>
  </si>
  <si>
    <t>2026-06-11 09:53:23</t>
  </si>
  <si>
    <t>Galgestraat 27, Mechelen, Mechelen</t>
  </si>
  <si>
    <t>TOWLB-CAB-XL-LTBGE-R,TOWLB-CAB-XL-LTGRY-R,TOWLB-CAB-XL-YELL-R</t>
  </si>
  <si>
    <t>10253972-10304827</t>
  </si>
  <si>
    <t>Pascale-odile</t>
  </si>
  <si>
    <t>Morere</t>
  </si>
  <si>
    <t>EU-43343</t>
  </si>
  <si>
    <t>2026-06-11 09:56:51</t>
  </si>
  <si>
    <t>4 Rue Grandperrier De Neuilly, Précy Sur Oise, Précy Sur Oise</t>
  </si>
  <si>
    <t>BALLAST-SUM-CSTCANDY,BALLAST-SUM-MIAMI,PICNIC-DES-LG-BRGTSIDE,TEATWL-MD-SHRIMP,TOWLB-DOB-XL-CALM</t>
  </si>
  <si>
    <t>10278714-10329822</t>
  </si>
  <si>
    <t>An</t>
  </si>
  <si>
    <t>Bouckaert</t>
  </si>
  <si>
    <t>EU-43686</t>
  </si>
  <si>
    <t>2026-06-11 09:59:15</t>
  </si>
  <si>
    <t>Leemstraat 16, Essen, Essen</t>
  </si>
  <si>
    <t>10278510-10329600</t>
  </si>
  <si>
    <t>Wittelsbach</t>
  </si>
  <si>
    <t>EU-43674</t>
  </si>
  <si>
    <t>2026-06-11 09:59:43</t>
  </si>
  <si>
    <t>Talstrasse  7, Viersen, Viersen</t>
  </si>
  <si>
    <t>BAGF-SUM-MD-MIAMI,TOWLB-SUM-LG-MIAMI,TOWLB-SUM-LG-OCEAN</t>
  </si>
  <si>
    <t>10278513-10329603</t>
  </si>
  <si>
    <t>Rene</t>
  </si>
  <si>
    <t>Gawanka</t>
  </si>
  <si>
    <t>EU-43681</t>
  </si>
  <si>
    <t>2026-06-11 10:01:34</t>
  </si>
  <si>
    <t>Rufacher Weg, 64, Berlin, Berlin</t>
  </si>
  <si>
    <t>10278709-10329817</t>
  </si>
  <si>
    <t>Eojourian</t>
  </si>
  <si>
    <t>EU-43677</t>
  </si>
  <si>
    <t>2026-06-11 10:01:40</t>
  </si>
  <si>
    <t>Vouliagmenis 12, Aglantzia, Nicosia, Nicosia</t>
  </si>
  <si>
    <t>BAGF-DES-MD-CHECKMT,TOWLB-DOB-LG-CALM,TOWLB-SUM-LG-COLAGN,TOWLB-SUM-LG-MIAMI,TOWLB-SUM-LG-OCEAN,TOWLB-SUM-LG-TUTFRU</t>
  </si>
  <si>
    <t>10278514-10329604</t>
  </si>
  <si>
    <t>Ahmed</t>
  </si>
  <si>
    <t>Alattar</t>
  </si>
  <si>
    <t>EU-43682</t>
  </si>
  <si>
    <t>2026-06-11 10:03:23</t>
  </si>
  <si>
    <t>Winkler Straße, 20, Berlin, Berlin</t>
  </si>
  <si>
    <t>10278713-10329821</t>
  </si>
  <si>
    <t>Gleeson</t>
  </si>
  <si>
    <t>EU-43687</t>
  </si>
  <si>
    <t>2026-06-11 10:03:48</t>
  </si>
  <si>
    <t>Rathbeg, Gortnahoe, Thurles.  Tipperary, Tipperary</t>
  </si>
  <si>
    <t>E41 Y3C7</t>
  </si>
  <si>
    <t>BAGF-SUM-MD-CSTCANDY,TOWLB-SUM-LG-COLAGN,TOWLB-SUM-LG-OCEAN</t>
  </si>
  <si>
    <t>10278710-10329818</t>
  </si>
  <si>
    <t>Mac Nally opticians</t>
  </si>
  <si>
    <t>mac nally</t>
  </si>
  <si>
    <t>EU-43676</t>
  </si>
  <si>
    <t>2026-06-11 10:05:00</t>
  </si>
  <si>
    <t>Huguenot House, 35-38, St Stephens Green, Dublin, Dublin</t>
  </si>
  <si>
    <t>D02 NY63</t>
  </si>
  <si>
    <t>10279115-10330238</t>
  </si>
  <si>
    <t>Media Cologne GmbH</t>
  </si>
  <si>
    <t>Sven</t>
  </si>
  <si>
    <t>Hecht</t>
  </si>
  <si>
    <t>EU-43691</t>
  </si>
  <si>
    <t>2026-06-11 10:10:09</t>
  </si>
  <si>
    <t>Winterstr 5, Hürth, Hürth</t>
  </si>
  <si>
    <t>10279109-10330232</t>
  </si>
  <si>
    <t>Ursula</t>
  </si>
  <si>
    <t>Van Westendorp</t>
  </si>
  <si>
    <t>EU-43688</t>
  </si>
  <si>
    <t>2026-06-11 10:12:20</t>
  </si>
  <si>
    <t>Van Bergenlaan, Wassenaar, Wassenaar</t>
  </si>
  <si>
    <t>2242 PV</t>
  </si>
  <si>
    <t>10279116-10330239</t>
  </si>
  <si>
    <t>Neele</t>
  </si>
  <si>
    <t>306-0595968-0738768</t>
  </si>
  <si>
    <t>2026-06-11 10:13:45</t>
  </si>
  <si>
    <t>Sodekamp Böckmann, Propst Schrull Weg 8, Telgte, Telgte</t>
  </si>
  <si>
    <t>10279112-10330235</t>
  </si>
  <si>
    <t>Finucane</t>
  </si>
  <si>
    <t>EU-43689</t>
  </si>
  <si>
    <t>2026-06-11 10:15:39</t>
  </si>
  <si>
    <t>38 Castlerosse View, Dublin 13, Dublin</t>
  </si>
  <si>
    <t>D13 T8P6</t>
  </si>
  <si>
    <t>10265786-10316701</t>
  </si>
  <si>
    <t>Katerina</t>
  </si>
  <si>
    <t>Zafirovska</t>
  </si>
  <si>
    <t>EUWS-3194</t>
  </si>
  <si>
    <t>2026-06-11 10:52:45</t>
  </si>
  <si>
    <t>Ilija Bojadziev 28a/2, Skopje, Skopje</t>
  </si>
  <si>
    <t>Macedonia, Republic Of</t>
  </si>
  <si>
    <t>DHL DE (&gt;15KG) - Economy Select - ROEUR (DE) &gt;15KG</t>
  </si>
  <si>
    <t>BAGDRY-XS-HOTTROP,BAGDRY-XS-NAVY,BAGF-SUM-MD-COLAGN,BAGF-SUM-MD-CSTCANDY,DOGTWL-DES-LG-GOLONG,EYEMASK-DES-OOO,PICNIC-CAB-LG-NAVY,PICNIC-DES-LG-MARGMAD,PICNIC-SUM-LG-UNICN,PONCHK-KID-MD-JELLY,PONCHK-KID-SM-JELLY,TOWLB-KID-LG-JELLY</t>
  </si>
  <si>
    <t>10270130-10321066</t>
  </si>
  <si>
    <t>Trendstream Ltd</t>
  </si>
  <si>
    <t>Rhianna</t>
  </si>
  <si>
    <t>Said</t>
  </si>
  <si>
    <t>EUWS-3188</t>
  </si>
  <si>
    <t>2026-06-11 11:36:38</t>
  </si>
  <si>
    <t>Ocean Five, 3 Rue Marceau 0640, Cannes, Cannes</t>
  </si>
  <si>
    <t xml:space="preserve">OWNPACK (x8), 16211 (x2), ownpack1 (x1) A-SCRUNCH-PAPER (x1) A-KRAFT-PAPER-TAPE (x2) </t>
  </si>
  <si>
    <t>BAGF-CAB-MD-LTPNK,BAGF-CAB-MD-NAVY,TOWLB-CAB-LG-LTPNK-R,TOWLB-CAB-LG-NAVY-R</t>
  </si>
  <si>
    <t>10271870-10322853</t>
  </si>
  <si>
    <t>O'Donnell</t>
  </si>
  <si>
    <t>EU-43615</t>
  </si>
  <si>
    <t>2026-06-11 12:02:48</t>
  </si>
  <si>
    <t>2 Rockfield Gardens, Maynooth, Kildare</t>
  </si>
  <si>
    <t>W23 A7Y7</t>
  </si>
  <si>
    <t>TOWLB-CAB-LG-NAVY-R,TOWLH-CLB-LG-PEPPNCH</t>
  </si>
  <si>
    <t>10279354-10330487</t>
  </si>
  <si>
    <t>Simons</t>
  </si>
  <si>
    <t>EU-43693</t>
  </si>
  <si>
    <t>2026-06-11 12:04:41</t>
  </si>
  <si>
    <t>Heilig-hartlaan 21, Oostende, Oostende</t>
  </si>
  <si>
    <t>BAGF-DES-MD-WYWH,TOWLB-SUM-XL-OCEAN</t>
  </si>
  <si>
    <t>10279349-10330482</t>
  </si>
  <si>
    <t>Sabela</t>
  </si>
  <si>
    <t>Fernandez Montero</t>
  </si>
  <si>
    <t>EU-43692</t>
  </si>
  <si>
    <t>2026-06-11 12:34:21</t>
  </si>
  <si>
    <t>Avenida de Galicia, 61 (Farmacia), Salceda de Caselas, Pontevedra</t>
  </si>
  <si>
    <t>10279779-10330927</t>
  </si>
  <si>
    <t>Kamila</t>
  </si>
  <si>
    <t>Muller</t>
  </si>
  <si>
    <t>EU-43696</t>
  </si>
  <si>
    <t>2026-06-12 05:18:01</t>
  </si>
  <si>
    <t>Ul PULASKIEGO 130, Bialystok, Bialystok</t>
  </si>
  <si>
    <t>15-337</t>
  </si>
  <si>
    <t>BAGDRY-MD-WAVYBBY,BAGF-DES-MD-SPRCLUB,BAGF-DES-MD-WAVYBBY,BAGF-SUM-MD-CSTCANDY,BAGF-SUM-MD-MIAMI,PICNIC-DES-XL-GRCSHR</t>
  </si>
  <si>
    <t>10280502-10331673</t>
  </si>
  <si>
    <t>Pfarr</t>
  </si>
  <si>
    <t>EU-43704</t>
  </si>
  <si>
    <t>2026-06-12 05:20:46</t>
  </si>
  <si>
    <t>Oberschurer Straße 18, Krombach, Krombach</t>
  </si>
  <si>
    <t>PONCHA-SUM-MD-LAZRIV,PONCHK-KID-MD-CHECKOUT,PONCHK-SUM-MD-CSTCANDY</t>
  </si>
  <si>
    <t>10271868-10322851</t>
  </si>
  <si>
    <t>Stef</t>
  </si>
  <si>
    <t>McSherry</t>
  </si>
  <si>
    <t>EU-43612</t>
  </si>
  <si>
    <t>2026-06-12 05:24:07</t>
  </si>
  <si>
    <t>6 Beech Court, Castlepark, Mallow, Cork</t>
  </si>
  <si>
    <t>P51 ENC2</t>
  </si>
  <si>
    <t>BAGF-CAB-MD-NAVY,TEATWL-MD-APPLTRT,TEATWL-MD-GLDHOUR,TOWLB-CAB-LG-BLUE-R,TOWLB-CAB-LG-NAVY-R,TOWLB-CAB-LG-ORANG-R,TOWLB-CAB-LG-RED-R</t>
  </si>
  <si>
    <t>10280276-10331443</t>
  </si>
  <si>
    <t>Urban Partners GmbH</t>
  </si>
  <si>
    <t>Nordhues</t>
  </si>
  <si>
    <t>EU-43701</t>
  </si>
  <si>
    <t>2026-06-12 05:25:54</t>
  </si>
  <si>
    <t>Bethmannstraße 58, Urban Partners 4 Etage, Frankfurt am Main, Frankfurt am Main</t>
  </si>
  <si>
    <t>TOWLB-CAB-MD-NAVY,TOWLB-SUM-MD-UNICN,TOWLF-ESS-LG-LTPPL</t>
  </si>
  <si>
    <t>10280275-10331442</t>
  </si>
  <si>
    <t>Barry</t>
  </si>
  <si>
    <t>EU-43700</t>
  </si>
  <si>
    <t>2026-06-12 05:27:13</t>
  </si>
  <si>
    <t>71 Roanmore Park ,Waterford, Waterford, Waterford</t>
  </si>
  <si>
    <t>X91 D9VE</t>
  </si>
  <si>
    <t>10280501-10331672</t>
  </si>
  <si>
    <t>Sonali (Anila)</t>
  </si>
  <si>
    <t>Sodhi</t>
  </si>
  <si>
    <t>EU-43705</t>
  </si>
  <si>
    <t>2026-06-12 05:29:24</t>
  </si>
  <si>
    <t>Statendam 10, Hoofddorp, Hoofddorp</t>
  </si>
  <si>
    <t>2134 WX</t>
  </si>
  <si>
    <t>10280872-10332051</t>
  </si>
  <si>
    <t>Floor</t>
  </si>
  <si>
    <t>Zerner</t>
  </si>
  <si>
    <t>EU-43710</t>
  </si>
  <si>
    <t>2026-06-12 05:30:58</t>
  </si>
  <si>
    <t>Freddy Damsstraat 12, Antwerpen, Antwerpen</t>
  </si>
  <si>
    <t>TOWLB-CAB-LG-LTPPL-R</t>
  </si>
  <si>
    <t>10281046-10332226</t>
  </si>
  <si>
    <t>Pieter-Bas</t>
  </si>
  <si>
    <t>Gram</t>
  </si>
  <si>
    <t>EU-43712</t>
  </si>
  <si>
    <t>2026-06-12 05:33:30</t>
  </si>
  <si>
    <t>Bolksbeekstraat 29, Utrecht, Utrecht</t>
  </si>
  <si>
    <t>3521 CM</t>
  </si>
  <si>
    <t>10281723-10332903</t>
  </si>
  <si>
    <t>Nico von</t>
  </si>
  <si>
    <t>Mannstein</t>
  </si>
  <si>
    <t>302-5021144-1692301</t>
  </si>
  <si>
    <t>2026-06-12 05:35:41</t>
  </si>
  <si>
    <t>Mühltalstraße 67, Heidelberg, Heidelberg</t>
  </si>
  <si>
    <t>10280503-10331674</t>
  </si>
  <si>
    <t>Bernie</t>
  </si>
  <si>
    <t>Huxford</t>
  </si>
  <si>
    <t>EU-43703</t>
  </si>
  <si>
    <t>2026-06-12 05:37:48</t>
  </si>
  <si>
    <t>Kellys Cross, Oranmore, Galway</t>
  </si>
  <si>
    <t>H91 CYN8</t>
  </si>
  <si>
    <t>PP-TOWLB-CAB-LG-4SETO</t>
  </si>
  <si>
    <t>10280029-10331183</t>
  </si>
  <si>
    <t>Tanya</t>
  </si>
  <si>
    <t>Timofeeva</t>
  </si>
  <si>
    <t>EU-43697</t>
  </si>
  <si>
    <t>2026-06-12 05:40:25</t>
  </si>
  <si>
    <t>Krokussteg, 21, Bernau bei Berlin, Bernau bei Berlin</t>
  </si>
  <si>
    <t>10279776-10330924</t>
  </si>
  <si>
    <t>Philippi</t>
  </si>
  <si>
    <t>EU-43694</t>
  </si>
  <si>
    <t>2026-06-12 05:41:34</t>
  </si>
  <si>
    <t>Osterkamp 20, Burgwedel, Burgwedel</t>
  </si>
  <si>
    <t>TOWLF-ESS-LG-LTPPL</t>
  </si>
  <si>
    <t>10281912-10333092</t>
  </si>
  <si>
    <t>Hotel Tramonto d'Oro</t>
  </si>
  <si>
    <t>Carmela</t>
  </si>
  <si>
    <t>Esposito</t>
  </si>
  <si>
    <t>EU-43721</t>
  </si>
  <si>
    <t>2026-06-12 05:44:16</t>
  </si>
  <si>
    <t>Via Gennaro Capriglione 119, Praiano, Salerno</t>
  </si>
  <si>
    <t>TOWLB-CAB-XL-RED-R</t>
  </si>
  <si>
    <t>10280031-10331185</t>
  </si>
  <si>
    <t>Happel-Podhrasky</t>
  </si>
  <si>
    <t>EU-43698</t>
  </si>
  <si>
    <t>2026-06-12 05:46:55</t>
  </si>
  <si>
    <t>Rappachgasse 49/6/7, Wien, Wien</t>
  </si>
  <si>
    <t>10281722-10332902</t>
  </si>
  <si>
    <t>Måbrink</t>
  </si>
  <si>
    <t>EU-43717</t>
  </si>
  <si>
    <t>2026-06-12 05:48:07</t>
  </si>
  <si>
    <t>Amhults Byvög 1, Torslanda, Torslanda</t>
  </si>
  <si>
    <t>423 36</t>
  </si>
  <si>
    <t>10276688-10327767</t>
  </si>
  <si>
    <t>Giese</t>
  </si>
  <si>
    <t>304-7792248-2489105</t>
  </si>
  <si>
    <t>2026-06-12 05:49:58</t>
  </si>
  <si>
    <t>An Der Höhle 25, Hadamar, Hessen</t>
  </si>
  <si>
    <t>10280715-10331890</t>
  </si>
  <si>
    <t>Wirsich</t>
  </si>
  <si>
    <t>EU-43708</t>
  </si>
  <si>
    <t>2026-06-12 05:51:45</t>
  </si>
  <si>
    <t>Friedrichstraße  42, Asperg, Asperg</t>
  </si>
  <si>
    <t>BAGF-DES-MD-BANARAM,PICNIC-DES-XL-BANARAM,PONCHA-CAB-XL-NAVY</t>
  </si>
  <si>
    <t>10281241-10332421</t>
  </si>
  <si>
    <t>Wahnschaffe</t>
  </si>
  <si>
    <t>EU-43713</t>
  </si>
  <si>
    <t>2026-06-12 05:52:10</t>
  </si>
  <si>
    <t>Burgfriedenstraße  10A, Krailling, Krailling</t>
  </si>
  <si>
    <t>TOWLB-DES-LG-PNKPARA,TOWLB-SUM-LG-CSTCANDY</t>
  </si>
  <si>
    <t>10260878-10311751</t>
  </si>
  <si>
    <t>Astrid</t>
  </si>
  <si>
    <t>Farrugia</t>
  </si>
  <si>
    <t>EU-43448</t>
  </si>
  <si>
    <t>2026-06-12 05:53:53</t>
  </si>
  <si>
    <t>Rue des Drapiers 2, Box 11, Ixelles, Ixelles</t>
  </si>
  <si>
    <t>TEATWL-MD-CCOOL,TOWLB-DES-XL-LEMWAV</t>
  </si>
  <si>
    <t>10281045-10332225</t>
  </si>
  <si>
    <t>bieke</t>
  </si>
  <si>
    <t>hooyberghs</t>
  </si>
  <si>
    <t>EU-43711</t>
  </si>
  <si>
    <t>2026-06-12 05:55:07</t>
  </si>
  <si>
    <t>Meergorenbaan, 4, mol, mol</t>
  </si>
  <si>
    <t>10275820-10326879</t>
  </si>
  <si>
    <t>Niall</t>
  </si>
  <si>
    <t>Lavery</t>
  </si>
  <si>
    <t>EU-43653</t>
  </si>
  <si>
    <t>2026-06-12 05:57:54</t>
  </si>
  <si>
    <t>5 Lansdowne Village, Sandymount, Dublin</t>
  </si>
  <si>
    <t>D04 W6K0</t>
  </si>
  <si>
    <t>BAGTOI-MD-PEPPNCH</t>
  </si>
  <si>
    <t>10280504-10331675</t>
  </si>
  <si>
    <t>Holger</t>
  </si>
  <si>
    <t>Häßig</t>
  </si>
  <si>
    <t>EU-43702</t>
  </si>
  <si>
    <t>2026-06-12 06:00:51</t>
  </si>
  <si>
    <t>Allmendweg 14, Bötzingen, Bötzingen</t>
  </si>
  <si>
    <t>TOWLB-DES-LG-TANTIDE,TOWLB-DES-LG-TROPTRT,TOWLB-DES-XL-WTRSUG</t>
  </si>
  <si>
    <t>10281717-10332897</t>
  </si>
  <si>
    <t>Lantsoght</t>
  </si>
  <si>
    <t>EU-43714</t>
  </si>
  <si>
    <t>2026-06-12 06:03:37</t>
  </si>
  <si>
    <t>Mezenstraat 11, DESTELBERGEN, DESTELBERGEN</t>
  </si>
  <si>
    <t>BAGF-SUM-MD-CSTCANDY,TOWLB-DES-XL-GRECSHR,TOWLB-SUM-XL-CSTCANDY,TOWLB-SUM-XL-MIAMI</t>
  </si>
  <si>
    <t>10281725-10332905</t>
  </si>
  <si>
    <t>Brecca</t>
  </si>
  <si>
    <t>Keeler</t>
  </si>
  <si>
    <t>EU-43720</t>
  </si>
  <si>
    <t>2026-06-12 06:12:25</t>
  </si>
  <si>
    <t>26 Shoreside Park, Sea Gardens, Bray, Wicklow</t>
  </si>
  <si>
    <t>A98 K8W9</t>
  </si>
  <si>
    <t>PONCHA-SUM-XL-UNICN,PONCHK-SUM-MD-UNICN-NS,TOWLB-CAB-LG-BLUE-R,TOWLB-CAB-LG-NAVY-R,TOWLB-CAB-LG-PINK-R,TOWLB-CAB-LG-YELL-R,TOWLB-SUM-LG-RAINB-R,TOWLB-SUM-LG-UNICN-R</t>
  </si>
  <si>
    <t>10282082-10333262</t>
  </si>
  <si>
    <t>Terry</t>
  </si>
  <si>
    <t>EU-43723</t>
  </si>
  <si>
    <t>2026-06-12 06:15:41</t>
  </si>
  <si>
    <t>18 Fernwood, Glyntown, Glanmire, Cork</t>
  </si>
  <si>
    <t>T45 W024</t>
  </si>
  <si>
    <t>10281720-10332900</t>
  </si>
  <si>
    <t>Coudert</t>
  </si>
  <si>
    <t>EU-43716</t>
  </si>
  <si>
    <t>2026-06-12 06:17:13</t>
  </si>
  <si>
    <t>Rue Maurice Charlent 58, Auderghem, Auderghem</t>
  </si>
  <si>
    <t>TOWLB-CAB-XL-YELL-R,TOWLB-SUM-XL-COLAGN,TOWLB-SUM-XL-MIAMI</t>
  </si>
  <si>
    <t>10281724-10332904</t>
  </si>
  <si>
    <t>Araceli</t>
  </si>
  <si>
    <t>García Sardiña</t>
  </si>
  <si>
    <t>EU-43718</t>
  </si>
  <si>
    <t>2026-06-12 06:19:52</t>
  </si>
  <si>
    <t>Rúa Buios 4 Chamoso, Fene, A Coruña</t>
  </si>
  <si>
    <t>10279777-10330925</t>
  </si>
  <si>
    <t>Schießl</t>
  </si>
  <si>
    <t>EU-43695</t>
  </si>
  <si>
    <t>2026-06-12 06:33:57</t>
  </si>
  <si>
    <t>Tonweg 20, Stulln, Stulln</t>
  </si>
  <si>
    <t>10280274-10331441</t>
  </si>
  <si>
    <t>Larisa</t>
  </si>
  <si>
    <t>Lazar</t>
  </si>
  <si>
    <t>EU-43699</t>
  </si>
  <si>
    <t>2026-06-12 06:39:28</t>
  </si>
  <si>
    <t>Berliner Str 10, Obertshausen, Obertshausen</t>
  </si>
  <si>
    <t>10280714-10331889</t>
  </si>
  <si>
    <t>Aherne</t>
  </si>
  <si>
    <t>EU-43706</t>
  </si>
  <si>
    <t>2026-06-12 06:42:27</t>
  </si>
  <si>
    <t>The Old House, Barnacullia, Dublin 18, Dublin</t>
  </si>
  <si>
    <t>D18 C4E2</t>
  </si>
  <si>
    <t>10282681-10333862</t>
  </si>
  <si>
    <t>Anne-Marie</t>
  </si>
  <si>
    <t>Resch</t>
  </si>
  <si>
    <t>EU-43725</t>
  </si>
  <si>
    <t>2026-06-12 07:21:35</t>
  </si>
  <si>
    <t>27 Rue dUebersyren, Mensdorf, Mensdorf</t>
  </si>
  <si>
    <t>10282680-10333861</t>
  </si>
  <si>
    <t>Frederike</t>
  </si>
  <si>
    <t>Zepp</t>
  </si>
  <si>
    <t>EU-43726</t>
  </si>
  <si>
    <t>2026-06-12 07:25:17</t>
  </si>
  <si>
    <t>Chattenring 11, Rüsselsheim, Rüsselsheim</t>
  </si>
  <si>
    <t>TOWLB-DES-XL-SUNSPL</t>
  </si>
  <si>
    <t>10282679-10333860</t>
  </si>
  <si>
    <t>Veldhuis</t>
  </si>
  <si>
    <t>EU-43727</t>
  </si>
  <si>
    <t>2026-06-12 07:54:13</t>
  </si>
  <si>
    <t>Koningstraat 3B, Beuningen Gld, Beuningen Gld</t>
  </si>
  <si>
    <t>6641 KS</t>
  </si>
  <si>
    <t>10282813-10333994</t>
  </si>
  <si>
    <t>Harris</t>
  </si>
  <si>
    <t>Pitsilos</t>
  </si>
  <si>
    <t>EU-43728</t>
  </si>
  <si>
    <t>2026-06-12 09:47:55</t>
  </si>
  <si>
    <t>Arent Janszoon Ernststraat 737, 737, Amsterdam, Amsterdam</t>
  </si>
  <si>
    <t>1082 LK</t>
  </si>
  <si>
    <t>10282814-10333995</t>
  </si>
  <si>
    <t>Βάσω</t>
  </si>
  <si>
    <t>EU-43729</t>
  </si>
  <si>
    <t>2026-06-12 09:53:51</t>
  </si>
  <si>
    <t>Ακτή Οιάνθης 69, Ισόγειο, Γαλαξίδι, Γαλαξίδι</t>
  </si>
  <si>
    <t>330 52</t>
  </si>
  <si>
    <t>PONCHK-KID-MD-CAMOCUBE,PONCHK-KID-SM-KARMCHAM,TOWLB-DES-LG-BLUSPRIT,TOWLB-DES-XL-GRECSHR,TOWLB-DES-XL-LEMWAV</t>
  </si>
  <si>
    <t>10282815-10333996</t>
  </si>
  <si>
    <t>Taka</t>
  </si>
  <si>
    <t>Shamoto</t>
  </si>
  <si>
    <t>EU-43730</t>
  </si>
  <si>
    <t>2026-06-12 09:55:20</t>
  </si>
  <si>
    <t>Rue du Coq 63, Uccle, Uccle</t>
  </si>
  <si>
    <t>10282999-10334182</t>
  </si>
  <si>
    <t>Wagner-Krell</t>
  </si>
  <si>
    <t>EU-43731</t>
  </si>
  <si>
    <t>2026-06-12 09:57:09</t>
  </si>
  <si>
    <t>Wankstraße 6, Nordeingang, Baldham, Baldham</t>
  </si>
  <si>
    <t>PONCHA-SUM-MD-CSTCANDY,PONCHK-KID-SM-KARMCHAM,TOWLB-DOB-LG-CALM,TOWLB-SUM-XL-COLAGN,TOWLB-SUM-XL-CSTCANDY</t>
  </si>
  <si>
    <t>10266041-10316957</t>
  </si>
  <si>
    <t>EUWS-3191</t>
  </si>
  <si>
    <t>2026-06-12 11:18:05</t>
  </si>
  <si>
    <t>BAGBCH-MD-PSTPIER,BAGBCH-MD-RSPROAD,BAGDRY-MD-MIAMI,BAGDRY-MD-NAVY,BAGDRY-XS-MIAMI,PONCHA-SUM-LG-CSTCANDY,PONCHA-SUM-LG-LAZRIV,PONCHK-KID-MD-GVCLUB,PONCHK-KID-MD-INTOWILD,PONCHK-KID-SM-GVCLUB,PONCHK-KID-SM-INTOWILD,TOWLB-DES-XL-KARMA,TOWLB-DES-XL-WYWH,TOWLB-KID-LG-GVCLUB,TOWLB-SUM-XL-MIAMI</t>
  </si>
  <si>
    <t>10279778-10330926</t>
  </si>
  <si>
    <t>Family Bazart</t>
  </si>
  <si>
    <t>Aurélia</t>
  </si>
  <si>
    <t>SIROUX</t>
  </si>
  <si>
    <t>EUWS-3196</t>
  </si>
  <si>
    <t>2026-06-15 04:26:53</t>
  </si>
  <si>
    <t>103 Blvd Jean Jaurès, Boulogne-Billancourt, Boulogne-Billancourt</t>
  </si>
  <si>
    <t>BAGDRY-XS-NAVY,BAGDRY-XS-WYWH,PONCHK-SUM-MD-UNICN-NS,PONCHK-SUM-SM-UNICN-NS,TOWLB-DES-LG-TROPTRT,TOWLB-SUM-LG-COLAGN,TOWLB-SUM-LG-OCEAN,TOWLF-ESS-LG-DKBLU,TOWLH-CLB-LG-PEPPNCH,TOWLH-DES-LG-TIGPALM</t>
  </si>
  <si>
    <t>10283397-10334594</t>
  </si>
  <si>
    <t>Peters</t>
  </si>
  <si>
    <t>EU-43732</t>
  </si>
  <si>
    <t>2026-06-15 04:29:44</t>
  </si>
  <si>
    <t>Luise-Riegger-Straße 52, Karlsruhe, Karlsruhe</t>
  </si>
  <si>
    <t>10283398-10334595</t>
  </si>
  <si>
    <t>EU-43733</t>
  </si>
  <si>
    <t>2026-06-15 04:31:34</t>
  </si>
  <si>
    <t>Clonpet, Tipperary town, Tipperary</t>
  </si>
  <si>
    <t>E34 TH74</t>
  </si>
  <si>
    <t>BAGF-SUM-MD-COLAGN,TOWLB-SUM-LG-COLAGN,TOWLB-SUM-LG-MIAMI,TOWLB-SUM-LG-OCEAN,TOWLB-SUM-LG-TUTFRU</t>
  </si>
  <si>
    <t>10283399-10334596</t>
  </si>
  <si>
    <t>Saba</t>
  </si>
  <si>
    <t>Lasheiei</t>
  </si>
  <si>
    <t>EU-43734</t>
  </si>
  <si>
    <t>2026-06-15 04:32:21</t>
  </si>
  <si>
    <t>Fritz-Reuter-Straße 19, Frankfurt, Frankfurt</t>
  </si>
  <si>
    <t>10283400-10334597</t>
  </si>
  <si>
    <t>Helena</t>
  </si>
  <si>
    <t>Ebi</t>
  </si>
  <si>
    <t>EU-43736</t>
  </si>
  <si>
    <t>2026-06-15 04:33:16</t>
  </si>
  <si>
    <t>Lindenstr 17, Rheinfelden, Rheinfelden</t>
  </si>
  <si>
    <t>COOL-DES-MIDNMOV,TEATWL-MD-SHRIMP,TOWLB-CAB-XL-LTPPL-R</t>
  </si>
  <si>
    <t>10283603-10334801</t>
  </si>
  <si>
    <t>ELEANOR</t>
  </si>
  <si>
    <t>MCGRATH</t>
  </si>
  <si>
    <t>EU-43739</t>
  </si>
  <si>
    <t>2026-06-15 04:53:53</t>
  </si>
  <si>
    <t>50 URSULINE COURT, WATERFORD, Waterford</t>
  </si>
  <si>
    <t>X91 XN6K</t>
  </si>
  <si>
    <t>PONCHK-CAB-SM-BLUE-NS,PONCHK-CAB-SM-LTPNK-NS,PONCHK-CAB-SM-NAVY-NS</t>
  </si>
  <si>
    <t>10284203-10335419</t>
  </si>
  <si>
    <t>TSC spedizioni</t>
  </si>
  <si>
    <t>Francesco</t>
  </si>
  <si>
    <t>EU-43749</t>
  </si>
  <si>
    <t>2026-06-15 04:56:46</t>
  </si>
  <si>
    <t>Via rome 97, Cefalu, Palermo</t>
  </si>
  <si>
    <t>BAGDRY-XS-WYWH,TOWLB-CAB-LG-BLUE-R,TOWLB-CAB-LG-GREEN-R,TOWLB-CAB-LG-ORANG-R,TOWLB-CAB-LG-PINK-R,TOWLB-CAB-LG-RED-R,TOWLB-CAB-LG-YELL-R</t>
  </si>
  <si>
    <t>10284568-10335802</t>
  </si>
  <si>
    <t>EU-43751</t>
  </si>
  <si>
    <t>2026-06-15 04:58:23</t>
  </si>
  <si>
    <t>BAGDRY-XS-NAVY,BAGF-SUM-MD-COLAGN,PONCHA-CAB-LG-NAVY-NS,TOWLB-CAB-XL-NAVY-R</t>
  </si>
  <si>
    <t>10285325-10336561</t>
  </si>
  <si>
    <t>E53 Coffee House</t>
  </si>
  <si>
    <t>EU-43758</t>
  </si>
  <si>
    <t>2026-06-15 04:59:39</t>
  </si>
  <si>
    <t>Boronia House,An Líne Nua, E53FP94, Roscrea, Tipperary</t>
  </si>
  <si>
    <t>E53 FP94</t>
  </si>
  <si>
    <t>10283606-10334804</t>
  </si>
  <si>
    <t>Gabrielle</t>
  </si>
  <si>
    <t>Dusar</t>
  </si>
  <si>
    <t>EU-43740</t>
  </si>
  <si>
    <t>2026-06-15 05:01:05</t>
  </si>
  <si>
    <t>Schanzenstr 76, Schanzenstr 76, Düsseldorf, Düsseldorf</t>
  </si>
  <si>
    <t>10285642-10336881</t>
  </si>
  <si>
    <t>ana flavia</t>
  </si>
  <si>
    <t>dias</t>
  </si>
  <si>
    <t>EU-43768</t>
  </si>
  <si>
    <t>2026-06-15 05:39:46</t>
  </si>
  <si>
    <t>Tugelaweg, 40D, Amsterdam, Amsterdam</t>
  </si>
  <si>
    <t>1092 VG</t>
  </si>
  <si>
    <t>PONCHA-SUM-MD-CSTCANDY</t>
  </si>
  <si>
    <t>10287198-10338445</t>
  </si>
  <si>
    <t>Franka</t>
  </si>
  <si>
    <t>Martinovic</t>
  </si>
  <si>
    <t>EU-43797</t>
  </si>
  <si>
    <t>2026-06-15 05:41:19</t>
  </si>
  <si>
    <t>32 Fleming Rd, Dublin 9, Dublin</t>
  </si>
  <si>
    <t>D09 V5D0</t>
  </si>
  <si>
    <t>10287202-10338449</t>
  </si>
  <si>
    <t>Chiara</t>
  </si>
  <si>
    <t>Dopfer</t>
  </si>
  <si>
    <t>EU-43801</t>
  </si>
  <si>
    <t>2026-06-15 05:42:43</t>
  </si>
  <si>
    <t>Im Hagen 39 Hinten in der, Einfahrt auf der rechten Seite, Kleinmachnow, Kleinmachnow</t>
  </si>
  <si>
    <t>10283604-10334802</t>
  </si>
  <si>
    <t>Fuchs</t>
  </si>
  <si>
    <t>EU-43738</t>
  </si>
  <si>
    <t>2026-06-15 05:44:53</t>
  </si>
  <si>
    <t>Rablstraße 22, München, München</t>
  </si>
  <si>
    <t>TOWLB-SUM-LG-RAINB-R</t>
  </si>
  <si>
    <t>10287354-10338601</t>
  </si>
  <si>
    <t>Aileen</t>
  </si>
  <si>
    <t>EU-43802</t>
  </si>
  <si>
    <t>2026-06-15 05:45:47</t>
  </si>
  <si>
    <t>Avondale, Newtown, Littleton, Thurles, Tipperary</t>
  </si>
  <si>
    <t>E41 HY97</t>
  </si>
  <si>
    <t>PICNIC-DES-XL-STRIPLIFE,TOWLB-SUM-XL-CSTCANDY</t>
  </si>
  <si>
    <t>10286727-10337970</t>
  </si>
  <si>
    <t>Nguyen</t>
  </si>
  <si>
    <t>EU-43791</t>
  </si>
  <si>
    <t>2026-06-15 05:45:58</t>
  </si>
  <si>
    <t>279 Route dEsch, Sanem, Sanem</t>
  </si>
  <si>
    <t>TOWLB-DES-LG-WYWH</t>
  </si>
  <si>
    <t>10283601-10334799</t>
  </si>
  <si>
    <t>Carré</t>
  </si>
  <si>
    <t>EU-43737</t>
  </si>
  <si>
    <t>2026-06-15 05:49:16</t>
  </si>
  <si>
    <t>Stresemannstraße 123, WeWork, Berlin, Berlin</t>
  </si>
  <si>
    <t>BAGBCH-MD-NAVY,BALLAST-CAB-NAVY</t>
  </si>
  <si>
    <t>10286229-10337469</t>
  </si>
  <si>
    <t>Rob</t>
  </si>
  <si>
    <t>McMahon</t>
  </si>
  <si>
    <t>EU-43774</t>
  </si>
  <si>
    <t>2026-06-15 05:49:22</t>
  </si>
  <si>
    <t>87 Killarney Heights, Bray, Wicklow</t>
  </si>
  <si>
    <t>A98 Y220</t>
  </si>
  <si>
    <t>10285789-10337028</t>
  </si>
  <si>
    <t>EU-43764</t>
  </si>
  <si>
    <t>2026-06-15 05:50:25</t>
  </si>
  <si>
    <t>Ruisstraat 50, Genk, Genk</t>
  </si>
  <si>
    <t>10284749-10335984</t>
  </si>
  <si>
    <t>Dibea GmbH &amp; Co KG</t>
  </si>
  <si>
    <t>Kammrath</t>
  </si>
  <si>
    <t>EU-43753</t>
  </si>
  <si>
    <t>2026-06-15 05:50:27</t>
  </si>
  <si>
    <t>Fujistraße 1, Kleve, Kleve</t>
  </si>
  <si>
    <t>10283823-10335025</t>
  </si>
  <si>
    <t>TARDIEU</t>
  </si>
  <si>
    <t>EU-43744</t>
  </si>
  <si>
    <t>2026-06-15 05:52:00</t>
  </si>
  <si>
    <t>61 bis Rue Favart dHerbigny, Reims, Reims</t>
  </si>
  <si>
    <t>TOWLB-DES-XL-ALOHGLW,TOWLB-DES-XL-BLUSPRIT</t>
  </si>
  <si>
    <t>10286547-10337788</t>
  </si>
  <si>
    <t>Oana</t>
  </si>
  <si>
    <t>Maria Georgescu</t>
  </si>
  <si>
    <t>EU-43785</t>
  </si>
  <si>
    <t>2026-06-15 05:53:20</t>
  </si>
  <si>
    <t>Am Weingarten, 13, Frankfurt, Frankfurt</t>
  </si>
  <si>
    <t>10283820-10335022</t>
  </si>
  <si>
    <t>Xinyang</t>
  </si>
  <si>
    <t>Eulenbach</t>
  </si>
  <si>
    <t>EU-43743</t>
  </si>
  <si>
    <t>2026-06-15 05:53:46</t>
  </si>
  <si>
    <t>Nürberger Str 19, Berlin, Berlin</t>
  </si>
  <si>
    <t>PONCHK-SUM-SM-UNICN-NS,TOWLB-DES-LG-BLUSPRIT</t>
  </si>
  <si>
    <t>10286164-10337403</t>
  </si>
  <si>
    <t>Rettig</t>
  </si>
  <si>
    <t>EU-43771</t>
  </si>
  <si>
    <t>2026-06-15 05:54:31</t>
  </si>
  <si>
    <t>Asternweg 7, Bensheim, Bensheim</t>
  </si>
  <si>
    <t>10285487-10336726</t>
  </si>
  <si>
    <t>EU-43763</t>
  </si>
  <si>
    <t>2026-06-15 05:55:33</t>
  </si>
  <si>
    <t>Centra, Main St, Delvin Centre, Stamullen, Meath</t>
  </si>
  <si>
    <t>K32 X431</t>
  </si>
  <si>
    <t>10286724-10337967</t>
  </si>
  <si>
    <t>Jutta</t>
  </si>
  <si>
    <t>Josepovici</t>
  </si>
  <si>
    <t>EU-43790</t>
  </si>
  <si>
    <t>2026-06-15 05:55:57</t>
  </si>
  <si>
    <t>Gottfried-Keller-Straße 28, Frankfurt am Main, Frankfurt am Main</t>
  </si>
  <si>
    <t>10287513-10338760</t>
  </si>
  <si>
    <t>Alexe</t>
  </si>
  <si>
    <t>EU-43804</t>
  </si>
  <si>
    <t>2026-06-15 05:56:59</t>
  </si>
  <si>
    <t>Mertener Str 24, Ruppichteroth, Ruppichteroth</t>
  </si>
  <si>
    <t>TOWLF-ESS-XL-GREY-R</t>
  </si>
  <si>
    <t>10285330-10336566</t>
  </si>
  <si>
    <t>Alisha</t>
  </si>
  <si>
    <t>Naughton</t>
  </si>
  <si>
    <t>EU-43762</t>
  </si>
  <si>
    <t>Apt 495, Wyckham Point, Wyckham Way, Dublin</t>
  </si>
  <si>
    <t>D16 VK20</t>
  </si>
  <si>
    <t>TOWLB-CAB-LG-NAVY-R,TOWLB-SUM-LG-CSTCANDY</t>
  </si>
  <si>
    <t>10285788-10337027</t>
  </si>
  <si>
    <t>EOIN</t>
  </si>
  <si>
    <t>WALSH</t>
  </si>
  <si>
    <t>EU-43765</t>
  </si>
  <si>
    <t>2026-06-15 05:58:08</t>
  </si>
  <si>
    <t>Cahertymore, Athenry, Galway, Galway</t>
  </si>
  <si>
    <t>H65 W102</t>
  </si>
  <si>
    <t>10284204-10335420</t>
  </si>
  <si>
    <t>Rebecca</t>
  </si>
  <si>
    <t>Gaynor O Carroll</t>
  </si>
  <si>
    <t>EU-43748</t>
  </si>
  <si>
    <t>2026-06-15 05:58:46</t>
  </si>
  <si>
    <t>25 Westlawn, Cork, Cork</t>
  </si>
  <si>
    <t>T12 TX8D</t>
  </si>
  <si>
    <t>BAGF-CAB-MD-NAVY,TOWLB-CAB-LG-KHAKI-R</t>
  </si>
  <si>
    <t>10285327-10336563</t>
  </si>
  <si>
    <t>Unzner</t>
  </si>
  <si>
    <t>EU-43761</t>
  </si>
  <si>
    <t>2026-06-15 05:58:49</t>
  </si>
  <si>
    <t>Schillerstraße 3c, Bielefeld, Bielefeld</t>
  </si>
  <si>
    <t>BALLAST-SUM-CSTCANDY,TOWLB-SUM-XL-COLAGN,TOWLB-SUM-XL-CSTCANDY</t>
  </si>
  <si>
    <t>10286728-10337971</t>
  </si>
  <si>
    <t>Plunkett</t>
  </si>
  <si>
    <t>EU-43793</t>
  </si>
  <si>
    <t>2026-06-15 06:00:14</t>
  </si>
  <si>
    <t>Quarry house, Sheetland Rd, Termonfeckin, Louth</t>
  </si>
  <si>
    <t>A92 X3D0</t>
  </si>
  <si>
    <t>10283605-10334803</t>
  </si>
  <si>
    <t>Wallis</t>
  </si>
  <si>
    <t>EU-43741</t>
  </si>
  <si>
    <t>2026-06-15 06:00:31</t>
  </si>
  <si>
    <t>1 Navan Rd, 1 Croagh Patrick Rd, Dublin 7, Dublin</t>
  </si>
  <si>
    <t>D07 X3K5</t>
  </si>
  <si>
    <t>10284392-10335616</t>
  </si>
  <si>
    <t>Bulasava</t>
  </si>
  <si>
    <t>EU-43750</t>
  </si>
  <si>
    <t>2026-06-15 06:02:12</t>
  </si>
  <si>
    <t>Michelsberg 6, Wiesbaden, Wiesbaden</t>
  </si>
  <si>
    <t>10285326-10336562</t>
  </si>
  <si>
    <t>Anusha</t>
  </si>
  <si>
    <t>Ortelee</t>
  </si>
  <si>
    <t>EU-43757</t>
  </si>
  <si>
    <t>2026-06-15 06:03:07</t>
  </si>
  <si>
    <t>Priemstraat 9, Alkmaar, Alkmaar</t>
  </si>
  <si>
    <t>1825 KG</t>
  </si>
  <si>
    <t>PONCHK-SUM-MD-CSTCANDY,PONCHK-SUM-MD-UNICN-NS,TOWLB-DES-XL-BLUSPRIT,TOWLB-DES-XL-SUNSPL</t>
  </si>
  <si>
    <t>10283817-10335019</t>
  </si>
  <si>
    <t>Tine</t>
  </si>
  <si>
    <t>Delorge</t>
  </si>
  <si>
    <t>EU-43742</t>
  </si>
  <si>
    <t>2026-06-15 06:03:38</t>
  </si>
  <si>
    <t>Hogeweg 43, Sint-truiden, Sint-truiden</t>
  </si>
  <si>
    <t>10287353-10338600</t>
  </si>
  <si>
    <t>Giles</t>
  </si>
  <si>
    <t>EU-43803</t>
  </si>
  <si>
    <t>2026-06-15 06:03:56</t>
  </si>
  <si>
    <t>Marmotlaan 18, Wezembeek-Oppem, Wezembeek-Oppem</t>
  </si>
  <si>
    <t>TOWLF-ESS-XL-BLUE-R</t>
  </si>
  <si>
    <t>10284015-10335219</t>
  </si>
  <si>
    <t>Gerth</t>
  </si>
  <si>
    <t>EU-43747</t>
  </si>
  <si>
    <t>2026-06-15 06:04:53</t>
  </si>
  <si>
    <t>Kölnstraße 101, Bonn, Bonn</t>
  </si>
  <si>
    <t>10287199-10338446</t>
  </si>
  <si>
    <t>Luana</t>
  </si>
  <si>
    <t>Bidasca</t>
  </si>
  <si>
    <t>EU-43796</t>
  </si>
  <si>
    <t>2026-06-15 06:05:12</t>
  </si>
  <si>
    <t>Rue Sans Souci 26, Ixelles, Ixelles</t>
  </si>
  <si>
    <t>TOWLB-CAB-LG-LTBGE-R,TOWLB-CAB-LG-YELL-R</t>
  </si>
  <si>
    <t>10285328-10336564</t>
  </si>
  <si>
    <t>Gormally</t>
  </si>
  <si>
    <t>EU-43760</t>
  </si>
  <si>
    <t>2026-06-15 06:05:56</t>
  </si>
  <si>
    <t>Biggera Beg, Belclare, Tuam, Galway</t>
  </si>
  <si>
    <t>H54 AE94</t>
  </si>
  <si>
    <t>10284570-10335804</t>
  </si>
  <si>
    <t>Mariam</t>
  </si>
  <si>
    <t>Mchitarian</t>
  </si>
  <si>
    <t>028-7723812-0062726</t>
  </si>
  <si>
    <t>2026-06-15 06:06:13</t>
  </si>
  <si>
    <t>Mariam Mchitarian, Rathausstraße 98, Berlin, Berlin</t>
  </si>
  <si>
    <t>10285791-10337030</t>
  </si>
  <si>
    <t>Sila</t>
  </si>
  <si>
    <t>Berke</t>
  </si>
  <si>
    <t>EU-43770</t>
  </si>
  <si>
    <t>2026-06-15 06:07:52</t>
  </si>
  <si>
    <t>Ziegelhüttenweg 20A, Frankfurt am Main, Frankfurt am Main</t>
  </si>
  <si>
    <t>10287519-10338766</t>
  </si>
  <si>
    <t>Khiloni</t>
  </si>
  <si>
    <t>EU-43811</t>
  </si>
  <si>
    <t>2026-06-15 06:07:55</t>
  </si>
  <si>
    <t>Sonnenstrasse 4, Lappersdorf, Lappersdorf</t>
  </si>
  <si>
    <t>BAGDRY-XS-HOTTROP,PICNIC-DES-LG-CANDSTR</t>
  </si>
  <si>
    <t>10286546-10337787</t>
  </si>
  <si>
    <t>Kira</t>
  </si>
  <si>
    <t>Planken</t>
  </si>
  <si>
    <t>EU-43786</t>
  </si>
  <si>
    <t>2026-06-15 06:09:01</t>
  </si>
  <si>
    <t>Hülmer Deich 125, Goch, Goch</t>
  </si>
  <si>
    <t>10289811-10341063</t>
  </si>
  <si>
    <t>Fischer-Graf</t>
  </si>
  <si>
    <t>EU-43848</t>
  </si>
  <si>
    <t>2026-06-15 06:09:39</t>
  </si>
  <si>
    <t>34B Ostengasse, Regensburg, Regensburg</t>
  </si>
  <si>
    <t>TOWLB-CAB-XL-LTBLU-R,TOWLB-SUM-XL-MIAMI</t>
  </si>
  <si>
    <t>10285641-10336880</t>
  </si>
  <si>
    <t>Jacinta</t>
  </si>
  <si>
    <t>malone</t>
  </si>
  <si>
    <t>EU-43767</t>
  </si>
  <si>
    <t>2026-06-15 06:10:03</t>
  </si>
  <si>
    <t>16 Coppervalley Heights, Glanmire, Cork, Cork</t>
  </si>
  <si>
    <t>T45 R624</t>
  </si>
  <si>
    <t>HAIRW-CAB-LTBLU-NB</t>
  </si>
  <si>
    <t>10286400-10337640</t>
  </si>
  <si>
    <t>Ingrid</t>
  </si>
  <si>
    <t>Cloosterin</t>
  </si>
  <si>
    <t>EU-43782</t>
  </si>
  <si>
    <t>2026-06-15 06:11:13</t>
  </si>
  <si>
    <t>Tramlaan 279, Sterrebeek, Sterrebeek</t>
  </si>
  <si>
    <t>10290024-10341276</t>
  </si>
  <si>
    <t>Annie</t>
  </si>
  <si>
    <t>Hallengren</t>
  </si>
  <si>
    <t>EU-43857</t>
  </si>
  <si>
    <t>2026-06-15 06:13:05</t>
  </si>
  <si>
    <t>259 Route dArlon, Luxembourg, Luxembourg</t>
  </si>
  <si>
    <t>TOWLB-SUM-LG-MIAMI,TOWLH-CLB-XL-CHRYBMB</t>
  </si>
  <si>
    <t>10270348-10321291</t>
  </si>
  <si>
    <t>decoo lifestyle</t>
  </si>
  <si>
    <t>Angelika</t>
  </si>
  <si>
    <t>Hieke</t>
  </si>
  <si>
    <t>EUWS-3195</t>
  </si>
  <si>
    <t>2026-06-15 06:13:37</t>
  </si>
  <si>
    <t>Stiftgasse 13, Vienna, Vienna</t>
  </si>
  <si>
    <t>BAGCOOL-MD-NAVY,TOWLB-CAB-LG-BLUE-R,TOWLB-CAB-LG-LTBLU-R,TOWLB-CAB-LG-NAVY-R,TOWLB-CAB-LG-PINK-R,TOWLB-CAB-XL-GREEN-R,TOWLB-CAB-XL-KHAKI-R,TOWLB-CAB-XL-RED-R,TOWLB-CAB-XL-YELL-R,TOWLB-SUM-LG-TUTFRU,TOWLB-SUM-XL-COLAGN,TOWLB-SUM-XL-MIAMI,TOWLB-SUM-XL-OCEAN</t>
  </si>
  <si>
    <t>10288603-10339853</t>
  </si>
  <si>
    <t>Zornitsa</t>
  </si>
  <si>
    <t>EU-43828</t>
  </si>
  <si>
    <t>2026-06-15 06:15:53</t>
  </si>
  <si>
    <t>Franz Leharplein 21D, Eindhoven, Eindhoven</t>
  </si>
  <si>
    <t>5654 AZ</t>
  </si>
  <si>
    <t>TOWLB-DES-XL-ALOHGLW,TOWLB-DES-XL-GRECSHR</t>
  </si>
  <si>
    <t>10285329-10336565</t>
  </si>
  <si>
    <t>Vorobiev</t>
  </si>
  <si>
    <t>EU-43759</t>
  </si>
  <si>
    <t>2026-06-15 06:17:17</t>
  </si>
  <si>
    <t>Mayor St Upper, 1A409, Spencer Place Residential, Dublin, Dublin</t>
  </si>
  <si>
    <t>D01 Y0T9</t>
  </si>
  <si>
    <t>TOWLB-CAB-XL-BLUE-R,TOWLB-SUM-XL-MIAMI</t>
  </si>
  <si>
    <t>10287976-10339226</t>
  </si>
  <si>
    <t>Pratt</t>
  </si>
  <si>
    <t>EU-43816</t>
  </si>
  <si>
    <t>2026-06-15 06:18:47</t>
  </si>
  <si>
    <t>10 Ballybride Manor, Ballybride Rd, Rathmichael, Dublin</t>
  </si>
  <si>
    <t>D18 WF62</t>
  </si>
  <si>
    <t>TOWLB-DES-LG-PSTPIER,TOWLB-DES-XL-LEMWAV</t>
  </si>
  <si>
    <t>10286545-10337786</t>
  </si>
  <si>
    <t>Bernabei</t>
  </si>
  <si>
    <t>EU-43783</t>
  </si>
  <si>
    <t>2026-06-15 06:20:01</t>
  </si>
  <si>
    <t>4 am Bongert, Burmerange, Burmerange</t>
  </si>
  <si>
    <t>10287975-10339225</t>
  </si>
  <si>
    <t>Erol</t>
  </si>
  <si>
    <t>Guerocak</t>
  </si>
  <si>
    <t>EU-43817</t>
  </si>
  <si>
    <t>2026-06-15 06:21:11</t>
  </si>
  <si>
    <t>Obere Burghalde 35, Leonberg, Leonberg</t>
  </si>
  <si>
    <t>HAIRW-CAB-LTPNK-NB</t>
  </si>
  <si>
    <t>10288264-10339514</t>
  </si>
  <si>
    <t>C.</t>
  </si>
  <si>
    <t>Heidrich-Kaul</t>
  </si>
  <si>
    <t>EU-43820</t>
  </si>
  <si>
    <t>2026-06-15 06:22:22</t>
  </si>
  <si>
    <t>Bensberger Straße 37, Rösrath, Rösrath</t>
  </si>
  <si>
    <t>10285792-10337031</t>
  </si>
  <si>
    <t>Deecke</t>
  </si>
  <si>
    <t>EU-43769</t>
  </si>
  <si>
    <t>2026-06-15 06:25:29</t>
  </si>
  <si>
    <t>Gert-Marcus-Straße 13c, Hamburg, Hamburg</t>
  </si>
  <si>
    <t>10285790-10337029</t>
  </si>
  <si>
    <t>Günther</t>
  </si>
  <si>
    <t>EU-43766</t>
  </si>
  <si>
    <t>2026-06-15 06:28:38</t>
  </si>
  <si>
    <t>Rudolf-Leonhard-Str 74, Dresden, Dresden</t>
  </si>
  <si>
    <t>01097</t>
  </si>
  <si>
    <t>PICNIC-DES-XL-BANARAM,TEATWL-MD-SQCLEAN</t>
  </si>
  <si>
    <t>10283821-10335023</t>
  </si>
  <si>
    <t>Jülide</t>
  </si>
  <si>
    <t>Yazgan</t>
  </si>
  <si>
    <t>EU-43746</t>
  </si>
  <si>
    <t>2026-06-15 06:29:29</t>
  </si>
  <si>
    <t>Textorstr 45, Frankfurt, Frankfurt</t>
  </si>
  <si>
    <t>10283822-10335024</t>
  </si>
  <si>
    <t>Dara</t>
  </si>
  <si>
    <t>Cody Finn</t>
  </si>
  <si>
    <t>EU-43745</t>
  </si>
  <si>
    <t>2026-06-15 06:32:03</t>
  </si>
  <si>
    <t>Moneyheigue Commons, Knocktopher, Kilkenny, Kilkenny</t>
  </si>
  <si>
    <t>R95 Y8X6</t>
  </si>
  <si>
    <t>10290220-10341473</t>
  </si>
  <si>
    <t>Holmes</t>
  </si>
  <si>
    <t>EU-43863</t>
  </si>
  <si>
    <t>2026-06-15 06:35:30</t>
  </si>
  <si>
    <t>Blas na Mara, Ballyalla, Skibbereen, Cork</t>
  </si>
  <si>
    <t>P81 F727</t>
  </si>
  <si>
    <t>TOWLB-DES-XL-HOTTROP,TOWLB-SUM-XL-MIAMI</t>
  </si>
  <si>
    <t>10286290-10337530</t>
  </si>
  <si>
    <t>Ina</t>
  </si>
  <si>
    <t>Dr Ruehl</t>
  </si>
  <si>
    <t>EU-43776</t>
  </si>
  <si>
    <t>2026-06-15 06:35:34</t>
  </si>
  <si>
    <t>Heißstr 13, 5 Stock, München, München</t>
  </si>
  <si>
    <t>HAIRW-SUE-MIAMI,TOWLB-CAB-LG-YELL-R</t>
  </si>
  <si>
    <t>10280436-10331605</t>
  </si>
  <si>
    <t>AMAZON - DTM1</t>
  </si>
  <si>
    <t>FBA15LWWB3HV</t>
  </si>
  <si>
    <t>2026-06-15 06:36:39</t>
  </si>
  <si>
    <t>AMAZON - DTM1, DTM1, Amazonstrasse 1, Werne, Werne</t>
  </si>
  <si>
    <t xml:space="preserve">OWNPACK (x5)   </t>
  </si>
  <si>
    <t>TOWLB-CAB-LG-BLUE-R,TOWLB-CAB-LG-NAVY-R,TOWLB-CAB-XL-BLUE-R</t>
  </si>
  <si>
    <t>10284909-10336144</t>
  </si>
  <si>
    <t>Dutta</t>
  </si>
  <si>
    <t>EU-43755</t>
  </si>
  <si>
    <t>2026-06-15 06:38:22</t>
  </si>
  <si>
    <t>Ordogszikla koz 25, Budapest, Budapest</t>
  </si>
  <si>
    <t>Hungary</t>
  </si>
  <si>
    <t>COOL-CAB-LTGRY-R,TOWLB-SUM-XL-CSTCANDY,TOWLB-SUM-XL-MIAMI,TOWLB-SUM-XL-OCEAN</t>
  </si>
  <si>
    <t>10290573-10341827</t>
  </si>
  <si>
    <t>Klijsen</t>
  </si>
  <si>
    <t>EU-43877</t>
  </si>
  <si>
    <t>2026-06-15 06:38:30</t>
  </si>
  <si>
    <t>James Cookstraat 52-I, Amsterdam, Amsterdam</t>
  </si>
  <si>
    <t>1056 SC</t>
  </si>
  <si>
    <t>TOWLB-DES-LG-SUNSPL,TOWLB-DOB-LG-CALM</t>
  </si>
  <si>
    <t>10290568-10341822</t>
  </si>
  <si>
    <t>Alessia</t>
  </si>
  <si>
    <t>Reolon</t>
  </si>
  <si>
    <t>EU-43873</t>
  </si>
  <si>
    <t>2026-06-15 06:39:57</t>
  </si>
  <si>
    <t>Avenue Armand Huysmans 87, Ixelles, Ixelles</t>
  </si>
  <si>
    <t>TOWLB-DES-XL-ALOHGLW,TOWLB-DES-XL-LEMWAV</t>
  </si>
  <si>
    <t>10286230-10337470</t>
  </si>
  <si>
    <t>Van de Swaluw</t>
  </si>
  <si>
    <t>EU-43773</t>
  </si>
  <si>
    <t>2026-06-15 06:41:05</t>
  </si>
  <si>
    <t>Sporadenlaan 33, Amsterdam, Amsterdam</t>
  </si>
  <si>
    <t>1060 ML</t>
  </si>
  <si>
    <t>BAGF-CAB-MD-NAVY,TOWLB-CAB-XL-BLUE-R</t>
  </si>
  <si>
    <t>10290225-10341478</t>
  </si>
  <si>
    <t>De Soete</t>
  </si>
  <si>
    <t>EU-43865</t>
  </si>
  <si>
    <t>2026-06-15 06:41:23</t>
  </si>
  <si>
    <t>Gemeneweidestraat 1, Koolkerke, Koolkerke</t>
  </si>
  <si>
    <t>TOWLB-SUM-XL-MIAMI,TOWLB-SUM-XL-OCEAN</t>
  </si>
  <si>
    <t>10290575-10341829</t>
  </si>
  <si>
    <t>Marie-Aude</t>
  </si>
  <si>
    <t>Lozeron</t>
  </si>
  <si>
    <t>EU-43882</t>
  </si>
  <si>
    <t>2026-06-15 06:44:27</t>
  </si>
  <si>
    <t>5 rue Victor Basch, Montouge, Montouge</t>
  </si>
  <si>
    <t>TOWLB-CAB-XL-KHAKI-R,TOWLB-SUM-LG-MIAMI</t>
  </si>
  <si>
    <t>10290228-10341481</t>
  </si>
  <si>
    <t>Bernhard</t>
  </si>
  <si>
    <t>Lihotzky</t>
  </si>
  <si>
    <t>EU-43869</t>
  </si>
  <si>
    <t>2026-06-15 06:51:44</t>
  </si>
  <si>
    <t>Gedonstrasse 2, Muenchen, Muenchen</t>
  </si>
  <si>
    <t>10290567-10341821</t>
  </si>
  <si>
    <t>Dewi</t>
  </si>
  <si>
    <t>EU-43874</t>
  </si>
  <si>
    <t>2026-06-15 06:54:12</t>
  </si>
  <si>
    <t>Heidestraat 62, Moerbeke-Waas, Moerbeke-Waas</t>
  </si>
  <si>
    <t>BALLAST-SUM-MIAMI,TOWLB-SUM-XL-MIAMI</t>
  </si>
  <si>
    <t>10290749-10342004</t>
  </si>
  <si>
    <t>Mads</t>
  </si>
  <si>
    <t>Asdal</t>
  </si>
  <si>
    <t>EU-43872</t>
  </si>
  <si>
    <t>2026-06-15 06:55:12</t>
  </si>
  <si>
    <t>Nerudas Alle 97, 2 2, Aalborg Ø, Aalborg Ø</t>
  </si>
  <si>
    <t>10287678-10338926</t>
  </si>
  <si>
    <t>Eggbauer</t>
  </si>
  <si>
    <t>EU-43812</t>
  </si>
  <si>
    <t>2026-06-15 06:56:23</t>
  </si>
  <si>
    <t>Pfarrer högerle Strasse 2, Böbingen, Böbingen</t>
  </si>
  <si>
    <t>TOWLB-CAB-LG-BLACK-R,TOWLB-CAB-LG-KHAKI-R,TOWLB-CAB-LG-LTGRY-R,TOWLB-CAB-LG-NAVY-R,TOWLB-DES-LG-IBZAGLW,TOWLB-DES-LG-KARMA</t>
  </si>
  <si>
    <t>10287680-10338928</t>
  </si>
  <si>
    <t>Julia Elise Richarda</t>
  </si>
  <si>
    <t>Schofer</t>
  </si>
  <si>
    <t>EU-43814</t>
  </si>
  <si>
    <t>2026-06-15 06:57:44</t>
  </si>
  <si>
    <t>Zickzackweg 26, Hamburg, Hamburg</t>
  </si>
  <si>
    <t>TOWLB-CAB-LG-NAVY-R,TOWLB-DES-LG-KARMA,TOWLF-ESS-XL-GREY-R</t>
  </si>
  <si>
    <t>10287516-10338763</t>
  </si>
  <si>
    <t>EU-43809</t>
  </si>
  <si>
    <t>2026-06-15 07:00:36</t>
  </si>
  <si>
    <t>30 Dundanion Court, Blackrock, Cork, Cork</t>
  </si>
  <si>
    <t>T12 VYY9</t>
  </si>
  <si>
    <t>TOWLB-DES-XL-GRECSHR,TOWLB-SUM-XL-COLAGN,TOWLB-SUM-XL-OCEAN</t>
  </si>
  <si>
    <t>10287518-10338765</t>
  </si>
  <si>
    <t>Filipe</t>
  </si>
  <si>
    <t>Moraes</t>
  </si>
  <si>
    <t>EU-43810</t>
  </si>
  <si>
    <t>2026-06-15 07:03:09</t>
  </si>
  <si>
    <t>Estrada da boa nova 179 B, Quinta Orinoco, Funchal, Madeira</t>
  </si>
  <si>
    <t>9060-006</t>
  </si>
  <si>
    <t>10287679-10338927</t>
  </si>
  <si>
    <t>Kaiser</t>
  </si>
  <si>
    <t>EU-43813</t>
  </si>
  <si>
    <t>2026-06-15 07:04:13</t>
  </si>
  <si>
    <t>Firnhaberstraße 8, Augsburg, Augsburg</t>
  </si>
  <si>
    <t>BAGF-CAB-MD-NAVY,TOWLB-DES-XL-GRECSHR,TOWLB-SUM-XL-OCEAN</t>
  </si>
  <si>
    <t>10289465-10340717</t>
  </si>
  <si>
    <t>Eve</t>
  </si>
  <si>
    <t>Donohue</t>
  </si>
  <si>
    <t>EU-43841</t>
  </si>
  <si>
    <t>2026-06-15 07:06:57</t>
  </si>
  <si>
    <t>26 Somerton Park, Ballinlough, Cork, Cork</t>
  </si>
  <si>
    <t>T12 Y7CH</t>
  </si>
  <si>
    <t>10290572-10341826</t>
  </si>
  <si>
    <t>Regine</t>
  </si>
  <si>
    <t>Jersombeck</t>
  </si>
  <si>
    <t>EU-43878</t>
  </si>
  <si>
    <t>2026-06-15 07:07:56</t>
  </si>
  <si>
    <t>Nachtweideweg 2, Berlin, Berlin</t>
  </si>
  <si>
    <t>10290574-10341828</t>
  </si>
  <si>
    <t>Gille</t>
  </si>
  <si>
    <t>EU-43880</t>
  </si>
  <si>
    <t>2026-06-15 07:09:31</t>
  </si>
  <si>
    <t>Kirchstrasse 21, Ebsdorfergrund, Wermertshausen, Wermertshausen</t>
  </si>
  <si>
    <t>10287514-10338761</t>
  </si>
  <si>
    <t>EU-43807</t>
  </si>
  <si>
    <t>2026-06-15 07:11:16</t>
  </si>
  <si>
    <t>Dunbin, KNOCKBRIDGE, Dundalk, Louth</t>
  </si>
  <si>
    <t>A91 EK02</t>
  </si>
  <si>
    <t>10287517-10338764</t>
  </si>
  <si>
    <t>Kristine</t>
  </si>
  <si>
    <t>Verbakel</t>
  </si>
  <si>
    <t>EU-43808</t>
  </si>
  <si>
    <t>2026-06-15 07:12:00</t>
  </si>
  <si>
    <t>Jan van Rijswijcklaan 271, 8c, Antwerpen, Antwerpen</t>
  </si>
  <si>
    <t>10292360-10343619</t>
  </si>
  <si>
    <t>Minche</t>
  </si>
  <si>
    <t>Hsieh</t>
  </si>
  <si>
    <t>EU-43929</t>
  </si>
  <si>
    <t>2026-06-15 07:13:25</t>
  </si>
  <si>
    <t>Grasland 36, Eindhoven, Eindhoven</t>
  </si>
  <si>
    <t>5658 GB</t>
  </si>
  <si>
    <t>10289814-10341066</t>
  </si>
  <si>
    <t>Sheeran</t>
  </si>
  <si>
    <t>EU-43854</t>
  </si>
  <si>
    <t>2026-06-15 07:14:58</t>
  </si>
  <si>
    <t>Kiltannan, Croagh, Limerick, Limerick</t>
  </si>
  <si>
    <t>V94 H0AC</t>
  </si>
  <si>
    <t>10290020-10341272</t>
  </si>
  <si>
    <t>Brandt</t>
  </si>
  <si>
    <t>EU-43855</t>
  </si>
  <si>
    <t>2026-06-15 07:15:39</t>
  </si>
  <si>
    <t>Kastanienweg 5, Fuldatal, Fuldatal</t>
  </si>
  <si>
    <t>10289460-10340712</t>
  </si>
  <si>
    <t>macdiarmid</t>
  </si>
  <si>
    <t>EU-43837</t>
  </si>
  <si>
    <t>2026-06-15 07:17:11</t>
  </si>
  <si>
    <t>7 Ave Saint Roman, Apt 401, Les Terrasses, Monaco, Monaco</t>
  </si>
  <si>
    <t>Monaco</t>
  </si>
  <si>
    <t>TOWLB-CAB-LG-LTBLU-R</t>
  </si>
  <si>
    <t>10290576-10341830</t>
  </si>
  <si>
    <t>Reese</t>
  </si>
  <si>
    <t>EU-43881</t>
  </si>
  <si>
    <t>2026-06-15 07:17:57</t>
  </si>
  <si>
    <t>Einbrunger Strasse 63 d, Düsseldorf, Düsseldorf</t>
  </si>
  <si>
    <t>10288458-10339708</t>
  </si>
  <si>
    <t>Michiels</t>
  </si>
  <si>
    <t>EU-43822</t>
  </si>
  <si>
    <t>2026-06-15 07:19:20</t>
  </si>
  <si>
    <t>Leuvensebaan 157A, Sint Agatha Rode, Sint Agatha Rode</t>
  </si>
  <si>
    <t>10288747-10339997</t>
  </si>
  <si>
    <t>Fabienne</t>
  </si>
  <si>
    <t>Franz</t>
  </si>
  <si>
    <t>EU-43829</t>
  </si>
  <si>
    <t>2026-06-15 07:20:57</t>
  </si>
  <si>
    <t>Schedelstraße 4, München, München</t>
  </si>
  <si>
    <t>10290226-10341479</t>
  </si>
  <si>
    <t>Abesadze</t>
  </si>
  <si>
    <t>EU-43864</t>
  </si>
  <si>
    <t>2026-06-15 07:22:07</t>
  </si>
  <si>
    <t>Wassenaarseweg 141, 's-Gravenhage, 's-Gravenhage</t>
  </si>
  <si>
    <t>2596 CP</t>
  </si>
  <si>
    <t>10289623-10340875</t>
  </si>
  <si>
    <t>Lesniowski</t>
  </si>
  <si>
    <t>EU-43845</t>
  </si>
  <si>
    <t>2026-06-15 07:23:12</t>
  </si>
  <si>
    <t>Weilburger Straße 9A, Weilrod, Weilrod</t>
  </si>
  <si>
    <t>10290570-10341824</t>
  </si>
  <si>
    <t>Charline</t>
  </si>
  <si>
    <t>Möhle</t>
  </si>
  <si>
    <t>EU-43875</t>
  </si>
  <si>
    <t>2026-06-15 07:24:15</t>
  </si>
  <si>
    <t>In den Sieben Stücken 9D, Hannover, Hannover</t>
  </si>
  <si>
    <t>10290221-10341474</t>
  </si>
  <si>
    <t>Devon</t>
  </si>
  <si>
    <t>van Amersfoort</t>
  </si>
  <si>
    <t>EU-43862</t>
  </si>
  <si>
    <t>2026-06-15 07:25:41</t>
  </si>
  <si>
    <t>Kwaadeindstraat 49, Tilburg, Tilburg</t>
  </si>
  <si>
    <t>5041 JJ</t>
  </si>
  <si>
    <t>10284908-10336143</t>
  </si>
  <si>
    <t>KATIA Jolly</t>
  </si>
  <si>
    <t>Jolly</t>
  </si>
  <si>
    <t>EU-43754</t>
  </si>
  <si>
    <t>2026-06-15 07:26:43</t>
  </si>
  <si>
    <t>53 Rue Aristide Briand, Acquigny, Acquigny</t>
  </si>
  <si>
    <t>10289812-10341064</t>
  </si>
  <si>
    <t>Falvey</t>
  </si>
  <si>
    <t>EU-43852</t>
  </si>
  <si>
    <t>2026-06-15 07:28:18</t>
  </si>
  <si>
    <t>1 Blindgate House, Blindgate, Kinsale, Cork</t>
  </si>
  <si>
    <t>P17 HY92</t>
  </si>
  <si>
    <t>10290219-10341472</t>
  </si>
  <si>
    <t>Camila</t>
  </si>
  <si>
    <t>Guedes</t>
  </si>
  <si>
    <t>EU-43859</t>
  </si>
  <si>
    <t>2026-06-15 07:29:45</t>
  </si>
  <si>
    <t>Stammstr 32-34, Köln, Köln</t>
  </si>
  <si>
    <t>10289621-10340873</t>
  </si>
  <si>
    <t>Braun</t>
  </si>
  <si>
    <t>EU-43842</t>
  </si>
  <si>
    <t>2026-06-15 07:30:55</t>
  </si>
  <si>
    <t>Elbhöhe 3, Hamburg, Hamburg</t>
  </si>
  <si>
    <t>10288604-10339854</t>
  </si>
  <si>
    <t>PICHOT</t>
  </si>
  <si>
    <t>EU-43827</t>
  </si>
  <si>
    <t>2026-06-15 07:35:16</t>
  </si>
  <si>
    <t>1A Impasse de la Madone, Mions, Mions</t>
  </si>
  <si>
    <t>COOL-DES-MIDNMOV,HAIRW-SUE-IBZAGLW,PONCHA-DES-LG-IBZAGLW,PONCHA-DES-LG-WAVYBBY,TEATWL-MD-TRPPNCH</t>
  </si>
  <si>
    <t>10288460-10339710</t>
  </si>
  <si>
    <t>Slaughter</t>
  </si>
  <si>
    <t>EU-43823</t>
  </si>
  <si>
    <t>2026-06-15 07:38:31</t>
  </si>
  <si>
    <t>Grammatias House, Magali Ammos, Skiathos, Skiathos</t>
  </si>
  <si>
    <t>370 02</t>
  </si>
  <si>
    <t>TOWLB-DES-XL-GRECSHR,TOWLB-DES-XL-IBZAGLW,TOWLB-DES-XL-LEMWAV,TOWLB-SUM-XL-MIAMI,TOWLF-ESS-XL-DKBLU</t>
  </si>
  <si>
    <t>10288461-10339711</t>
  </si>
  <si>
    <t>Erik</t>
  </si>
  <si>
    <t>Jorning</t>
  </si>
  <si>
    <t>EU-43825</t>
  </si>
  <si>
    <t>2026-06-15 07:41:09</t>
  </si>
  <si>
    <t>Slotlaan 322, Zeist, Zeist</t>
  </si>
  <si>
    <t>3701 GX</t>
  </si>
  <si>
    <t>TOWLB-CAB-XL-BLUE-R,TOWLB-SUM-XL-COLAGN,TOWLB-SUM-XL-MIAMI,TOWLB-SUM-XL-OCEAN,TOWLB-SUM-XL-TUTFRU</t>
  </si>
  <si>
    <t>10288847-10340097</t>
  </si>
  <si>
    <t>Vasileios</t>
  </si>
  <si>
    <t>Tsiamis</t>
  </si>
  <si>
    <t>EU-43830</t>
  </si>
  <si>
    <t>2026-06-15 07:43:06</t>
  </si>
  <si>
    <t>Prigkiponison 6-8, Komotini, Komotini</t>
  </si>
  <si>
    <t>691 00</t>
  </si>
  <si>
    <t>BAGF-SUM-MD-CSTCANDY,TOWLB-SUM-XL-CSTCANDY,TOWLB-SUM-XL-OCEAN</t>
  </si>
  <si>
    <t>10288462-10339712</t>
  </si>
  <si>
    <t>Tessa</t>
  </si>
  <si>
    <t>Van der starre</t>
  </si>
  <si>
    <t>EU-43826</t>
  </si>
  <si>
    <t>2026-06-15 07:44:42</t>
  </si>
  <si>
    <t>Noeneketouwhof 2, Aalsmeer, Aalsmeer</t>
  </si>
  <si>
    <t>1431 DA</t>
  </si>
  <si>
    <t>10291155-10342412</t>
  </si>
  <si>
    <t>Dray</t>
  </si>
  <si>
    <t>EU-43903</t>
  </si>
  <si>
    <t>2026-06-15 07:47:28</t>
  </si>
  <si>
    <t>10 Rue dEstienne dOrves, Apt 106, Rueil-Malmaison, Rueil-Malmaison</t>
  </si>
  <si>
    <t>BAGCOOL-MD-NAVY,PICNIC-DES-XL-GRCSHR</t>
  </si>
  <si>
    <t>10292123-10343382</t>
  </si>
  <si>
    <t>Kseniia</t>
  </si>
  <si>
    <t>Skurlatova</t>
  </si>
  <si>
    <t>EU-43927</t>
  </si>
  <si>
    <t>2026-06-15 07:49:16</t>
  </si>
  <si>
    <t>Rustenburgpark 41, Hoofddorp, Hoofddorp</t>
  </si>
  <si>
    <t>2135 GT</t>
  </si>
  <si>
    <t>TOWLB-DES-LG-WTRSUG,TOWLB-DOB-LG-CALM</t>
  </si>
  <si>
    <t>10291158-10342415</t>
  </si>
  <si>
    <t>Yannick</t>
  </si>
  <si>
    <t>Goegebeur</t>
  </si>
  <si>
    <t>EU-43904</t>
  </si>
  <si>
    <t>2026-06-15 07:51:01</t>
  </si>
  <si>
    <t>Abdijhoek 18, Loppem, Loppem</t>
  </si>
  <si>
    <t>10291357-10342614</t>
  </si>
  <si>
    <t>Lauren</t>
  </si>
  <si>
    <t>Finn</t>
  </si>
  <si>
    <t>EU-43909</t>
  </si>
  <si>
    <t>2026-06-15 07:52:42</t>
  </si>
  <si>
    <t>Riverview House, Limerick, Limerick</t>
  </si>
  <si>
    <t>V35 AR02</t>
  </si>
  <si>
    <t>BAGDRY-XS-WYWH,TOWLB-DES-LG-PSTPIER</t>
  </si>
  <si>
    <t>10291159-10342416</t>
  </si>
  <si>
    <t>Antje</t>
  </si>
  <si>
    <t>Wieser</t>
  </si>
  <si>
    <t>EU-43906</t>
  </si>
  <si>
    <t>2026-06-15 07:53:49</t>
  </si>
  <si>
    <t>Dresselstraße 1, München, München</t>
  </si>
  <si>
    <t>10291598-10342856</t>
  </si>
  <si>
    <t>Kathryn</t>
  </si>
  <si>
    <t>ODowd</t>
  </si>
  <si>
    <t>EU-43917</t>
  </si>
  <si>
    <t>2026-06-15 07:55:06</t>
  </si>
  <si>
    <t>Monavullen 0, Gorey, Wexford</t>
  </si>
  <si>
    <t>Y25 EP29</t>
  </si>
  <si>
    <t>10291595-10342853</t>
  </si>
  <si>
    <t>Melina</t>
  </si>
  <si>
    <t>Messinezi</t>
  </si>
  <si>
    <t>EU-43914</t>
  </si>
  <si>
    <t>2026-06-15 07:56:38</t>
  </si>
  <si>
    <t>Karkavitsa 12, M-P, Athens, Athens</t>
  </si>
  <si>
    <t>154 52</t>
  </si>
  <si>
    <t>TOWLB-CAB-LG-GREEN-R,TOWLB-DES-XL-GRECSHR</t>
  </si>
  <si>
    <t>10291806-10343065</t>
  </si>
  <si>
    <t>Gausmann</t>
  </si>
  <si>
    <t>EU-43922</t>
  </si>
  <si>
    <t>2026-06-15 07:58:08</t>
  </si>
  <si>
    <t>Ferdinand-Kopf-Weg 4, Osnabrück, Osnabrück</t>
  </si>
  <si>
    <t>10292122-10343381</t>
  </si>
  <si>
    <t>Dietvorst</t>
  </si>
  <si>
    <t>EU-43925</t>
  </si>
  <si>
    <t>2026-06-15 07:59:17</t>
  </si>
  <si>
    <t>Clusiusstraat 36, Aalsmeer, Aalsmeer</t>
  </si>
  <si>
    <t>1431 KS</t>
  </si>
  <si>
    <t>10290950-10342206</t>
  </si>
  <si>
    <t>O'Connell</t>
  </si>
  <si>
    <t>EU-43900</t>
  </si>
  <si>
    <t>2026-06-15 08:00:45</t>
  </si>
  <si>
    <t>29 Village Green, Carlanstown, Kells, Meath</t>
  </si>
  <si>
    <t>A82 YR02</t>
  </si>
  <si>
    <t>BAGF-DES-MD-BANARAM,BAGF-DES-MD-SPRCLUB</t>
  </si>
  <si>
    <t>10289808-10341060</t>
  </si>
  <si>
    <t>Nessa</t>
  </si>
  <si>
    <t>EU-43846</t>
  </si>
  <si>
    <t>2026-06-15 08:17:24</t>
  </si>
  <si>
    <t>4 Ballycasey Manor, Shannon, Clare</t>
  </si>
  <si>
    <t>V14 D521</t>
  </si>
  <si>
    <t>10289464-10340716</t>
  </si>
  <si>
    <t>Rühmann</t>
  </si>
  <si>
    <t>EU-43839</t>
  </si>
  <si>
    <t>2026-06-15 08:23:55</t>
  </si>
  <si>
    <t>Koblenzer Straße 52, Köln, Köln</t>
  </si>
  <si>
    <t>TOWLB-CAB-XL-BLUE-R,TOWLB-CAB-XL-LTBLU-R,TOWLB-SUM-XL-MIAMI</t>
  </si>
  <si>
    <t>10289622-10340874</t>
  </si>
  <si>
    <t>EU-43844</t>
  </si>
  <si>
    <t>2026-06-15 08:26:08</t>
  </si>
  <si>
    <t>3 The Beeches, The Beeches, Ballina, Tipperary</t>
  </si>
  <si>
    <t>V94 NR2F</t>
  </si>
  <si>
    <t>10286726-10337969</t>
  </si>
  <si>
    <t>Finck</t>
  </si>
  <si>
    <t>EU-43792</t>
  </si>
  <si>
    <t>2026-06-15 08:27:16</t>
  </si>
  <si>
    <t>Morslebener Straße 7A, Harbke, Harbke</t>
  </si>
  <si>
    <t>BAGF-DES-MD-IBZAGLW,BAGF-SUM-MD-UNICN,PONCHK-KID-MD-JELLY,PONCHK-KID-SM-JELLY</t>
  </si>
  <si>
    <t>10286886-10338130</t>
  </si>
  <si>
    <t>Sönke</t>
  </si>
  <si>
    <t>Gerdes</t>
  </si>
  <si>
    <t>EU-43795</t>
  </si>
  <si>
    <t>2026-06-15 08:29:43</t>
  </si>
  <si>
    <t>Saselbekstraße 50, Hamburg, Hamburg</t>
  </si>
  <si>
    <t>TOWLB-DES-XL-SUNSPL,TOWLF-ESS-XL-BLUE-R,TOWLF-ESS-XL-LTPPL,TOWLF-ESS-XL-PINK-R</t>
  </si>
  <si>
    <t>10290227-10341480</t>
  </si>
  <si>
    <t>Boland</t>
  </si>
  <si>
    <t>EU-43868</t>
  </si>
  <si>
    <t>2026-06-15 08:30:04</t>
  </si>
  <si>
    <t>1 Kilglass, Mitchelstown, Limerick</t>
  </si>
  <si>
    <t>P67 HA21</t>
  </si>
  <si>
    <t>BAGF-CAB-MD-LTPNK,BAGF-SUM-MD-MIAMI,HAIRW-CAB-LTPNK-NB,TOWLB-CAB-LG-LTPNK-R,TOWLB-CAB-LG-NAVY-R,TOWLF-ESS-LG-PINK-R</t>
  </si>
  <si>
    <t>10289807-10341059</t>
  </si>
  <si>
    <t>Feyder</t>
  </si>
  <si>
    <t>EU-43847</t>
  </si>
  <si>
    <t>2026-06-15 08:32:31</t>
  </si>
  <si>
    <t>68a Rue De Hobscheid, Steinfort, Steinfort</t>
  </si>
  <si>
    <t>10287200-10338447</t>
  </si>
  <si>
    <t>Hetherington</t>
  </si>
  <si>
    <t>EU-43799</t>
  </si>
  <si>
    <t>2026-06-15 08:34:03</t>
  </si>
  <si>
    <t>36 Havelock Square, Sandymount, Dublin</t>
  </si>
  <si>
    <t>D04 WC78</t>
  </si>
  <si>
    <t>TOWLB-DES-XL-GRECSHR,TOWLB-SUM-XL-CSTCANDY,TOWLB-SUM-XL-OCEAN,TOWLB-SUM-XL-UNICN-R</t>
  </si>
  <si>
    <t>10287515-10338762</t>
  </si>
  <si>
    <t>Holzer</t>
  </si>
  <si>
    <t>EU-43806</t>
  </si>
  <si>
    <t>2026-06-15 08:37:45</t>
  </si>
  <si>
    <t>Mistralstraße 23, Unterschleißheim, Unterschleißheim</t>
  </si>
  <si>
    <t>TOWLB-DES-LG-PNKPARA,TOWLB-DES-LG-TROPTRT,TOWLB-DOB-LG-CALM</t>
  </si>
  <si>
    <t>10287201-10338448</t>
  </si>
  <si>
    <t>Nadezhda</t>
  </si>
  <si>
    <t>Mokeeva</t>
  </si>
  <si>
    <t>EU-43800</t>
  </si>
  <si>
    <t>2026-06-15 08:39:02</t>
  </si>
  <si>
    <t>Petrompei Mavromichali 5 block A, ap 103, Limassol, Limassol</t>
  </si>
  <si>
    <t>BAGF-DES-MD-IBZAGLW,COOL-DES-SUNSRUN,PONCHA-DES-LG-IBZAGLW,TOWLB-DES-XL-HOTTROP</t>
  </si>
  <si>
    <t>10289108-10340358</t>
  </si>
  <si>
    <t>Lyons</t>
  </si>
  <si>
    <t>EU-43831</t>
  </si>
  <si>
    <t>2026-06-15 08:40:35</t>
  </si>
  <si>
    <t>Belville, Monivea, Athenry, Galway</t>
  </si>
  <si>
    <t>H65 P803</t>
  </si>
  <si>
    <t>10288459-10339709</t>
  </si>
  <si>
    <t>Elke</t>
  </si>
  <si>
    <t>Geluyckens</t>
  </si>
  <si>
    <t>EU-43824</t>
  </si>
  <si>
    <t>2026-06-15 08:41:50</t>
  </si>
  <si>
    <t>Hovestraat 89, Edegem, Edegem</t>
  </si>
  <si>
    <t>BAGDRY-MD-NAVY,TOWLB-CAB-LG-BLUE-R,TOWLB-CAB-LG-GREEN-R,TOWLB-CAB-LG-NAVY-R,TOWLB-CAB-LG-ORANG-R,TOWLB-CAB-LG-RED-R</t>
  </si>
  <si>
    <t>10289461-10340713</t>
  </si>
  <si>
    <t>Kayleigh</t>
  </si>
  <si>
    <t>Maher</t>
  </si>
  <si>
    <t>EU-43836</t>
  </si>
  <si>
    <t>2026-06-15 08:42:46</t>
  </si>
  <si>
    <t>58 Glencarrick, Roscrea, Tipperary</t>
  </si>
  <si>
    <t>E53 TX96</t>
  </si>
  <si>
    <t>10288265-10339515</t>
  </si>
  <si>
    <t>Shane</t>
  </si>
  <si>
    <t>Scanlan</t>
  </si>
  <si>
    <t>EU-43819</t>
  </si>
  <si>
    <t>2026-06-15 08:43:38</t>
  </si>
  <si>
    <t>Jamesbrook, Midleton, Cork</t>
  </si>
  <si>
    <t>P25 PC79</t>
  </si>
  <si>
    <t>COOL-DES-MIDNMOV,TOWLF-ESS-LG-DKBLU</t>
  </si>
  <si>
    <t>10289274-10340526</t>
  </si>
  <si>
    <t>Sheridan</t>
  </si>
  <si>
    <t>EU-43833</t>
  </si>
  <si>
    <t>2026-06-15 08:44:15</t>
  </si>
  <si>
    <t>10 Grangebrook Park, Rathfarnham, Dublin 16, Dublin</t>
  </si>
  <si>
    <t>D16 T6Y1</t>
  </si>
  <si>
    <t>TOWLB-CAB-XL-BLUE-R,TOWLB-DES-XL-GRECSHR,TOWLB-SUM-XL-RAINB-R,TOWLF-ESS-XL-BLUE-R</t>
  </si>
  <si>
    <t>10289459-10340711</t>
  </si>
  <si>
    <t>Cunningham</t>
  </si>
  <si>
    <t>EU-43838</t>
  </si>
  <si>
    <t>2026-06-15 08:45:35</t>
  </si>
  <si>
    <t>Oudstrijdersstraat 94, Beersel, Beersel</t>
  </si>
  <si>
    <t>10287825-10339074</t>
  </si>
  <si>
    <t>Emily</t>
  </si>
  <si>
    <t>Keane</t>
  </si>
  <si>
    <t>EU-43815</t>
  </si>
  <si>
    <t>2026-06-15 08:45:36</t>
  </si>
  <si>
    <t>10 Willowgrove, Coolroe Heights, Ballincollig, Cork</t>
  </si>
  <si>
    <t>P31 FP11</t>
  </si>
  <si>
    <t>10289463-10340715</t>
  </si>
  <si>
    <t>EU-43840</t>
  </si>
  <si>
    <t>2026-06-15 08:47:51</t>
  </si>
  <si>
    <t>Schwetzinger Terrasse 7, Heidelberg, Heidelberg</t>
  </si>
  <si>
    <t>BAGF-SUM-MD-COLAGN,TOWLB-SUM-XL-COLAGN,TOWLB-SUM-XL-TUTFRU</t>
  </si>
  <si>
    <t>10287977-10339227</t>
  </si>
  <si>
    <t>Liah</t>
  </si>
  <si>
    <t>EU-43818</t>
  </si>
  <si>
    <t>2026-06-15 08:52:13</t>
  </si>
  <si>
    <t>29 Bayview Drive, Killiney, Dublin</t>
  </si>
  <si>
    <t>A96 NX22</t>
  </si>
  <si>
    <t>BAGCOOL-MD-NAVY,BAGF-CAB-MD-LTPNK,PONCHK-SUM-MD-UNICN-NS</t>
  </si>
  <si>
    <t>10288266-10339516</t>
  </si>
  <si>
    <t>Nora Aine</t>
  </si>
  <si>
    <t>Ni Nuallain</t>
  </si>
  <si>
    <t>EU-43821</t>
  </si>
  <si>
    <t>2026-06-15 08:54:28</t>
  </si>
  <si>
    <t>Bixby House, Drumconora, Nutfield, Ennis, Clare</t>
  </si>
  <si>
    <t>V95 YE2A</t>
  </si>
  <si>
    <t>10290583-10341837</t>
  </si>
  <si>
    <t>Zahnarztpraxis Büro</t>
  </si>
  <si>
    <t>Blümich</t>
  </si>
  <si>
    <t>EU-43888</t>
  </si>
  <si>
    <t>2026-06-15 08:54:44</t>
  </si>
  <si>
    <t>Schulzendorfer Straße 106, Berlin, Berlin</t>
  </si>
  <si>
    <t>10286396-10337636</t>
  </si>
  <si>
    <t>Vercruysse</t>
  </si>
  <si>
    <t>EU-43779</t>
  </si>
  <si>
    <t>2026-06-15 08:58:28</t>
  </si>
  <si>
    <t>Robert Schumannlaan 10, Waregem, Waregem</t>
  </si>
  <si>
    <t>TOWLB-CAB-LG-RED-R,TOWLB-DES-XL-BLUSPRIT,TOWLB-DES-XL-LEMWAV</t>
  </si>
  <si>
    <t>10286398-10337638</t>
  </si>
  <si>
    <t>Ballnus</t>
  </si>
  <si>
    <t>EU-43780</t>
  </si>
  <si>
    <t>2026-06-15 09:00:29</t>
  </si>
  <si>
    <t>Freudental 24, Heide, Heide</t>
  </si>
  <si>
    <t>TOWLB-DES-LG-BLUSPRIT,TOWLB-DES-LG-MELLOW,TOWLB-DES-LG-PSTPIER,TOWLB-SUM-LG-MIAMI</t>
  </si>
  <si>
    <t>10289810-10341062</t>
  </si>
  <si>
    <t>Eilís</t>
  </si>
  <si>
    <t>Noonan</t>
  </si>
  <si>
    <t>EU-43849</t>
  </si>
  <si>
    <t>2026-06-15 09:01:13</t>
  </si>
  <si>
    <t>3 Radharc Na Boirne, Barefield, Ennis, Clare</t>
  </si>
  <si>
    <t>V95 AD6Y</t>
  </si>
  <si>
    <t>BAGBCH-MD-NAVY,DOGTWL-MD-SUNSPL,TOWLB-CAB-XL-BLUE-R,TOWLB-CAB-XL-KHAKI-R,TOWLB-CAB-XL-LTPPL-R,TOWLB-CAB-XL-YELL-R</t>
  </si>
  <si>
    <t>10286397-10337637</t>
  </si>
  <si>
    <t>Romito</t>
  </si>
  <si>
    <t>EU-43778</t>
  </si>
  <si>
    <t>2026-06-15 09:02:06</t>
  </si>
  <si>
    <t>Jac P Thijsselaan 62, Oegstgeest, Oegstgeest</t>
  </si>
  <si>
    <t>2341 PD</t>
  </si>
  <si>
    <t>BAGDRY-XS-NAVY,COOL-CAB-NAVY-R,TOWLB-KID-LG-POWPOS,TOWLB-KID-LG-SANDSTRT</t>
  </si>
  <si>
    <t>10281726-10332906</t>
  </si>
  <si>
    <t>Jost</t>
  </si>
  <si>
    <t>EU-43719</t>
  </si>
  <si>
    <t>2026-06-15 09:03:31</t>
  </si>
  <si>
    <t>23 Gate Lodge, Castle Rd, Blackrock, Cork, Cork</t>
  </si>
  <si>
    <t>T12 CXY0</t>
  </si>
  <si>
    <t>BAGF-DES-MD-BANARAM,BAGF-DES-MD-CHECKMT,BAGTOI-MD-CHRYBMB,PONCHA-DES-LG-IBZAGLW,TOWLB-DES-LG-TROPTRT</t>
  </si>
  <si>
    <t>10286291-10337531</t>
  </si>
  <si>
    <t>Aurélie</t>
  </si>
  <si>
    <t>Baillieu</t>
  </si>
  <si>
    <t>EU-43777</t>
  </si>
  <si>
    <t>2026-06-15 09:04:53</t>
  </si>
  <si>
    <t>Brusselsesteenweg 99/0105, Brusselsesteenweg 99/0105, Zemst, Zemst</t>
  </si>
  <si>
    <t>PONCHK-SUM-MD-UNICN-NS,TOWLB-CAB-LG-LTPNK-R,TOWLB-SUM-XL-MIAMI</t>
  </si>
  <si>
    <t>10286228-10337468</t>
  </si>
  <si>
    <t>Nauwelaerts</t>
  </si>
  <si>
    <t>EU-43772</t>
  </si>
  <si>
    <t>2026-06-15 09:06:34</t>
  </si>
  <si>
    <t>Heivelden, 21, Onze-Lieve-Vrouw-Waver, Onze-Lieve-Vrouw-Waver</t>
  </si>
  <si>
    <t>10289809-10341061</t>
  </si>
  <si>
    <t>Gráinne</t>
  </si>
  <si>
    <t>Turley</t>
  </si>
  <si>
    <t>EU-43850</t>
  </si>
  <si>
    <t>2026-06-15 09:07:13</t>
  </si>
  <si>
    <t>Hillcrest lower Kindlestown, Greystones, Co Wicklow, Wicklow</t>
  </si>
  <si>
    <t>A63 Y765</t>
  </si>
  <si>
    <t>TOWLB-CAB-LG-GREEN-R,TOWLB-CAB-LG-LTPNK-R,TOWLB-CAB-MD-LTBLU,TOWLB-CAB-MD-LTPNK,TOWLB-CAB-MD-NAVY,TOWLB-KID-MD-JELLY,TOWLB-KID-MD-TURTROP,TOWLB-SUM-MD-UNICN</t>
  </si>
  <si>
    <t>10290022-10341274</t>
  </si>
  <si>
    <t>Joy</t>
  </si>
  <si>
    <t>Mias</t>
  </si>
  <si>
    <t>EU-43856</t>
  </si>
  <si>
    <t>2026-06-15 09:08:59</t>
  </si>
  <si>
    <t>13 Churchtown Rd Upper, 13, Dublin 14, Dublin</t>
  </si>
  <si>
    <t>D14 K068</t>
  </si>
  <si>
    <t>10289815-10341067</t>
  </si>
  <si>
    <t>Sharron</t>
  </si>
  <si>
    <t>Hayes</t>
  </si>
  <si>
    <t>EU-43853</t>
  </si>
  <si>
    <t>2026-06-15 09:10:22</t>
  </si>
  <si>
    <t>24 Ballykeelaun, Parteen, Clare, Clare</t>
  </si>
  <si>
    <t>V94 X8E8</t>
  </si>
  <si>
    <t>BAGF-DES-MD-WAVYBBY,TOWLB-CAB-XL-GREEN-R,TOWLB-CAB-XL-LTPPL-R</t>
  </si>
  <si>
    <t>10290026-10341278</t>
  </si>
  <si>
    <t>sabela</t>
  </si>
  <si>
    <t>galindo dasilva</t>
  </si>
  <si>
    <t>EU-43858</t>
  </si>
  <si>
    <t>2026-06-15 09:46:49</t>
  </si>
  <si>
    <t>16 Mount Drinan Crescent, Swords, Dublin</t>
  </si>
  <si>
    <t>K67 XD42</t>
  </si>
  <si>
    <t>PICNIC-DES-XL-STRIPLIFE,TOWLB-DES-LG-WTRSUG,TOWLB-KID-LG-JELLY,TOWLB-KID-LG-KARMCHAM</t>
  </si>
  <si>
    <t>10290217-10341470</t>
  </si>
  <si>
    <t>Jarrik</t>
  </si>
  <si>
    <t>Fransen</t>
  </si>
  <si>
    <t>EU-43860</t>
  </si>
  <si>
    <t>2026-06-15 09:52:35</t>
  </si>
  <si>
    <t>Sint-Teunisplein 10/1, Zoersel, Zoersel</t>
  </si>
  <si>
    <t>BAGF-CAB-MD-NAVY,PONCHK-KID-MD-CAMOCUBE,PONCHK-KID-SM-BUBDRM,TOWLB-CAB-LG-BLACK-R,TOWLB-CAB-LG-BLUE-R,TOWLB-CAB-LG-LTBLU-R,TOWLB-CAB-LG-NAVY-R</t>
  </si>
  <si>
    <t>10290222-10341475</t>
  </si>
  <si>
    <t>Bier</t>
  </si>
  <si>
    <t>EU-43861</t>
  </si>
  <si>
    <t>2026-06-15 09:56:30</t>
  </si>
  <si>
    <t>Hirtenwiesenstraße 10, Ebsdorfergrund, Ebsdorfergrund</t>
  </si>
  <si>
    <t>TOWLB-CAB-MD-LTPNK,TOWLB-CAB-MD-NAVY,TOWLB-DES-LG-HOTTROP,TOWLB-DES-LG-IBZAGLW,TOWLB-DES-LG-PNKPARA,TOWLB-DES-LG-SWTESC,TOWLB-DES-LG-TANTIDE,TOWLB-DES-LG-WYWH</t>
  </si>
  <si>
    <t>10290223-10341476</t>
  </si>
  <si>
    <t>Esther</t>
  </si>
  <si>
    <t>EU-43867</t>
  </si>
  <si>
    <t>2026-06-15 09:58:33</t>
  </si>
  <si>
    <t>Weidenbornstrasse 35, Frankfurt, Frankfurt</t>
  </si>
  <si>
    <t>BAGF-DES-MD-IBZAGLW,TOWLB-SUM-LG-COLAGN,TOWLB-SUM-LG-MIAMI</t>
  </si>
  <si>
    <t>10290393-10341646</t>
  </si>
  <si>
    <t>Katrien</t>
  </si>
  <si>
    <t>Lemmens</t>
  </si>
  <si>
    <t>EU-43870</t>
  </si>
  <si>
    <t>2026-06-15 10:00:04</t>
  </si>
  <si>
    <t>Boogschuttersstraat 11, Bree, Bree</t>
  </si>
  <si>
    <t>10293792-10345055</t>
  </si>
  <si>
    <t>Alix</t>
  </si>
  <si>
    <t>Mazé Juillet</t>
  </si>
  <si>
    <t>EU-43947</t>
  </si>
  <si>
    <t>2026-06-15 10:20:26</t>
  </si>
  <si>
    <t>Rue Paul Spaak 24, Ixelles, Ixelles</t>
  </si>
  <si>
    <t>TOWLB-CAB-LG-GREEN-R,TOWLB-CAB-LG-NAVY-R,TOWLB-CAB-LG-ORANG-R,TOWLB-CAB-LG-YELL-R</t>
  </si>
  <si>
    <t>10293445-10344705</t>
  </si>
  <si>
    <t>Dr.</t>
  </si>
  <si>
    <t>Thorsten Schüler</t>
  </si>
  <si>
    <t>EU-43943</t>
  </si>
  <si>
    <t>2026-06-15 10:23:06</t>
  </si>
  <si>
    <t>Wallfriedsweg 11, Mülheim, Mülheim</t>
  </si>
  <si>
    <t>10293443-10344703</t>
  </si>
  <si>
    <t>Dr Emma</t>
  </si>
  <si>
    <t>Micallef Konewko</t>
  </si>
  <si>
    <t>EU-43940</t>
  </si>
  <si>
    <t>2026-06-15 10:25:36</t>
  </si>
  <si>
    <t>Qualia, Villa 1, Triq Mejjiesa, Manikata, Manikata</t>
  </si>
  <si>
    <t>MLH 5132</t>
  </si>
  <si>
    <t>BAGDRY-XS-HOTTROP,BAGDRY-XS-WYWH,PP-TOWLB-CAB-XL-4SETO,TOWLB-DES-XL-ALOHGLW</t>
  </si>
  <si>
    <t>10293442-10344702</t>
  </si>
  <si>
    <t>Lobke</t>
  </si>
  <si>
    <t>LANTSOGHT</t>
  </si>
  <si>
    <t>EU-43941</t>
  </si>
  <si>
    <t>2026-06-15 10:52:06</t>
  </si>
  <si>
    <t>Vuldersstraat 89, Brugge, Brugge</t>
  </si>
  <si>
    <t>BAGF-SUM-MD-MIAMI,DOGTWL-DES-MD-CHKMTT,TOWLB-SUM-XL-OCEAN</t>
  </si>
  <si>
    <t>10293791-10345054</t>
  </si>
  <si>
    <t>EU-43945</t>
  </si>
  <si>
    <t>2026-06-15 10:54:01</t>
  </si>
  <si>
    <t>PONCHA-DES-MD-IBZAGLW,PONCHA-SUM-LG-LAZRIV,PONCHA-SUM-MD-CSTCANDY</t>
  </si>
  <si>
    <t>10290951-10342207</t>
  </si>
  <si>
    <t>Lisette</t>
  </si>
  <si>
    <t>Duijn</t>
  </si>
  <si>
    <t>EU-43899</t>
  </si>
  <si>
    <t>2026-06-15 10:58:47</t>
  </si>
  <si>
    <t>Vrederiksakker 8, HEERHUGOWAARD, HEERHUGOWAARD</t>
  </si>
  <si>
    <t>1704 MB</t>
  </si>
  <si>
    <t>TOWLB-CAB-LG-LTBLU-R,TOWLB-CAB-LG-LTPNK-R,TOWLB-CAB-XL-KHAKI-R,TOWLB-CAB-XL-YELL-R</t>
  </si>
  <si>
    <t>10290952-10342208</t>
  </si>
  <si>
    <t>Debby</t>
  </si>
  <si>
    <t>Doms</t>
  </si>
  <si>
    <t>EU-43901</t>
  </si>
  <si>
    <t>2026-06-15 11:01:31</t>
  </si>
  <si>
    <t>Molenstraat 2b, Leest, Leest</t>
  </si>
  <si>
    <t>10294034-10345306</t>
  </si>
  <si>
    <t>EU-43951</t>
  </si>
  <si>
    <t>2026-06-15 11:02:45</t>
  </si>
  <si>
    <t>Jacobus Bellamylaan 32, Bussum, Bussum</t>
  </si>
  <si>
    <t>10294033-10345305</t>
  </si>
  <si>
    <t>grainne</t>
  </si>
  <si>
    <t>loughlin</t>
  </si>
  <si>
    <t>EU-43949</t>
  </si>
  <si>
    <t>2026-06-15 11:03:32</t>
  </si>
  <si>
    <t>Old school house, Toureen, Bealadangan, Connemara, Galway</t>
  </si>
  <si>
    <t>H91 X9K4</t>
  </si>
  <si>
    <t>BAGDRY-XS-WYWH</t>
  </si>
  <si>
    <t>10290756-10342011</t>
  </si>
  <si>
    <t>Galinsky</t>
  </si>
  <si>
    <t>EU-43895</t>
  </si>
  <si>
    <t>2026-06-15 11:04:31</t>
  </si>
  <si>
    <t>Leutstettener Straße 84A, Munich, Munich</t>
  </si>
  <si>
    <t>10291359-10342616</t>
  </si>
  <si>
    <t>Nobels</t>
  </si>
  <si>
    <t>EU-43911</t>
  </si>
  <si>
    <t>2026-06-15 11:04:59</t>
  </si>
  <si>
    <t>Groenstraat 28, Boortmeerbeek, Boortmeerbeek</t>
  </si>
  <si>
    <t>TOWLB-CAB-LG-BLUE-R,TOWLB-CAB-LG-NAVY-R,TOWLB-CAB-LG-ORANG-R,TOWLB-CAB-LG-RED-R,TOWLB-SUM-XL-COLAGN,TOWLB-SUM-XL-MIAMI,TOWLB-SUM-XL-OCEAN,TOWLB-SUM-XL-TUTFRU</t>
  </si>
  <si>
    <t>10290759-10342014</t>
  </si>
  <si>
    <t>Vincent</t>
  </si>
  <si>
    <t>EU-43897</t>
  </si>
  <si>
    <t>2026-06-15 11:05:24</t>
  </si>
  <si>
    <t>Rue de la Maison du Bois 132, Jodoigne, Jodoigne</t>
  </si>
  <si>
    <t>10293598-10344858</t>
  </si>
  <si>
    <t>Nienke</t>
  </si>
  <si>
    <t>Broeren</t>
  </si>
  <si>
    <t>EU-43944</t>
  </si>
  <si>
    <t>2026-06-15 11:06:00</t>
  </si>
  <si>
    <t>Aarschotsesteenweg 666, Tienen, Tienen</t>
  </si>
  <si>
    <t>10291157-10342414</t>
  </si>
  <si>
    <t>Cheryl</t>
  </si>
  <si>
    <t>EU-43905</t>
  </si>
  <si>
    <t>2026-06-15 11:07:45</t>
  </si>
  <si>
    <t>Rocky Lodge, Delgany, Wicklow</t>
  </si>
  <si>
    <t>A63 YF29</t>
  </si>
  <si>
    <t>BAGF-SUM-MD-CSTCANDY,TEATWL-MD-SQCLEAN,TOWLB-SUM-XL-COLAGN,TOWLB-SUM-XL-CSTCANDY,TOWLB-SUM-XL-MIAMI</t>
  </si>
  <si>
    <t>10291161-10342418</t>
  </si>
  <si>
    <t>McKinley</t>
  </si>
  <si>
    <t>EU-43908</t>
  </si>
  <si>
    <t>2026-06-15 11:08:30</t>
  </si>
  <si>
    <t>44 Bracken Park Dr, Castleknock, Dublin</t>
  </si>
  <si>
    <t>D15 PC8H</t>
  </si>
  <si>
    <t>10291602-10342860</t>
  </si>
  <si>
    <t>Morgado</t>
  </si>
  <si>
    <t>EU-43921</t>
  </si>
  <si>
    <t>2026-06-15 11:09:09</t>
  </si>
  <si>
    <t>Calle Capiscol 8 5 8, Madrid, Madrid</t>
  </si>
  <si>
    <t>HAIRW-WAF-CHRYBMB,PONCHK-KID-MD-SKATER,TOWLB-DOB-LG-CALM</t>
  </si>
  <si>
    <t>10292366-10343625</t>
  </si>
  <si>
    <t>Hugo</t>
  </si>
  <si>
    <t>Brune</t>
  </si>
  <si>
    <t>EU-43935</t>
  </si>
  <si>
    <t>2026-06-15 11:09:31</t>
  </si>
  <si>
    <t>56 Rue Anatole France, 13A28 - Bâtiment B, Bagnolet, Bagnolet</t>
  </si>
  <si>
    <t>PICNIC-DES-LG-BANARAM,TOWLB-DES-XL-LEMWAV,TOWLB-KID-MD-BUILDBCH</t>
  </si>
  <si>
    <t>10291360-10342617</t>
  </si>
  <si>
    <t>AVH TUINMEUBELEN</t>
  </si>
  <si>
    <t>Mayliani</t>
  </si>
  <si>
    <t>EU-43912</t>
  </si>
  <si>
    <t>2026-06-15 11:09:43</t>
  </si>
  <si>
    <t>INDUSTRIESTRAAT 11, NUMANSDORP, NUMANSDORP</t>
  </si>
  <si>
    <t>3281 LB</t>
  </si>
  <si>
    <t>10292356-10343615</t>
  </si>
  <si>
    <t>isla</t>
  </si>
  <si>
    <t>mcsweeney</t>
  </si>
  <si>
    <t>EU-43931</t>
  </si>
  <si>
    <t>2026-06-15 11:12:00</t>
  </si>
  <si>
    <t>Coolea, Macroom, Cork, Cork</t>
  </si>
  <si>
    <t>P12 F883</t>
  </si>
  <si>
    <t>BAGF-SUM-MD-CSTCANDY,TOWLB-CAB-LG-NAVY-R,TOWLB-SUM-LG-CSTCANDY,TOWLB-SUM-LG-MIAMI</t>
  </si>
  <si>
    <t>10292124-10343383</t>
  </si>
  <si>
    <t>Werr</t>
  </si>
  <si>
    <t>EU-43928</t>
  </si>
  <si>
    <t>2026-06-15 11:12:01</t>
  </si>
  <si>
    <t>Siebenstädterstraße 15, Salzburg, Salzburg</t>
  </si>
  <si>
    <t>BALLAST-SUM-MIAMI,HAIRW-SUE-MIAMI,PONCHA-SUM-MD-CSTCANDY,TOWLB-SUM-LG-MIAMI</t>
  </si>
  <si>
    <t>10291160-10342417</t>
  </si>
  <si>
    <t>Rodewald</t>
  </si>
  <si>
    <t>EU-43907</t>
  </si>
  <si>
    <t>2026-06-15 11:13:15</t>
  </si>
  <si>
    <t>Westendstr 14, Frankfurt, Frankfurt</t>
  </si>
  <si>
    <t>TOWLB-DES-XL-GRECSHR,TOWLB-DES-XL-SUNSPL,TOWLB-SUM-XL-TUTFRU</t>
  </si>
  <si>
    <t>10292554-10343813</t>
  </si>
  <si>
    <t>William Sharkey</t>
  </si>
  <si>
    <t>EU-43939</t>
  </si>
  <si>
    <t>2026-06-15 11:13:38</t>
  </si>
  <si>
    <t>30 Stonepark Abbey, Dublin 14, Dublin</t>
  </si>
  <si>
    <t>D14 P7V2</t>
  </si>
  <si>
    <t>10292364-10343623</t>
  </si>
  <si>
    <t>Van Looveren</t>
  </si>
  <si>
    <t>EU-43933</t>
  </si>
  <si>
    <t>2026-06-15 11:15:16</t>
  </si>
  <si>
    <t>Dennenlaan 9, Schilde, Schilde</t>
  </si>
  <si>
    <t>TOWLB-CAB-XL-BLUE-R,TOWLB-CAB-XL-GREEN-R,TOWLB-CAB-XL-KHAKI-R,TOWLB-DES-XL-ALOHGLW,TOWLB-SUM-XL-TUTFRU</t>
  </si>
  <si>
    <t>10291596-10342854</t>
  </si>
  <si>
    <t>Evi</t>
  </si>
  <si>
    <t>Meier</t>
  </si>
  <si>
    <t>EU-43916</t>
  </si>
  <si>
    <t>2026-06-15 11:16:01</t>
  </si>
  <si>
    <t>Römerstraße 5, Aschheim, Aschheim</t>
  </si>
  <si>
    <t>PICNIC-DES-XL-BRGTSIDE,TOWLB-CAB-LG-BLUE-R,TOWLB-CAB-LG-NAVY-R,TOWLB-CAB-LG-ORANG-R,TOWLB-CAB-LG-RED-R,TOWLB-SUM-XL-COLAGN,TOWLB-SUM-XL-MIAMI,TOWLB-SUM-XL-OCEAN,TOWLB-SUM-XL-TUTFRU</t>
  </si>
  <si>
    <t>10292365-10343624</t>
  </si>
  <si>
    <t>Barrett</t>
  </si>
  <si>
    <t>EU-43932</t>
  </si>
  <si>
    <t>2026-06-15 11:16:42</t>
  </si>
  <si>
    <t>Glen, Rockcorry, Monaghan</t>
  </si>
  <si>
    <t>H18 F726</t>
  </si>
  <si>
    <t>BAGDRY-XS-NAVY,BAGF-SUM-MD-MIAMI,TOWLB-DES-LG-MELLOW,TOWLF-ESS-LG-BLUE-R</t>
  </si>
  <si>
    <t>10291805-10343064</t>
  </si>
  <si>
    <t>Jongen</t>
  </si>
  <si>
    <t>EU-43923</t>
  </si>
  <si>
    <t>2026-06-15 11:17:05</t>
  </si>
  <si>
    <t>Evert Cornelislaan 13, Bilthoven, Bilthoven</t>
  </si>
  <si>
    <t>3723 LD</t>
  </si>
  <si>
    <t>10291599-10342857</t>
  </si>
  <si>
    <t>Annuschka</t>
  </si>
  <si>
    <t>Wiesemann</t>
  </si>
  <si>
    <t>EU-43919</t>
  </si>
  <si>
    <t>2026-06-15 11:17:56</t>
  </si>
  <si>
    <t>Schleifweg 15, Steinmark, Esselbach, Esselbach</t>
  </si>
  <si>
    <t>COOL-DES-MIDNMOV,TOWLB-DES-XL-GRECSHR,TOWLB-DES-XL-SUNSPL</t>
  </si>
  <si>
    <t>10292358-10343617</t>
  </si>
  <si>
    <t>Drubbel</t>
  </si>
  <si>
    <t>EU-43930</t>
  </si>
  <si>
    <t>2026-06-15 11:21:41</t>
  </si>
  <si>
    <t>Meirebeekstraat 21, Gent, Gent</t>
  </si>
  <si>
    <t>PP-TOWLB-CAB-XL-4SET-ORANGE,TOWLB-CAB-XL-KHAKI-R</t>
  </si>
  <si>
    <t>10292552-10343811</t>
  </si>
  <si>
    <t>Meusburger</t>
  </si>
  <si>
    <t>EU-43936</t>
  </si>
  <si>
    <t>2026-06-15 11:23:02</t>
  </si>
  <si>
    <t>Santifallerstraße 4, Top 61, Innsbruck, Innsbruck</t>
  </si>
  <si>
    <t>EYEMASK-DES-OOO,HAIRW-WAF-CHRYBMB</t>
  </si>
  <si>
    <t>10293444-10344704</t>
  </si>
  <si>
    <t>Schwedler</t>
  </si>
  <si>
    <t>EU-43942</t>
  </si>
  <si>
    <t>2026-06-15 11:24:22</t>
  </si>
  <si>
    <t>Lerchenstraße 20, Soltau, Soltau</t>
  </si>
  <si>
    <t>10294334-10345635</t>
  </si>
  <si>
    <t>Van der Vloed</t>
  </si>
  <si>
    <t>EU-43955</t>
  </si>
  <si>
    <t>2026-06-15 11:25:23</t>
  </si>
  <si>
    <t>Willem Pijperlaan 10, Rotterdam, Rotterdam</t>
  </si>
  <si>
    <t>3055 WN</t>
  </si>
  <si>
    <t>10292362-10343621</t>
  </si>
  <si>
    <t>Schuh</t>
  </si>
  <si>
    <t>EU-43934</t>
  </si>
  <si>
    <t>2026-06-15 11:26:47</t>
  </si>
  <si>
    <t>51 Rue De Cessange, Luxembourg, Luxembourg</t>
  </si>
  <si>
    <t>TOWLB-KID-LG-GVCLUB,TOWLB-KID-LG-JELLY</t>
  </si>
  <si>
    <t>10294335-10345636</t>
  </si>
  <si>
    <t>Tonny</t>
  </si>
  <si>
    <t>Berteloot</t>
  </si>
  <si>
    <t>EU-43956</t>
  </si>
  <si>
    <t>2026-06-15 11:26:59</t>
  </si>
  <si>
    <t>Groenhove, 32, Wontergem, Wontergem</t>
  </si>
  <si>
    <t>10284569-10335803</t>
  </si>
  <si>
    <t>Wellesley</t>
  </si>
  <si>
    <t>EU-43752</t>
  </si>
  <si>
    <t>2026-06-15 11:28:29</t>
  </si>
  <si>
    <t>Nymphenburger Straße 14a, Munich, Munich</t>
  </si>
  <si>
    <t>BAGCOOL-MD-NAVY,BAGF-CAB-MD-NAVY,COOL-CAB-NAVY-R,PICNIC-CAB-XL-NAVY</t>
  </si>
  <si>
    <t>10289275-10340527</t>
  </si>
  <si>
    <t>Moriarty</t>
  </si>
  <si>
    <t>EU-43832</t>
  </si>
  <si>
    <t>2026-06-15 11:30:31</t>
  </si>
  <si>
    <t>Loughgerald, Bree, Wexford</t>
  </si>
  <si>
    <t>Y21 VK50</t>
  </si>
  <si>
    <t>BAGBCH-MD-NAVY,BAGCOOL-MD-NAVY,BAGTOI-MD-CHRYBMB,BALLAST-CAB-NAVY,HAIRW-CAB-NAVY-NB,HAIRW-WAF-CHRYBMB,TOWLB-CAB-MD-NAVY</t>
  </si>
  <si>
    <t>10294332-10345633</t>
  </si>
  <si>
    <t>Goethals</t>
  </si>
  <si>
    <t>EU-43953</t>
  </si>
  <si>
    <t>2026-06-15 11:32:00</t>
  </si>
  <si>
    <t>Gustaaf Carelshof 13, Gent, Gent</t>
  </si>
  <si>
    <t>10291601-10342859</t>
  </si>
  <si>
    <t>EU-43920</t>
  </si>
  <si>
    <t>2026-06-15 11:36:23</t>
  </si>
  <si>
    <t>DOGTWL-DES-LG-UNDWLK,PONCHK-KID-SM-JELLY,TEATWL-MD-APPLTRT</t>
  </si>
  <si>
    <t>10290755-10342010</t>
  </si>
  <si>
    <t>Luisa Lo</t>
  </si>
  <si>
    <t>028-1490345-0177161</t>
  </si>
  <si>
    <t>2026-06-15 11:37:58</t>
  </si>
  <si>
    <t>C/o Llambrich, Berliner Allee 116, Berlin, Berlin</t>
  </si>
  <si>
    <t>PICNIC-DES-XL-GRCSHR</t>
  </si>
  <si>
    <t>10290760-10342015</t>
  </si>
  <si>
    <t>PASCALE</t>
  </si>
  <si>
    <t>LENAERTS</t>
  </si>
  <si>
    <t>EU-43898</t>
  </si>
  <si>
    <t>2026-06-15 11:38:55</t>
  </si>
  <si>
    <t>avenue paule 2, LA HULPE, LA HULPE</t>
  </si>
  <si>
    <t>PICNIC-DES-XL-APPLTRT</t>
  </si>
  <si>
    <t>10293024-10344283</t>
  </si>
  <si>
    <t>Annabell</t>
  </si>
  <si>
    <t>Struffert</t>
  </si>
  <si>
    <t>028-4284630-8004358</t>
  </si>
  <si>
    <t>2026-06-15 11:39:50</t>
  </si>
  <si>
    <t>Schirl 10, Ostbevern, Ostbevern</t>
  </si>
  <si>
    <t>TOWLF-ESS-LG-DKBLU</t>
  </si>
  <si>
    <t>10290754-10342009</t>
  </si>
  <si>
    <t>Battle</t>
  </si>
  <si>
    <t>EU-43893</t>
  </si>
  <si>
    <t>2026-06-15 11:40:43</t>
  </si>
  <si>
    <t>Clooniron, Kilmovee, Ballaghaderreen, Mayo</t>
  </si>
  <si>
    <t>F45 ED30</t>
  </si>
  <si>
    <t>TOWLB-DES-LG-PNKPARA</t>
  </si>
  <si>
    <t>10290751-10342006</t>
  </si>
  <si>
    <t>Lucie</t>
  </si>
  <si>
    <t>Boost</t>
  </si>
  <si>
    <t>EU-43892</t>
  </si>
  <si>
    <t>2026-06-15 11:41:47</t>
  </si>
  <si>
    <t>s Herenlei 3, Kontich, Kontich</t>
  </si>
  <si>
    <t>10291804-10343063</t>
  </si>
  <si>
    <t>Klaudia</t>
  </si>
  <si>
    <t>Chodowiec</t>
  </si>
  <si>
    <t>EU-43924</t>
  </si>
  <si>
    <t>2026-06-15 11:42:51</t>
  </si>
  <si>
    <t>41 Coolraine Heights, Old Cratloe Rd, Limerick, Limerick</t>
  </si>
  <si>
    <t>V94 EYP8</t>
  </si>
  <si>
    <t>10291597-10342855</t>
  </si>
  <si>
    <t>Marguerite</t>
  </si>
  <si>
    <t>Heaney</t>
  </si>
  <si>
    <t>EU-43915</t>
  </si>
  <si>
    <t>2026-06-15 11:44:16</t>
  </si>
  <si>
    <t>39 Daly Ave, Janesboro, Co limerick, Limerick</t>
  </si>
  <si>
    <t>V94 FK0T</t>
  </si>
  <si>
    <t>10292553-10343812</t>
  </si>
  <si>
    <t>Chris</t>
  </si>
  <si>
    <t>Wang</t>
  </si>
  <si>
    <t>EU-43938</t>
  </si>
  <si>
    <t>2026-06-15 11:45:19</t>
  </si>
  <si>
    <t>Avinguda del Cid 99, Puerta 2, València, Valencia</t>
  </si>
  <si>
    <t>10291600-10342858</t>
  </si>
  <si>
    <t>EU-43918</t>
  </si>
  <si>
    <t>2026-06-15 11:46:11</t>
  </si>
  <si>
    <t>Camblin, New Ross, Wexford</t>
  </si>
  <si>
    <t>Y34 XW35</t>
  </si>
  <si>
    <t>10290757-10342012</t>
  </si>
  <si>
    <t>Lambert</t>
  </si>
  <si>
    <t>EU-43894</t>
  </si>
  <si>
    <t>2026-06-15 11:47:14</t>
  </si>
  <si>
    <t>Mörchinger Str 121b, Berlin, Berlin</t>
  </si>
  <si>
    <t>10291156-10342413</t>
  </si>
  <si>
    <t>Kristian</t>
  </si>
  <si>
    <t>Nekrasov</t>
  </si>
  <si>
    <t>EU-43902</t>
  </si>
  <si>
    <t>2026-06-15 11:48:07</t>
  </si>
  <si>
    <t>Straßburger Straße 21, Berlin, Berlin</t>
  </si>
  <si>
    <t>10292121-10343380</t>
  </si>
  <si>
    <t>Ingeborg</t>
  </si>
  <si>
    <t>Ramdohr</t>
  </si>
  <si>
    <t>EU-43926</t>
  </si>
  <si>
    <t>2026-06-15 11:49:12</t>
  </si>
  <si>
    <t>Wandelfeld 36, 21407 Deutsch Evern, 21407 Deutsch Evern</t>
  </si>
  <si>
    <t>10290758-10342013</t>
  </si>
  <si>
    <t>Richard</t>
  </si>
  <si>
    <t>EU-43896</t>
  </si>
  <si>
    <t>2026-06-15 11:49:42</t>
  </si>
  <si>
    <t>RUE DES PIERRES ROUGES 29, WATERMAEL-BOITSFORT, WATERMAEL-BOITSFORT</t>
  </si>
  <si>
    <t>10291358-10342615</t>
  </si>
  <si>
    <t>Fegert</t>
  </si>
  <si>
    <t>302-8537381-8909901</t>
  </si>
  <si>
    <t>2026-06-15 11:50:03</t>
  </si>
  <si>
    <t>Lausitzer Straße 13, Sarstedt, Sarstedt</t>
  </si>
  <si>
    <t>HAIRW-SUM-UNICN-NB</t>
  </si>
  <si>
    <t>10290753-10342008</t>
  </si>
  <si>
    <t>Oscar</t>
  </si>
  <si>
    <t>Alvarez Martinez</t>
  </si>
  <si>
    <t>EU-43890</t>
  </si>
  <si>
    <t>2026-06-15 11:54:51</t>
  </si>
  <si>
    <t>Kapuzinerstr 5a, Munich, Munich</t>
  </si>
  <si>
    <t>BAGF-SUM-MD-COLAGN,DOGTWL-LG-PUPLAID,PICNIC-DES-LG-STRIPLIFE,TOWLB-CAB-XL-YELL-R</t>
  </si>
  <si>
    <t>10290581-10341835</t>
  </si>
  <si>
    <t>Charlene</t>
  </si>
  <si>
    <t>Mwamanzembo engeta</t>
  </si>
  <si>
    <t>EU-43887</t>
  </si>
  <si>
    <t>2026-06-15 11:56:26</t>
  </si>
  <si>
    <t>27 Rue Godefroy, Hôtel Godefroy, PUTEAUX, PUTEAUX</t>
  </si>
  <si>
    <t>BAGDRY-XS-HOTTROP,BAGF-DES-MD-GROOVCH,PICNIC-DES-LG-MARGMAD</t>
  </si>
  <si>
    <t>10290752-10342007</t>
  </si>
  <si>
    <t>Lange</t>
  </si>
  <si>
    <t>EU-43891</t>
  </si>
  <si>
    <t>2026-06-15 11:58:09</t>
  </si>
  <si>
    <t>Mühlweg 6, Aarbergen, Aarbergen</t>
  </si>
  <si>
    <t>10290750-10342005</t>
  </si>
  <si>
    <t>Zipf/Edelmann</t>
  </si>
  <si>
    <t>EU-43871</t>
  </si>
  <si>
    <t>2026-06-15 11:59:41</t>
  </si>
  <si>
    <t>Kaiserstraße 45, Rückgebäude, München, München</t>
  </si>
  <si>
    <t>PONCHA-DES-MD-WAVYBBY,TOWLB-CAB-LG-LTBLU-R,TOWLB-CAB-LG-LTPNK-R,TOWLB-DES-LG-PNKPARA</t>
  </si>
  <si>
    <t>10290580-10341834</t>
  </si>
  <si>
    <t>Montedoro</t>
  </si>
  <si>
    <t>EU-43886</t>
  </si>
  <si>
    <t>2026-06-15 12:01:09</t>
  </si>
  <si>
    <t>Rue des Béguinettes 59, Watermael-Boitsfort, Watermael-Boitsfort</t>
  </si>
  <si>
    <t>10290578-10341832</t>
  </si>
  <si>
    <t>Schönebeck</t>
  </si>
  <si>
    <t>EU-43884</t>
  </si>
  <si>
    <t>2026-06-15 12:04:32</t>
  </si>
  <si>
    <t>Carl-von-Noorden-Platz 16, FRANKFURT, FRANKFURT</t>
  </si>
  <si>
    <t>BAGDRY-MD-MIAMI,TOWLB-SUM-XL-COLAGN,TOWLB-SUM-XL-MIAMI</t>
  </si>
  <si>
    <t>10290569-10341823</t>
  </si>
  <si>
    <t>Laudage</t>
  </si>
  <si>
    <t>EU-43876</t>
  </si>
  <si>
    <t>2026-06-15 12:13:31</t>
  </si>
  <si>
    <t>Am Wichelshof 1, Bonn, Bonn</t>
  </si>
  <si>
    <t>TOWLB-SUM-XL-COLAGN,TOWLB-SUM-XL-CSTCANDY,TOWLB-SUM-XL-MIAMI</t>
  </si>
  <si>
    <t>10286549-10337790</t>
  </si>
  <si>
    <t>Athina</t>
  </si>
  <si>
    <t>Karamali</t>
  </si>
  <si>
    <t>EU-43788</t>
  </si>
  <si>
    <t>2026-06-15 12:14:07</t>
  </si>
  <si>
    <t>Vilniusstr33, München, München</t>
  </si>
  <si>
    <t>TOWLB-CAB-XL-KHAKI-R,TOWLB-CAB-XL-LTBLU-R,TOWLB-CAB-XL-YELL-R</t>
  </si>
  <si>
    <t>10290571-10341825</t>
  </si>
  <si>
    <t>EU-43879</t>
  </si>
  <si>
    <t>2026-06-15 12:16:16</t>
  </si>
  <si>
    <t>6 Mangerton Tce Blarney, Cork, Cork</t>
  </si>
  <si>
    <t>T23 EP68</t>
  </si>
  <si>
    <t>TOWLB-CAB-LG-LTPNK-R,TOWLB-DES-LG-WYWH,TOWLB-SUM-LG-OCEAN</t>
  </si>
  <si>
    <t>10286399-10337639</t>
  </si>
  <si>
    <t>Maes</t>
  </si>
  <si>
    <t>EU-43781</t>
  </si>
  <si>
    <t>2026-06-15 12:18:41</t>
  </si>
  <si>
    <t>Loogestraat 14/14, Balen, Balen</t>
  </si>
  <si>
    <t>PONCHA-CLA-LG-NAVY-NS,PONCHA-DES-MD-WTRSUG,PONCHA-SUM-MD-CSTCANDY,PONCHA-SUM-MD-UNICN-NS,PONCHK-KID-MD-GVCLUB,TOWLB-DES-LG-MELLOW,TOWLB-DES-LG-PSTPIER,TOWLB-DOB-LG-CALM,TOWLB-KID-LG-GVCLUB</t>
  </si>
  <si>
    <t>10290577-10341831</t>
  </si>
  <si>
    <t>Borowski</t>
  </si>
  <si>
    <t>EU-43883</t>
  </si>
  <si>
    <t>2026-06-15 12:19:49</t>
  </si>
  <si>
    <t>Attenhauser Str 9, Icking, Icking</t>
  </si>
  <si>
    <t>10286544-10337785</t>
  </si>
  <si>
    <t>McAlister</t>
  </si>
  <si>
    <t>EU-43784</t>
  </si>
  <si>
    <t>2026-06-15 12:20:27</t>
  </si>
  <si>
    <t>17 SILVERBROOK, Trim Rd, Trim Rd, Navan, Meath</t>
  </si>
  <si>
    <t>C15 E2Y4</t>
  </si>
  <si>
    <t>PONCHA-CLA-MD-NAVY-NS,PONCHA-DES-MD-IBZAGLW,TOWLB-DES-LG-IBZAGLW,TOWLB-DES-LG-SUNSPL</t>
  </si>
  <si>
    <t>10286725-10337968</t>
  </si>
  <si>
    <t>EU-43789</t>
  </si>
  <si>
    <t>2026-06-15 12:22:42</t>
  </si>
  <si>
    <t>1 Gingerstown Park, Naas, Kildare</t>
  </si>
  <si>
    <t>W91 HPY5</t>
  </si>
  <si>
    <t>PONCHA-SUM-LG-CSTCANDY,PONCHA-SUM-LG-LAZRIV,PONCHA-SUM-LG-UNICN-NS</t>
  </si>
  <si>
    <t>10290579-10341833</t>
  </si>
  <si>
    <t>Eliska</t>
  </si>
  <si>
    <t>BRAMBERGEROVA</t>
  </si>
  <si>
    <t>EU-43885</t>
  </si>
  <si>
    <t>2026-06-15 12:22:51</t>
  </si>
  <si>
    <t>Na Spravedlnosti 2913, 205, Pardubice V, Pardubice V</t>
  </si>
  <si>
    <t>530 02</t>
  </si>
  <si>
    <t>BALLAST-SUM-CSTCANDY,PONCHK-KID-MD-JELLY,PONCHK-KID-SM-JELLY,TOWLB-SUM-XL-COLAGN,TOWLB-SUM-XL-CSTCANDY</t>
  </si>
  <si>
    <t>10286548-10337789</t>
  </si>
  <si>
    <t>W. M.</t>
  </si>
  <si>
    <t>Prins-Dibbits</t>
  </si>
  <si>
    <t>EU-43787</t>
  </si>
  <si>
    <t>2026-06-15 12:23:42</t>
  </si>
  <si>
    <t>Niels Bohrhage 37, Emmeloord, Emmeloord</t>
  </si>
  <si>
    <t>8302 WV</t>
  </si>
  <si>
    <t>BAGF-SUM-MD-COLAGN,TOWLB-SUM-XL-COLAGN,TOWLB-SUM-XL-MIAMI,TOWLB-SUM-XL-OCEAN,TOWLB-SUM-XL-TUTFRU</t>
  </si>
  <si>
    <t>10291361-10342618</t>
  </si>
  <si>
    <t>Valerie</t>
  </si>
  <si>
    <t>DE SARS</t>
  </si>
  <si>
    <t>EU-43913</t>
  </si>
  <si>
    <t>2026-06-16 04:39:20</t>
  </si>
  <si>
    <t>1 Rue des Cerisiers, Lyon, Lyon</t>
  </si>
  <si>
    <t>10290582-10341836</t>
  </si>
  <si>
    <t>Josie</t>
  </si>
  <si>
    <t>Long</t>
  </si>
  <si>
    <t>EU-43889</t>
  </si>
  <si>
    <t>2026-06-16 05:02:09</t>
  </si>
  <si>
    <t>Triq Guzeppi Lanzon, Waterbank Block E Flat 10, Marsascala, Marsascala</t>
  </si>
  <si>
    <t>MSK 3392</t>
  </si>
  <si>
    <t>10296646-10347999</t>
  </si>
  <si>
    <t>Ioanna</t>
  </si>
  <si>
    <t>Korfiotis</t>
  </si>
  <si>
    <t>EU-43990</t>
  </si>
  <si>
    <t>2026-06-16 05:39:29</t>
  </si>
  <si>
    <t>20 Kostis Palamas str Aspelia, Court 4th floor, Nicosia, Nicosia</t>
  </si>
  <si>
    <t>10296387-10347740</t>
  </si>
  <si>
    <t>Cronin</t>
  </si>
  <si>
    <t>EU-43983</t>
  </si>
  <si>
    <t>2026-06-16 05:41:00</t>
  </si>
  <si>
    <t>Crimond, Seamount Rd, Malahide, Dublin</t>
  </si>
  <si>
    <t>K36 A529</t>
  </si>
  <si>
    <t>10294936-10346250</t>
  </si>
  <si>
    <t>Weyand</t>
  </si>
  <si>
    <t>303-9709841-2322758</t>
  </si>
  <si>
    <t>2026-06-16 05:42:04</t>
  </si>
  <si>
    <t>Marc Chagall Str 192, Düsseldorf, Düsseldorf</t>
  </si>
  <si>
    <t>10296644-10347997</t>
  </si>
  <si>
    <t>Sophia</t>
  </si>
  <si>
    <t>Jung</t>
  </si>
  <si>
    <t>EU-43988</t>
  </si>
  <si>
    <t>2026-06-16 05:43:21</t>
  </si>
  <si>
    <t>Fachnerstraße 47, München, München</t>
  </si>
  <si>
    <t>10296384-10347737</t>
  </si>
  <si>
    <t>Schlechter</t>
  </si>
  <si>
    <t>EU-43982</t>
  </si>
  <si>
    <t>2026-06-16 05:44:17</t>
  </si>
  <si>
    <t>Prinzenstraße 20, Göttingen, Göttingen</t>
  </si>
  <si>
    <t>10295962-10347313</t>
  </si>
  <si>
    <t>Sham</t>
  </si>
  <si>
    <t>Borghol</t>
  </si>
  <si>
    <t>EU-43971</t>
  </si>
  <si>
    <t>2026-06-16 05:45:38</t>
  </si>
  <si>
    <t>Ijsselstraat 46, 46, Hattem, Hattem</t>
  </si>
  <si>
    <t>8051 HS</t>
  </si>
  <si>
    <t>10296388-10347741</t>
  </si>
  <si>
    <t>Catharina</t>
  </si>
  <si>
    <t>Strehle</t>
  </si>
  <si>
    <t>303-9180703-8449969</t>
  </si>
  <si>
    <t>2026-06-16 05:46:36</t>
  </si>
  <si>
    <t>Gärtnereistraße 6, Ebersberg, Ebersberg</t>
  </si>
  <si>
    <t>PONCHK-SUM-MD-CSTCANDY</t>
  </si>
  <si>
    <t>10296965-10348320</t>
  </si>
  <si>
    <t>Heli</t>
  </si>
  <si>
    <t>Kilpala</t>
  </si>
  <si>
    <t>EU-43993</t>
  </si>
  <si>
    <t>2026-06-16 05:47:59</t>
  </si>
  <si>
    <t>Annastraat 26, Delft, Delft</t>
  </si>
  <si>
    <t>2611 VX</t>
  </si>
  <si>
    <t>PP-TOWLB-CAB-LG-4SETF-R</t>
  </si>
  <si>
    <t>10296640-10347993</t>
  </si>
  <si>
    <t>Anette</t>
  </si>
  <si>
    <t>Schildknecht</t>
  </si>
  <si>
    <t>EU-43987</t>
  </si>
  <si>
    <t>2026-06-16 05:49:10</t>
  </si>
  <si>
    <t>Am Sägewerk 11, Boostedt, Boostedt</t>
  </si>
  <si>
    <t>10296386-10347739</t>
  </si>
  <si>
    <t>Chalmin</t>
  </si>
  <si>
    <t>EU-43980</t>
  </si>
  <si>
    <t>2026-06-16 05:50:38</t>
  </si>
  <si>
    <t>52 Copperhill, Cork, Cork</t>
  </si>
  <si>
    <t>T12 RV1C</t>
  </si>
  <si>
    <t>10295156-10346476</t>
  </si>
  <si>
    <t>EU-43962</t>
  </si>
  <si>
    <t>2026-06-16 05:51:20</t>
  </si>
  <si>
    <t>Lacken, Rathmoyle, Kilkenny, Kilkenny</t>
  </si>
  <si>
    <t>R95 T389</t>
  </si>
  <si>
    <t>10295162-10346482</t>
  </si>
  <si>
    <t>Mariele</t>
  </si>
  <si>
    <t>Plath</t>
  </si>
  <si>
    <t>305-3812702-3843539</t>
  </si>
  <si>
    <t>2026-06-16 05:51:52</t>
  </si>
  <si>
    <t>An Der Hochstätt 4a, Oestrich-winkel, Hessen</t>
  </si>
  <si>
    <t>10295967-10347318</t>
  </si>
  <si>
    <t>Ian</t>
  </si>
  <si>
    <t>Burke</t>
  </si>
  <si>
    <t>EU-43979</t>
  </si>
  <si>
    <t>2026-06-16 05:52:42</t>
  </si>
  <si>
    <t>Ballyleigh, New Ross, New ross, New Ross, Wexford</t>
  </si>
  <si>
    <t>Y34 DC04</t>
  </si>
  <si>
    <t>TOWLB-CAB-LG-BLACK-R</t>
  </si>
  <si>
    <t>10295703-10347039</t>
  </si>
  <si>
    <t>BATRANU</t>
  </si>
  <si>
    <t>Denis</t>
  </si>
  <si>
    <t>EU-43976</t>
  </si>
  <si>
    <t>2026-06-16 05:53:07</t>
  </si>
  <si>
    <t>Str Babadag nr141 bl23 scA ap9, Tulcea, Tulcea</t>
  </si>
  <si>
    <t>PONCHK-KID-MD-JELLY,TOWLB-DES-LG-IBZAGLW</t>
  </si>
  <si>
    <t>10297237-10348592</t>
  </si>
  <si>
    <t>Göttert</t>
  </si>
  <si>
    <t>EU-44000</t>
  </si>
  <si>
    <t>2026-06-16 05:53:59</t>
  </si>
  <si>
    <t>Breitensteinweg 5, Schlierbach, Schlierbach</t>
  </si>
  <si>
    <t>10295427-10346754</t>
  </si>
  <si>
    <t>Roberta</t>
  </si>
  <si>
    <t>Santilli</t>
  </si>
  <si>
    <t>EU-43968</t>
  </si>
  <si>
    <t>2026-06-16 05:54:37</t>
  </si>
  <si>
    <t>Via Aldo Moro 2, Brembate, Bergamo</t>
  </si>
  <si>
    <t>10296652-10348005</t>
  </si>
  <si>
    <t>Georg</t>
  </si>
  <si>
    <t>Steinert</t>
  </si>
  <si>
    <t>304-6775937-9252323</t>
  </si>
  <si>
    <t>2026-06-16 05:55:27</t>
  </si>
  <si>
    <t>Salwirkstr 5, Langenargen, Baden-Württemberg</t>
  </si>
  <si>
    <t>PONCHA-CAB-LG-NAVY-NS</t>
  </si>
  <si>
    <t>10295966-10347317</t>
  </si>
  <si>
    <t>Walshe</t>
  </si>
  <si>
    <t>EU-43978</t>
  </si>
  <si>
    <t>2026-06-16 05:56:32</t>
  </si>
  <si>
    <t>Gustav-Adolf str 15, Offenbach, Offenbach</t>
  </si>
  <si>
    <t>BAGF-DES-MD-GROOVCH,TOWLB-SUM-XL-COLAGN,TOWLB-SUM-XL-MIAMI,TOWLB-SUM-XL-OCEAN,TOWLB-SUM-XL-TUTFRU</t>
  </si>
  <si>
    <t>10296962-10348317</t>
  </si>
  <si>
    <t>Naomi</t>
  </si>
  <si>
    <t>Chippett</t>
  </si>
  <si>
    <t>EU-43992</t>
  </si>
  <si>
    <t>2026-06-16 05:57:28</t>
  </si>
  <si>
    <t>Wörthstraße 7, Heidelberg, Heidelberg</t>
  </si>
  <si>
    <t>10296967-10348322</t>
  </si>
  <si>
    <t>S</t>
  </si>
  <si>
    <t>Prins</t>
  </si>
  <si>
    <t>EU-43996</t>
  </si>
  <si>
    <t>2026-06-16 05:58:18</t>
  </si>
  <si>
    <t>Nieuwstraat 49, Veldhoven, Veldhoven</t>
  </si>
  <si>
    <t>5504 EA</t>
  </si>
  <si>
    <t>BAGF-DES-MD-WAVYBBY,PONCHA-DES-LG-WAVYBBY</t>
  </si>
  <si>
    <t>10296642-10347995</t>
  </si>
  <si>
    <t>Mattern</t>
  </si>
  <si>
    <t>EU-43989</t>
  </si>
  <si>
    <t>2026-06-16 06:02:00</t>
  </si>
  <si>
    <t>Obere Johannisstr 2, 2 Stock, München, München</t>
  </si>
  <si>
    <t>10296390-10347743</t>
  </si>
  <si>
    <t>Standaert</t>
  </si>
  <si>
    <t>EU-43986</t>
  </si>
  <si>
    <t>2026-06-16 06:02:53</t>
  </si>
  <si>
    <t>Veen 2, Wielsbeke, Wielsbeke</t>
  </si>
  <si>
    <t>10284202-10335418</t>
  </si>
  <si>
    <t>Bathroom graffiti</t>
  </si>
  <si>
    <t>EUWS-3199</t>
  </si>
  <si>
    <t>2026-06-16 06:03:12</t>
  </si>
  <si>
    <t>98 rue de longchamp, Paris, Paris</t>
  </si>
  <si>
    <t>TOWLB-CAB-XL-KHAKI-R,TOWLB-CAB-XL-LTBLU-R,TOWLB-DES-XL-MELLOW,TOWLB-DES-XL-TANTIDE,TOWLB-DES-XL-WYWH,TOWLB-DOB-XL-CALM,TOWLB-SUM-XL-OCEAN,TOWLB-SUM-XL-TUTFRU,TOWLB-SUM-XL-UNICN-R</t>
  </si>
  <si>
    <t>10295164-10346484</t>
  </si>
  <si>
    <t>Selina</t>
  </si>
  <si>
    <t>Margreiter-Schindlmayr</t>
  </si>
  <si>
    <t>EU-43967</t>
  </si>
  <si>
    <t>2026-06-16 06:18:15</t>
  </si>
  <si>
    <t>Teisenberggasse 17, Top 9, Salzburg, Salzburg</t>
  </si>
  <si>
    <t>BAGDRY-MD-MIAMI,BAGF-CAB-MD-LTPNK,TOWLB-CAB-XL-KHAKI-R</t>
  </si>
  <si>
    <t>10295159-10346479</t>
  </si>
  <si>
    <t>Marjolijn</t>
  </si>
  <si>
    <t>van Wanrooij</t>
  </si>
  <si>
    <t>EU-43966</t>
  </si>
  <si>
    <t>2026-06-16 06:21:06</t>
  </si>
  <si>
    <t>Postlaan 24, BREDA, BREDA</t>
  </si>
  <si>
    <t>4835 EE</t>
  </si>
  <si>
    <t>TOWLB-CAB-LG-BLUE-R,TOWLB-CAB-LG-LTPNK-R,TOWLB-CAB-LG-PINK-R,TOWLB-CAB-XL-KHAKI-R,TOWLB-CAB-XL-YELL-R</t>
  </si>
  <si>
    <t>10295706-10347042</t>
  </si>
  <si>
    <t>FBA15LXMVHRW</t>
  </si>
  <si>
    <t>2026-06-16 06:23:40</t>
  </si>
  <si>
    <t xml:space="preserve">16212 (x1), 16210 (x1) A-SCRUNCH-PAPER (x1) A-KRAFT-PAPER-TAPE (x2) </t>
  </si>
  <si>
    <t>BAGF-DES-MD-BANARAM,BAGF-DES-MD-CHECKMT,BAGF-DES-MD-GROOVCH,BAGF-DES-MD-IBZAGLW,BAGF-DES-MD-SPRCLUB,BAGF-DES-MD-WTRSUG,BAGF-DES-MD-WYWH,BAGF-SUM-MD-COLAGN,BAGF-SUM-MD-CSTCANDY,BAGF-SUM-MD-MIAMI,BAGF-SUM-MD-UNICN,COOL-CAB-LTGRY-R,COOL-CAB-LTPNK-R,COOL-CAB-NAVY-R,PICNIC-CAB-XL-NAVY,PICNIC-DES-LG-BANARAM,PICNIC-DES-LG-CANDSTR,PICNIC-DES-XL-MARGMAD,PONCHA-SUM-MD-LAZRIV,PONCHA-SUM-MD-UNICN-NS,PONCHK-KID-MD-CAMOCUBE,PONCHK-KID-SM-BUBDRM,PONCHK-KID-SM-CAMOCUBE,PONCHK-KID-SM-TURTROP</t>
  </si>
  <si>
    <t>10295153-10346473</t>
  </si>
  <si>
    <t>Tunde</t>
  </si>
  <si>
    <t>Kisne Zsapka</t>
  </si>
  <si>
    <t>EU-43963</t>
  </si>
  <si>
    <t>2026-06-16 06:23:49</t>
  </si>
  <si>
    <t>MOL Ipartelep 29, Szazhalombatta, Szazhalombatta</t>
  </si>
  <si>
    <t>BAGF-DES-MD-CHECKMT,TOWLB-CAB-LG-LTBLU-R,TOWLB-CAB-LG-LTPPL-R,TOWLB-CAB-LG-ORANG-R,TOWLB-CAB-LG-PINK-R</t>
  </si>
  <si>
    <t>10294614-10345921</t>
  </si>
  <si>
    <t>Liza</t>
  </si>
  <si>
    <t>Pergolesi</t>
  </si>
  <si>
    <t>EU-43959</t>
  </si>
  <si>
    <t>2026-06-16 06:26:53</t>
  </si>
  <si>
    <t>Bettinaplatz 4, Pergolesi Medeot, Frankfurt am Main, Frankfurt am Main</t>
  </si>
  <si>
    <t>TOWLB-CAB-LG-BLUE-R,TOWLB-CAB-LG-LTPPL-R,TOWLB-CAB-LG-ORANG-R,TOWLB-DES-LG-PSTPIER</t>
  </si>
  <si>
    <t>10295704-10347040</t>
  </si>
  <si>
    <t>EU-43975</t>
  </si>
  <si>
    <t>2026-06-16 06:30:54</t>
  </si>
  <si>
    <t>Route de Lausanne 141, Prangins, Prangins</t>
  </si>
  <si>
    <t>PP-TOWLB-CAB-XL-6SETI,TOWLB-CAB-LG-BLUE-R,TOWLB-CAB-LG-NAVY-R,TOWLB-CAB-LG-PINK-R,TOWLB-CAB-LG-YELL-R,TOWLB-SUM-LG-RAINB-R,TOWLB-SUM-LG-UNICN-R</t>
  </si>
  <si>
    <t>10294333-10345634</t>
  </si>
  <si>
    <t>Leighann</t>
  </si>
  <si>
    <t>Bilocca</t>
  </si>
  <si>
    <t>EU-43952</t>
  </si>
  <si>
    <t>2026-06-16 06:31:15</t>
  </si>
  <si>
    <t>Ocean Drive Terrace B1, Qawra Rd, San pawl, San pawl</t>
  </si>
  <si>
    <t>SPB 1904</t>
  </si>
  <si>
    <t>BAGDRY-MD-NAVY,BAGDRY-MD-WAVYBBY,BAGDRY-XS-NAVY,BAGDRY-XS-WAVYBBY,TOWLB-CAB-LG-BLUE-R,TOWLB-DES-LG-TANTIDE</t>
  </si>
  <si>
    <t>10289462-10340714</t>
  </si>
  <si>
    <t>bv dr linde de keyzer</t>
  </si>
  <si>
    <t>Linde</t>
  </si>
  <si>
    <t>De Keyzer</t>
  </si>
  <si>
    <t>EU-43834</t>
  </si>
  <si>
    <t>2026-06-16 06:33:01</t>
  </si>
  <si>
    <t>Lijsterdreef 4a, 4a, varsenare, varsenare</t>
  </si>
  <si>
    <t>TEATWL-MD-SOUSCHEF,TOWLB-DES-LG-WTRSUG,TOWLB-KID-LG-INTOWILD,TOWLB-KID-MD-TURTROP,TOWLB-SUM-XL-CSTCANDY</t>
  </si>
  <si>
    <t>10294331-10345632</t>
  </si>
  <si>
    <t>Artjona</t>
  </si>
  <si>
    <t>Sejdo</t>
  </si>
  <si>
    <t>EU-43954</t>
  </si>
  <si>
    <t>2026-06-16 06:34:17</t>
  </si>
  <si>
    <t>Kathenkoppel, 33, Hamburg, Hamburg</t>
  </si>
  <si>
    <t>BAGF-DES-MD-WYWH,TOWLB-DES-LG-MELLOW,TOWLB-DES-LG-WYWH</t>
  </si>
  <si>
    <t>10296385-10347738</t>
  </si>
  <si>
    <t>Daphné</t>
  </si>
  <si>
    <t>De Volder</t>
  </si>
  <si>
    <t>EU-43981</t>
  </si>
  <si>
    <t>2026-06-16 06:34:18</t>
  </si>
  <si>
    <t>Karel de Bondtlaan 66, Drongen, Drongen</t>
  </si>
  <si>
    <t>TOWLB-CAB-XL-KHAKI-R,TOWLB-CAB-XL-LTPPL-R,TOWLB-SUM-LG-MIAMI,TOWLB-SUM-LG-UNICN-R</t>
  </si>
  <si>
    <t>10294032-10345304</t>
  </si>
  <si>
    <t>EU-43950</t>
  </si>
  <si>
    <t>2026-06-16 06:40:38</t>
  </si>
  <si>
    <t>Westeinde 8-a, Voorburg, Voorburg</t>
  </si>
  <si>
    <t>10294612-10345919</t>
  </si>
  <si>
    <t>EU-43957</t>
  </si>
  <si>
    <t>2026-06-16 06:42:22</t>
  </si>
  <si>
    <t>3 The Mews, Newtown Villad, Churchtown, Dublin</t>
  </si>
  <si>
    <t>D14 C1F3</t>
  </si>
  <si>
    <t>10296648-10348001</t>
  </si>
  <si>
    <t>Klebau</t>
  </si>
  <si>
    <t>028-4039487-7003540</t>
  </si>
  <si>
    <t>2026-06-16 06:45:47</t>
  </si>
  <si>
    <t>48556643, Ulmerstr 26, Neusäß, Neusäß</t>
  </si>
  <si>
    <t>10297241-10348596</t>
  </si>
  <si>
    <t>O'Coimin</t>
  </si>
  <si>
    <t>EU-44002</t>
  </si>
  <si>
    <t>2026-06-16 06:46:28</t>
  </si>
  <si>
    <t>Javakade, 580, Amsterdam, Amsterdam</t>
  </si>
  <si>
    <t>1019 SE</t>
  </si>
  <si>
    <t>10295963-10347314</t>
  </si>
  <si>
    <t>Siobhan</t>
  </si>
  <si>
    <t>EU-43972</t>
  </si>
  <si>
    <t>2026-06-16 06:47:39</t>
  </si>
  <si>
    <t>4 St Ignatius Rd, Phibsborough, D07 HP23, Dublin, Dublin</t>
  </si>
  <si>
    <t>D07 HP23</t>
  </si>
  <si>
    <t>BAGF-SUM-MD-CSTCANDY,TOWLB-SUM-XL-UNICN-R</t>
  </si>
  <si>
    <t>10295964-10347315</t>
  </si>
  <si>
    <t>Pies</t>
  </si>
  <si>
    <t>EU-43973</t>
  </si>
  <si>
    <t>2026-06-16 06:48:30</t>
  </si>
  <si>
    <t>Alleestr 72, Remscheid, Remscheid</t>
  </si>
  <si>
    <t>TOWLB-CAB-XL-BLUE-R,TOWLB-SUM-XL-UNICN-R</t>
  </si>
  <si>
    <t>10297242-10348597</t>
  </si>
  <si>
    <t>O'Mahony</t>
  </si>
  <si>
    <t>EU-44004</t>
  </si>
  <si>
    <t>2026-06-16 06:49:07</t>
  </si>
  <si>
    <t>97 Tritonville Rd Sandymount, Dublin, Dublin</t>
  </si>
  <si>
    <t>D04 VY70</t>
  </si>
  <si>
    <t>BAGBCH-MD-NAVY,TOWLB-CAB-LG-LTPNK-R,TOWLB-CAB-LG-NAVY-R,TOWLB-CAB-MD-LTPNK,TOWLB-CAB-MD-NAVY</t>
  </si>
  <si>
    <t>10296963-10348318</t>
  </si>
  <si>
    <t>Magda</t>
  </si>
  <si>
    <t>Parenska</t>
  </si>
  <si>
    <t>EU-43995</t>
  </si>
  <si>
    <t>2026-06-16 06:53:16</t>
  </si>
  <si>
    <t>29a Rue De Hunsdorf, Mullendorf, Mullendorf</t>
  </si>
  <si>
    <t>BAGF-SUM-MD-COLAGN,BAGF-SUM-MD-CSTCANDY,BAGF-SUM-MD-MIAMI,TOWLB-SUM-XL-COLAGN,TOWLB-SUM-XL-MIAMI,TOWLB-SUM-XL-OCEAN,TOWLB-SUM-XL-TUTFRU</t>
  </si>
  <si>
    <t>10296650-10348003</t>
  </si>
  <si>
    <t>A</t>
  </si>
  <si>
    <t>Knijnenburg</t>
  </si>
  <si>
    <t>EU-43991</t>
  </si>
  <si>
    <t>2026-06-16 06:54:53</t>
  </si>
  <si>
    <t>Kamilleweerd35, Maastricht, Maastricht</t>
  </si>
  <si>
    <t>6229 TK</t>
  </si>
  <si>
    <t>BAGF-SUM-MD-UNICN,PICNIC-SUM-XL-UNICN,TOWLB-SUM-XL-UNICN-R</t>
  </si>
  <si>
    <t>10296966-10348321</t>
  </si>
  <si>
    <t>van den Bergen</t>
  </si>
  <si>
    <t>EU-43997</t>
  </si>
  <si>
    <t>2026-06-16 06:57:17</t>
  </si>
  <si>
    <t>Van Lieflandtuin 23, Utrecht, Utrecht</t>
  </si>
  <si>
    <t>3571 AZ</t>
  </si>
  <si>
    <t>BAGF-SUM-MD-CSTCANDY,PONCHA-SUM-MD-CSTCANDY,TOWLB-DES-LG-PSTPIER,TOWLB-DES-XL-LEMWAV,TOWLB-SUM-XL-COLAGN,TOWLB-SUM-XL-CSTCANDY,TOWLB-SUM-XL-MIAMI,TOWLB-SUM-XL-OCEAN,TOWLB-SUM-XL-TUTFRU</t>
  </si>
  <si>
    <t>10297240-10348595</t>
  </si>
  <si>
    <t>Dragana</t>
  </si>
  <si>
    <t>Sparas</t>
  </si>
  <si>
    <t>EU-44003</t>
  </si>
  <si>
    <t>2026-06-16 06:58:20</t>
  </si>
  <si>
    <t>Saint Trojanoord 12, Kraainem, Kraainem</t>
  </si>
  <si>
    <t>BAGF-DES-MD-BANARAM,TOWLB-SUM-LG-COLAGN,TOWLB-SUM-XL-OCEAN</t>
  </si>
  <si>
    <t>10295707-10347043</t>
  </si>
  <si>
    <t>FBA15LXGXLVG</t>
  </si>
  <si>
    <t>2026-06-16 07:03:58</t>
  </si>
  <si>
    <t xml:space="preserve">OWNPACK (x4)   </t>
  </si>
  <si>
    <t>TOWLB-CAB-LG-PINK-R,TOWLB-CAB-XL-LTPPL-R</t>
  </si>
  <si>
    <t>10297840-10349195</t>
  </si>
  <si>
    <t>Martens</t>
  </si>
  <si>
    <t>EU-44005</t>
  </si>
  <si>
    <t>2026-06-16 07:07:52</t>
  </si>
  <si>
    <t>Staatsbaan 80, Lanaken, Lanaken</t>
  </si>
  <si>
    <t>BAGF-DES-MD-WTRSUG,PONCHK-KID-SM-JELLY,TOWLB-CAB-LG-BLUE-R,TOWLB-CAB-LG-GREEN-R,TOWLB-CAB-LG-NAVY-R,TOWLB-CAB-LG-PINK-R,TOWLB-KID-LG-JELLY</t>
  </si>
  <si>
    <t>10295705-10347041</t>
  </si>
  <si>
    <t>Marta</t>
  </si>
  <si>
    <t>González Astorga</t>
  </si>
  <si>
    <t>EU-43974</t>
  </si>
  <si>
    <t>2026-06-16 07:11:23</t>
  </si>
  <si>
    <t>CALLE MARIA CINTA AMIGO I FONT, 10, 3º 1ª, SANT JUST DESVERN, Barcelona</t>
  </si>
  <si>
    <t>08960</t>
  </si>
  <si>
    <t>PICNIC-DES-XL-STRIPLIFE,TOWLB-DES-XL-LEMWAV</t>
  </si>
  <si>
    <t>10294609-10345916</t>
  </si>
  <si>
    <t>Caspeele</t>
  </si>
  <si>
    <t>EU-43958</t>
  </si>
  <si>
    <t>2026-06-16 07:13:06</t>
  </si>
  <si>
    <t>Oudebareelstraat 83, Gent, Gent</t>
  </si>
  <si>
    <t>10298287-10349643</t>
  </si>
  <si>
    <t>Rebaudo c-o Bal</t>
  </si>
  <si>
    <t>EU-44007</t>
  </si>
  <si>
    <t>2026-06-16 07:36:38</t>
  </si>
  <si>
    <t>Karl-Marx-Allee 140, Etage 7, Berlin, Berlin</t>
  </si>
  <si>
    <t>10298286-10349642</t>
  </si>
  <si>
    <t>Qusous</t>
  </si>
  <si>
    <t>EU-44006</t>
  </si>
  <si>
    <t>2026-06-16 07:38:18</t>
  </si>
  <si>
    <t>Hofmarkstr 18, Schwindegg, Schwindegg</t>
  </si>
  <si>
    <t>10295965-10347316</t>
  </si>
  <si>
    <t>FRAHAM GESTION INTEGRAL</t>
  </si>
  <si>
    <t>Roux</t>
  </si>
  <si>
    <t>EU-43977</t>
  </si>
  <si>
    <t>2026-06-16 07:52:22</t>
  </si>
  <si>
    <t>CL DES CASTELL, 23, Calonge, Santanyi, Balears</t>
  </si>
  <si>
    <t>07669</t>
  </si>
  <si>
    <t>10296964-10348319</t>
  </si>
  <si>
    <t>Peschl</t>
  </si>
  <si>
    <t>EU-43994</t>
  </si>
  <si>
    <t>2026-06-16 07:57:17</t>
  </si>
  <si>
    <t>Regensburger Str 1, Teublitz, Teublitz</t>
  </si>
  <si>
    <t>TOWLB-DES-LG-WTRSUG,TOWLB-SUM-XL-COLAGN</t>
  </si>
  <si>
    <t>10297238-10348593</t>
  </si>
  <si>
    <t>Sumin</t>
  </si>
  <si>
    <t>Ham</t>
  </si>
  <si>
    <t>EU-43999</t>
  </si>
  <si>
    <t>2026-06-16 07:58:32</t>
  </si>
  <si>
    <t>45 Rue August Collart, Bettembourg, Bettembourg</t>
  </si>
  <si>
    <t>TOWLB-CAB-LG-LTPNK-R,TOWLB-DES-LG-PSTPIER</t>
  </si>
  <si>
    <t>10296389-10347742</t>
  </si>
  <si>
    <t>Rupp</t>
  </si>
  <si>
    <t>EU-43985</t>
  </si>
  <si>
    <t>2026-06-16 08:00:09</t>
  </si>
  <si>
    <t>Jettingsdorf 6, Berching, Berching</t>
  </si>
  <si>
    <t>BAGF-SUM-MD-MIAMI,TOWLB-DES-LG-SWTESC</t>
  </si>
  <si>
    <t>10295150-10346470</t>
  </si>
  <si>
    <t>Janina</t>
  </si>
  <si>
    <t>Schumann</t>
  </si>
  <si>
    <t>EU-43964</t>
  </si>
  <si>
    <t>2026-06-16 08:01:41</t>
  </si>
  <si>
    <t>Korl-Beggerow-Weg 12, Rostock, Rostock</t>
  </si>
  <si>
    <t>TOWLB-DES-LG-SUNSPL,TOWLB-KID-LG-SANDSTRT</t>
  </si>
  <si>
    <t>10297239-10348594</t>
  </si>
  <si>
    <t>Ulrich</t>
  </si>
  <si>
    <t>Kollatz</t>
  </si>
  <si>
    <t>EU-44001</t>
  </si>
  <si>
    <t>2026-06-16 08:03:01</t>
  </si>
  <si>
    <t>Bedrich-Smetana-Str 7, Dresden, Dresden</t>
  </si>
  <si>
    <t>01259</t>
  </si>
  <si>
    <t>10294620-10345927</t>
  </si>
  <si>
    <t>LA LOGGETTA S.R.L.</t>
  </si>
  <si>
    <t>ROBERTA</t>
  </si>
  <si>
    <t>REGGI</t>
  </si>
  <si>
    <t>EU-43960</t>
  </si>
  <si>
    <t>2026-06-16 08:03:56</t>
  </si>
  <si>
    <t>Corso Giuseppe Mazzini, 102, FAENZA, Ravenna</t>
  </si>
  <si>
    <t>HAIRW-SUE-MIAMI,HAIRW-WAF-CHRYBMB</t>
  </si>
  <si>
    <t>10298449-10349806</t>
  </si>
  <si>
    <t>Herr</t>
  </si>
  <si>
    <t>Ludwig Rauch</t>
  </si>
  <si>
    <t>EU-44008</t>
  </si>
  <si>
    <t>2026-06-16 08:14:15</t>
  </si>
  <si>
    <t>Joseph-von-Utzschneider-Str 7, Seehausen, Seehausen</t>
  </si>
  <si>
    <t>BAGF-DES-MD-BANARAM,PICNIC-DES-XL-STRIPLIFE,PONCHA-SUM-LG-CSTCANDY,PONCHK-KID-MD-CAMOCUBE,PONCHK-SUM-MD-CSTCANDY,PONCHK-SUM-MD-UNICN-NS</t>
  </si>
  <si>
    <t>10294617-10345924</t>
  </si>
  <si>
    <t>AC Hotel Diagonal L´Illa</t>
  </si>
  <si>
    <t>Izabela</t>
  </si>
  <si>
    <t>Morriss</t>
  </si>
  <si>
    <t>EU-43961</t>
  </si>
  <si>
    <t>2026-06-16 08:15:34</t>
  </si>
  <si>
    <t>Av Diagonal, 555, Les Corts, 08029 Barcelona, Spain, Checking  in 11th July, Barcelona, Barcelona</t>
  </si>
  <si>
    <t>08029</t>
  </si>
  <si>
    <t>PONCHA-CAB-MD-BLUE-NS,PONCHK-CAB-MD-LTPNK-NS,PONCHK-SUM-MD-UNICN-NS</t>
  </si>
  <si>
    <t>10298607-10349969</t>
  </si>
  <si>
    <t>Lisa-Maria</t>
  </si>
  <si>
    <t>Bär</t>
  </si>
  <si>
    <t>EU-44011</t>
  </si>
  <si>
    <t>2026-06-16 09:18:44</t>
  </si>
  <si>
    <t>Bergstr 3a, Zirndorf, Zirndorf</t>
  </si>
  <si>
    <t>10298609-10349971</t>
  </si>
  <si>
    <t>Honorata</t>
  </si>
  <si>
    <t>Jazewicz</t>
  </si>
  <si>
    <t>EU-44009</t>
  </si>
  <si>
    <t>2026-06-16 09:20:35</t>
  </si>
  <si>
    <t>Krähenweg 19, Köln, Köln</t>
  </si>
  <si>
    <t>PICNIC-DES-XL-BRGTSIDE,TOWLB-DOB-LG-CALM,TOWLB-SUM-LG-COLAGN,TOWLB-SUM-LG-OCEAN</t>
  </si>
  <si>
    <t>10298605-10349967</t>
  </si>
  <si>
    <t>Breda</t>
  </si>
  <si>
    <t>EU-44013</t>
  </si>
  <si>
    <t>2026-06-16 09:22:11</t>
  </si>
  <si>
    <t>13Connolly Ave, Newcastle West, Limerick</t>
  </si>
  <si>
    <t>V42 NP77</t>
  </si>
  <si>
    <t>10298608-10349970</t>
  </si>
  <si>
    <t>Autobedrijf van Kuijk</t>
  </si>
  <si>
    <t>Jolanda</t>
  </si>
  <si>
    <t>Taphoorn</t>
  </si>
  <si>
    <t>EU-44010</t>
  </si>
  <si>
    <t>2026-06-16 09:24:00</t>
  </si>
  <si>
    <t>Koningstraat 11, Ewijk, Ewijk</t>
  </si>
  <si>
    <t>6644 KH</t>
  </si>
  <si>
    <t>10294934-10346248</t>
  </si>
  <si>
    <t>EUWS-3201</t>
  </si>
  <si>
    <t>2026-06-16 09:40:36</t>
  </si>
  <si>
    <t>BAGDRY-XS-HOTTROP,BAGDRY-XS-NAVY,BAGF-CAB-MD-LTPNK,BAGF-CAB-MD-NAVY,BAGF-SUM-MD-CSTCANDY,BAGF-SUM-MD-MIAMI,TOWLB-SUM-LG-COLAGN,TOWLB-SUM-LG-CSTCANDY,TOWLB-SUM-LG-MIAMI</t>
  </si>
  <si>
    <t>10295163-10346483</t>
  </si>
  <si>
    <t>SARL LES JARDINS DE SANAA</t>
  </si>
  <si>
    <t>Victor</t>
  </si>
  <si>
    <t>BATEJAT</t>
  </si>
  <si>
    <t>EUWS-3202</t>
  </si>
  <si>
    <t>2026-06-16 10:05:36</t>
  </si>
  <si>
    <t>62 Ave DES DRUIDES, CARNAC, CARNAC</t>
  </si>
  <si>
    <t>EYEMASK-DES-CHRYBMB,EYEMASK-DES-OOO,TOWLB-CAB-LG-BLUE-R,TOWLB-CAB-LG-GREEN-R,TOWLB-CAB-LG-LTBGE-R,TOWLB-CAB-LG-LTPPL-R,TOWLB-CAB-LG-NAVY-R,TOWLB-DES-LG-MELLOW,TOWLB-DES-LG-TANTIDE</t>
  </si>
  <si>
    <t>10290224-10341477</t>
  </si>
  <si>
    <t>Nicky</t>
  </si>
  <si>
    <t>Ott</t>
  </si>
  <si>
    <t>EU-43866</t>
  </si>
  <si>
    <t>2026-06-16 11:32:08</t>
  </si>
  <si>
    <t>Weiherhaus 2, Füramoos, Füramoos</t>
  </si>
  <si>
    <t>EYEMASK-DES-CHRYBMB,GIFT-BOX-BEAUTY-CHRYBMB,TOWLB-CAB-LG-KHAKI-R,TOWLB-CAB-LG-NAVY-R,TOWLB-SUM-LG-COLAGN,TOWLB-SUM-XL-COLAGN,TOWLH-CLB-LG-CHRYBMB</t>
  </si>
  <si>
    <t>10298876-10350247</t>
  </si>
  <si>
    <t>Stadlerova</t>
  </si>
  <si>
    <t>EU-44015</t>
  </si>
  <si>
    <t>2026-06-16 11:33:16</t>
  </si>
  <si>
    <t>Livornska 443, Praha 10, Praha 10</t>
  </si>
  <si>
    <t>109 00</t>
  </si>
  <si>
    <t>TOWLB-CAB-XL-LTBLU-R,TOWLB-SUM-XL-COLAGN,TOWLB-SUM-XL-CSTCANDY,TOWLB-SUM-XL-UNICN-R</t>
  </si>
  <si>
    <t>10298879-10350250</t>
  </si>
  <si>
    <t>Freitas</t>
  </si>
  <si>
    <t>EU-44014</t>
  </si>
  <si>
    <t>2026-06-16 11:35:05</t>
  </si>
  <si>
    <t>Kirkkokatu 73 B1, Oulu, Finland., Oulu, Finland.</t>
  </si>
  <si>
    <t>10298884-10350255</t>
  </si>
  <si>
    <t>Fleuraux</t>
  </si>
  <si>
    <t>EU-44018</t>
  </si>
  <si>
    <t>2026-06-16 11:36:25</t>
  </si>
  <si>
    <t>65 Impasse des Bûcherons, Clos Marguerite appt 5, Seignosse, Seignosse</t>
  </si>
  <si>
    <t>BAGF-DES-MD-GROOVCH,TOWLB-SUM-XL-MIAMI,TOWLB-SUM-XL-UNICN-R</t>
  </si>
  <si>
    <t>10298881-10350252</t>
  </si>
  <si>
    <t>Stamm</t>
  </si>
  <si>
    <t>EU-44017</t>
  </si>
  <si>
    <t>2026-06-16 11:38:47</t>
  </si>
  <si>
    <t>Dieckhofstr 18, Tostedt, Tostedt</t>
  </si>
  <si>
    <t>BAGDRY-XS-HOTTROP,BAGF-SUM-MD-MIAMI,COOL-DES-SUNSRUN,DOGTWL-MD-K9CAMO,HAIRW-SUE-PNKPARA</t>
  </si>
  <si>
    <t>10298882-10350253</t>
  </si>
  <si>
    <t>Reem</t>
  </si>
  <si>
    <t>Domat</t>
  </si>
  <si>
    <t>EU-44016</t>
  </si>
  <si>
    <t>2026-06-16 12:10:25</t>
  </si>
  <si>
    <t>Helbingstraße 64, Essen, Essen</t>
  </si>
  <si>
    <t>10299092-10350470</t>
  </si>
  <si>
    <t>Ashley</t>
  </si>
  <si>
    <t>Potgieter</t>
  </si>
  <si>
    <t>EU-44022</t>
  </si>
  <si>
    <t>2026-06-16 12:12:22</t>
  </si>
  <si>
    <t>23A Djouce Meadows, Roundwood, Wicklow</t>
  </si>
  <si>
    <t>A98 Y1X6</t>
  </si>
  <si>
    <t>BAGBCH-MD-NAVY,TOWLB-SUM-XL-MIAMI</t>
  </si>
  <si>
    <t>10299304-10350692</t>
  </si>
  <si>
    <t>ATELIER MB BVBA - PLUME</t>
  </si>
  <si>
    <t>Bekx</t>
  </si>
  <si>
    <t>EUWS-3204</t>
  </si>
  <si>
    <t>2026-06-16 12:24:09</t>
  </si>
  <si>
    <t>Statielei 87, Mortsel, Mortsel</t>
  </si>
  <si>
    <t>TOWLB-CAB-LG-BLUE-R,TOWLB-CAB-LG-GREEN-R,TOWLB-DES-LG-MELLOW,TOWLB-DES-LG-PSTPIER,TOWLB-SUM-LG-CSTCANDY</t>
  </si>
  <si>
    <t>10299308-10350696</t>
  </si>
  <si>
    <t>Tiegelkamp</t>
  </si>
  <si>
    <t>EU-44027</t>
  </si>
  <si>
    <t>2026-06-16 12:42:26</t>
  </si>
  <si>
    <t>Schenefelder Landstrasse 4, Hamburg, Hamburg</t>
  </si>
  <si>
    <t>TOWLF-ESS-XL-BLUE-R,TOWLF-ESS-XL-PINK-R</t>
  </si>
  <si>
    <t>10295161-10346481</t>
  </si>
  <si>
    <t>Ruzicka Marek</t>
  </si>
  <si>
    <t>Marek</t>
  </si>
  <si>
    <t>Ruzicka</t>
  </si>
  <si>
    <t>EU-43965</t>
  </si>
  <si>
    <t>2026-06-16 12:43:28</t>
  </si>
  <si>
    <t>Evropská 72 , Praha , Praha</t>
  </si>
  <si>
    <t>160 00</t>
  </si>
  <si>
    <t>TEATWL-MD-DINPRTY,TOWLB-COLLAB-XL-UNO</t>
  </si>
  <si>
    <t>10299091-10350469</t>
  </si>
  <si>
    <t>Robby</t>
  </si>
  <si>
    <t>Pietschmann</t>
  </si>
  <si>
    <t>EU-44021</t>
  </si>
  <si>
    <t>2026-06-16 12:47:33</t>
  </si>
  <si>
    <t>Kohlrauschstraße 9A, Berlin, Berlin</t>
  </si>
  <si>
    <t>BALLAST-SUM-CSTCANDY,TOWLB-SUM-XL-COLAGN,TOWLB-SUM-XL-MIAMI,TOWLB-SUM-XL-OCEAN,TOWLB-SUM-XL-TUTFRU</t>
  </si>
  <si>
    <t>10299307-10350695</t>
  </si>
  <si>
    <t>Nikola</t>
  </si>
  <si>
    <t>Hoppe</t>
  </si>
  <si>
    <t>EU-44024</t>
  </si>
  <si>
    <t>2026-06-16 12:52:03</t>
  </si>
  <si>
    <t>Am Lüner Holz 7, Adendorf, Adendorf</t>
  </si>
  <si>
    <t>TOWLB-SUM-LG-UNICN-R,TOWLB-SUM-XL-UNICN-R</t>
  </si>
  <si>
    <t>10300234-10351641</t>
  </si>
  <si>
    <t>Hanna</t>
  </si>
  <si>
    <t>Brix</t>
  </si>
  <si>
    <t>EU-44038</t>
  </si>
  <si>
    <t>2026-06-17 05:33:05</t>
  </si>
  <si>
    <t>Haeberlinstraße 13, Stuttgart, Stuttgart</t>
  </si>
  <si>
    <t>10299305-10350693</t>
  </si>
  <si>
    <t>Martin</t>
  </si>
  <si>
    <t>EU-44026</t>
  </si>
  <si>
    <t>2026-06-17 05:34:05</t>
  </si>
  <si>
    <t>18 Dún na Bó, Ballinamore, Leitrim</t>
  </si>
  <si>
    <t>N41 WV82</t>
  </si>
  <si>
    <t>TOWLB-SUM-LG-OCEAN</t>
  </si>
  <si>
    <t>10299090-10350468</t>
  </si>
  <si>
    <t>Koniaris,</t>
  </si>
  <si>
    <t>EU-44020</t>
  </si>
  <si>
    <t>2026-06-17 05:35:21</t>
  </si>
  <si>
    <t>Freiheit 12, Oberursel, Oberursel</t>
  </si>
  <si>
    <t>10283602-10334800</t>
  </si>
  <si>
    <t>Patrick Jan</t>
  </si>
  <si>
    <t>Miozga</t>
  </si>
  <si>
    <t>303-5595643-1362709</t>
  </si>
  <si>
    <t>2026-06-17 05:37:58</t>
  </si>
  <si>
    <t>Eigener Eingang, Annemarie-Renger-Straße 21c, Mainz, Mainz</t>
  </si>
  <si>
    <t>10301503-10352919</t>
  </si>
  <si>
    <t>Dowling</t>
  </si>
  <si>
    <t>EU-44060</t>
  </si>
  <si>
    <t>2026-06-17 05:39:22</t>
  </si>
  <si>
    <t>60A Arderin Way, The Glen, The Glen, Cork</t>
  </si>
  <si>
    <t>T23 DKD6</t>
  </si>
  <si>
    <t>10299964-10351368</t>
  </si>
  <si>
    <t>EU-44036</t>
  </si>
  <si>
    <t>2026-06-17 05:40:30</t>
  </si>
  <si>
    <t>Kilstetter Str 28, Berlin, Berlin</t>
  </si>
  <si>
    <t>10299089-10350467</t>
  </si>
  <si>
    <t>Clune</t>
  </si>
  <si>
    <t>EU-44019</t>
  </si>
  <si>
    <t>2026-06-17 05:41:36</t>
  </si>
  <si>
    <t>4 Oldtown, Kells Rd, Kilkenny, Kilkenny</t>
  </si>
  <si>
    <t>R95 Y9Y2</t>
  </si>
  <si>
    <t>10301281-10352696</t>
  </si>
  <si>
    <t>EU-44052</t>
  </si>
  <si>
    <t>2026-06-17 05:42:46</t>
  </si>
  <si>
    <t>TOWLB-SUM-LG-CSTCANDY</t>
  </si>
  <si>
    <t>10299973-10351377</t>
  </si>
  <si>
    <t>Mashkova</t>
  </si>
  <si>
    <t>EU-44037</t>
  </si>
  <si>
    <t>2026-06-17 05:44:04</t>
  </si>
  <si>
    <t>Parkstraat 20, Arnhem, Arnhem</t>
  </si>
  <si>
    <t>6828 JJ</t>
  </si>
  <si>
    <t>10284013-10335217</t>
  </si>
  <si>
    <t>Nick</t>
  </si>
  <si>
    <t>Dangeleit</t>
  </si>
  <si>
    <t>302-9620418-9200348</t>
  </si>
  <si>
    <t>2026-06-17 05:45:21</t>
  </si>
  <si>
    <t>Moosberg 14b, Hamburg, Hamburg</t>
  </si>
  <si>
    <t>10295968-10347319</t>
  </si>
  <si>
    <t>Madita</t>
  </si>
  <si>
    <t>Lassen</t>
  </si>
  <si>
    <t>304-7151711-1432336</t>
  </si>
  <si>
    <t>2026-06-17 05:46:28</t>
  </si>
  <si>
    <t>Neue Straße 3, Tübingen, Tübingen</t>
  </si>
  <si>
    <t>10300236-10351643</t>
  </si>
  <si>
    <t>THOMAS</t>
  </si>
  <si>
    <t>LE BOULAIRE</t>
  </si>
  <si>
    <t>EU-44039</t>
  </si>
  <si>
    <t>2026-06-17 05:47:41</t>
  </si>
  <si>
    <t>40 Clos Edmond, Palaiseau, Palaiseau</t>
  </si>
  <si>
    <t>10300981-10352395</t>
  </si>
  <si>
    <t>Uebbing</t>
  </si>
  <si>
    <t>EU-44051</t>
  </si>
  <si>
    <t>2026-06-17 05:48:47</t>
  </si>
  <si>
    <t>Eichenkamp 2, Borken, Borken</t>
  </si>
  <si>
    <t>10301507-10352923</t>
  </si>
  <si>
    <t>Otte</t>
  </si>
  <si>
    <t>EU-44064</t>
  </si>
  <si>
    <t>2026-06-17 05:49:53</t>
  </si>
  <si>
    <t>Leterweg 10, Bilzen-Hoeselt, Bilzen-Hoeselt</t>
  </si>
  <si>
    <t>BAGDRY-XS-HOTTROP</t>
  </si>
  <si>
    <t>10299306-10350694</t>
  </si>
  <si>
    <t>Patrick</t>
  </si>
  <si>
    <t>EU-44025</t>
  </si>
  <si>
    <t>2026-06-17 05:51:22</t>
  </si>
  <si>
    <t>Menloe Gardens, Blackrock, Cork, Cork</t>
  </si>
  <si>
    <t>T12 R2K7</t>
  </si>
  <si>
    <t>10299309-10350697</t>
  </si>
  <si>
    <t>Abby</t>
  </si>
  <si>
    <t>EU-44028</t>
  </si>
  <si>
    <t>2026-06-17 05:52:21</t>
  </si>
  <si>
    <t>7 Woodbrook place, Bishopstown Rd, Bishopstown, Cork</t>
  </si>
  <si>
    <t>T12 YE0P</t>
  </si>
  <si>
    <t>COOL-DES-MIDNMOV</t>
  </si>
  <si>
    <t>10299488-10350881</t>
  </si>
  <si>
    <t>Luiza</t>
  </si>
  <si>
    <t>Lyonnet</t>
  </si>
  <si>
    <t>EU-44030</t>
  </si>
  <si>
    <t>2026-06-17 05:53:18</t>
  </si>
  <si>
    <t>21, Rue du Travail, Luxembourg, Luxembourg</t>
  </si>
  <si>
    <t>BAGDRY-MD-NAVY,BAGDRY-XS-NAVY,PICNIC-DES-LG-STRIPLIFE,PONCHK-KID-MD-GVCLUB,PONCHK-KID-MD-SKATER,TOWLB-CAB-LG-BLUE-R,TOWLB-CAB-LG-NAVY-R,TOWLB-CAB-LG-ORANG-R,TOWLB-CAB-LG-RED-R</t>
  </si>
  <si>
    <t>10300970-10352384</t>
  </si>
  <si>
    <t>Scheepbouwer</t>
  </si>
  <si>
    <t>EU-44042</t>
  </si>
  <si>
    <t>2026-06-17 05:54:28</t>
  </si>
  <si>
    <t>Punter 23, Schiedam, Schiedam</t>
  </si>
  <si>
    <t>3123 BM</t>
  </si>
  <si>
    <t>BAGF-SUM-MD-UNICN</t>
  </si>
  <si>
    <t>10299489-10350882</t>
  </si>
  <si>
    <t>Wolf</t>
  </si>
  <si>
    <t>Eberbach</t>
  </si>
  <si>
    <t>EU-44029</t>
  </si>
  <si>
    <t>2026-06-17 05:55:54</t>
  </si>
  <si>
    <t>Nymphenburger Straße 14A, München, München</t>
  </si>
  <si>
    <t>BAGBCH-MD-NAVY,BALLAST-CAB-NAVY,TOWLB-CAB-LG-NAVY-R</t>
  </si>
  <si>
    <t>10300972-10352386</t>
  </si>
  <si>
    <t>Monsees</t>
  </si>
  <si>
    <t>EU-44044</t>
  </si>
  <si>
    <t>2026-06-17 05:57:20</t>
  </si>
  <si>
    <t>Norderreihe  21, Hamburg, Hamburg</t>
  </si>
  <si>
    <t>10289813-10341065</t>
  </si>
  <si>
    <t>W</t>
  </si>
  <si>
    <t>EU-43851</t>
  </si>
  <si>
    <t>2026-06-17 05:57:52</t>
  </si>
  <si>
    <t>Franck Willaime, 11 Blvd Prince Henri, Luxembourg, Luxembourg</t>
  </si>
  <si>
    <t>BAGF-SUM-MD-MIAMI,TOWLB-SUM-LG-OCEAN,TOWLB-SUM-XL-TUTFRU</t>
  </si>
  <si>
    <t>10299967-10351371</t>
  </si>
  <si>
    <t>Deerpark Cottages Ltd</t>
  </si>
  <si>
    <t>Lanigan</t>
  </si>
  <si>
    <t>EU-44035</t>
  </si>
  <si>
    <t>2026-06-17 05:59:13</t>
  </si>
  <si>
    <t>Carrickmourne, Thomastown, Kilkenny</t>
  </si>
  <si>
    <t>R95 Y6Y2</t>
  </si>
  <si>
    <t>10301282-10352697</t>
  </si>
  <si>
    <t>Iliyana</t>
  </si>
  <si>
    <t>Lund</t>
  </si>
  <si>
    <t>EU-44055</t>
  </si>
  <si>
    <t>2026-06-17 05:59:35</t>
  </si>
  <si>
    <t>Cranachstr 5, Berlin, Berlin</t>
  </si>
  <si>
    <t>BAGF-SUM-MD-CSTCANDY,PP-TOWLB-CAB-LG-4SETA-R</t>
  </si>
  <si>
    <t>10299487-10350880</t>
  </si>
  <si>
    <t>Peggy</t>
  </si>
  <si>
    <t>Aulmann</t>
  </si>
  <si>
    <t>EU-44031</t>
  </si>
  <si>
    <t>2026-06-17 06:00:56</t>
  </si>
  <si>
    <t>Möwenstraße 31, Friedrichshafen, Friedrichshafen</t>
  </si>
  <si>
    <t>10300235-10351642</t>
  </si>
  <si>
    <t>roy</t>
  </si>
  <si>
    <t>morgan</t>
  </si>
  <si>
    <t>EU-44040</t>
  </si>
  <si>
    <t>2026-06-17 06:01:12</t>
  </si>
  <si>
    <t>168 Evanwood, Golf Links Rd, Castletroy, limerick, Limerick</t>
  </si>
  <si>
    <t>V94 TPK2</t>
  </si>
  <si>
    <t>10301505-10352921</t>
  </si>
  <si>
    <t>Céline</t>
  </si>
  <si>
    <t>Caillé</t>
  </si>
  <si>
    <t>EU-44061</t>
  </si>
  <si>
    <t>2026-06-17 06:02:40</t>
  </si>
  <si>
    <t>48 rue de châtellerault, Thuré, Thuré</t>
  </si>
  <si>
    <t>10300967-10352381</t>
  </si>
  <si>
    <t>Bram</t>
  </si>
  <si>
    <t>van Halewijn</t>
  </si>
  <si>
    <t>EU-44043</t>
  </si>
  <si>
    <t>2026-06-17 06:04:12</t>
  </si>
  <si>
    <t>Bethaniënstraat 3A, Amsterdam, Amsterdam</t>
  </si>
  <si>
    <t>1012 BZ</t>
  </si>
  <si>
    <t>10300976-10352390</t>
  </si>
  <si>
    <t>Lawson</t>
  </si>
  <si>
    <t>EU-44047</t>
  </si>
  <si>
    <t>2026-06-17 06:04:48</t>
  </si>
  <si>
    <t>Mullinbeg, Piltown, Kilkenny</t>
  </si>
  <si>
    <t>E32 CV91</t>
  </si>
  <si>
    <t>TOWLB-SUM-XL-COLAGN,TOWLB-SUM-XL-CSTCANDY,TOWLB-SUM-XL-UNICN-R</t>
  </si>
  <si>
    <t>10299722-10351122</t>
  </si>
  <si>
    <t>EU-44032</t>
  </si>
  <si>
    <t>2026-06-17 06:05:32</t>
  </si>
  <si>
    <t>TOWLB-DES-LG-PNKPARA,TOWLB-DES-XL-SUNSPL</t>
  </si>
  <si>
    <t>10299970-10351374</t>
  </si>
  <si>
    <t>Heyndrickx</t>
  </si>
  <si>
    <t>EU-44034</t>
  </si>
  <si>
    <t>2026-06-17 06:06:46</t>
  </si>
  <si>
    <t>Pleispark 19, Sint-Denijs-Westrem, Sint-Denijs-Westrem</t>
  </si>
  <si>
    <t>PONCHA-CLA-LG-NAVY-NS,PONCHA-SUM-LG-CSTCANDY,PONCHK-SUM-MD-CSTCANDY,PONCHK-SUM-SM-UNICN-NS</t>
  </si>
  <si>
    <t>10300407-10351817</t>
  </si>
  <si>
    <t>Maxence</t>
  </si>
  <si>
    <t>EU-44041</t>
  </si>
  <si>
    <t>2026-06-17 06:06:49</t>
  </si>
  <si>
    <t>Groenenborgerlaan 192, Antwerpen, Antwerpen</t>
  </si>
  <si>
    <t>10300731-10352144</t>
  </si>
  <si>
    <t>Pereira</t>
  </si>
  <si>
    <t>EU-44048</t>
  </si>
  <si>
    <t>2026-06-17 06:08:18</t>
  </si>
  <si>
    <t>3 Rue Reiter, Saint-Maur-des-Fossés, Saint-Maur-des-Fossés</t>
  </si>
  <si>
    <t>TOWLB-DES-LG-MELLOW,TOWLB-SUM-LG-CSTCANDY,TOWLB-SUM-LG-OCEAN,TOWLF-ESS-LG-GREEN-R</t>
  </si>
  <si>
    <t>10300974-10352388</t>
  </si>
  <si>
    <t>Stoyan</t>
  </si>
  <si>
    <t>Yanchev</t>
  </si>
  <si>
    <t>EU-44045</t>
  </si>
  <si>
    <t>2026-06-17 06:10:00</t>
  </si>
  <si>
    <t>Meden rudnik 81-3-6, 11, Burgas, Burgas</t>
  </si>
  <si>
    <t>10300979-10352393</t>
  </si>
  <si>
    <t>van Wingerden</t>
  </si>
  <si>
    <t>EU-44049</t>
  </si>
  <si>
    <t>2026-06-17 06:12:12</t>
  </si>
  <si>
    <t>De Mortel 27, Brasschaat, Brasschaat</t>
  </si>
  <si>
    <t>BAGF-SUM-MD-CSTCANDY,TOWLB-SUM-LG-CSTCANDY,TOWLB-SUM-LG-MIAMI</t>
  </si>
  <si>
    <t>10301699-10353117</t>
  </si>
  <si>
    <t>Sarah Milena</t>
  </si>
  <si>
    <t>Metzger</t>
  </si>
  <si>
    <t>EU-44065</t>
  </si>
  <si>
    <t>2026-06-17 06:12:27</t>
  </si>
  <si>
    <t>Alemannenstraße 6, Großaitingen, Großaitingen</t>
  </si>
  <si>
    <t>10301287-10352702</t>
  </si>
  <si>
    <t>EU-44059</t>
  </si>
  <si>
    <t>2026-06-17 06:13:42</t>
  </si>
  <si>
    <t>11B Seafield, Wicklow Town, Wicklow</t>
  </si>
  <si>
    <t>A67 KT10</t>
  </si>
  <si>
    <t>TOWLB-CAB-XL-GREEN-R,TOWLB-CAB-XL-LTPPL-R</t>
  </si>
  <si>
    <t>10301698-10353116</t>
  </si>
  <si>
    <t>Devereux</t>
  </si>
  <si>
    <t>EU-44066</t>
  </si>
  <si>
    <t>2026-06-17 06:13:50</t>
  </si>
  <si>
    <t>2 Riverview, Blackrock, Cork, Cork</t>
  </si>
  <si>
    <t>T12 W3C1</t>
  </si>
  <si>
    <t>10302001-10353420</t>
  </si>
  <si>
    <t>KATHRYN</t>
  </si>
  <si>
    <t>EU-44067</t>
  </si>
  <si>
    <t>2026-06-17 06:14:15</t>
  </si>
  <si>
    <t>rath, murroe, Co.Limerick, Limerick</t>
  </si>
  <si>
    <t>V94 VK1K</t>
  </si>
  <si>
    <t>10301283-10352698</t>
  </si>
  <si>
    <t>Rimmelzwaan</t>
  </si>
  <si>
    <t>EU-44054</t>
  </si>
  <si>
    <t>2026-06-17 06:17:13</t>
  </si>
  <si>
    <t>Piet Van Wijngaerdtlaan, 14, Abcoude, Abcoude</t>
  </si>
  <si>
    <t>1391 VD</t>
  </si>
  <si>
    <t>TOWLB-CAB-LG-BLUE-R,TOWLB-SUM-LG-RAINB-R,TOWLB-SUM-LG-UNICN-R</t>
  </si>
  <si>
    <t>10301286-10352701</t>
  </si>
  <si>
    <t>EU-44057</t>
  </si>
  <si>
    <t>2026-06-17 06:20:01</t>
  </si>
  <si>
    <t>TOWLB-CAB-MD-LTBLU,TOWLB-CAB-MD-LTPNK,TOWLB-CAB-MD-NAVY,TOWLB-DES-LG-SUNSPL,TOWLB-DES-LG-WYWH</t>
  </si>
  <si>
    <t>10301504-10352920</t>
  </si>
  <si>
    <t>Schraut</t>
  </si>
  <si>
    <t>EU-44062</t>
  </si>
  <si>
    <t>2026-06-17 06:26:57</t>
  </si>
  <si>
    <t>Eppendorfer Landstr 76, Schraut Reisekontor, Hamburg, Hamburg</t>
  </si>
  <si>
    <t>HAIRW-SUE-HOTTROP,TOWLB-DES-LG-HOTTROP,TOWLB-DES-LG-IBZAGLW,TOWLB-DES-LG-PNKPARA,TOWLB-DES-LG-SWTESC,TOWLB-DES-LG-TANTIDE,TOWLB-DES-LG-WYWH</t>
  </si>
  <si>
    <t>10301506-10352922</t>
  </si>
  <si>
    <t>Burns</t>
  </si>
  <si>
    <t>EU-44063</t>
  </si>
  <si>
    <t>2026-06-17 06:28:49</t>
  </si>
  <si>
    <t>4 Din Cuilinn, Cutbush, Curragh, Kildare</t>
  </si>
  <si>
    <t>R56 ET65</t>
  </si>
  <si>
    <t>10301280-10352695</t>
  </si>
  <si>
    <t>Orlaith</t>
  </si>
  <si>
    <t>Molloy</t>
  </si>
  <si>
    <t>EU-44053</t>
  </si>
  <si>
    <t>2026-06-17 06:29:27</t>
  </si>
  <si>
    <t>5 Clare Rd, Dublin 9, Dublin</t>
  </si>
  <si>
    <t>D09 R2T8</t>
  </si>
  <si>
    <t>10301285-10352700</t>
  </si>
  <si>
    <t>Marka</t>
  </si>
  <si>
    <t>EU-44058</t>
  </si>
  <si>
    <t>2026-06-17 06:31:30</t>
  </si>
  <si>
    <t>Waltershofer Straße 19, Leutkirch im Allgäu, Leutkirch im Allgäu</t>
  </si>
  <si>
    <t>10300730-10352143</t>
  </si>
  <si>
    <t>Anina</t>
  </si>
  <si>
    <t>Neudecker</t>
  </si>
  <si>
    <t>EU-44046</t>
  </si>
  <si>
    <t>2026-06-17 06:36:30</t>
  </si>
  <si>
    <t>Reisinger Str 12, München, München</t>
  </si>
  <si>
    <t>10302387-10353808</t>
  </si>
  <si>
    <t>Neugebauer</t>
  </si>
  <si>
    <t>EU-44068</t>
  </si>
  <si>
    <t>2026-06-17 07:02:48</t>
  </si>
  <si>
    <t>Hauptstraße 1, Mückeln, Mückeln</t>
  </si>
  <si>
    <t>PONCHK-CAB-MD-LTPNK-NS,TOWLB-DES-XL-SUNSPL,TOWLB-SUM-LG-COLAGN</t>
  </si>
  <si>
    <t>10300232-10351639</t>
  </si>
  <si>
    <t>Sadlite Schüller GbR</t>
  </si>
  <si>
    <t>Brigitte und Petra</t>
  </si>
  <si>
    <t>Schüller</t>
  </si>
  <si>
    <t>EUWS-3197</t>
  </si>
  <si>
    <t>2026-06-17 07:59:34</t>
  </si>
  <si>
    <t>Ettmannsdorfer Straße 2, Schwandorf, Schwandorf</t>
  </si>
  <si>
    <t>TEATWL-MD-DINPRTY,TEATWL-MD-SOUSCHEF,TEATWL-MD-TRPPNCH,TOWLB-CAB-LG-NAVY-R,TOWLB-SUM-LG-MIAMI</t>
  </si>
  <si>
    <t>10289620-10340872</t>
  </si>
  <si>
    <t>Dorothée</t>
  </si>
  <si>
    <t>VERINE BOISSIN</t>
  </si>
  <si>
    <t>EU-43843</t>
  </si>
  <si>
    <t>2026-06-17 08:20:44</t>
  </si>
  <si>
    <t>35 Ave Du Marechal Joffre, Meudon, Meudon</t>
  </si>
  <si>
    <t>PONCHA-CAB-LG-NAVY-NS,PONCHA-CAB-MD-LTPNK-NS,PONCHA-DES-MD-IBZAGLW</t>
  </si>
  <si>
    <t>10302532-10353954</t>
  </si>
  <si>
    <t>Brüggemann</t>
  </si>
  <si>
    <t>EU-44071</t>
  </si>
  <si>
    <t>2026-06-17 08:38:15</t>
  </si>
  <si>
    <t>Ludwig-Thoma-Weg 1B, Baierbrunn, Baierbrunn</t>
  </si>
  <si>
    <t>TOWLB-CAB-LG-BLUE-R,TOWLB-CAB-LG-LTGRY-R,TOWLB-CAB-LG-NAVY-R,TOWLB-CAB-LG-RED-R,TOWLB-CAB-MD-NAVY,TOWLH-CLA-SM-NAVY</t>
  </si>
  <si>
    <t>10298606-10349968</t>
  </si>
  <si>
    <t>Heery</t>
  </si>
  <si>
    <t>EU-44012</t>
  </si>
  <si>
    <t>2026-06-17 08:56:24</t>
  </si>
  <si>
    <t>Bembradagh, 9 Roselawn close, Dublin 15, Dublin</t>
  </si>
  <si>
    <t>D15 RWN1</t>
  </si>
  <si>
    <t>PONCHA-CLA-LG-NAVY-NS,PONCHA-DES-LG-IBZAGLW,PONCHK-KID-MD-CAMOCUBE,PONCHK-KID-SM-TURTROP</t>
  </si>
  <si>
    <t>10298883-10350254</t>
  </si>
  <si>
    <t>Ines Amann CreativeWerbemittel</t>
  </si>
  <si>
    <t>Elena Maria</t>
  </si>
  <si>
    <t>Seeburger</t>
  </si>
  <si>
    <t>EUWS-3205</t>
  </si>
  <si>
    <t>2026-06-17 08:57:45</t>
  </si>
  <si>
    <t>Laibstrasse 9, Irslingen, Irslingen</t>
  </si>
  <si>
    <t xml:space="preserve">16210 (x2) A-SCRUNCH-PAPER (x1) A-KRAFT-PAPER-TAPE (x2) </t>
  </si>
  <si>
    <t>TOWLB-DES-XL-LEMWAV,TOWLB-SUM-XL-OCEAN,TOWLB-SUM-XL-UNICN-R</t>
  </si>
  <si>
    <t>10302721-10354150</t>
  </si>
  <si>
    <t>Mathieu</t>
  </si>
  <si>
    <t>EU-44070</t>
  </si>
  <si>
    <t>2026-06-17 09:30:29</t>
  </si>
  <si>
    <t>Schmieheweg 3, Hüttisheim, Hüttisheim</t>
  </si>
  <si>
    <t>BAGF-DES-MD-WAVYBBY,TOWLB-SUM-XL-COLAGN,TOWLB-SUM-XL-MIAMI,TOWLB-SUM-XL-OCEAN,TOWLB-SUM-XL-TUTFRU</t>
  </si>
  <si>
    <t>10302727-10354156</t>
  </si>
  <si>
    <t>Egenton</t>
  </si>
  <si>
    <t>EU-44076</t>
  </si>
  <si>
    <t>2026-06-17 09:32:00</t>
  </si>
  <si>
    <t>Gortloney, Drumone, Oldcastle, Meath</t>
  </si>
  <si>
    <t>A82 E248</t>
  </si>
  <si>
    <t>BAGF-DES-MD-BANARAM,HAIRW-SUE-HOTTROP,TOWLB-DES-XL-ALOHGLW</t>
  </si>
  <si>
    <t>10301284-10352699</t>
  </si>
  <si>
    <t>Rūta</t>
  </si>
  <si>
    <t>Karvelytė</t>
  </si>
  <si>
    <t>EU-44056</t>
  </si>
  <si>
    <t>2026-06-17 09:33:09</t>
  </si>
  <si>
    <t>Giruliu g16-88, Vilnius, Vilnius</t>
  </si>
  <si>
    <t>Lithuania</t>
  </si>
  <si>
    <t>BAGF-SUM-MD-MIAMI,TEATWL-MD-SQCLEAN,TOWLB-DES-LG-ALOHGLW,TOWLB-DES-LG-PNKPARA,TOWLB-DES-LG-TROPTRT,TOWLB-DES-XL-LEMWAV,TOWLH-CBH-SM-PINK,TOWLH-DES-LG-TIGPALM</t>
  </si>
  <si>
    <t>10302728-10354158</t>
  </si>
  <si>
    <t>Miksyte-Pedersen</t>
  </si>
  <si>
    <t>EU-44075</t>
  </si>
  <si>
    <t>2026-06-17 09:33:34</t>
  </si>
  <si>
    <t>6 Rue Basse, Capellen, Capellen</t>
  </si>
  <si>
    <t>TOWLB-DES-LG-PSTPIER,TOWLB-KID-LG-INTOWILD</t>
  </si>
  <si>
    <t>10302722-10354151</t>
  </si>
  <si>
    <t>Carina</t>
  </si>
  <si>
    <t>Wieland</t>
  </si>
  <si>
    <t>EU-44072</t>
  </si>
  <si>
    <t>2026-06-17 09:37:44</t>
  </si>
  <si>
    <t>Königsberger Straße 4, Spardorf, Spardorf</t>
  </si>
  <si>
    <t>PONCHK-CAB-MD-BLUE-NS,PONCHK-CAB-MD-NAVY-NS</t>
  </si>
  <si>
    <t>10302723-10354152</t>
  </si>
  <si>
    <t>302-4970097-7900320</t>
  </si>
  <si>
    <t>2026-06-17 09:38:43</t>
  </si>
  <si>
    <t>5, rte de Finsterthal, Haus, Bissen, Distrikt Luxemburg</t>
  </si>
  <si>
    <t>10302726-10354155</t>
  </si>
  <si>
    <t>EU-44077</t>
  </si>
  <si>
    <t>2026-06-17 09:39:56</t>
  </si>
  <si>
    <t>Market Sq, Muine Bheag, Carlow</t>
  </si>
  <si>
    <t>R21 W883</t>
  </si>
  <si>
    <t>PONCHA-SUM-LG-UNICN-NS</t>
  </si>
  <si>
    <t>10302724-10354153</t>
  </si>
  <si>
    <t>Cynthia</t>
  </si>
  <si>
    <t>van Zanten</t>
  </si>
  <si>
    <t>EU-44073</t>
  </si>
  <si>
    <t>2026-06-17 09:41:07</t>
  </si>
  <si>
    <t>B Van Der Helststraat 110, Meppel, Meppel</t>
  </si>
  <si>
    <t>7944 XK</t>
  </si>
  <si>
    <t>10302720-10354149</t>
  </si>
  <si>
    <t>Zeller</t>
  </si>
  <si>
    <t>EU-44069</t>
  </si>
  <si>
    <t>2026-06-17 09:48:44</t>
  </si>
  <si>
    <t>Wohlmutser Weg 19, Dietmannsried, Dietmannsried</t>
  </si>
  <si>
    <t>10300233-10351640</t>
  </si>
  <si>
    <t>Zentrallager</t>
  </si>
  <si>
    <t>F.S.</t>
  </si>
  <si>
    <t>Kustermann GmbH</t>
  </si>
  <si>
    <t>EUWS-3208</t>
  </si>
  <si>
    <t>2026-06-17 09:59:53</t>
  </si>
  <si>
    <t>Gutenbergstraße 3, Garching bei München, Garching bei München</t>
  </si>
  <si>
    <t>BAGF-SUM-MD-CSTCANDY,PICNIC-CAB-LG-NAVY,PICNIC-DES-LG-CANDSTR,TOWLB-CAB-LG-NAVY-R,TOWLB-CAB-XL-KHAKI-R,TOWLB-CAB-XL-NAVY-R,TOWLB-SUM-LG-CSTCANDY,TOWLB-SUM-LG-MIAMI,TOWLB-SUM-XL-CSTCANDY,TOWLB-SUM-XL-MIAMI</t>
  </si>
  <si>
    <t>10302940-10354377</t>
  </si>
  <si>
    <t>Jürgen</t>
  </si>
  <si>
    <t>Bitzer</t>
  </si>
  <si>
    <t>EU-44082</t>
  </si>
  <si>
    <t>2026-06-17 10:54:10</t>
  </si>
  <si>
    <t>Kampsweg 27, Bornheim, Bornheim</t>
  </si>
  <si>
    <t>10302946-10354383</t>
  </si>
  <si>
    <t>Gallagher</t>
  </si>
  <si>
    <t>EU-44084</t>
  </si>
  <si>
    <t>2026-06-17 11:21:59</t>
  </si>
  <si>
    <t>44 Avoca Ave, Blackrock, Dublin, Dublin</t>
  </si>
  <si>
    <t>A94 XF88</t>
  </si>
  <si>
    <t>10302945-10354382</t>
  </si>
  <si>
    <t>Anna Maria</t>
  </si>
  <si>
    <t>EU-44083</t>
  </si>
  <si>
    <t>2026-06-17 11:22:57</t>
  </si>
  <si>
    <t>Bornmühlenweg 2, Hamburg, Hamburg</t>
  </si>
  <si>
    <t>TOWLB-KID-MD-TURTROP</t>
  </si>
  <si>
    <t>10302942-10354379</t>
  </si>
  <si>
    <t>Jeanette</t>
  </si>
  <si>
    <t>Abi Saleh</t>
  </si>
  <si>
    <t>EU-44080</t>
  </si>
  <si>
    <t>2026-06-17 11:24:15</t>
  </si>
  <si>
    <t>Nobelstraat 216, Tremelo, Tremelo</t>
  </si>
  <si>
    <t>10302943-10354380</t>
  </si>
  <si>
    <t>Abi</t>
  </si>
  <si>
    <t>Bambrick</t>
  </si>
  <si>
    <t>EU-44079</t>
  </si>
  <si>
    <t>2026-06-17 11:25:37</t>
  </si>
  <si>
    <t>Cleenrah, Aughnacliffe, Longford</t>
  </si>
  <si>
    <t>N39 X9F2</t>
  </si>
  <si>
    <t>10294031-10345303</t>
  </si>
  <si>
    <t>Vellin</t>
  </si>
  <si>
    <t>EU-43948</t>
  </si>
  <si>
    <t>2026-06-17 12:26:15</t>
  </si>
  <si>
    <t>Rue Amédée Lynen 23, Saint-Josse-ten-Noode, Saint-Josse-ten-Noode</t>
  </si>
  <si>
    <t>BAGBCH-MD-NAVY,PONCHA-CLA-LG-NAVY-NS,TOWLB-SUM-XL-MIAMI</t>
  </si>
  <si>
    <t>10303183-10354629</t>
  </si>
  <si>
    <t>Maire</t>
  </si>
  <si>
    <t>Mullarkey</t>
  </si>
  <si>
    <t>EU-44085</t>
  </si>
  <si>
    <t>2026-06-17 12:28:54</t>
  </si>
  <si>
    <t>10 Springfield Rd, Dublin 6W, Dublin</t>
  </si>
  <si>
    <t>D6W C584</t>
  </si>
  <si>
    <t>TOWLB-CAB-LG-LTPNK-R,TOWLB-CAB-XL-BLUE-R</t>
  </si>
  <si>
    <t>10302941-10354378</t>
  </si>
  <si>
    <t>EU-44081</t>
  </si>
  <si>
    <t>2026-06-17 12:33:22</t>
  </si>
  <si>
    <t>Clonbrock, Demense, Ballinasloe, Galway</t>
  </si>
  <si>
    <t>H53 W5T1</t>
  </si>
  <si>
    <t>TOWLB-CAB-LG-BLUE-R,TOWLB-CAB-LG-GREEN-R,TOWLB-CAB-LG-RED-R,TOWLB-CAB-MD-LTPNK</t>
  </si>
  <si>
    <t>10302944-10354381</t>
  </si>
  <si>
    <t>EU-44078</t>
  </si>
  <si>
    <t>2026-06-17 12:33:57</t>
  </si>
  <si>
    <t>Old Lucan Rd, Valley View Lodge, Palmerstown, Dublin</t>
  </si>
  <si>
    <t>D20 WK27</t>
  </si>
  <si>
    <t>BAGF-DES-MD-CHECKMT,TOWLB-DES-XL-SUNSPL</t>
  </si>
  <si>
    <t>10303418-10354870</t>
  </si>
  <si>
    <t>Arhitektura Bolanča d.o.o.</t>
  </si>
  <si>
    <t>Zrinka</t>
  </si>
  <si>
    <t>Spanovic</t>
  </si>
  <si>
    <t>EU-44087</t>
  </si>
  <si>
    <t>2026-06-17 12:35:32</t>
  </si>
  <si>
    <t>Jarunska ulica 19, Zagreb, Zagreb, Zagreb</t>
  </si>
  <si>
    <t>Croatia</t>
  </si>
  <si>
    <t>10303624-10355079</t>
  </si>
  <si>
    <t>Huygens</t>
  </si>
  <si>
    <t>EU-44090</t>
  </si>
  <si>
    <t>2026-06-17 12:51:28</t>
  </si>
  <si>
    <t>De Heide 9, Sint-Martens-Latem, Sint-Martens-Latem</t>
  </si>
  <si>
    <t>10303623-10355078</t>
  </si>
  <si>
    <t>Spahn</t>
  </si>
  <si>
    <t>EU-44091</t>
  </si>
  <si>
    <t>2026-06-17 12:51:53</t>
  </si>
  <si>
    <t>Wilhelminenstraße 35, Hanau, Hanau</t>
  </si>
  <si>
    <t>10303627-10355082</t>
  </si>
  <si>
    <t>Smith</t>
  </si>
  <si>
    <t>EU-44092</t>
  </si>
  <si>
    <t>2026-06-17 12:52:39</t>
  </si>
  <si>
    <t>Tönns Twieten 1, Toppenstedt, Toppenstedt</t>
  </si>
  <si>
    <t>HAIRW-CLA-NAVY-NB,PONCHK-KID-SM-CHECKOUT</t>
  </si>
  <si>
    <t>10305436-10356957</t>
  </si>
  <si>
    <t>Kiemann</t>
  </si>
  <si>
    <t>305-1490237-1149122</t>
  </si>
  <si>
    <t>2026-06-18 05:36:08</t>
  </si>
  <si>
    <t>Altenhäger Kirchweg 35, Celle, Celle</t>
  </si>
  <si>
    <t>10304225-10355740</t>
  </si>
  <si>
    <t>Sarl ARTIS</t>
  </si>
  <si>
    <t>Mme.</t>
  </si>
  <si>
    <t>GAUTHIER  VERONIQUE</t>
  </si>
  <si>
    <t>EU-44098</t>
  </si>
  <si>
    <t>2026-06-18 05:38:13</t>
  </si>
  <si>
    <t>98 bis ZA CHAUD D ABRIEU, ROAIX, ROAIX</t>
  </si>
  <si>
    <t>10304226-10355741</t>
  </si>
  <si>
    <t>Hermans</t>
  </si>
  <si>
    <t>EU-44100</t>
  </si>
  <si>
    <t>2026-06-18 05:39:32</t>
  </si>
  <si>
    <t>Molenstraat 103, Pelt, Pelt</t>
  </si>
  <si>
    <t>10305434-10356955</t>
  </si>
  <si>
    <t>Koen</t>
  </si>
  <si>
    <t>Hee</t>
  </si>
  <si>
    <t>EU-44109</t>
  </si>
  <si>
    <t>2026-06-18 05:40:42</t>
  </si>
  <si>
    <t>Van der Weeghensingel, 's-Hertogenbosch, 's-Hertogenbosch</t>
  </si>
  <si>
    <t>5212 PJ</t>
  </si>
  <si>
    <t>10305236-10356757</t>
  </si>
  <si>
    <t>Virginia</t>
  </si>
  <si>
    <t>EU-44110</t>
  </si>
  <si>
    <t>2026-06-18 05:42:33</t>
  </si>
  <si>
    <t>Nursetown, Dromahane, mallow, Mallow, Cork</t>
  </si>
  <si>
    <t>P51 T9D3</t>
  </si>
  <si>
    <t>10305435-10356956</t>
  </si>
  <si>
    <t>Feldhinkel</t>
  </si>
  <si>
    <t>EU-44111</t>
  </si>
  <si>
    <t>2026-06-18 05:45:50</t>
  </si>
  <si>
    <t>Pakkerivej 39, 5tv, Valby, Valby</t>
  </si>
  <si>
    <t>10304624-10356145</t>
  </si>
  <si>
    <t>Yevhen</t>
  </si>
  <si>
    <t>Kataiev</t>
  </si>
  <si>
    <t>EU-44103</t>
  </si>
  <si>
    <t>2026-06-18 05:47:35</t>
  </si>
  <si>
    <t>Zeromskiego 15, Zary, Zary</t>
  </si>
  <si>
    <t>68-200</t>
  </si>
  <si>
    <t>10304977-10356498</t>
  </si>
  <si>
    <t>Inge</t>
  </si>
  <si>
    <t>Dorman</t>
  </si>
  <si>
    <t>EU-44107</t>
  </si>
  <si>
    <t>2026-06-18 05:48:38</t>
  </si>
  <si>
    <t>26 Balally Ave, Dundrum, Dublin 16, Dublin</t>
  </si>
  <si>
    <t>D16 R862</t>
  </si>
  <si>
    <t xml:space="preserve">SHIPBAG-LAR (x1)   </t>
  </si>
  <si>
    <t>PONCHK-CAB-MD-BLUE-NS,PONCHK-SUM-MD-UNICN-NS</t>
  </si>
  <si>
    <t>10303811-10355301</t>
  </si>
  <si>
    <t>Rianne</t>
  </si>
  <si>
    <t>Moerdijk</t>
  </si>
  <si>
    <t>EU-44097</t>
  </si>
  <si>
    <t>2026-06-18 05:51:05</t>
  </si>
  <si>
    <t>Rd, Homburgstraat 74, Ijmuiden, Ijmuiden</t>
  </si>
  <si>
    <t>1972 PC</t>
  </si>
  <si>
    <t>TOWLB-CAB-LG-LTGRY-R,TOWLB-CAB-LG-LTPNK-R</t>
  </si>
  <si>
    <t>10304227-10355742</t>
  </si>
  <si>
    <t>Sarah Stang</t>
  </si>
  <si>
    <t>EU-44101</t>
  </si>
  <si>
    <t>2026-06-18 05:51:37</t>
  </si>
  <si>
    <t>Rothtalstraße 13, Nersingen, Nersingen</t>
  </si>
  <si>
    <t>10303807-10355297</t>
  </si>
  <si>
    <t>Leuntje</t>
  </si>
  <si>
    <t>Nadig</t>
  </si>
  <si>
    <t>EU-44093</t>
  </si>
  <si>
    <t>2026-06-18 05:53:21</t>
  </si>
  <si>
    <t>Marienburger Straße 22, Monheim am Rhein, Monheim am Rhein</t>
  </si>
  <si>
    <t>TOWLB-CAB-XL-BLUE-R,TOWLB-DOB-LG-CALM,TOWLB-KID-LG-GVCLUB,TOWLB-SUM-XL-MIAMI</t>
  </si>
  <si>
    <t>10305722-10357244</t>
  </si>
  <si>
    <t>Davidson-Wiessler</t>
  </si>
  <si>
    <t>EU-44112</t>
  </si>
  <si>
    <t>2026-06-18 05:53:54</t>
  </si>
  <si>
    <t>Kronenstraße 4, Berlin, Berlin</t>
  </si>
  <si>
    <t>TOWLB-SUM-LG-COLAGN,TOWLB-SUM-XL-COLAGN</t>
  </si>
  <si>
    <t>10304785-10356306</t>
  </si>
  <si>
    <t>Bruchmeier-Petsch</t>
  </si>
  <si>
    <t>EU-44106</t>
  </si>
  <si>
    <t>2026-06-18 05:55:26</t>
  </si>
  <si>
    <t>Kapellenweg 18, Freiburg im Breisgau, Freiburg im Breisgau</t>
  </si>
  <si>
    <t>PONCHK-CAB-MD-LTPNK-NS,PONCHK-CAB-SM-BLUE-NS,PONCHK-CAB-SM-LTPNK-NS,PP-TOWLB-CAB-XL-4SET-ORANGE</t>
  </si>
  <si>
    <t>10304784-10356305</t>
  </si>
  <si>
    <t>Maxime</t>
  </si>
  <si>
    <t>Claeys</t>
  </si>
  <si>
    <t>EU-44105</t>
  </si>
  <si>
    <t>2026-06-18 05:56:25</t>
  </si>
  <si>
    <t>Parklaan 79, Edegem, Edegem</t>
  </si>
  <si>
    <t>TOWLB-DES-LG-MELLOW,TOWLB-DES-LG-PSTPIER,TOWLB-DOB-LG-CALM</t>
  </si>
  <si>
    <t>10303808-10355298</t>
  </si>
  <si>
    <t>EU-44094</t>
  </si>
  <si>
    <t>2026-06-18 05:56:35</t>
  </si>
  <si>
    <t>Astrid-Lindgren-Straße 29, Emlichheim, Emlichheim</t>
  </si>
  <si>
    <t>TOWLB-CAB-LG-NAVY-R,TOWLB-SUM-LG-MIAMI</t>
  </si>
  <si>
    <t>10303810-10355300</t>
  </si>
  <si>
    <t>Theuer</t>
  </si>
  <si>
    <t>EU-44096</t>
  </si>
  <si>
    <t>2026-06-18 05:59:06</t>
  </si>
  <si>
    <t>Nordrehr 11, Wunstorf, Wunstorf</t>
  </si>
  <si>
    <t>TOWLB-SUM-XL-CSTCANDY,TOWLF-ESS-XL-GREY-R</t>
  </si>
  <si>
    <t>10305235-10356756</t>
  </si>
  <si>
    <t>Salma Karolina</t>
  </si>
  <si>
    <t>Alebiosu</t>
  </si>
  <si>
    <t>EU-44108</t>
  </si>
  <si>
    <t>2026-06-18 06:00:41</t>
  </si>
  <si>
    <t>Rheinallee 82, Mainz, Mainz</t>
  </si>
  <si>
    <t>10304625-10356146</t>
  </si>
  <si>
    <t>Westermann</t>
  </si>
  <si>
    <t>EU-44104</t>
  </si>
  <si>
    <t>2026-06-18 06:09:35</t>
  </si>
  <si>
    <t>Im Rainacker 19, Bischweier, Bischweier</t>
  </si>
  <si>
    <t>10306234-10357756</t>
  </si>
  <si>
    <t>Schnittger-Teichelmann</t>
  </si>
  <si>
    <t>EU-44113</t>
  </si>
  <si>
    <t>2026-06-18 06:31:59</t>
  </si>
  <si>
    <t>Elisabethstr 16, Dortmund, Dortmund</t>
  </si>
  <si>
    <t>10303625-10355080</t>
  </si>
  <si>
    <t>Stessens</t>
  </si>
  <si>
    <t>EU-44089</t>
  </si>
  <si>
    <t>2026-06-18 06:40:33</t>
  </si>
  <si>
    <t>Breemakkers 29, Kasterlee, Kasterlee</t>
  </si>
  <si>
    <t>10303626-10355081</t>
  </si>
  <si>
    <t>Mariana</t>
  </si>
  <si>
    <t>Madeira</t>
  </si>
  <si>
    <t>EU-44088</t>
  </si>
  <si>
    <t>2026-06-18 06:43:08</t>
  </si>
  <si>
    <t>Rua D João III, N28-3A, Coimbra, Coimbra</t>
  </si>
  <si>
    <t>3030-329</t>
  </si>
  <si>
    <t>TOWLB-KID-LG-POWPOS,TOWLB-SUM-XL-COLAGN,TOWLB-SUM-XL-MIAMI,TOWLB-SUM-XL-OCEAN,TOWLB-SUM-XL-TUTFRU</t>
  </si>
  <si>
    <t>10304019-10355530</t>
  </si>
  <si>
    <t>EUWS-3206</t>
  </si>
  <si>
    <t>2026-06-18 06:54:04</t>
  </si>
  <si>
    <t xml:space="preserve">OWNPACK (x1)   </t>
  </si>
  <si>
    <t>POS-DIS-SM-FULL-TOWLB-EN-24</t>
  </si>
  <si>
    <t>10300406-10351816</t>
  </si>
  <si>
    <t>Cala Gracioneta Restaurant</t>
  </si>
  <si>
    <t>Yamilet</t>
  </si>
  <si>
    <t>García</t>
  </si>
  <si>
    <t>EUWS-3189</t>
  </si>
  <si>
    <t>2026-06-18 08:34:01</t>
  </si>
  <si>
    <t>Carrer a Gracio 5, Sant Antoni de Portmany, Balears</t>
  </si>
  <si>
    <t>07820</t>
  </si>
  <si>
    <t>10306434-10357956</t>
  </si>
  <si>
    <t>Xander</t>
  </si>
  <si>
    <t>Lammertyn</t>
  </si>
  <si>
    <t>EU-44115</t>
  </si>
  <si>
    <t>2026-06-18 10:07:26</t>
  </si>
  <si>
    <t>Bommelbilk 36, Poperinge, Poperinge</t>
  </si>
  <si>
    <t>10306435-10357957</t>
  </si>
  <si>
    <t>Wulteput</t>
  </si>
  <si>
    <t>EU-44116</t>
  </si>
  <si>
    <t>2026-06-18 10:11:25</t>
  </si>
  <si>
    <t>Kerkstraat 148, Gent, Gent</t>
  </si>
  <si>
    <t>10306570-10358096</t>
  </si>
  <si>
    <t>EU-44117</t>
  </si>
  <si>
    <t>2026-06-18 10:12:30</t>
  </si>
  <si>
    <t>4 Oldbridge Park, Osberstown, Naas, Kildare</t>
  </si>
  <si>
    <t>W91 E19T</t>
  </si>
  <si>
    <t>PONCHA-SUM-LG-CSTCANDY,TOWLB-DES-XL-SUNSPL</t>
  </si>
  <si>
    <t>10306433-10357955</t>
  </si>
  <si>
    <t>Hinteregger</t>
  </si>
  <si>
    <t>EU-44114</t>
  </si>
  <si>
    <t>2026-06-18 10:14:13</t>
  </si>
  <si>
    <t>Keferstraße 29, München, München</t>
  </si>
  <si>
    <t>PONCHK-CAB-MD-NAVY-NS,PONCHK-CAB-SM-BLUE-NS,PONCHK-SUM-MD-UNICN-NS,TOWLB-CAB-XL-GREEN-R</t>
  </si>
  <si>
    <t>10306785-10358314</t>
  </si>
  <si>
    <t>Szczesny</t>
  </si>
  <si>
    <t>EU-44122</t>
  </si>
  <si>
    <t>2026-06-18 10:19:54</t>
  </si>
  <si>
    <t>Auf der Jüchen 16, Köln, Köln</t>
  </si>
  <si>
    <t>10306786-10358315</t>
  </si>
  <si>
    <t>Stuart</t>
  </si>
  <si>
    <t>EU-44126</t>
  </si>
  <si>
    <t>2026-06-18 10:22:38</t>
  </si>
  <si>
    <t>91 Trimleston Gardens, Booterstown, Dublin</t>
  </si>
  <si>
    <t>A94 H566</t>
  </si>
  <si>
    <t>10306788-10358317</t>
  </si>
  <si>
    <t>Constantinou</t>
  </si>
  <si>
    <t>EU-44128</t>
  </si>
  <si>
    <t>2026-06-18 10:25:56</t>
  </si>
  <si>
    <t>Strovolos Ave 146-148, Nicosia, Nicosia</t>
  </si>
  <si>
    <t>10306783-10358312</t>
  </si>
  <si>
    <t>Esen</t>
  </si>
  <si>
    <t>Uzun</t>
  </si>
  <si>
    <t>EU-44124</t>
  </si>
  <si>
    <t>2026-06-18 10:51:19</t>
  </si>
  <si>
    <t>Im Haferfeld 40b, Essen, Essen</t>
  </si>
  <si>
    <t>TOWLB-CAB-LG-LTPPL-R,TOWLB-DES-LG-MELLOW</t>
  </si>
  <si>
    <t>10306790-10358319</t>
  </si>
  <si>
    <t>Wenzel</t>
  </si>
  <si>
    <t>Löffelmann</t>
  </si>
  <si>
    <t>EU-44129</t>
  </si>
  <si>
    <t>2026-06-18 10:52:12</t>
  </si>
  <si>
    <t>Geschwister-Scholl-Ring 21, Bamberg, Bamberg</t>
  </si>
  <si>
    <t>10306782-10358311</t>
  </si>
  <si>
    <t>Cullimore</t>
  </si>
  <si>
    <t>EU-44121</t>
  </si>
  <si>
    <t>2026-06-18 10:53:08</t>
  </si>
  <si>
    <t>Rue Victor Lefevre 24, Schaerbeek, Brussels, Schaerbeek, Brussels</t>
  </si>
  <si>
    <t>TOWLB-CAB-LG-GREEN-R</t>
  </si>
  <si>
    <t>10306784-10358313</t>
  </si>
  <si>
    <t>Tessy</t>
  </si>
  <si>
    <t>Sins</t>
  </si>
  <si>
    <t>EU-44123</t>
  </si>
  <si>
    <t>2026-06-18 10:54:14</t>
  </si>
  <si>
    <t>13, rue Angeldall, Dudelange, Dudelange</t>
  </si>
  <si>
    <t>BAGDRY-XS-MIAMI,TOWLB-SUM-XL-MIAMI</t>
  </si>
  <si>
    <t>10306789-10358318</t>
  </si>
  <si>
    <t>Antonia</t>
  </si>
  <si>
    <t>EU-44127</t>
  </si>
  <si>
    <t>2026-06-18 10:57:03</t>
  </si>
  <si>
    <t>19 Ringgartenstr, Bensheim, Bensheim</t>
  </si>
  <si>
    <t xml:space="preserve">SHIPBAG-MED (x1)   </t>
  </si>
  <si>
    <t>TOWLB-CAB-LG-RED-R</t>
  </si>
  <si>
    <t>10307043-10358583</t>
  </si>
  <si>
    <t>Sina</t>
  </si>
  <si>
    <t>Englert</t>
  </si>
  <si>
    <t>EU-44131</t>
  </si>
  <si>
    <t>2026-06-18 11:30:15</t>
  </si>
  <si>
    <t>Borngrund 6, Glattbach, Glattbach</t>
  </si>
  <si>
    <t>TOWLB-SUM-XL-COLAGN,TOWLB-SUM-XL-MIAMI,TOWLB-SUM-XL-UNICN-R,TOWLF-ESS-XL-DKBLU</t>
  </si>
  <si>
    <t>10307041-10358581</t>
  </si>
  <si>
    <t>alessandra</t>
  </si>
  <si>
    <t>toson</t>
  </si>
  <si>
    <t>EU-44120</t>
  </si>
  <si>
    <t>2026-06-18 11:33:13</t>
  </si>
  <si>
    <t>via umberto I 146, Arzergrande, Padova</t>
  </si>
  <si>
    <t>BAGDRY-XS-MIAMI,EYEMASK-DES-NOTTDY,HAIRW-SUE-MIAMI,HAIRW-WAF-CHRYBMB,HAIRW-WAF-TIGPALM,TOWLH-DES-XL-TIGPALM</t>
  </si>
  <si>
    <t>10307046-10358586</t>
  </si>
  <si>
    <t>Selma</t>
  </si>
  <si>
    <t>van der Bent</t>
  </si>
  <si>
    <t>EU-44134</t>
  </si>
  <si>
    <t>2026-06-18 11:35:07</t>
  </si>
  <si>
    <t>Finnenburg 130, Den Haag, Den Haag</t>
  </si>
  <si>
    <t>2591 XT</t>
  </si>
  <si>
    <t>TOWLB-CAB-XL-BLUE-R,TOWLB-CAB-XL-NAVY-R,TOWLB-SUM-XL-CSTCANDY</t>
  </si>
  <si>
    <t>10306787-10358316</t>
  </si>
  <si>
    <t>Reinic Babic</t>
  </si>
  <si>
    <t>EU-44125</t>
  </si>
  <si>
    <t>2026-06-18 11:39:47</t>
  </si>
  <si>
    <t>Mate Balote 1A, RIJEKA, RIJEKA</t>
  </si>
  <si>
    <t>PONCHK-CAB-MD-LTPNK-NS,TOWLB-CAB-MD-LTPNK</t>
  </si>
  <si>
    <t>10307045-10358585</t>
  </si>
  <si>
    <t>Mattu</t>
  </si>
  <si>
    <t>EU-44133</t>
  </si>
  <si>
    <t>2026-06-18 11:40:30</t>
  </si>
  <si>
    <t>11 Cathair Con Raoi, Goat St, Dingle, Kerry</t>
  </si>
  <si>
    <t>V92 A46K</t>
  </si>
  <si>
    <t>TOWLB-DES-XL-GRECSHR,TOWLB-DES-XL-SWTESC</t>
  </si>
  <si>
    <t>10307040-10358580</t>
  </si>
  <si>
    <t>EU-44119</t>
  </si>
  <si>
    <t>2026-06-18 11:42:54</t>
  </si>
  <si>
    <t>10307039-10358579</t>
  </si>
  <si>
    <t>Martien</t>
  </si>
  <si>
    <t>Elema</t>
  </si>
  <si>
    <t>EU-44118</t>
  </si>
  <si>
    <t>2026-06-18 11:46:13</t>
  </si>
  <si>
    <t>Terbregseweg 46, Rotterdam, Rotterdam</t>
  </si>
  <si>
    <t>3056 JW</t>
  </si>
  <si>
    <t>10307042-10358582</t>
  </si>
  <si>
    <t>Lang</t>
  </si>
  <si>
    <t>EU-44130</t>
  </si>
  <si>
    <t>2026-06-18 11:48:07</t>
  </si>
  <si>
    <t>Falkenstraße 40, München, München</t>
  </si>
  <si>
    <t>10304224-10355739</t>
  </si>
  <si>
    <t>EU-44099</t>
  </si>
  <si>
    <t>2026-06-18 11:49:45</t>
  </si>
  <si>
    <t>16 1 Stock, Mathilde-Berghofer-, Weichner-Straße , München, München</t>
  </si>
  <si>
    <t>BALLAST-SUM-MIAMI,TOWLB-DES-XL-LEMWAV</t>
  </si>
  <si>
    <t>10307257-10358801</t>
  </si>
  <si>
    <t>Alisa</t>
  </si>
  <si>
    <t>Lenz</t>
  </si>
  <si>
    <t>EU-44138</t>
  </si>
  <si>
    <t>2026-06-18 12:00:04</t>
  </si>
  <si>
    <t>Schellingstr 15, Hamburg, Hamburg</t>
  </si>
  <si>
    <t>TOWLB-CAB-LG-NAVY-R,TOWLB-CAB-LG-RED-R</t>
  </si>
  <si>
    <t>10307256-10358800</t>
  </si>
  <si>
    <t>Malou</t>
  </si>
  <si>
    <t>Nijhuis</t>
  </si>
  <si>
    <t>EU-44139</t>
  </si>
  <si>
    <t>2026-06-18 12:00:58</t>
  </si>
  <si>
    <t>Piacenzastraat 13, Vught, Vught</t>
  </si>
  <si>
    <t>5262 JX</t>
  </si>
  <si>
    <t>10307254-10358798</t>
  </si>
  <si>
    <t>Nic</t>
  </si>
  <si>
    <t>EU-44137</t>
  </si>
  <si>
    <t>2026-06-18 12:17:21</t>
  </si>
  <si>
    <t>Claretuam, Tuam, Galway</t>
  </si>
  <si>
    <t>H54 XD50</t>
  </si>
  <si>
    <t>10307255-10358799</t>
  </si>
  <si>
    <t>jennifer</t>
  </si>
  <si>
    <t>cosemans</t>
  </si>
  <si>
    <t>EU-44135</t>
  </si>
  <si>
    <t>2026-06-18 12:20:55</t>
  </si>
  <si>
    <t>Wulpenstraat 18, Heusden-Zolder, Heusden-Zolder</t>
  </si>
  <si>
    <t>10309639-10361218</t>
  </si>
  <si>
    <t>Dany</t>
  </si>
  <si>
    <t>EU-44175</t>
  </si>
  <si>
    <t>2026-06-19 05:52:29</t>
  </si>
  <si>
    <t>Diekkamp 25, Hamburg, Hamburg</t>
  </si>
  <si>
    <t>BAGCOOL-MD-NAVY,PICNIC-CAB-XL-NAVY,TOWLB-CAB-XL-GREEN-R,TOWLB-CAB-XL-PINK-R</t>
  </si>
  <si>
    <t>10308707-10360284</t>
  </si>
  <si>
    <t>EU-44162</t>
  </si>
  <si>
    <t>2026-06-19 05:54:42</t>
  </si>
  <si>
    <t>10309638-10361217</t>
  </si>
  <si>
    <t>Ioannou Shoes</t>
  </si>
  <si>
    <t>Roupina</t>
  </si>
  <si>
    <t>EU-44174</t>
  </si>
  <si>
    <t>2026-06-19 05:58:43</t>
  </si>
  <si>
    <t>Pavlou Valdaseride, 36 Ioannou Shoes, Larnaca, Larnaca</t>
  </si>
  <si>
    <t>TOWLB-CAB-LG-BLACK-R,TOWLB-CAB-LG-BLUE-R,TOWLB-CAB-LG-NAVY-R,TOWLB-CAB-LG-ORANG-R</t>
  </si>
  <si>
    <t>10309640-10361219</t>
  </si>
  <si>
    <t>Gerdina</t>
  </si>
  <si>
    <t>Kelly Connelly</t>
  </si>
  <si>
    <t>EU-44177</t>
  </si>
  <si>
    <t>2026-06-19 06:03:08</t>
  </si>
  <si>
    <t>Ballinakill, Glinsk, Via castlerea, Galway</t>
  </si>
  <si>
    <t>F45 F439</t>
  </si>
  <si>
    <t>BAGBCH-MD-NAVY,TOWLF-ESS-XL-BLUE-R,TOWLF-ESS-XL-DKBLU,TOWLF-ESS-XL-GREEN-R,TOWLF-ESS-XL-GREY-R,TOWLF-ESS-XL-LTPPL,TOWLF-ESS-XL-PINK-R</t>
  </si>
  <si>
    <t>10308155-10359723</t>
  </si>
  <si>
    <t>Proctor</t>
  </si>
  <si>
    <t>EU-44153</t>
  </si>
  <si>
    <t>2026-06-19 06:04:50</t>
  </si>
  <si>
    <t>Rohrmannstrasse 12, Nürnberg, Nürnberg</t>
  </si>
  <si>
    <t>BAGCOOL-MD-NAVY</t>
  </si>
  <si>
    <t>10309791-10361370</t>
  </si>
  <si>
    <t>Ramy</t>
  </si>
  <si>
    <t>Ebeid</t>
  </si>
  <si>
    <t>EU-44178</t>
  </si>
  <si>
    <t>2026-06-19 06:12:55</t>
  </si>
  <si>
    <t>8 Rue De Scillas, Strassen, Strassen</t>
  </si>
  <si>
    <t>TOWLB-CAB-LG-LTPPL-R,TOWLB-CAB-LG-NAVY-R,TOWLB-CAB-MD-LTPNK,TOWLB-DES-LG-PSTPIER</t>
  </si>
  <si>
    <t>10309999-10361578</t>
  </si>
  <si>
    <t>Deborah</t>
  </si>
  <si>
    <t>Moon</t>
  </si>
  <si>
    <t>EU-44180</t>
  </si>
  <si>
    <t>2026-06-19 06:16:36</t>
  </si>
  <si>
    <t>3 WINDWARD WAY, Lusk Village, Lusk, Dublin</t>
  </si>
  <si>
    <t>K45 DK71</t>
  </si>
  <si>
    <t>10307889-10359450</t>
  </si>
  <si>
    <t>Pia</t>
  </si>
  <si>
    <t>Bernhardt</t>
  </si>
  <si>
    <t>EU-44150</t>
  </si>
  <si>
    <t>2026-06-19 06:19:01</t>
  </si>
  <si>
    <t>Franziskanerstraße 2a, München, München</t>
  </si>
  <si>
    <t>10308912-10360491</t>
  </si>
  <si>
    <t>Mohren</t>
  </si>
  <si>
    <t>EU-44166</t>
  </si>
  <si>
    <t>2026-06-19 06:20:16</t>
  </si>
  <si>
    <t>Ebersteinstr 47, Rheinstetten, Rheinstetten</t>
  </si>
  <si>
    <t>10309230-10360809</t>
  </si>
  <si>
    <t>EU-44168</t>
  </si>
  <si>
    <t>2026-06-19 06:21:22</t>
  </si>
  <si>
    <t>Livornská 443, Praha 15, Praha 15</t>
  </si>
  <si>
    <t>PICNIC-DES-LG-STRIPLIFE</t>
  </si>
  <si>
    <t>10309229-10360808</t>
  </si>
  <si>
    <t>12/02/1983</t>
  </si>
  <si>
    <t>Antzela</t>
  </si>
  <si>
    <t>Efthymiadou</t>
  </si>
  <si>
    <t>EU-44167</t>
  </si>
  <si>
    <t>2026-06-19 06:22:09</t>
  </si>
  <si>
    <t>Allensteiner Straße 10, Reutlingen, Reutlingen</t>
  </si>
  <si>
    <t>10307654-10359209</t>
  </si>
  <si>
    <t>EU-44145</t>
  </si>
  <si>
    <t>2026-06-19 06:23:18</t>
  </si>
  <si>
    <t>10307882-10359443</t>
  </si>
  <si>
    <t>Albert</t>
  </si>
  <si>
    <t>Jongebreur</t>
  </si>
  <si>
    <t>EU-44148</t>
  </si>
  <si>
    <t>2026-06-19 06:24:15</t>
  </si>
  <si>
    <t>Vrolikstraat 309, C, Amsterdam, Amsterdam</t>
  </si>
  <si>
    <t>1091 VE</t>
  </si>
  <si>
    <t>10309641-10361220</t>
  </si>
  <si>
    <t>EU-44176</t>
  </si>
  <si>
    <t>2026-06-19 06:26:16</t>
  </si>
  <si>
    <t>4 The Lane, Millers Glen, Swords, Dublin</t>
  </si>
  <si>
    <t>K67 W2W2</t>
  </si>
  <si>
    <t>10307653-10359208</t>
  </si>
  <si>
    <t>Gloria</t>
  </si>
  <si>
    <t>Rossetto</t>
  </si>
  <si>
    <t>EU-44144</t>
  </si>
  <si>
    <t>2026-06-19 06:27:03</t>
  </si>
  <si>
    <t>Str Moncalieri, 44, Revigliasco, Torino</t>
  </si>
  <si>
    <t>10308906-10360485</t>
  </si>
  <si>
    <t>EU-44165</t>
  </si>
  <si>
    <t>2026-06-19 06:29:09</t>
  </si>
  <si>
    <t>22 FoxLodge Manor, Ratoath, Meath, Meath</t>
  </si>
  <si>
    <t>A85 FY07</t>
  </si>
  <si>
    <t>10309232-10360811</t>
  </si>
  <si>
    <t>robert</t>
  </si>
  <si>
    <t>krisciunas</t>
  </si>
  <si>
    <t>EU-44170</t>
  </si>
  <si>
    <t>2026-06-19 06:36:14</t>
  </si>
  <si>
    <t>rue du cornet 55, apt 4, Etterbeek, Etterbeek</t>
  </si>
  <si>
    <t>10307885-10359446</t>
  </si>
  <si>
    <t>Petronanos</t>
  </si>
  <si>
    <t>302-5778126-5843541</t>
  </si>
  <si>
    <t>2026-06-19 06:38:44</t>
  </si>
  <si>
    <t>Münchhaldenstrasse 10, STADTHELDEN GmbH, Zürich, Zürich</t>
  </si>
  <si>
    <t>10308153-10359721</t>
  </si>
  <si>
    <t>EU-44152</t>
  </si>
  <si>
    <t>2026-06-19 06:39:54</t>
  </si>
  <si>
    <t>10307444-10358993</t>
  </si>
  <si>
    <t>Valeria</t>
  </si>
  <si>
    <t>Atehortua</t>
  </si>
  <si>
    <t>EU-44142</t>
  </si>
  <si>
    <t>2026-06-19 06:41:00</t>
  </si>
  <si>
    <t>Lutonhof, 215, Amsterdam, Amsterdam</t>
  </si>
  <si>
    <t>1043 EG</t>
  </si>
  <si>
    <t>10308156-10359724</t>
  </si>
  <si>
    <t>Benoît</t>
  </si>
  <si>
    <t>Zilliox</t>
  </si>
  <si>
    <t>EU-44154</t>
  </si>
  <si>
    <t>2026-06-19 06:41:49</t>
  </si>
  <si>
    <t>29 rue du Général Leclerc, Vendenheim, Vendenheim</t>
  </si>
  <si>
    <t>10308154-10359722</t>
  </si>
  <si>
    <t>Knoll</t>
  </si>
  <si>
    <t>EU-44151</t>
  </si>
  <si>
    <t>2026-06-19 06:42:29</t>
  </si>
  <si>
    <t>Fasanenhofstr147, Stuttgart, Stuttgart</t>
  </si>
  <si>
    <t>10309998-10361577</t>
  </si>
  <si>
    <t>EU-44181</t>
  </si>
  <si>
    <t>2026-06-19 06:43:10</t>
  </si>
  <si>
    <t>BAGF-DES-MD-WYWH</t>
  </si>
  <si>
    <t>10308365-10359937</t>
  </si>
  <si>
    <t>Akkerman</t>
  </si>
  <si>
    <t>EU-44159</t>
  </si>
  <si>
    <t>2026-06-19 07:03:47</t>
  </si>
  <si>
    <t>Rodeweeshuisstraat, 119, Groningen, Groningen</t>
  </si>
  <si>
    <t>9712 ET</t>
  </si>
  <si>
    <t>TOWLB-DES-XL-HOTTROP,TOWLB-DES-XL-TANTIDE</t>
  </si>
  <si>
    <t>10308362-10359934</t>
  </si>
  <si>
    <t>Anastasios</t>
  </si>
  <si>
    <t>Tarlizos</t>
  </si>
  <si>
    <t>EU-44157</t>
  </si>
  <si>
    <t>2026-06-19 07:08:05</t>
  </si>
  <si>
    <t>Grotesteenweg 32 bus 11, Berchem, Berchem</t>
  </si>
  <si>
    <t>TOWLB-CAB-XL-LTBLU-R,TOWLB-SUM-XL-COLAGN</t>
  </si>
  <si>
    <t>10308364-10359936</t>
  </si>
  <si>
    <t>Igor</t>
  </si>
  <si>
    <t>Avramchuk</t>
  </si>
  <si>
    <t>EU-44158</t>
  </si>
  <si>
    <t>2026-06-19 07:10:03</t>
  </si>
  <si>
    <t>Mahtra 17-25, Tallinn, Tallinn</t>
  </si>
  <si>
    <t>TOWLF-ESS-LG-DKBLU,TOWLF-ESS-XL-GREY-R</t>
  </si>
  <si>
    <t>10309231-10360810</t>
  </si>
  <si>
    <t>Buelens</t>
  </si>
  <si>
    <t>EU-44169</t>
  </si>
  <si>
    <t>2026-06-19 07:12:29</t>
  </si>
  <si>
    <t>Berlaarbaan 25, 1, Sint-Katelijne-Waver, Sint-Katelijne-Waver</t>
  </si>
  <si>
    <t>DOGTWL-MD-SUNSPL,TOWLB-DES-XL-IBZAGLW</t>
  </si>
  <si>
    <t>10308908-10360487</t>
  </si>
  <si>
    <t>Mona</t>
  </si>
  <si>
    <t>Schütz</t>
  </si>
  <si>
    <t>EU-44164</t>
  </si>
  <si>
    <t>2026-06-19 07:15:16</t>
  </si>
  <si>
    <t>Listlandstr 1, 25992 List, 25992 List</t>
  </si>
  <si>
    <t>TOWLB-SUM-LG-CSTCANDY,TOWLB-SUM-XL-CSTCANDY</t>
  </si>
  <si>
    <t>10309788-10361367</t>
  </si>
  <si>
    <t>Trudy</t>
  </si>
  <si>
    <t>van Krist</t>
  </si>
  <si>
    <t>EU-44171</t>
  </si>
  <si>
    <t>2026-06-19 07:16:58</t>
  </si>
  <si>
    <t>Burgemeester van Engelenweg 35, IJsselmuiden, IJsselmuiden</t>
  </si>
  <si>
    <t>8271 AK</t>
  </si>
  <si>
    <t>TOWLB-SUM-XL-CSTCANDY,TOWLB-SUM-XL-OCEAN</t>
  </si>
  <si>
    <t>10310485-10362064</t>
  </si>
  <si>
    <t>Eckard</t>
  </si>
  <si>
    <t>Mai</t>
  </si>
  <si>
    <t>EU-44183</t>
  </si>
  <si>
    <t>2026-06-19 08:00:36</t>
  </si>
  <si>
    <t>Im Winkel 1, Husum, Husum</t>
  </si>
  <si>
    <t>TOWLB-DES-LG-PNKPARA,TOWLB-SUM-LG-COLAGN,TOWLB-SUM-LG-MIAMI,TOWLB-SUM-LG-OCEAN,TOWLB-SUM-LG-TUTFRU</t>
  </si>
  <si>
    <t>10310352-10361931</t>
  </si>
  <si>
    <t>Valetitsch</t>
  </si>
  <si>
    <t>EU-44182</t>
  </si>
  <si>
    <t>2026-06-19 08:01:33</t>
  </si>
  <si>
    <t>Lorzestraat 69, Dessel, Dessel</t>
  </si>
  <si>
    <t>TOWLB-DES-XL-SWTESC</t>
  </si>
  <si>
    <t>10308363-10359935</t>
  </si>
  <si>
    <t>Engelmann</t>
  </si>
  <si>
    <t>EU-44156</t>
  </si>
  <si>
    <t>2026-06-19 08:34:52</t>
  </si>
  <si>
    <t>Finkelsteinstr 13, Berlin, Berlin</t>
  </si>
  <si>
    <t>BAGF-DES-MD-BANARAM,COOL-DES-MIDNMOV,PONCHK-KID-MD-GVCLUB,TOWLB-DES-LG-SUNSPL,TOWLB-DES-XL-SUNSPL,TOWLB-KID-LG-POWPOS,TOWLB-KID-LG-SANDSTRT</t>
  </si>
  <si>
    <t>10308553-10360126</t>
  </si>
  <si>
    <t>Epp</t>
  </si>
  <si>
    <t>EU-44160</t>
  </si>
  <si>
    <t>2026-06-19 08:36:26</t>
  </si>
  <si>
    <t>18 Am roten Hang, 18, Kronberg, Kronberg</t>
  </si>
  <si>
    <t>TOWLB-CAB-LG-BLUE-R,TOWLB-CAB-LG-NAVY-R,TOWLB-SUM-LG-MIAMI</t>
  </si>
  <si>
    <t>10309461-10361040</t>
  </si>
  <si>
    <t>Recktenwald</t>
  </si>
  <si>
    <t>EU-44172</t>
  </si>
  <si>
    <t>2026-06-19 08:38:54</t>
  </si>
  <si>
    <t>Im Steinenstück 12, Hünstetten, Hünstetten</t>
  </si>
  <si>
    <t>PICNIC-CAB-XL-NAVY,TOWLB-SUM-XL-COLAGN,TOWLB-SUM-XL-MIAMI,TOWLB-SUM-XL-OCEAN,TOWLB-SUM-XL-TUTFRU</t>
  </si>
  <si>
    <t>10308910-10360489</t>
  </si>
  <si>
    <t>McCormick</t>
  </si>
  <si>
    <t>EU-44163</t>
  </si>
  <si>
    <t>2026-06-19 08:40:07</t>
  </si>
  <si>
    <t>Killaney House, Ballymacarthur, Greencastle, Donegal</t>
  </si>
  <si>
    <t>F93 FA31</t>
  </si>
  <si>
    <t>PONCHA-DES-MD-WTRSUG,TOWLB-DES-LG-RSPROAD,TOWLB-DES-LG-WTRSUG</t>
  </si>
  <si>
    <t>10309789-10361368</t>
  </si>
  <si>
    <t>Wilhelmi</t>
  </si>
  <si>
    <t>EU-44173</t>
  </si>
  <si>
    <t>2026-06-19 08:41:20</t>
  </si>
  <si>
    <t>Friedberger Landstraße 78, Frankfurt am Main, Frankfurt am Main</t>
  </si>
  <si>
    <t>BAGF-SUM-MD-MIAMI,TOWLB-SUM-XL-OCEAN,TOWLB-SUM-XL-RAINB-R</t>
  </si>
  <si>
    <t>10310604-10362184</t>
  </si>
  <si>
    <t>EU-44188</t>
  </si>
  <si>
    <t>2026-06-19 08:46:08</t>
  </si>
  <si>
    <t>Ostpreußenstraße 85, München, München</t>
  </si>
  <si>
    <t>TOWLB-SUM-LG-MIAMI,TOWLB-SUM-LG-OCEAN</t>
  </si>
  <si>
    <t>10310606-10362186</t>
  </si>
  <si>
    <t>Elsbeth</t>
  </si>
  <si>
    <t>Haex</t>
  </si>
  <si>
    <t>EU-44186</t>
  </si>
  <si>
    <t>2026-06-19 08:50:49</t>
  </si>
  <si>
    <t>Jan Muschlaan 1/1, 1, 's-gravenhage, 's-gravenhage</t>
  </si>
  <si>
    <t>2597 TN</t>
  </si>
  <si>
    <t>HAIRW-CAB-LTBLU-NB,TOWLB-CAB-LG-LTPNK-R</t>
  </si>
  <si>
    <t>10307656-10359211</t>
  </si>
  <si>
    <t>nancy</t>
  </si>
  <si>
    <t>angelsberg</t>
  </si>
  <si>
    <t>EU-44147</t>
  </si>
  <si>
    <t>2026-06-19 08:53:56</t>
  </si>
  <si>
    <t>17, rue nicolas angelsberg, Burden, Burden</t>
  </si>
  <si>
    <t>PONCHK-CAB-SM-BLUE-NS,PONCHK-KID-SM-GVCLUB,PONCHK-KID-SM-TURTROP</t>
  </si>
  <si>
    <t>10307442-10358991</t>
  </si>
  <si>
    <t>Monmont</t>
  </si>
  <si>
    <t>EU-44141</t>
  </si>
  <si>
    <t>2026-06-19 08:56:10</t>
  </si>
  <si>
    <t>108 Ave de Paris, 17 résidence de la Roseraie, Versailles, Versailles</t>
  </si>
  <si>
    <t>PONCHK-CAB-MD-NAVY-NS,PONCHK-CAB-SM-LTPNK-NS,PONCHK-SUM-SM-UNICN-NS</t>
  </si>
  <si>
    <t>10307655-10359210</t>
  </si>
  <si>
    <t>Demetra</t>
  </si>
  <si>
    <t>Kotsioni</t>
  </si>
  <si>
    <t>EU-44146</t>
  </si>
  <si>
    <t>2026-06-19 08:57:38</t>
  </si>
  <si>
    <t>Posidonos 16K, Paralimni, Paralimni</t>
  </si>
  <si>
    <t>10308157-10359725</t>
  </si>
  <si>
    <t>Sennert</t>
  </si>
  <si>
    <t>EU-44155</t>
  </si>
  <si>
    <t>2026-06-19 09:04:54</t>
  </si>
  <si>
    <t>Bauhofstraße 17, Amorbach, Amorbach</t>
  </si>
  <si>
    <t>BAGF-SUM-MD-CSTCANDY,BALLAST-CAB-NAVY,BALLAST-SUM-CSTCANDY,PONCHA-SUM-MD-LAZRIV,PONCHK-KID-MD-CHECKOUT,PONCHK-SUM-SM-CSTCANDY,TOWLB-DOB-XL-CALM,TOWLB-SUM-XL-COLAGN</t>
  </si>
  <si>
    <t>10307887-10359448</t>
  </si>
  <si>
    <t>Halsall</t>
  </si>
  <si>
    <t>EU-44149</t>
  </si>
  <si>
    <t>2026-06-19 09:06:50</t>
  </si>
  <si>
    <t>16 Marlborough Rd, Glenageary, Dublin, Dublin</t>
  </si>
  <si>
    <t>A96 K4X5</t>
  </si>
  <si>
    <t>PONCHK-CAB-MD-NAVY-NS,PONCHK-SUM-SM-UNICN-NS,PP-TOWLB-CAB-XL-4SET-BLUE</t>
  </si>
  <si>
    <t>10310808-10362389</t>
  </si>
  <si>
    <t>Vergara</t>
  </si>
  <si>
    <t>EU-44190</t>
  </si>
  <si>
    <t>2026-06-19 09:11:32</t>
  </si>
  <si>
    <t>Hoofdstraat 203B, B, Leiderdorp, Leiderdorp</t>
  </si>
  <si>
    <t>2351 AG</t>
  </si>
  <si>
    <t>BAGDRY-MD-NAVY,HAIRW-SUE-PNKPARA,PONCHK-CAB-MD-BLUE-NS</t>
  </si>
  <si>
    <t>10310809-10362390</t>
  </si>
  <si>
    <t>Lies</t>
  </si>
  <si>
    <t>Dedier</t>
  </si>
  <si>
    <t>EU-44189</t>
  </si>
  <si>
    <t>2026-06-19 09:12:50</t>
  </si>
  <si>
    <t>Zwingelkotstraat 29, Wielsbeke, Wielsbeke</t>
  </si>
  <si>
    <t>10310605-10362185</t>
  </si>
  <si>
    <t>Erhardt</t>
  </si>
  <si>
    <t>EU-44187</t>
  </si>
  <si>
    <t>2026-06-19 09:15:51</t>
  </si>
  <si>
    <t>Stettiner Straße 10, Schwentinental, Schwentinental</t>
  </si>
  <si>
    <t>BAGDRY-XS-WAVYBBY,BAGF-DES-MD-WAVYBBY,BALLAST-CAB-NAVY,TOWLB-CAB-LG-LTPPL-R</t>
  </si>
  <si>
    <t>10310607-10362187</t>
  </si>
  <si>
    <t>c/o BR Architekturplanung</t>
  </si>
  <si>
    <t>Bade</t>
  </si>
  <si>
    <t>EU-44185</t>
  </si>
  <si>
    <t>2026-06-19 09:16:47</t>
  </si>
  <si>
    <t>Clärenore-Stinnes-Straße 15, Verden (Aller), Verden (Aller)</t>
  </si>
  <si>
    <t>HAIRW-SUE-PSTPIER</t>
  </si>
  <si>
    <t>10310486-10362065</t>
  </si>
  <si>
    <t>Jaap</t>
  </si>
  <si>
    <t>Van Houtum</t>
  </si>
  <si>
    <t>EU-44184</t>
  </si>
  <si>
    <t>2026-06-19 11:09:50</t>
  </si>
  <si>
    <t>Amstellaan 3, 's-hertogenbosch, 's-hertogenbosch</t>
  </si>
  <si>
    <t>5215 GA</t>
  </si>
  <si>
    <t>10307443-10358992</t>
  </si>
  <si>
    <t>Meerfischland Ferienagentur gf</t>
  </si>
  <si>
    <t>MEIER</t>
  </si>
  <si>
    <t>EU-44143</t>
  </si>
  <si>
    <t>2026-06-19 11:11:32</t>
  </si>
  <si>
    <t>Dorfstraße 1a, Ahrenshoop, Ahrenshoop</t>
  </si>
  <si>
    <t>10311052-10362638</t>
  </si>
  <si>
    <t>Christin</t>
  </si>
  <si>
    <t>Krebs</t>
  </si>
  <si>
    <t>EU-44191</t>
  </si>
  <si>
    <t>2026-06-19 11:12:59</t>
  </si>
  <si>
    <t>Köpenicker Allee 11, Berlin, Berlin</t>
  </si>
  <si>
    <t>TOWLB-CAB-XL-GREEN-R,TOWLB-CAB-XL-RED-R</t>
  </si>
  <si>
    <t>10311053-10362639</t>
  </si>
  <si>
    <t>Patrick Steiger</t>
  </si>
  <si>
    <t>Nagler</t>
  </si>
  <si>
    <t>EU-44192</t>
  </si>
  <si>
    <t>2026-06-19 11:13:43</t>
  </si>
  <si>
    <t>Kaschlgasse 6, Top 11, Wien, Wien</t>
  </si>
  <si>
    <t>TOWLB-CAB-XL-NAVY-R,TOWLB-SUM-XL-CSTCANDY</t>
  </si>
  <si>
    <t>10302725-10354154</t>
  </si>
  <si>
    <t>EU-44074</t>
  </si>
  <si>
    <t>2026-06-22 04:43:30</t>
  </si>
  <si>
    <t>36 The Anchorage, Harpers Creek, Glounthaune, Cork, Cork</t>
  </si>
  <si>
    <t>T45 DX59</t>
  </si>
  <si>
    <t>DOGTWL-LG-SUNSPL,TEATWL-MD-DINPRTY,TEATWL-MD-GLDHOUR,TEATWL-MD-STRAWFZ,TEATWL-MD-TRPPNCH</t>
  </si>
  <si>
    <t>10311847-10363475</t>
  </si>
  <si>
    <t>Sebastien</t>
  </si>
  <si>
    <t>Boonen</t>
  </si>
  <si>
    <t>EU-44201</t>
  </si>
  <si>
    <t>2026-06-22 04:46:02</t>
  </si>
  <si>
    <t>Avenue Albert 1er 180, Genval, Genval</t>
  </si>
  <si>
    <t>PONCHA-DES-MD-IBZAGLW,PONCHK-KID-MD-GVCLUB,TOWLB-SUM-XL-OCEAN,TOWLB-SUM-XL-TUTFRU</t>
  </si>
  <si>
    <t>10311676-10363303</t>
  </si>
  <si>
    <t>Rößler</t>
  </si>
  <si>
    <t>EU-44198</t>
  </si>
  <si>
    <t>2026-06-22 04:47:13</t>
  </si>
  <si>
    <t>Alleestr12-14, Mayen, Mayen</t>
  </si>
  <si>
    <t>10308554-10360127</t>
  </si>
  <si>
    <t>Argue</t>
  </si>
  <si>
    <t>EU-44161</t>
  </si>
  <si>
    <t>2026-06-22 04:48:53</t>
  </si>
  <si>
    <t>59 Sarsfield Park, Lucan, Dublin</t>
  </si>
  <si>
    <t>K78 T2N2</t>
  </si>
  <si>
    <t>HAIRW-CAB-LTPPL-NB,PONCHA-DES-MD-WTRSUG,TOWLB-SUM-LG-COLAGN</t>
  </si>
  <si>
    <t>10311673-10363300</t>
  </si>
  <si>
    <t>Evelien</t>
  </si>
  <si>
    <t>Ebenau</t>
  </si>
  <si>
    <t>EU-44194</t>
  </si>
  <si>
    <t>2026-06-22 04:50:52</t>
  </si>
  <si>
    <t>Walter Kollolaan 200, Utrecht, Utrecht</t>
  </si>
  <si>
    <t>3543 HS</t>
  </si>
  <si>
    <t>BAGF-SUM-MD-UNICN,TOWLB-CAB-MD-LTBLU,TOWLB-CAB-XL-NAVY-R,TOWLB-SUM-MD-UNICN,TOWLB-SUM-XL-RAINB-R</t>
  </si>
  <si>
    <t>10312255-10363893</t>
  </si>
  <si>
    <t>Jokstad</t>
  </si>
  <si>
    <t>EU-44211</t>
  </si>
  <si>
    <t>2026-06-22 04:55:02</t>
  </si>
  <si>
    <t>Francartstraat 16, Elsene, Elsene</t>
  </si>
  <si>
    <t>10313068-10364719</t>
  </si>
  <si>
    <t>Kirsten</t>
  </si>
  <si>
    <t>Steurs</t>
  </si>
  <si>
    <t>EU-44223</t>
  </si>
  <si>
    <t>2026-06-22 04:59:47</t>
  </si>
  <si>
    <t>Oude Kasteellaan 57b, Bonheiden, Bonheiden</t>
  </si>
  <si>
    <t>BAGCOOL-MD-NAVY,BAGF-CAB-MD-LTPNK,BAGF-SUM-MD-MIAMI,BAGTOI-MD-CHRYBMB</t>
  </si>
  <si>
    <t>10312409-10364054</t>
  </si>
  <si>
    <t>Laidel</t>
  </si>
  <si>
    <t>EU-44213</t>
  </si>
  <si>
    <t>2026-06-22 05:01:07</t>
  </si>
  <si>
    <t>65 Marrsfield Ave, Belltree, Clongriffin, Dublin 13, Dublin</t>
  </si>
  <si>
    <t>D13 ACP3</t>
  </si>
  <si>
    <t>10312411-10364056</t>
  </si>
  <si>
    <t>Zach</t>
  </si>
  <si>
    <t>Halley</t>
  </si>
  <si>
    <t>EU-44216</t>
  </si>
  <si>
    <t>2026-06-22 05:02:48</t>
  </si>
  <si>
    <t>156 Cluain Lárach, Knockenduff, Waterford</t>
  </si>
  <si>
    <t>X91 PV2N</t>
  </si>
  <si>
    <t>TOWLB-CAB-MD-LTBLU,TOWLB-CAB-XL-NAVY-R</t>
  </si>
  <si>
    <t>10312064-10363693</t>
  </si>
  <si>
    <t>Meisl</t>
  </si>
  <si>
    <t>EU-44209</t>
  </si>
  <si>
    <t>2026-06-22 05:04:50</t>
  </si>
  <si>
    <t>Brunnengasse 37, Gänserndorf, Gänserndorf</t>
  </si>
  <si>
    <t>TOWLB-CAB-LG-NAVY-R,TOWLB-CAB-LG-ORANG-R,TOWLF-ESS-LG-BLUE-R,TOWLF-ESS-LG-DKBLU</t>
  </si>
  <si>
    <t>10314815-10366468</t>
  </si>
  <si>
    <t>EU-44251</t>
  </si>
  <si>
    <t>2026-06-22 05:08:45</t>
  </si>
  <si>
    <t>32 Seapoint, Wicklow Town, Wicklow</t>
  </si>
  <si>
    <t>A67 WK23</t>
  </si>
  <si>
    <t>10313407-10365058</t>
  </si>
  <si>
    <t>Adnane</t>
  </si>
  <si>
    <t>EU-44227</t>
  </si>
  <si>
    <t>2026-06-22 05:09:38</t>
  </si>
  <si>
    <t>Burgemeester Stanislas De, Rijcklaan 52 0102, Leuven, Leuven</t>
  </si>
  <si>
    <t>10315006-10366670</t>
  </si>
  <si>
    <t>Josina</t>
  </si>
  <si>
    <t>Herding</t>
  </si>
  <si>
    <t>EU-44254</t>
  </si>
  <si>
    <t>2026-06-22 05:10:12</t>
  </si>
  <si>
    <t>Gutenbergstr 126, Stuttgart, Stuttgart</t>
  </si>
  <si>
    <t>TOWLB-CAB-LG-ORANG-R</t>
  </si>
  <si>
    <t>10318041-10369713</t>
  </si>
  <si>
    <t>Klinger</t>
  </si>
  <si>
    <t>EU-44294</t>
  </si>
  <si>
    <t>2026-06-22 05:11:04</t>
  </si>
  <si>
    <t>Adlerstraße 17, Berne, Berne</t>
  </si>
  <si>
    <t>TOWLB-CAB-XL-PINK-R</t>
  </si>
  <si>
    <t>10311677-10363304</t>
  </si>
  <si>
    <t>Chibert</t>
  </si>
  <si>
    <t>EU-44199</t>
  </si>
  <si>
    <t>2026-06-22 05:11:41</t>
  </si>
  <si>
    <t>Avenue Frans van Kalken 5, Anderlecht, Anderlecht</t>
  </si>
  <si>
    <t>HAIRW-WAF-TIGPALM</t>
  </si>
  <si>
    <t>10316202-10367872</t>
  </si>
  <si>
    <t>Gero</t>
  </si>
  <si>
    <t>Towara</t>
  </si>
  <si>
    <t>028-6319767-0636363</t>
  </si>
  <si>
    <t>2026-06-22 05:12:26</t>
  </si>
  <si>
    <t>Taunusstraße 65, Mainz, Mainz</t>
  </si>
  <si>
    <t>10312412-10364057</t>
  </si>
  <si>
    <t>Grainne</t>
  </si>
  <si>
    <t>Eustace</t>
  </si>
  <si>
    <t>EU-44215</t>
  </si>
  <si>
    <t>2026-06-22 05:13:17</t>
  </si>
  <si>
    <t>Lower Knockieran, Blessington, Wicklow</t>
  </si>
  <si>
    <t>W91 C9H3</t>
  </si>
  <si>
    <t>10318238-10369911</t>
  </si>
  <si>
    <t>EU-44298</t>
  </si>
  <si>
    <t>2026-06-22 05:13:56</t>
  </si>
  <si>
    <t>70 Castle Farm, Shankill, Dublin</t>
  </si>
  <si>
    <t>D18 HX38</t>
  </si>
  <si>
    <t>10315496-10367163</t>
  </si>
  <si>
    <t>Marina</t>
  </si>
  <si>
    <t>Geisel</t>
  </si>
  <si>
    <t>EU-44258</t>
  </si>
  <si>
    <t>2026-06-22 05:14:48</t>
  </si>
  <si>
    <t>Himmelreichstr 19, Kirchentellinsfurt, Kirchentellinsfurt</t>
  </si>
  <si>
    <t>10279114-10330237</t>
  </si>
  <si>
    <t>Nataliia</t>
  </si>
  <si>
    <t>Golovlova</t>
  </si>
  <si>
    <t>EU-43690</t>
  </si>
  <si>
    <t>2026-06-22 05:15:28</t>
  </si>
  <si>
    <t>Insterburger Strasse, 14B, Karlsruhe, Karlsruhe</t>
  </si>
  <si>
    <t>10315497-10367164</t>
  </si>
  <si>
    <t>Swati</t>
  </si>
  <si>
    <t>Peiffer</t>
  </si>
  <si>
    <t>EU-44259</t>
  </si>
  <si>
    <t>2026-06-22 05:16:54</t>
  </si>
  <si>
    <t>Drechslerweg 24, Münster, Münster</t>
  </si>
  <si>
    <t>10311674-10363301</t>
  </si>
  <si>
    <t>Pflegedienst E. Schardt</t>
  </si>
  <si>
    <t>Schardt</t>
  </si>
  <si>
    <t>EU-44196</t>
  </si>
  <si>
    <t>2026-06-22 05:17:52</t>
  </si>
  <si>
    <t>Stollberger Straße 23, Lugau/Erzgebirge, Lugau/Erzgebirge</t>
  </si>
  <si>
    <t>09385</t>
  </si>
  <si>
    <t>10317815-10369486</t>
  </si>
  <si>
    <t>Leyrerr</t>
  </si>
  <si>
    <t>EU-44286</t>
  </si>
  <si>
    <t>2026-06-22 05:18:23</t>
  </si>
  <si>
    <t>An den Unteren Eichen 12, Schweinfurt, Schweinfurt</t>
  </si>
  <si>
    <t>10318044-10369716</t>
  </si>
  <si>
    <t>Malaika</t>
  </si>
  <si>
    <t>Caldwell</t>
  </si>
  <si>
    <t>EU-44297</t>
  </si>
  <si>
    <t>2026-06-22 05:19:15</t>
  </si>
  <si>
    <t>Postjesweg 118, 4, Amsterdam, Amsterdam</t>
  </si>
  <si>
    <t>1057 EH</t>
  </si>
  <si>
    <t>10314481-10366132</t>
  </si>
  <si>
    <t>Mühlbauer</t>
  </si>
  <si>
    <t>305-1450518-6860306</t>
  </si>
  <si>
    <t>2026-06-22 05:20:04</t>
  </si>
  <si>
    <t>Mittelweg 1, Lengenfeld, Lengenfeld</t>
  </si>
  <si>
    <t>08485</t>
  </si>
  <si>
    <t>PICNIC-DES-LG-APPLTRT</t>
  </si>
  <si>
    <t>10314816-10366469</t>
  </si>
  <si>
    <t>Joachim</t>
  </si>
  <si>
    <t>Wulf</t>
  </si>
  <si>
    <t>EU-44250</t>
  </si>
  <si>
    <t>2026-06-22 05:20:42</t>
  </si>
  <si>
    <t>Arolser Straße 31, Arolser Straße 31, Bad Pyrmont, Bad Pyrmont</t>
  </si>
  <si>
    <t>10313066-10364717</t>
  </si>
  <si>
    <t>EU-44222</t>
  </si>
  <si>
    <t>2026-06-22 05:21:24</t>
  </si>
  <si>
    <t>7 Clonard Lawns, Sandyford, Dublin 16, Dublin</t>
  </si>
  <si>
    <t>D16 RK54</t>
  </si>
  <si>
    <t>10314224-10365875</t>
  </si>
  <si>
    <t>EU-44234</t>
  </si>
  <si>
    <t>2026-06-22 05:21:50</t>
  </si>
  <si>
    <t>Seireannes View, Roshine, Killybegs, Donegal</t>
  </si>
  <si>
    <t>F94 T6W9</t>
  </si>
  <si>
    <t>10316374-10368044</t>
  </si>
  <si>
    <t>anna</t>
  </si>
  <si>
    <t>busch</t>
  </si>
  <si>
    <t>EU-44265</t>
  </si>
  <si>
    <t>2026-06-22 05:23:33</t>
  </si>
  <si>
    <t>Lößnitzstraße 21, Dresden, Dresden</t>
  </si>
  <si>
    <t>10317454-10369124</t>
  </si>
  <si>
    <t>EU-44280</t>
  </si>
  <si>
    <t>2026-06-22 05:24:02</t>
  </si>
  <si>
    <t>Osystraat 48, B5, Antwerpen, Antwerpen</t>
  </si>
  <si>
    <t>10312256-10363894</t>
  </si>
  <si>
    <t>Louise Van Rompaye</t>
  </si>
  <si>
    <t>EU-44212</t>
  </si>
  <si>
    <t>2026-06-22 05:33:15</t>
  </si>
  <si>
    <t>Streepstraat 21, Morkhoven, Morkhoven</t>
  </si>
  <si>
    <t>TOWLB-CAB-LG-BLUE-R,TOWLB-CAB-XL-PINK-R</t>
  </si>
  <si>
    <t>10313804-10365455</t>
  </si>
  <si>
    <t>Carol-Anne</t>
  </si>
  <si>
    <t>EU-44229</t>
  </si>
  <si>
    <t>2026-06-22 05:35:44</t>
  </si>
  <si>
    <t>3 Seacliff Rd, Dublin 13, Dublin</t>
  </si>
  <si>
    <t>D13 NX00</t>
  </si>
  <si>
    <t>TOWLB-CAB-XL-NAVY-R,TOWLB-SUM-XL-MIAMI</t>
  </si>
  <si>
    <t>10317453-10369123</t>
  </si>
  <si>
    <t>Frederic</t>
  </si>
  <si>
    <t>De Mulder</t>
  </si>
  <si>
    <t>EU-44281</t>
  </si>
  <si>
    <t>2026-06-22 05:36:37</t>
  </si>
  <si>
    <t>Raketstraat 8, Apartment, Gent, Gent</t>
  </si>
  <si>
    <t>10314640-10366291</t>
  </si>
  <si>
    <t>Stewart</t>
  </si>
  <si>
    <t>EU-44246</t>
  </si>
  <si>
    <t>2026-06-22 05:38:19</t>
  </si>
  <si>
    <t>Verbrand Nieuwland, 51, Brugge, Brugge</t>
  </si>
  <si>
    <t>10316067-10367737</t>
  </si>
  <si>
    <t>Ayleen</t>
  </si>
  <si>
    <t>Haasis</t>
  </si>
  <si>
    <t>EU-44263</t>
  </si>
  <si>
    <t>2026-06-22 05:39:13</t>
  </si>
  <si>
    <t>Pfarrgasse 26a, Harburg (Schwaben), Harburg (Schwaben)</t>
  </si>
  <si>
    <t>TOWLB-DES-LG-MELLOW,TOWLB-DES-XL-LEMWAV</t>
  </si>
  <si>
    <t>10311849-10363477</t>
  </si>
  <si>
    <t>Jiri</t>
  </si>
  <si>
    <t>Dupkala</t>
  </si>
  <si>
    <t>EU-44203</t>
  </si>
  <si>
    <t>2026-06-22 05:39:24</t>
  </si>
  <si>
    <t>Karafiatova 524, Jesenice, Jesenice</t>
  </si>
  <si>
    <t>252 42</t>
  </si>
  <si>
    <t>10314480-10366131</t>
  </si>
  <si>
    <t>Browne</t>
  </si>
  <si>
    <t>EU-44240</t>
  </si>
  <si>
    <t>2026-06-22 05:40:59</t>
  </si>
  <si>
    <t>Dungimmon, Na, Mountnugent, Cavan</t>
  </si>
  <si>
    <t>A82 WA49</t>
  </si>
  <si>
    <t>TOWLB-CAB-XL-LTBLU-R,TOWLB-DES-LG-SUNSPL</t>
  </si>
  <si>
    <t>10314222-10365873</t>
  </si>
  <si>
    <t>Prahl</t>
  </si>
  <si>
    <t>EU-44231</t>
  </si>
  <si>
    <t>Krohnskamp 15, Hamburg, Hamburg</t>
  </si>
  <si>
    <t>10315005-10366669</t>
  </si>
  <si>
    <t>Cazzaro</t>
  </si>
  <si>
    <t>EU-44253</t>
  </si>
  <si>
    <t>2026-06-22 05:42:07</t>
  </si>
  <si>
    <t>Via B Lattes 8, Treviso, Treviso</t>
  </si>
  <si>
    <t>10311671-10363298</t>
  </si>
  <si>
    <t>EU-44193</t>
  </si>
  <si>
    <t>2026-06-22 05:42:30</t>
  </si>
  <si>
    <t>Bosscheweg 40, Tilburg, Tilburg</t>
  </si>
  <si>
    <t>10314316-10365967</t>
  </si>
  <si>
    <t>Nicholl</t>
  </si>
  <si>
    <t>EU-44235</t>
  </si>
  <si>
    <t>2026-06-22 05:44:24</t>
  </si>
  <si>
    <t>73 Fortfield Rd, Terenure, Dublin</t>
  </si>
  <si>
    <t>D6W XK06</t>
  </si>
  <si>
    <t>TOWLB-DES-LG-MELLOW,TOWLB-SUM-XL-OCEAN</t>
  </si>
  <si>
    <t>10314636-10366287</t>
  </si>
  <si>
    <t>Lorna</t>
  </si>
  <si>
    <t>OBeirne</t>
  </si>
  <si>
    <t>EU-44243</t>
  </si>
  <si>
    <t>2026-06-22 05:47:13</t>
  </si>
  <si>
    <t>37 The Steeple, Moyglare Abbey, Maynooth, Kildare</t>
  </si>
  <si>
    <t>W23 N7D3</t>
  </si>
  <si>
    <t>TOWLB-CAB-XL-LTBLU-R,TOWLB-DES-XL-GRECSHR,TOWLB-DES-XL-SUNSPL,TOWLB-SUM-XL-CSTCANDY</t>
  </si>
  <si>
    <t>10316776-10368446</t>
  </si>
  <si>
    <t>Hirsch</t>
  </si>
  <si>
    <t>EU-44270</t>
  </si>
  <si>
    <t>2026-06-22 05:47:38</t>
  </si>
  <si>
    <t>Uhlandstraße 48, Mannheim, Mannheim</t>
  </si>
  <si>
    <t>10312865-10364516</t>
  </si>
  <si>
    <t>Kistermann</t>
  </si>
  <si>
    <t>EU-44220</t>
  </si>
  <si>
    <t>2026-06-22 05:47:43</t>
  </si>
  <si>
    <t>Marienterrasse 16, Hamburg, Hamburg</t>
  </si>
  <si>
    <t>10313805-10365456</t>
  </si>
  <si>
    <t>Tallaght Training Centre</t>
  </si>
  <si>
    <t>Lennon</t>
  </si>
  <si>
    <t>EU-44230</t>
  </si>
  <si>
    <t>2026-06-22 05:48:35</t>
  </si>
  <si>
    <t>3rd Ave, Cookstown Industrial Estate, Tallaght, Dublin</t>
  </si>
  <si>
    <t>D24 F952</t>
  </si>
  <si>
    <t>10316068-10367738</t>
  </si>
  <si>
    <t>EU-44262</t>
  </si>
  <si>
    <t>2026-06-22 05:49:36</t>
  </si>
  <si>
    <t>Mountkinane, Borrisoleigh, Thurles, Tipperary</t>
  </si>
  <si>
    <t>E41 V122</t>
  </si>
  <si>
    <t>TOWLB-SUM-XL-CSTCANDY,TOWLB-SUM-XL-TUTFRU</t>
  </si>
  <si>
    <t>10313258-10364909</t>
  </si>
  <si>
    <t>Jenny</t>
  </si>
  <si>
    <t>Bourgoise</t>
  </si>
  <si>
    <t>EU-44226</t>
  </si>
  <si>
    <t>2026-06-22 05:50:29</t>
  </si>
  <si>
    <t>4 Limekiln Lane, Dublin 12, Dublin</t>
  </si>
  <si>
    <t>D12 C971</t>
  </si>
  <si>
    <t>10316377-10368047</t>
  </si>
  <si>
    <t>EU-44267</t>
  </si>
  <si>
    <t>2026-06-22 05:50:44</t>
  </si>
  <si>
    <t>12 Beverly Heights, Raheen, Limerick, Limerick</t>
  </si>
  <si>
    <t>V94 F858</t>
  </si>
  <si>
    <t>HAIRW-CAB-LTPPL-NB,TOWLB-CAB-LG-LTPPL-R,TOWLB-CAB-XL-RED-R,TOWLB-DES-LG-SUNSPL,TOWLF-ESS-XL-GREY-R</t>
  </si>
  <si>
    <t>10314479-10366130</t>
  </si>
  <si>
    <t>Vesna</t>
  </si>
  <si>
    <t>Ravlic</t>
  </si>
  <si>
    <t>EU-44238</t>
  </si>
  <si>
    <t>2026-06-22 05:51:01</t>
  </si>
  <si>
    <t>Rue du Page 102, Ixelles, Ixelles</t>
  </si>
  <si>
    <t>10314637-10366288</t>
  </si>
  <si>
    <t>Dünnes</t>
  </si>
  <si>
    <t>EU-44242</t>
  </si>
  <si>
    <t>2026-06-22 05:51:49</t>
  </si>
  <si>
    <t>Innstraße 24, Regensburg, Regensburg</t>
  </si>
  <si>
    <t>10316534-10368204</t>
  </si>
  <si>
    <t>H</t>
  </si>
  <si>
    <t>Zanting</t>
  </si>
  <si>
    <t>EU-44268</t>
  </si>
  <si>
    <t>2026-06-22 05:51:57</t>
  </si>
  <si>
    <t>Westeinde 5, DWINGELOO, DWINGELOO</t>
  </si>
  <si>
    <t>7991 RS</t>
  </si>
  <si>
    <t>10316376-10368046</t>
  </si>
  <si>
    <t>Ildiko</t>
  </si>
  <si>
    <t>Lengyel</t>
  </si>
  <si>
    <t>EU-44266</t>
  </si>
  <si>
    <t>2026-06-22 05:52:42</t>
  </si>
  <si>
    <t>Konebergstraße 10, Dietmannsried, Dietmannsried</t>
  </si>
  <si>
    <t>TOWLB-CAB-XL-BLACK-R,TOWLB-CAB-XL-LTBLU-R,TOWLB-CAB-XL-NAVY-R</t>
  </si>
  <si>
    <t>10313256-10364907</t>
  </si>
  <si>
    <t>Lisa Maria</t>
  </si>
  <si>
    <t>Linß</t>
  </si>
  <si>
    <t>EU-44225</t>
  </si>
  <si>
    <t>2026-06-22 05:54:39</t>
  </si>
  <si>
    <t>Am Gebreite 5, Elxleben, Elxleben</t>
  </si>
  <si>
    <t>TOWLB-DES-XL-GRECSHR,TOWLB-DES-XL-TANTIDE,TOWLB-KID-LG-JELLY</t>
  </si>
  <si>
    <t>10311850-10363478</t>
  </si>
  <si>
    <t>Lvova</t>
  </si>
  <si>
    <t>EU-44205</t>
  </si>
  <si>
    <t>2026-06-22 05:54:49</t>
  </si>
  <si>
    <t>Bilderdijkstraat 38, Haarlem, Haarlem</t>
  </si>
  <si>
    <t>2013 EK</t>
  </si>
  <si>
    <t>PONCHK-KID-SM-TURTROP,TOWLB-KID-MD-TURTROP</t>
  </si>
  <si>
    <t>10315495-10367162</t>
  </si>
  <si>
    <t>Specketer</t>
  </si>
  <si>
    <t>EU-44257</t>
  </si>
  <si>
    <t>2026-06-22 06:07:23</t>
  </si>
  <si>
    <t>Hausenstraße 9, Traunstein, Traunstein</t>
  </si>
  <si>
    <t>BAGDRY-XS-HOTTROP,BAGF-DES-MD-WAVYBBY,PICNIC-DES-XL-GRCSHR</t>
  </si>
  <si>
    <t>10314639-10366290</t>
  </si>
  <si>
    <t>Kilsaran Concrete</t>
  </si>
  <si>
    <t>McKeown</t>
  </si>
  <si>
    <t>EU-44245</t>
  </si>
  <si>
    <t>2026-06-22 06:10:26</t>
  </si>
  <si>
    <t>Piercetown, Dunboyne, Co Meath, Meath</t>
  </si>
  <si>
    <t>A86 W820</t>
  </si>
  <si>
    <t>TEATWL-MD-CHECKPLS,TEATWL-MD-HEADCHEF,TEATWL-MD-PEAPOD,TEATWL-MD-RGRTTI,TEATWL-MD-SOUSCHEF,TEATWL-MD-SQCLEAN</t>
  </si>
  <si>
    <t>10314318-10365969</t>
  </si>
  <si>
    <t>Degiorgio</t>
  </si>
  <si>
    <t>028-9010887-7049102</t>
  </si>
  <si>
    <t>2026-06-22 06:10:44</t>
  </si>
  <si>
    <t>14, Villa Deg, Edmond Halley St, Mellieha, MALTA</t>
  </si>
  <si>
    <t>MLH 2651</t>
  </si>
  <si>
    <t>BAGF-DES-MD-IBZAGLW,TOWLF-ESS-LG-GREY-R,TOWLF-ESS-LG-LTPPL</t>
  </si>
  <si>
    <t>10314817-10366470</t>
  </si>
  <si>
    <t>Tess</t>
  </si>
  <si>
    <t>Nolf</t>
  </si>
  <si>
    <t>EU-44249</t>
  </si>
  <si>
    <t>2026-06-22 06:11:47</t>
  </si>
  <si>
    <t>Achterhekers 23, Gent, Gent</t>
  </si>
  <si>
    <t>TOWLB-DOB-XL-CALM,TOWLB-SUM-XL-CSTCANDY</t>
  </si>
  <si>
    <t>10313525-10365176</t>
  </si>
  <si>
    <t>Merriman</t>
  </si>
  <si>
    <t>EU-44228</t>
  </si>
  <si>
    <t>2026-06-22 06:13:05</t>
  </si>
  <si>
    <t>2 Glenbower Park, Churchtown, Dublin 14, Dublin</t>
  </si>
  <si>
    <t>D14 X5P0</t>
  </si>
  <si>
    <t>PONCHK-CAB-MD-NAVY-NS,PONCHK-SUM-MD-CSTCANDY,TOWLB-CAB-LG-NAVY-R,TOWLB-SUM-LG-CSTCANDY</t>
  </si>
  <si>
    <t>10312063-10363692</t>
  </si>
  <si>
    <t>Cosco</t>
  </si>
  <si>
    <t>Efi</t>
  </si>
  <si>
    <t>Passiou</t>
  </si>
  <si>
    <t>EU-44208</t>
  </si>
  <si>
    <t>2026-06-22 06:13:52</t>
  </si>
  <si>
    <t>FLESSA 2, ΠΕΙΡΑΙΑΣ, ΠΕΙΡΑΙΑΣ</t>
  </si>
  <si>
    <t>185 38</t>
  </si>
  <si>
    <t>BAGF-DES-MD-WTRSUG,TOWLB-DES-LG-ALOHGLW,TOWLB-DES-LG-SUNSPL,TOWLB-DES-LG-WTRSUG</t>
  </si>
  <si>
    <t>10314638-10366289</t>
  </si>
  <si>
    <t>Gaelle</t>
  </si>
  <si>
    <t>Matagne</t>
  </si>
  <si>
    <t>EU-44244</t>
  </si>
  <si>
    <t>2026-06-22 06:16:55</t>
  </si>
  <si>
    <t>Chaussée de Bruxelles 495, Les Bons Villers, Les Bons Villers</t>
  </si>
  <si>
    <t>TOWLB-SUM-XL-OCEAN,TOWLB-SUM-XL-TUTFRU,TOWLH-CLB-XL-CHRYBMB,TOWLH-CLB-XL-PEPPNCH</t>
  </si>
  <si>
    <t>10314477-10366128</t>
  </si>
  <si>
    <t>Arnaldos Esteban</t>
  </si>
  <si>
    <t>EU-44237</t>
  </si>
  <si>
    <t>2026-06-22 06:17:47</t>
  </si>
  <si>
    <t>Sagitario 8, 75, Zaragoza, Zaragoza</t>
  </si>
  <si>
    <t>BAGF-SUM-MD-CSTCANDY,PONCHK-SUM-MD-CSTCANDY,TOWLB-SUM-XL-CSTCANDY</t>
  </si>
  <si>
    <t>10315811-10367481</t>
  </si>
  <si>
    <t>Roßberg</t>
  </si>
  <si>
    <t>EU-44260</t>
  </si>
  <si>
    <t>2026-06-22 06:17:59</t>
  </si>
  <si>
    <t>Liscowstr 34, München, München</t>
  </si>
  <si>
    <t>PONCHK-KID-SM-GVCLUB,TOWLB-DES-XL-LEMWAV</t>
  </si>
  <si>
    <t>10314317-10365968</t>
  </si>
  <si>
    <t>Rano</t>
  </si>
  <si>
    <t>Burkhanova</t>
  </si>
  <si>
    <t>EU-44236</t>
  </si>
  <si>
    <t>2026-06-22 06:19:18</t>
  </si>
  <si>
    <t>Curaçaolaan 18, Hilversum, Hilversum</t>
  </si>
  <si>
    <t>1213 VK</t>
  </si>
  <si>
    <t>TOWLB-CAB-XL-NAVY-R,TOWLB-KID-LG-GVCLUB,TOWLB-KID-LG-JELLY</t>
  </si>
  <si>
    <t>10319140-10370816</t>
  </si>
  <si>
    <t>Leckenby</t>
  </si>
  <si>
    <t>EU-44307</t>
  </si>
  <si>
    <t>2026-06-22 06:19:56</t>
  </si>
  <si>
    <t>Beukenweg, 20-3H, Amsterdam, Amsterdam</t>
  </si>
  <si>
    <t>1053 AT</t>
  </si>
  <si>
    <t>10317349-10369019</t>
  </si>
  <si>
    <t>Lochner</t>
  </si>
  <si>
    <t>EU-44277</t>
  </si>
  <si>
    <t>2026-06-22 06:20:41</t>
  </si>
  <si>
    <t>Staufenbergerstraße 75, Gernsbach, Gernsbach</t>
  </si>
  <si>
    <t>10319489-10371165</t>
  </si>
  <si>
    <t>Scheller</t>
  </si>
  <si>
    <t>302-0112032-4681967</t>
  </si>
  <si>
    <t>2026-06-22 06:21:28</t>
  </si>
  <si>
    <t>Im Eschbruch 7, Ronnenberg, Niedersachsen</t>
  </si>
  <si>
    <t>10320297-10371973</t>
  </si>
  <si>
    <t>O'Farrell</t>
  </si>
  <si>
    <t>EU-44340</t>
  </si>
  <si>
    <t>2026-06-22 06:23:18</t>
  </si>
  <si>
    <t>7 Brookville Park, Blackrock, Dublin</t>
  </si>
  <si>
    <t>A94 K510</t>
  </si>
  <si>
    <t>TOWLB-CAB-XL-PINK-R,TOWLB-DES-XL-GRECSHR</t>
  </si>
  <si>
    <t>10317065-10368735</t>
  </si>
  <si>
    <t>Mastel</t>
  </si>
  <si>
    <t>EU-44272</t>
  </si>
  <si>
    <t>2026-06-22 06:23:57</t>
  </si>
  <si>
    <t>Quellweg 33, 4 OG mit Fahrstuhl, Berlin, Berlin</t>
  </si>
  <si>
    <t>10317456-10369126</t>
  </si>
  <si>
    <t>EU-44283</t>
  </si>
  <si>
    <t>2026-06-22 06:24:31</t>
  </si>
  <si>
    <t>4, Rue De La Croix, Ospern, Ospern</t>
  </si>
  <si>
    <t>10318042-10369714</t>
  </si>
  <si>
    <t>EU-44295</t>
  </si>
  <si>
    <t>2026-06-22 06:25:00</t>
  </si>
  <si>
    <t>Chestnut Cottage, Saint Josephs Rd, Mallow, Cork</t>
  </si>
  <si>
    <t>P51 X3ET</t>
  </si>
  <si>
    <t>10318953-10370628</t>
  </si>
  <si>
    <t>O shea</t>
  </si>
  <si>
    <t>EU-44309</t>
  </si>
  <si>
    <t>2026-06-22 06:25:24</t>
  </si>
  <si>
    <t>Gortnagree, Kells, Kerry, Kerry</t>
  </si>
  <si>
    <t>V23 RC04</t>
  </si>
  <si>
    <t>PICNIC-CAB-LG-NAVY,TOWLB-SUM-XL-COLAGN</t>
  </si>
  <si>
    <t>10318958-10370633</t>
  </si>
  <si>
    <t>Liesje</t>
  </si>
  <si>
    <t>Klomp</t>
  </si>
  <si>
    <t>EU-44314</t>
  </si>
  <si>
    <t>2026-06-22 06:25:44</t>
  </si>
  <si>
    <t>Schoterveenstraat 47, Haarlem, Haarlem</t>
  </si>
  <si>
    <t>2023 WN</t>
  </si>
  <si>
    <t>10318954-10370629</t>
  </si>
  <si>
    <t>Gwen</t>
  </si>
  <si>
    <t>Kroes</t>
  </si>
  <si>
    <t>EU-44310</t>
  </si>
  <si>
    <t>2026-06-22 06:26:47</t>
  </si>
  <si>
    <t>De Bullewei 15, Noordwijk, Noordwijk</t>
  </si>
  <si>
    <t>2204 BR</t>
  </si>
  <si>
    <t>10319313-10370989</t>
  </si>
  <si>
    <t>PIASKOWSKI</t>
  </si>
  <si>
    <t>EU-44320</t>
  </si>
  <si>
    <t>2026-06-22 06:27:19</t>
  </si>
  <si>
    <t>Avenue Prince dOrange 5, Waterloo, Waterloo</t>
  </si>
  <si>
    <t>10311675-10363302</t>
  </si>
  <si>
    <t>EU-44197</t>
  </si>
  <si>
    <t>2026-06-22 06:28:01</t>
  </si>
  <si>
    <t>10319669-10371345</t>
  </si>
  <si>
    <t>EU-44329</t>
  </si>
  <si>
    <t>2026-06-22 06:28:05</t>
  </si>
  <si>
    <t>Max-Seither-Ring 9, Herxheim, Herxheim</t>
  </si>
  <si>
    <t>PICNIC-DES-XL-STRIPLIFE,TOWLB-SUM-LG-CSTCANDY</t>
  </si>
  <si>
    <t>10319668-10371344</t>
  </si>
  <si>
    <t>Anna-Elisabeth</t>
  </si>
  <si>
    <t>Wöhrle</t>
  </si>
  <si>
    <t>EU-44325</t>
  </si>
  <si>
    <t>2026-06-22 06:28:56</t>
  </si>
  <si>
    <t>Im Thal 6, Füssen, Füssen</t>
  </si>
  <si>
    <t>10318598-10370271</t>
  </si>
  <si>
    <t>Sacha</t>
  </si>
  <si>
    <t>Cooper</t>
  </si>
  <si>
    <t>EU-44302</t>
  </si>
  <si>
    <t>2026-06-22 06:29:39</t>
  </si>
  <si>
    <t>Rue Du Fort Wallis, 1B, Bloc B, Luxembourg, Luxembourg</t>
  </si>
  <si>
    <t>10314635-10366286</t>
  </si>
  <si>
    <t>Jihye</t>
  </si>
  <si>
    <t>Choi</t>
  </si>
  <si>
    <t>EU-44241</t>
  </si>
  <si>
    <t>2026-06-22 06:30:20</t>
  </si>
  <si>
    <t>Veemkade 456, 4th floor, Amsterdam, Amsterdam</t>
  </si>
  <si>
    <t>1019 HE</t>
  </si>
  <si>
    <t>TOWLB-SUM-XL-COLAGN,TOWLB-SUM-XL-UNICN-R</t>
  </si>
  <si>
    <t>10319488-10371164</t>
  </si>
  <si>
    <t>c/o Ferramenta Berni</t>
  </si>
  <si>
    <t>Berni</t>
  </si>
  <si>
    <t>EU-44322</t>
  </si>
  <si>
    <t>2026-06-22 06:31:57</t>
  </si>
  <si>
    <t>via Garibaldi 12, Bovolone, Verona</t>
  </si>
  <si>
    <t>BAGF-SUM-MD-UNICN,TOWLB-SUM-XL-COLAGN</t>
  </si>
  <si>
    <t>10319312-10370988</t>
  </si>
  <si>
    <t>Leonie</t>
  </si>
  <si>
    <t>Endres</t>
  </si>
  <si>
    <t>EU-44318</t>
  </si>
  <si>
    <t>2026-06-22 06:33:15</t>
  </si>
  <si>
    <t>Fliederweg 3, Solms, Solms</t>
  </si>
  <si>
    <t>TOWLB-DES-LG-MELLOW,TOWLB-DES-LG-PNKPARA</t>
  </si>
  <si>
    <t>10319920-10371596</t>
  </si>
  <si>
    <t>Rosemarie</t>
  </si>
  <si>
    <t>EU-44333</t>
  </si>
  <si>
    <t>2026-06-22 06:34:49</t>
  </si>
  <si>
    <t>Julianaplein, Den Helder, Den Helder</t>
  </si>
  <si>
    <t>1781 HA</t>
  </si>
  <si>
    <t>TOWLB-CAB-XL-NAVY-R,TOWLB-CAB-XL-RED-R</t>
  </si>
  <si>
    <t>10311672-10363299</t>
  </si>
  <si>
    <t>Sabrine</t>
  </si>
  <si>
    <t>Soetaert</t>
  </si>
  <si>
    <t>EU-44195</t>
  </si>
  <si>
    <t>2026-06-22 06:35:05</t>
  </si>
  <si>
    <t>Goedendagstraat 10_1, Huis naast nr 10 met lange oprit, Wevelgem, Wevelgem</t>
  </si>
  <si>
    <t>PONCHK-SUM-SM-UNICN-NS,TOWLB-SUM-XL-COLAGN,TOWLB-SUM-XL-MIAMI,TOWLB-SUM-XL-OCEAN,TOWLB-SUM-XL-TUTFRU</t>
  </si>
  <si>
    <t>10312062-10363691</t>
  </si>
  <si>
    <t>Dave</t>
  </si>
  <si>
    <t>D'hondt</t>
  </si>
  <si>
    <t>EU-44207</t>
  </si>
  <si>
    <t>2026-06-22 06:35:56</t>
  </si>
  <si>
    <t>Wouter Haecklaan 9, Deurne, Deurne</t>
  </si>
  <si>
    <t>10320112-10371788</t>
  </si>
  <si>
    <t>Van Roeyen</t>
  </si>
  <si>
    <t>EU-44336</t>
  </si>
  <si>
    <t>2026-06-22 06:37:00</t>
  </si>
  <si>
    <t>Desguinlei 90, Bus 12i, Antwerpen, Antwerpen</t>
  </si>
  <si>
    <t>10319919-10371595</t>
  </si>
  <si>
    <t>Curtin</t>
  </si>
  <si>
    <t>EU-44334</t>
  </si>
  <si>
    <t>2026-06-22 06:38:09</t>
  </si>
  <si>
    <t>Tudor Lodge, Ardarrig, Douglas, Cork</t>
  </si>
  <si>
    <t>T12 K25N</t>
  </si>
  <si>
    <t>TOWLB-CAB-XL-LTBLU-R,TOWLB-DES-LG-MELLOW</t>
  </si>
  <si>
    <t>10311848-10363476</t>
  </si>
  <si>
    <t>Veale</t>
  </si>
  <si>
    <t>EU-44202</t>
  </si>
  <si>
    <t>2026-06-22 06:38:33</t>
  </si>
  <si>
    <t>Alverno, Hale St, Ardee, Louth</t>
  </si>
  <si>
    <t>A92 VY46</t>
  </si>
  <si>
    <t>BAGDRY-XS-MIAMI,BAGF-SUM-MD-CSTCANDY,TOWLB-SUM-XL-COLAGN,TOWLB-SUM-XL-MIAMI,TOWLB-SUM-XL-OCEAN,TOWLB-SUM-XL-TUTFRU</t>
  </si>
  <si>
    <t>10311678-10363305</t>
  </si>
  <si>
    <t>Margret</t>
  </si>
  <si>
    <t>De Reese</t>
  </si>
  <si>
    <t>EU-44200</t>
  </si>
  <si>
    <t>2026-06-22 06:40:15</t>
  </si>
  <si>
    <t>Bergisdorfer Straße, 90, Neukieritzsch, Neukieritzsch</t>
  </si>
  <si>
    <t>04575</t>
  </si>
  <si>
    <t>BAGDRY-XS-MIAMI,BAGDRY-XS-NAVY,TOWLB-SUM-XL-COLAGN</t>
  </si>
  <si>
    <t>10313067-10364718</t>
  </si>
  <si>
    <t>Olive</t>
  </si>
  <si>
    <t>Bale</t>
  </si>
  <si>
    <t>EU-44221</t>
  </si>
  <si>
    <t>2026-06-22 06:41:36</t>
  </si>
  <si>
    <t>Ty Gwyn, Shanacloon, Kildare, Kildare</t>
  </si>
  <si>
    <t>R51 P793</t>
  </si>
  <si>
    <t>10313257-10364908</t>
  </si>
  <si>
    <t>Shiona</t>
  </si>
  <si>
    <t>EU-44224</t>
  </si>
  <si>
    <t>2026-06-22 06:42:58</t>
  </si>
  <si>
    <t>42A kilcarrig St, Bagenalstown, Carlow</t>
  </si>
  <si>
    <t>R21 R263</t>
  </si>
  <si>
    <t>10315494-10367161</t>
  </si>
  <si>
    <t>Cindy</t>
  </si>
  <si>
    <t>Wagemans</t>
  </si>
  <si>
    <t>EU-44256</t>
  </si>
  <si>
    <t>2026-06-22 07:09:30</t>
  </si>
  <si>
    <t>Meester van Roosmalenhof, 1, Berkel-Enschot, Berkel-Enschot</t>
  </si>
  <si>
    <t>5056 KL</t>
  </si>
  <si>
    <t>TOWLB-CAB-XL-NAVY-R,TOWLB-COLLAB-LG-UNO,TOWLB-DES-LG-ALOHGLW,TOWLB-DES-XL-WYWH,TOWLB-SUM-LG-UNICN-R</t>
  </si>
  <si>
    <t>10314478-10366129</t>
  </si>
  <si>
    <t>Weber</t>
  </si>
  <si>
    <t>EU-44239</t>
  </si>
  <si>
    <t>2026-06-22 07:13:08</t>
  </si>
  <si>
    <t>Waiblinger Str 84, Kernen, Kernen</t>
  </si>
  <si>
    <t>TOWLB-CAB-XL-LTBLU-R,TOWLB-DES-XL-LEMWAV,TOWLB-SUM-LG-COLAGN</t>
  </si>
  <si>
    <t>10315945-10367615</t>
  </si>
  <si>
    <t>Beirne</t>
  </si>
  <si>
    <t>EU-44261</t>
  </si>
  <si>
    <t>2026-06-22 07:15:50</t>
  </si>
  <si>
    <t>36 The Ave, St Marnocks bay, Portmarnock, Dublin</t>
  </si>
  <si>
    <t>D13 RDA5</t>
  </si>
  <si>
    <t>BAGF-DES-MD-WYWH,TOWLB-CAB-LG-BLUE-R,TOWLB-CAB-LG-GREEN-R,TOWLB-DES-LG-GRECSHR,TOWLB-DES-LG-PNKPARA,TOWLB-DES-LG-TANTIDE</t>
  </si>
  <si>
    <t>10316775-10368445</t>
  </si>
  <si>
    <t>Brennan</t>
  </si>
  <si>
    <t>EU-44271</t>
  </si>
  <si>
    <t>2026-06-22 07:18:52</t>
  </si>
  <si>
    <t>20 Watermill lawn, Raheny, Dublin</t>
  </si>
  <si>
    <t>D05 V097</t>
  </si>
  <si>
    <t>BAGF-CAB-MD-LTPNK,BAGF-CAB-MD-NAVY,BALLAST-CAB-NAVY,BALLAST-SUM-MIAMI,PONCHA-CAB-LG-BLUE-NS,PONCHA-CAB-LG-NAVY-NS,PONCHK-CAB-SM-BLUE-NS,PONCHK-CAB-SM-LTPNK-NS,PONCHK-CAB-SM-NAVY-NS</t>
  </si>
  <si>
    <t>10317817-10369488</t>
  </si>
  <si>
    <t>Lotte</t>
  </si>
  <si>
    <t>van hoorick</t>
  </si>
  <si>
    <t>EU-44289</t>
  </si>
  <si>
    <t>2026-06-22 08:03:16</t>
  </si>
  <si>
    <t>Vaartdijk 11, Bus 1, Mechelen, Mechelen</t>
  </si>
  <si>
    <t>TOWLB-CAB-XL-BLUE-R,TOWLB-CAB-XL-PINK-R</t>
  </si>
  <si>
    <t>10318600-10370273</t>
  </si>
  <si>
    <t>Gisa &amp; Detlev</t>
  </si>
  <si>
    <t>EU-44303</t>
  </si>
  <si>
    <t>2026-06-22 08:04:49</t>
  </si>
  <si>
    <t>Altkönigstraße 38, Oberursel, Oberursel</t>
  </si>
  <si>
    <t>PP-TOWLB-CAB-XL-4SETN,TOWLB-CAB-LG-PINK-R</t>
  </si>
  <si>
    <t>10317820-10369491</t>
  </si>
  <si>
    <t>Konstanze</t>
  </si>
  <si>
    <t>Dusch</t>
  </si>
  <si>
    <t>EU-44292</t>
  </si>
  <si>
    <t>2026-06-22 08:06:48</t>
  </si>
  <si>
    <t>Otto-Spesshardt-Straße 16, Eisenach, Eisenach</t>
  </si>
  <si>
    <t>10319143-10370819</t>
  </si>
  <si>
    <t>Felizitas</t>
  </si>
  <si>
    <t>Koschny</t>
  </si>
  <si>
    <t>EU-44315</t>
  </si>
  <si>
    <t>2026-06-22 08:08:31</t>
  </si>
  <si>
    <t>Kirchplatz 16, Hainburg, Hainburg</t>
  </si>
  <si>
    <t>TOWLB-DES-XL-ALOHGLW,TOWLB-DES-XL-SUNSPL</t>
  </si>
  <si>
    <t>10317346-10369016</t>
  </si>
  <si>
    <t>Theres</t>
  </si>
  <si>
    <t>Paulke-Breuer</t>
  </si>
  <si>
    <t>EU-44273</t>
  </si>
  <si>
    <t>2026-06-22 08:11:31</t>
  </si>
  <si>
    <t>Wilhelmstr 28, Ostseebad Sellin, Ostseebad Sellin</t>
  </si>
  <si>
    <t>10316375-10368045</t>
  </si>
  <si>
    <t>EU-44264</t>
  </si>
  <si>
    <t>2026-06-22 08:13:34</t>
  </si>
  <si>
    <t>56 Sallins Bridge, Sallins, Kildare</t>
  </si>
  <si>
    <t>W91 P8P0</t>
  </si>
  <si>
    <t>10314814-10366467</t>
  </si>
  <si>
    <t>Miriam</t>
  </si>
  <si>
    <t>Merz</t>
  </si>
  <si>
    <t>EU-44252</t>
  </si>
  <si>
    <t>2026-06-22 08:15:09</t>
  </si>
  <si>
    <t>Hauptstraße 14, Oy- Mittelberg, Oy- Mittelberg</t>
  </si>
  <si>
    <t>10317348-10369018</t>
  </si>
  <si>
    <t>Jamie</t>
  </si>
  <si>
    <t>DeHaven</t>
  </si>
  <si>
    <t>EU-44275</t>
  </si>
  <si>
    <t>2026-06-22 08:16:05</t>
  </si>
  <si>
    <t>Muckduff, Enniscrone, Sligo</t>
  </si>
  <si>
    <t>F26 FP86</t>
  </si>
  <si>
    <t>10319142-10370818</t>
  </si>
  <si>
    <t>Bettex</t>
  </si>
  <si>
    <t>EU-44316</t>
  </si>
  <si>
    <t>2026-06-22 08:16:17</t>
  </si>
  <si>
    <t>4 Rue Olympe De Gouges, Le Russey, Le Russey</t>
  </si>
  <si>
    <t>10312702-10364353</t>
  </si>
  <si>
    <t>Dora</t>
  </si>
  <si>
    <t>Rakovac</t>
  </si>
  <si>
    <t>EU-44219</t>
  </si>
  <si>
    <t>2026-06-22 08:17:22</t>
  </si>
  <si>
    <t>Iločka 4, Split, Split, Split</t>
  </si>
  <si>
    <t>DOGTWL-MD-PUPLAID,TOWLB-CAB-LG-LTPPL-R</t>
  </si>
  <si>
    <t>10314818-10366471</t>
  </si>
  <si>
    <t>Smolders</t>
  </si>
  <si>
    <t>EU-44248</t>
  </si>
  <si>
    <t>2026-06-22 08:17:34</t>
  </si>
  <si>
    <t>Bennigsenstraße 3A, Bremen, Bremen</t>
  </si>
  <si>
    <t>TOWLB-DES-XL-WYWH</t>
  </si>
  <si>
    <t>10317821-10369492</t>
  </si>
  <si>
    <t>Haidinger</t>
  </si>
  <si>
    <t>305-1894094-7653146</t>
  </si>
  <si>
    <t>2026-06-22 08:19:00</t>
  </si>
  <si>
    <t>Neufelderstraße 45d, Top 3, Linz, Linz</t>
  </si>
  <si>
    <t>10319311-10370987</t>
  </si>
  <si>
    <t>Pinatih</t>
  </si>
  <si>
    <t>EU-44317</t>
  </si>
  <si>
    <t>2026-06-22 08:19:23</t>
  </si>
  <si>
    <t>Oostenburgermiddenstraat 90, Amsterdam, Amsterdam</t>
  </si>
  <si>
    <t>1018 LC</t>
  </si>
  <si>
    <t>10318957-10370632</t>
  </si>
  <si>
    <t>Mieke</t>
  </si>
  <si>
    <t>Vermeire</t>
  </si>
  <si>
    <t>EU-44312</t>
  </si>
  <si>
    <t>2026-06-22 08:21:12</t>
  </si>
  <si>
    <t>Parklaan 48, Nieuwpoort, Nieuwpoort</t>
  </si>
  <si>
    <t>TOWLB-SUM-XL-OCEAN,TOWLF-ESS-XL-DKBLU</t>
  </si>
  <si>
    <t>10318955-10370630</t>
  </si>
  <si>
    <t>Alain</t>
  </si>
  <si>
    <t>Luis</t>
  </si>
  <si>
    <t>EU-44311</t>
  </si>
  <si>
    <t>2026-06-22 08:23:20</t>
  </si>
  <si>
    <t>2 Rue du Résinier, 103, Saint-Martin-de-Seignanx, Saint-Martin-de-Seignanx</t>
  </si>
  <si>
    <t>10317350-10369020</t>
  </si>
  <si>
    <t>Mertgen</t>
  </si>
  <si>
    <t>EU-44276</t>
  </si>
  <si>
    <t>2026-06-22 08:28:00</t>
  </si>
  <si>
    <t>Am Rehm 10, Ahrensburg, Ahrensburg</t>
  </si>
  <si>
    <t>TOWLB-DES-XL-LEMWAV,TOWLB-DES-XL-SUNSPL,TOWLB-KID-LG-POWPOS,TOWLB-KID-LG-SANDSTRT</t>
  </si>
  <si>
    <t>10318239-10369912</t>
  </si>
  <si>
    <t>Mateusz</t>
  </si>
  <si>
    <t>Pszonka</t>
  </si>
  <si>
    <t>EU-44299</t>
  </si>
  <si>
    <t>2026-06-22 08:29:01</t>
  </si>
  <si>
    <t>Sosnowiecka 32G, 22, Kraków, Kraków</t>
  </si>
  <si>
    <t>31-345</t>
  </si>
  <si>
    <t>HAIRW-SUM-UNICN-NB,PICNIC-SUM-LG-UNICN,PONCHK-SUM-MD-CSTCANDY,TOWLB-KID-LG-SANDSTRT</t>
  </si>
  <si>
    <t>10317455-10369125</t>
  </si>
  <si>
    <t>Gabriella</t>
  </si>
  <si>
    <t>Cambula</t>
  </si>
  <si>
    <t>EU-44282</t>
  </si>
  <si>
    <t>2026-06-22 08:30:33</t>
  </si>
  <si>
    <t>Groenenborgerlaan 204 Bus 3, Wilrijk, Wilrijk</t>
  </si>
  <si>
    <t>TOWLB-CAB-LG-ORANG-R,TOWLB-CAB-XL-NAVY-R</t>
  </si>
  <si>
    <t>10317814-10369485</t>
  </si>
  <si>
    <t>McKeone</t>
  </si>
  <si>
    <t>EU-44287</t>
  </si>
  <si>
    <t>2026-06-22 08:30:49</t>
  </si>
  <si>
    <t>74 Clearwater Cove, Old Dunleary Rd, Dun Laoghaire, Dublin</t>
  </si>
  <si>
    <t>A96 K257</t>
  </si>
  <si>
    <t>BAGDRY-MD-WAVYBBY,TOWLB-CAB-XL-NAVY-R,TOWLB-DES-XL-GRECSHR</t>
  </si>
  <si>
    <t>10318773-10370448</t>
  </si>
  <si>
    <t>Lütz</t>
  </si>
  <si>
    <t>EU-44305</t>
  </si>
  <si>
    <t>2026-06-22 08:32:19</t>
  </si>
  <si>
    <t>Schillingstraße 10, Köln, Köln</t>
  </si>
  <si>
    <t>PICNIC-DES-XL-STRIPLIFE,TOWLB-CAB-LG-BLUE-R,TOWLB-DES-LG-MELLOW,TOWLB-DES-LG-PSTPIER,TOWLB-DES-LG-RSPROAD</t>
  </si>
  <si>
    <t>10317816-10369487</t>
  </si>
  <si>
    <t>Leersum</t>
  </si>
  <si>
    <t>EU-44288</t>
  </si>
  <si>
    <t>2026-06-22 08:32:48</t>
  </si>
  <si>
    <t>van Lyndenpark 122, Beetsterzwaag, Beetsterzwaag</t>
  </si>
  <si>
    <t>9244 DC</t>
  </si>
  <si>
    <t>BAGF-CAB-MD-LTPNK,TOWLB-CAB-XL-LTBLU-R,TOWLB-CAB-XL-PINK-R,TOWLF-ESS-XL-DKBLU</t>
  </si>
  <si>
    <t>10317452-10369122</t>
  </si>
  <si>
    <t>Gaab</t>
  </si>
  <si>
    <t>EU-44278</t>
  </si>
  <si>
    <t>2026-06-22 08:33:14</t>
  </si>
  <si>
    <t>Queichheimer Hauptstrasse 19, Blumen Gaab, Landau, Landau</t>
  </si>
  <si>
    <t>TOWLB-CAB-LG-NAVY-R,TOWLB-DES-LG-PNKPARA,TOWLB-SUM-LG-OCEAN,TOWLF-ESS-LG-BLUE-R</t>
  </si>
  <si>
    <t>10318043-10369715</t>
  </si>
  <si>
    <t>Wartel</t>
  </si>
  <si>
    <t>EU-44296</t>
  </si>
  <si>
    <t>2026-06-22 08:34:15</t>
  </si>
  <si>
    <t>Schaperstraat 34, Merelbeke-Melle, Merelbeke-Melle</t>
  </si>
  <si>
    <t>COOL-CAB-LTPNK-R,PONCHK-SUM-MD-UNICN-NS,TOWLB-CAB-XL-PINK-R,TOWLB-SUM-XL-UNICN-R</t>
  </si>
  <si>
    <t>10317604-10369274</t>
  </si>
  <si>
    <t>Fran</t>
  </si>
  <si>
    <t>Defruyt</t>
  </si>
  <si>
    <t>EU-44285</t>
  </si>
  <si>
    <t>2026-06-22 08:35:55</t>
  </si>
  <si>
    <t>Brouwerijstraat, 6, Wingene, Wingene</t>
  </si>
  <si>
    <t>TOWLB-CAB-XL-BLUE-R,TOWLB-CAB-XL-NAVY-R,TOWLB-SUM-XL-TUTFRU</t>
  </si>
  <si>
    <t>10318420-10370093</t>
  </si>
  <si>
    <t>gaetan</t>
  </si>
  <si>
    <t>pautasso</t>
  </si>
  <si>
    <t>EU-44300</t>
  </si>
  <si>
    <t>2, Route De la Zone artisanale, St Lin, St Lin</t>
  </si>
  <si>
    <t>PONCHK-CAB-MD-NAVY-NS,TOWLB-CAB-LG-NAVY-R,TOWLB-CAB-LG-PINK-R</t>
  </si>
  <si>
    <t>10318040-10369712</t>
  </si>
  <si>
    <t>Fogarty</t>
  </si>
  <si>
    <t>EU-44293</t>
  </si>
  <si>
    <t>2026-06-22 08:37:50</t>
  </si>
  <si>
    <t>Cappaganeen, Beaufort, Killarney, Kerry</t>
  </si>
  <si>
    <t>V93 D8P9</t>
  </si>
  <si>
    <t>TOWLB-CAB-LG-NAVY-R,TOWLB-DES-LG-MELLOW,TOWLB-DES-LG-PNKPARA,TOWLB-DES-LG-RSPROAD</t>
  </si>
  <si>
    <t>10317819-10369490</t>
  </si>
  <si>
    <t>EU-44290</t>
  </si>
  <si>
    <t>2026-06-22 08:38:01</t>
  </si>
  <si>
    <t>Lange Reihe 3, Beverungen, Beverungen</t>
  </si>
  <si>
    <t>TOWLB-DOB-LG-CALM,TOWLB-SUM-LG-COLAGN,TOWLB-SUM-LG-MIAMI</t>
  </si>
  <si>
    <t>10319314-10370990</t>
  </si>
  <si>
    <t>Woulfe</t>
  </si>
  <si>
    <t>EU-44321</t>
  </si>
  <si>
    <t>2026-06-22 08:39:21</t>
  </si>
  <si>
    <t>6 St Pancras Ave, Terenure, Dublin 6W, Dublin</t>
  </si>
  <si>
    <t>D6W HH31</t>
  </si>
  <si>
    <t>TOWLB-CAB-LG-BLUE-R,TOWLB-CAB-LG-GREEN-R,TOWLB-CAB-LG-NAVY-R,TOWLB-CAB-LG-ORANG-R,TOWLB-CAB-LG-PINK-R,TOWLB-CAB-LG-RED-R</t>
  </si>
  <si>
    <t>10319666-10371342</t>
  </si>
  <si>
    <t>Bettina</t>
  </si>
  <si>
    <t>Gärtner</t>
  </si>
  <si>
    <t>EU-44328</t>
  </si>
  <si>
    <t>2026-06-22 08:41:46</t>
  </si>
  <si>
    <t>Schmidtauerngasse 17, Neuzeug, Neuzeug</t>
  </si>
  <si>
    <t>10319139-10370815</t>
  </si>
  <si>
    <t>Mitsiopoulou</t>
  </si>
  <si>
    <t>EU-44304</t>
  </si>
  <si>
    <t>2026-06-22 08:43:40</t>
  </si>
  <si>
    <t>Agias Eirinis 17, 2nd floor, Melissia, Melissia</t>
  </si>
  <si>
    <t>151 27</t>
  </si>
  <si>
    <t>BAGF-SUM-MD-UNICN,TOWLB-CAB-LG-LTPNK-R,TOWLB-CAB-XL-BLACK-R,TOWLB-SUM-XL-UNICN-R</t>
  </si>
  <si>
    <t>10317605-10369275</t>
  </si>
  <si>
    <t>Will-Fuchs</t>
  </si>
  <si>
    <t>EU-44284</t>
  </si>
  <si>
    <t>2026-06-22 08:44:04</t>
  </si>
  <si>
    <t>Hintere Gasse 70, Römhild, Römhild</t>
  </si>
  <si>
    <t>PICNIC-DES-LG-SORBET,PICNIC-DES-XL-SORBET,TOWLF-ESS-LG-DKBLU</t>
  </si>
  <si>
    <t>10319917-10371593</t>
  </si>
  <si>
    <t>c/o HOLZSCHEITER</t>
  </si>
  <si>
    <t>Gundlach Beitmirza</t>
  </si>
  <si>
    <t>EU-44332</t>
  </si>
  <si>
    <t>2026-06-22 08:44:46</t>
  </si>
  <si>
    <t>Hauptstraße 38, Lottstetten, Lottstetten</t>
  </si>
  <si>
    <t>10317818-10369489</t>
  </si>
  <si>
    <t>van Lienden</t>
  </si>
  <si>
    <t>EU-44291</t>
  </si>
  <si>
    <t>2026-06-22 08:45:33</t>
  </si>
  <si>
    <t>Westerstraat 17 A, Oudorp, Oudorp</t>
  </si>
  <si>
    <t>1829 BL</t>
  </si>
  <si>
    <t>PONCHK-KID-SM-TURTROP,TOWLB-DES-XL-GRECSHR</t>
  </si>
  <si>
    <t>10318956-10370631</t>
  </si>
  <si>
    <t>Sònia</t>
  </si>
  <si>
    <t>Clarena Baron</t>
  </si>
  <si>
    <t>EU-44313</t>
  </si>
  <si>
    <t>2026-06-22 08:45:50</t>
  </si>
  <si>
    <t>Tomberg 84, Woluwe Saint Lambert, Woluwe Saint Lambert</t>
  </si>
  <si>
    <t>BAGF-SUM-MD-CSTCANDY,DOGTWL-LG-PUPLAID,TOWLB-SUM-XL-COLAGN,TOWLB-SUM-XL-CSTCANDY</t>
  </si>
  <si>
    <t>10319667-10371343</t>
  </si>
  <si>
    <t>Werner</t>
  </si>
  <si>
    <t>EU-44327</t>
  </si>
  <si>
    <t>2026-06-22 08:48:01</t>
  </si>
  <si>
    <t>Heisinger Str, 30, Dietmannsried, Dietmannsried</t>
  </si>
  <si>
    <t>BAGF-SUM-MD-MIAMI,TOWLB-CAB-XL-BLACK-R,TOWLB-SUM-LG-MIAMI</t>
  </si>
  <si>
    <t>10318952-10370627</t>
  </si>
  <si>
    <t>Clementson</t>
  </si>
  <si>
    <t>EU-44308</t>
  </si>
  <si>
    <t>2026-06-22 08:49:00</t>
  </si>
  <si>
    <t>Annerovägen 20, Staffanstorp, Staffanstorp</t>
  </si>
  <si>
    <t>245 38</t>
  </si>
  <si>
    <t>PONCHA-CAB-LG-NAVY-NS,PONCHK-KID-MD-SKATER,PONCHK-SUM-MD-CSTCANDY</t>
  </si>
  <si>
    <t>10321081-10372758</t>
  </si>
  <si>
    <t>Srl docteur Stéphanie Tock</t>
  </si>
  <si>
    <t>Stéphanie</t>
  </si>
  <si>
    <t>Tock</t>
  </si>
  <si>
    <t>EU-44342</t>
  </si>
  <si>
    <t>2026-06-22 08:50:11</t>
  </si>
  <si>
    <t>Rue Margensault 84, Thimister-Clermont, Thimister-Clermont</t>
  </si>
  <si>
    <t>PONCHK-KID-SM-BUBDRM,TOWLB-CAB-XL-PINK-R</t>
  </si>
  <si>
    <t>10319141-10370817</t>
  </si>
  <si>
    <t>Rieke</t>
  </si>
  <si>
    <t>Kreim</t>
  </si>
  <si>
    <t>EU-44306</t>
  </si>
  <si>
    <t>2026-06-22 08:50:37</t>
  </si>
  <si>
    <t>Im Schmelzerwald 62, St. Ingbert, St. Ingbert</t>
  </si>
  <si>
    <t>PICNIC-CAB-XL-NAVY,TOWLB-CAB-LG-NAVY-R</t>
  </si>
  <si>
    <t>10319918-10371594</t>
  </si>
  <si>
    <t>Brabazon</t>
  </si>
  <si>
    <t>EU-44335</t>
  </si>
  <si>
    <t>2026-06-22 08:51:59</t>
  </si>
  <si>
    <t>69 Ayrfield Rd, Ayrfield, Dublin, Dublin</t>
  </si>
  <si>
    <t>D13 X3A8</t>
  </si>
  <si>
    <t>10320113-10371789</t>
  </si>
  <si>
    <t>Hertfelder</t>
  </si>
  <si>
    <t>EU-44338</t>
  </si>
  <si>
    <t>2026-06-22 08:55:32</t>
  </si>
  <si>
    <t>Parasolstr 27, Stuttgart, Stuttgart</t>
  </si>
  <si>
    <t>BAGF-SUM-MD-COLAGN,TOWLB-DES-LG-SWTESC,TOWLB-DES-LG-WTRSUG,TOWLB-DES-LG-WYWH,TOWLB-SUM-LG-COLAGN,TOWLB-SUM-LG-MIAMI,TOWLB-SUM-LG-OCEAN,TOWLB-SUM-LG-TUTFRU</t>
  </si>
  <si>
    <t>10320418-10372094</t>
  </si>
  <si>
    <t>Veronica</t>
  </si>
  <si>
    <t>Kelleher</t>
  </si>
  <si>
    <t>EU-44341</t>
  </si>
  <si>
    <t>2026-06-22 08:56:13</t>
  </si>
  <si>
    <t>Tullyglyn, Ringacoltig, Cobh, Cork</t>
  </si>
  <si>
    <t>P24 K302</t>
  </si>
  <si>
    <t>BAGDRY-XS-HOTTROP,BAGF-SUM-MD-UNICN,PONCHA-SUM-LG-CSTCANDY,TOWLB-CAB-LG-LTPPL-R,TOWLB-CAB-LG-NAVY-R</t>
  </si>
  <si>
    <t>10320114-10371790</t>
  </si>
  <si>
    <t>Maury</t>
  </si>
  <si>
    <t>EU-44337</t>
  </si>
  <si>
    <t>2026-06-22 08:59:16</t>
  </si>
  <si>
    <t>16 Rue de Verdun, Châtelaillon-Plage, Châtelaillon-Plage</t>
  </si>
  <si>
    <t>TOWLB-CAB-XL-NAVY-R,TOWLB-DES-XL-GRECSHR,TOWLB-SUM-LG-UNICN-R</t>
  </si>
  <si>
    <t>10321322-10372999</t>
  </si>
  <si>
    <t>Thyssen</t>
  </si>
  <si>
    <t>EU-44345</t>
  </si>
  <si>
    <t>2026-06-22 09:08:26</t>
  </si>
  <si>
    <t>Oktoberfeeststraat 34, Wieze, Wieze</t>
  </si>
  <si>
    <t>10321159-10372836</t>
  </si>
  <si>
    <t>Nuray</t>
  </si>
  <si>
    <t>Gulenc</t>
  </si>
  <si>
    <t>EU-44344</t>
  </si>
  <si>
    <t>2026-06-22 09:09:40</t>
  </si>
  <si>
    <t>Libel 12, Veldhoven, Veldhoven</t>
  </si>
  <si>
    <t>5508 SC</t>
  </si>
  <si>
    <t>TOWLB-DES-LG-MELLOW,TOWLB-DES-LG-PSTPIER,TOWLB-DES-LG-RSPROAD</t>
  </si>
  <si>
    <t>10321320-10372997</t>
  </si>
  <si>
    <t>Afroditi</t>
  </si>
  <si>
    <t>Vrazioti</t>
  </si>
  <si>
    <t>EU-44346</t>
  </si>
  <si>
    <t>2026-06-22 09:58:33</t>
  </si>
  <si>
    <t>Werderstraße 72, Karlsruhe, Karlsruhe</t>
  </si>
  <si>
    <t>10321754-10373442</t>
  </si>
  <si>
    <t>Hoffrage</t>
  </si>
  <si>
    <t>304-2812607-1353923</t>
  </si>
  <si>
    <t>2026-06-22 09:59:27</t>
  </si>
  <si>
    <t>Moonwisch 29, Geestland, Geestland</t>
  </si>
  <si>
    <t>10321751-10373439</t>
  </si>
  <si>
    <t>Wehinger</t>
  </si>
  <si>
    <t>EU-44358</t>
  </si>
  <si>
    <t>2026-06-22 10:00:07</t>
  </si>
  <si>
    <t>Niederbarnimstraße 10, Bezirk Friedrichshain-Kreuzberg, Berlin, Berlin</t>
  </si>
  <si>
    <t>10321755-10373443</t>
  </si>
  <si>
    <t>Reil</t>
  </si>
  <si>
    <t>305-7839598-3533951</t>
  </si>
  <si>
    <t>2026-06-22 10:00:55</t>
  </si>
  <si>
    <t>Am Bach 6i, Hallbergmoos, Hallbergmoos</t>
  </si>
  <si>
    <t>10321493-10373176</t>
  </si>
  <si>
    <t>Dag i</t>
  </si>
  <si>
    <t>EU-44351</t>
  </si>
  <si>
    <t>2026-06-22 10:01:43</t>
  </si>
  <si>
    <t>Venloer Straße 707, Köln, Köln</t>
  </si>
  <si>
    <t>TOWLB-DES-XL-TANTIDE</t>
  </si>
  <si>
    <t>10321324-10373001</t>
  </si>
  <si>
    <t>Tareef</t>
  </si>
  <si>
    <t>Alsatti</t>
  </si>
  <si>
    <t>EU-44349</t>
  </si>
  <si>
    <t>2026-06-22 10:03:07</t>
  </si>
  <si>
    <t>Stätzlinger Strasse 22c, Augsburg, Augsburg</t>
  </si>
  <si>
    <t>PICNIC-DES-XL-SPRCLUB</t>
  </si>
  <si>
    <t>10321330-10373007</t>
  </si>
  <si>
    <t>Mc Dermott</t>
  </si>
  <si>
    <t>EU-44350</t>
  </si>
  <si>
    <t>2026-06-22 10:04:12</t>
  </si>
  <si>
    <t>Windfield House, Baltrasna Rd, Ashbourne, Meath</t>
  </si>
  <si>
    <t>A84 F850</t>
  </si>
  <si>
    <t>10321497-10373180</t>
  </si>
  <si>
    <t>Joseph</t>
  </si>
  <si>
    <t>Femino</t>
  </si>
  <si>
    <t>EU-44355</t>
  </si>
  <si>
    <t>2026-06-22 10:04:51</t>
  </si>
  <si>
    <t>Rue Buchholtz 1, Ixelles, Ixelles</t>
  </si>
  <si>
    <t>10321494-10373177</t>
  </si>
  <si>
    <t>Vandereyt</t>
  </si>
  <si>
    <t>EU-44352</t>
  </si>
  <si>
    <t>2026-06-22 10:14:05</t>
  </si>
  <si>
    <t>Koning Boudewijnlaan 3, Genk, Genk</t>
  </si>
  <si>
    <t>10321496-10373179</t>
  </si>
  <si>
    <t>Eimear</t>
  </si>
  <si>
    <t>Cannon</t>
  </si>
  <si>
    <t>EU-44354</t>
  </si>
  <si>
    <t>2026-06-22 10:19:20</t>
  </si>
  <si>
    <t>36 Caiseal Cam, Galway, Galway</t>
  </si>
  <si>
    <t>H91 X3KV</t>
  </si>
  <si>
    <t>10321318-10372995</t>
  </si>
  <si>
    <t>Vanessa Burms</t>
  </si>
  <si>
    <t>Burms</t>
  </si>
  <si>
    <t>EU-44347</t>
  </si>
  <si>
    <t>2026-06-22 10:24:19</t>
  </si>
  <si>
    <t>Kasteelstraat, 40, AFFLIGEM, AFFLIGEM</t>
  </si>
  <si>
    <t>BAGF-DES-MD-BANARAM,TEATWL-MD-STRAWFZ,TOWLB-DES-XL-ALOHGLW,TOWLB-DES-XL-GRECSHR,TOWLB-DES-XL-SUNSPL</t>
  </si>
  <si>
    <t>10321080-10372757</t>
  </si>
  <si>
    <t>Daglinger</t>
  </si>
  <si>
    <t>EU-44343</t>
  </si>
  <si>
    <t>2026-06-22 10:51:21</t>
  </si>
  <si>
    <t>Hackenbuch 125, Moosdorf, Moosdorf</t>
  </si>
  <si>
    <t>BAGCOOL-MD-NAVY,PICNIC-DES-XL-MARGMAD,TOWLF-ESS-XL-BLUE-R,TOWLH-CLA-SM-NAVY</t>
  </si>
  <si>
    <t>10321752-10373440</t>
  </si>
  <si>
    <t>Vandeweyer</t>
  </si>
  <si>
    <t>EU-44357</t>
  </si>
  <si>
    <t>2026-06-22 10:53:24</t>
  </si>
  <si>
    <t>JSBachlaan 5, 104, Hasselt, Hasselt</t>
  </si>
  <si>
    <t>TOWLB-CAB-LG-GREEN-R,TOWLB-CAB-LG-LTPNK-R,TOWLB-CAB-LG-NAVY-R</t>
  </si>
  <si>
    <t>10322021-10373720</t>
  </si>
  <si>
    <t>Marquardt</t>
  </si>
  <si>
    <t>EU-44363</t>
  </si>
  <si>
    <t>2026-06-22 11:20:12</t>
  </si>
  <si>
    <t>Am Scheining 14, Borgholzhausen, Borgholzhausen</t>
  </si>
  <si>
    <t>TOWLB-CAB-MD-LTPNK,TOWLF-ESS-XL-DKBLU,TOWLF-ESS-XL-PINK-R</t>
  </si>
  <si>
    <t>10322018-10373717</t>
  </si>
  <si>
    <t>Vollgraf</t>
  </si>
  <si>
    <t>EU-44359</t>
  </si>
  <si>
    <t>2026-06-22 11:21:21</t>
  </si>
  <si>
    <t>Sternstraße 7, Beckum, Beckum</t>
  </si>
  <si>
    <t>10322020-10373719</t>
  </si>
  <si>
    <t>Grant</t>
  </si>
  <si>
    <t>EU-44362</t>
  </si>
  <si>
    <t>2026-06-22 11:24:35</t>
  </si>
  <si>
    <t>11 Cloch Chora, Corofin, Galway</t>
  </si>
  <si>
    <t>H54 F762</t>
  </si>
  <si>
    <t>10321750-10373438</t>
  </si>
  <si>
    <t>Goedee</t>
  </si>
  <si>
    <t>EU-44356</t>
  </si>
  <si>
    <t>2026-06-22 11:34:20</t>
  </si>
  <si>
    <t>Zonnedauw 57, Boskoop, Boskoop</t>
  </si>
  <si>
    <t>2771 RL</t>
  </si>
  <si>
    <t>TOWLB-DES-XL-GRECSHR,TOWLB-SUM-XL-COLAGN</t>
  </si>
  <si>
    <t>10312254-10363892</t>
  </si>
  <si>
    <t>Danone Nutricia Nederland BV</t>
  </si>
  <si>
    <t>Renske</t>
  </si>
  <si>
    <t>van der Loo</t>
  </si>
  <si>
    <t>EU-44210</t>
  </si>
  <si>
    <t>2026-06-22 12:51:04</t>
  </si>
  <si>
    <t>6, Lange Kleiweg 6, Rijswijk, Rijswijk</t>
  </si>
  <si>
    <t>2288 GK</t>
  </si>
  <si>
    <t>TOWLB-CAB-XL-BLUE-R,TOWLB-CAB-XL-GREEN-R,TOWLB-CAB-XL-LTBLU-R,TOWLB-CAB-XL-NAVY-R,TOWLB-CAB-XL-PINK-R,TOWLB-CAB-XL-RED-R</t>
  </si>
  <si>
    <t>10312061-10363690</t>
  </si>
  <si>
    <t>Eisen-Bärle GmbH &amp; Co</t>
  </si>
  <si>
    <t>Gudrun</t>
  </si>
  <si>
    <t>Mergenthaler</t>
  </si>
  <si>
    <t>EUWS-3200</t>
  </si>
  <si>
    <t>2026-06-23 04:38:31</t>
  </si>
  <si>
    <t>Kinzigstraße 8-10, Bruchsal, Bruchsal</t>
  </si>
  <si>
    <t xml:space="preserve">16211 (x1), OWNPACK (x1) A-SCRUNCH-PAPER (x1) A-KRAFT-PAPER-TAPE (x2) </t>
  </si>
  <si>
    <t>POS-DIS-SM-FULL-TOWLB-EN-24,TOWLB-CAB-LG-GREEN-R,TOWLB-CAB-LG-LTBLU-R,TOWLB-CAB-LG-NAVY-R,TOWLB-CAB-LG-PINK-R,TOWLB-CAB-LG-RED-R,TOWLB-CAB-XL-GREEN-R,TOWLB-CAB-XL-KHAKI-R,TOWLB-CAB-XL-LTBLU-R,TOWLB-CAB-XL-RED-R,TOWLB-SUM-LG-COLAGN,TOWLB-SUM-LG-CSTCANDY,TOWLB-SUM-LG-MIAMI,TOWLB-SUM-LG-OCEAN,TOWLB-SUM-XL-COLAGN,TOWLB-SUM-XL-CSTCANDY,TOWLB-SUM-XL-MIAMI,TOWLB-SUM-XL-OCEAN</t>
  </si>
  <si>
    <t>10322342-10374032</t>
  </si>
  <si>
    <t>Tatiana</t>
  </si>
  <si>
    <t>Domzig</t>
  </si>
  <si>
    <t>EU-44364</t>
  </si>
  <si>
    <t>2026-06-23 04:42:36</t>
  </si>
  <si>
    <t>Schlehenweg 60, Schneverdingen, Schneverdingen</t>
  </si>
  <si>
    <t>10312410-10364055</t>
  </si>
  <si>
    <t>Breman</t>
  </si>
  <si>
    <t>EU-44214</t>
  </si>
  <si>
    <t>2026-06-23 04:46:20</t>
  </si>
  <si>
    <t>Langestraat 18, Genemuiden, Genemuiden</t>
  </si>
  <si>
    <t>8281 AL</t>
  </si>
  <si>
    <t>10322339-10374029</t>
  </si>
  <si>
    <t>Bührenhaus</t>
  </si>
  <si>
    <t>EU-44366</t>
  </si>
  <si>
    <t>2026-06-23 04:48:38</t>
  </si>
  <si>
    <t>Weisses Venn 119, Herzebrock-Clarholz, Herzebrock-Clarholz</t>
  </si>
  <si>
    <t>10322344-10374034</t>
  </si>
  <si>
    <t>EU-44368</t>
  </si>
  <si>
    <t>2026-06-23 04:49:31</t>
  </si>
  <si>
    <t>Brandenburger Weg 6, Hofheim, Hofheim</t>
  </si>
  <si>
    <t>10322561-10374253</t>
  </si>
  <si>
    <t>Angeli</t>
  </si>
  <si>
    <t>EU-44371</t>
  </si>
  <si>
    <t>2026-06-23 04:51:10</t>
  </si>
  <si>
    <t>Hainsbachweg 8, Heidelberg, Heidelberg</t>
  </si>
  <si>
    <t>10312563-10364213</t>
  </si>
  <si>
    <t>Schlenther</t>
  </si>
  <si>
    <t>EU-44217</t>
  </si>
  <si>
    <t>2026-06-23 04:54:34</t>
  </si>
  <si>
    <t>Hauptstraße 11, Petershausen, Petershausen</t>
  </si>
  <si>
    <t>BAGF-SUM-MD-COLAGN,BAGF-SUM-MD-MIAMI,BAGF-SUM-MD-UNICN,BALLAST-SUM-MIAMI,HAIRW-SUE-MIAMI,HAIRW-SUM-UNICN-NB,TOWLB-SUM-LG-COLAGN,TOWLB-SUM-LG-MIAMI,TOWLB-SUM-LG-UNICN-R,TOWLB-SUM-XL-COLAGN,TOWLB-SUM-XL-MIAMI,TOWLB-SUM-XL-UNICN-R</t>
  </si>
  <si>
    <t>10322340-10374030</t>
  </si>
  <si>
    <t>Dinius</t>
  </si>
  <si>
    <t>EU-44365</t>
  </si>
  <si>
    <t>2026-06-23 05:37:03</t>
  </si>
  <si>
    <t>Rempartstraße, 33d, Endingen am Kaiserstuhl, Endingen am Kaiserstuhl</t>
  </si>
  <si>
    <t>PONCHA-CAB-LG-BLUE-NS,TOWLB-CAB-XL-PINK-R,TOWLB-KID-MD-JELLY</t>
  </si>
  <si>
    <t>10324469-10376193</t>
  </si>
  <si>
    <t>Nicholas</t>
  </si>
  <si>
    <t>Bofilatos</t>
  </si>
  <si>
    <t>EU-44405</t>
  </si>
  <si>
    <t>2026-06-23 05:37:39</t>
  </si>
  <si>
    <t>Tjalkkade 11, Haarlem, Haarlem</t>
  </si>
  <si>
    <t>2022 GC</t>
  </si>
  <si>
    <t>PP-TOWLB-CAB-XL-4SET-ORANGE,TOWLB-DES-XL-HOTTROP,TOWLB-DES-XL-IBZAGLW,TOWLB-DES-XL-SWTESC,TOWLB-DES-XL-TANTIDE</t>
  </si>
  <si>
    <t>10322558-10374250</t>
  </si>
  <si>
    <t>Hahnemann</t>
  </si>
  <si>
    <t>EU-44370</t>
  </si>
  <si>
    <t>2026-06-23 05:38:31</t>
  </si>
  <si>
    <t>Im Grund 10, Niedernhausen, Niedernhausen</t>
  </si>
  <si>
    <t>PONCHK-CAB-MD-NAVY-NS,TOWLB-DES-XL-HOTTROP</t>
  </si>
  <si>
    <t>10325193-10376927</t>
  </si>
  <si>
    <t>Gordon</t>
  </si>
  <si>
    <t>EU-44425</t>
  </si>
  <si>
    <t>2026-06-23 05:40:01</t>
  </si>
  <si>
    <t>2 Dun Ard, Kiltoy, Letterkenny, Donegal</t>
  </si>
  <si>
    <t>F92 T9WY</t>
  </si>
  <si>
    <t>10322560-10374252</t>
  </si>
  <si>
    <t>EU-44369</t>
  </si>
  <si>
    <t>2026-06-23 05:40:15</t>
  </si>
  <si>
    <t>BALLAST-DES-GRECSH,TOWLB-CAB-LG-BLUE-R,TOWLB-CAB-XL-BLUE-R,TOWLB-DES-LG-GRECSHR,TOWLB-DES-XL-GRECSHR</t>
  </si>
  <si>
    <t>10319670-10371346</t>
  </si>
  <si>
    <t>Kornelia</t>
  </si>
  <si>
    <t>Neitzke</t>
  </si>
  <si>
    <t>EU-44331</t>
  </si>
  <si>
    <t>2026-06-23 05:41:13</t>
  </si>
  <si>
    <t>Rheinaue 53, Dinslaken, Dinslaken</t>
  </si>
  <si>
    <t>TEATWL-MD-APPLTRT,TOWLB-DES-XL-LEMWAV,TOWLB-KID-LG-POWPOS,TOWLB-SUM-XL-COLAGN</t>
  </si>
  <si>
    <t>10324700-10376424</t>
  </si>
  <si>
    <t>Adenauer</t>
  </si>
  <si>
    <t>EU-44418</t>
  </si>
  <si>
    <t>2026-06-23 05:42:10</t>
  </si>
  <si>
    <t>Forststr 4, Bonn, Bonn</t>
  </si>
  <si>
    <t>PONCHK-KID-MD-INTOWILD,PONCHK-KID-SM-TURTROP</t>
  </si>
  <si>
    <t>10324192-10375916</t>
  </si>
  <si>
    <t>Cohen</t>
  </si>
  <si>
    <t>EU-44401</t>
  </si>
  <si>
    <t>2026-06-23 05:43:36</t>
  </si>
  <si>
    <t>Heubnerweg 7a, Berlin, Berlin</t>
  </si>
  <si>
    <t>TOWLB-CAB-MD-LTBLU,TOWLB-CAB-MD-LTPNK,TOWLB-CAB-MD-NAVY,TOWLB-SUM-MD-UNICN</t>
  </si>
  <si>
    <t>10322875-10374572</t>
  </si>
  <si>
    <t>Milena</t>
  </si>
  <si>
    <t>Latifi</t>
  </si>
  <si>
    <t>EU-44376</t>
  </si>
  <si>
    <t>2026-06-23 05:45:49</t>
  </si>
  <si>
    <t>Heidstraße 2, Weyhe, Weyhe</t>
  </si>
  <si>
    <t>TOWLB-DES-LG-GRECSHR,TOWLB-DES-LG-HOTTROP,TOWLB-DES-LG-IBZAGLW,TOWLB-DES-LG-PNKPARA,TOWLB-DES-LG-SWTESC,TOWLB-DES-LG-TANTIDE,TOWLB-DES-LG-WYWH</t>
  </si>
  <si>
    <t>10321327-10373004</t>
  </si>
  <si>
    <t>Zábranská</t>
  </si>
  <si>
    <t>EU-44348</t>
  </si>
  <si>
    <t>2026-06-23 05:48:11</t>
  </si>
  <si>
    <t>Čs brigády 1725, Bystřice pod Hostýnem, Ziln</t>
  </si>
  <si>
    <t>768 61</t>
  </si>
  <si>
    <t>PICNIC-DES-XL-STRIPLIFE,TOWLB-DES-LG-MELLOW,TOWLB-DES-LG-PSTPIER,TOWLB-DES-LG-RSPROAD</t>
  </si>
  <si>
    <t>10322871-10374568</t>
  </si>
  <si>
    <t>Sylke</t>
  </si>
  <si>
    <t>Wolter</t>
  </si>
  <si>
    <t>EU-44375</t>
  </si>
  <si>
    <t>2026-06-23 05:49:29</t>
  </si>
  <si>
    <t>An den Gärten 1, Waldems, Waldems</t>
  </si>
  <si>
    <t>10323368-10375085</t>
  </si>
  <si>
    <t>O Leary</t>
  </si>
  <si>
    <t>EU-44383</t>
  </si>
  <si>
    <t>2026-06-23 05:51:18</t>
  </si>
  <si>
    <t>3 Westbury Ave, Westbury Court, Lucan, Dublin</t>
  </si>
  <si>
    <t>K78 E1W6</t>
  </si>
  <si>
    <t>10311670-10363297</t>
  </si>
  <si>
    <t>EUWS-3211</t>
  </si>
  <si>
    <t>2026-06-23 05:52:29</t>
  </si>
  <si>
    <t xml:space="preserve">16212 (x1) A-SCRUNCH-PAPER (x1) A-KRAFT-PAPER-TAPE (x2) </t>
  </si>
  <si>
    <t>COOL-CAB-NAVY-R,COOL-DES-MIDNMOV,COOL-DES-SUNSRUN,HAIRW-SUE-HOTTROP,HAIRW-SUE-IBZAGLW,HAIRW-SUE-OCETRES,TEATWL-MD-CHECKPLS,TEATWL-MD-PEAPOD,TEATWL-MD-RGRTTI</t>
  </si>
  <si>
    <t>10318599-10370272</t>
  </si>
  <si>
    <t>Hepp</t>
  </si>
  <si>
    <t>EU-44301</t>
  </si>
  <si>
    <t>2026-06-23 05:53:59</t>
  </si>
  <si>
    <t>Dahlienstrasse 4, Sinzheim, Sinzheim</t>
  </si>
  <si>
    <t>BALLAST-SUM-CSTCANDY,COOL-CAB-NAVY-R,GIFT-BOX-BEAUTY-CHRYBMB</t>
  </si>
  <si>
    <t>10324188-10375912</t>
  </si>
  <si>
    <t>Regis</t>
  </si>
  <si>
    <t>Benabou</t>
  </si>
  <si>
    <t>305-5140767-2277924</t>
  </si>
  <si>
    <t>2026-06-23 05:55:47</t>
  </si>
  <si>
    <t>Stegerwiese 7b, Kitzbühel, Kitzbühel</t>
  </si>
  <si>
    <t>10322562-10374254</t>
  </si>
  <si>
    <t>Ali</t>
  </si>
  <si>
    <t>Zadeh</t>
  </si>
  <si>
    <t>303-4773922-7478738</t>
  </si>
  <si>
    <t>2026-06-23 05:56:55</t>
  </si>
  <si>
    <t>Wielandstraße 13, Dettingen An Der Iller, Dettingen An Der Iller</t>
  </si>
  <si>
    <t>PICNIC-DES-XL-BRGTSIDE,PICNIC-DES-XL-STRIPLIFE</t>
  </si>
  <si>
    <t>10324196-10375920</t>
  </si>
  <si>
    <t>Jilek</t>
  </si>
  <si>
    <t>EU-44403</t>
  </si>
  <si>
    <t>2026-06-23 05:56:59</t>
  </si>
  <si>
    <t>Waldstr 7, Pöcking, Pöcking</t>
  </si>
  <si>
    <t>10322868-10374565</t>
  </si>
  <si>
    <t>EU-44372</t>
  </si>
  <si>
    <t>2026-06-23 05:58:10</t>
  </si>
  <si>
    <t>117 Clonkeen Rd, Deansgrange, Dublin, Dublin</t>
  </si>
  <si>
    <t>A94 XV74</t>
  </si>
  <si>
    <t>10323370-10375087</t>
  </si>
  <si>
    <t>EU-44381</t>
  </si>
  <si>
    <t>2026-06-23 05:59:03</t>
  </si>
  <si>
    <t>5 Saint Vincents Park, Blackrock, Dublin</t>
  </si>
  <si>
    <t>PONCHA-DES-LG-WTRSUG</t>
  </si>
  <si>
    <t>10322873-10374570</t>
  </si>
  <si>
    <t>Feick</t>
  </si>
  <si>
    <t>EU-44374</t>
  </si>
  <si>
    <t>2026-06-23 05:59:25</t>
  </si>
  <si>
    <t>Königsberger Weg 21, Bingen am Rhein, Bingen am Rhein</t>
  </si>
  <si>
    <t>10324697-10376421</t>
  </si>
  <si>
    <t>Nils</t>
  </si>
  <si>
    <t>Schmeinck</t>
  </si>
  <si>
    <t>EU-44416</t>
  </si>
  <si>
    <t>2026-06-23 05:59:46</t>
  </si>
  <si>
    <t>Ellen-Ammann-Straße 5, Bamberg, Bamberg</t>
  </si>
  <si>
    <t>PONCHK-CAB-MD-NAVY-NS</t>
  </si>
  <si>
    <t>10324696-10376420</t>
  </si>
  <si>
    <t>Janka</t>
  </si>
  <si>
    <t>Zoeller</t>
  </si>
  <si>
    <t>EU-44414</t>
  </si>
  <si>
    <t>2026-06-23 06:00:40</t>
  </si>
  <si>
    <t>Seitersweg 21, Darmstadt, Darmstadt</t>
  </si>
  <si>
    <t>10324885-10376619</t>
  </si>
  <si>
    <t>Jasmine</t>
  </si>
  <si>
    <t>Blenkins O’Callaghan</t>
  </si>
  <si>
    <t>EU-44422</t>
  </si>
  <si>
    <t>2026-06-23 06:01:55</t>
  </si>
  <si>
    <t>66 Carrigeen, Annacotty, Limerick</t>
  </si>
  <si>
    <t>V94 EC8N</t>
  </si>
  <si>
    <t>10324184-10375908</t>
  </si>
  <si>
    <t>EU-44399</t>
  </si>
  <si>
    <t>2026-06-23 06:02:02</t>
  </si>
  <si>
    <t>Cuannamara, 22 Sutton Strand, Sutton, Dublin, Dublin</t>
  </si>
  <si>
    <t>D13 H9F2</t>
  </si>
  <si>
    <t>PONCHA-CLA-LG-NAVY-NS,TEATWL-MD-PEAPOD</t>
  </si>
  <si>
    <t>10324194-10375918</t>
  </si>
  <si>
    <t>Kiss</t>
  </si>
  <si>
    <t>EU-44404</t>
  </si>
  <si>
    <t>2026-06-23 06:02:54</t>
  </si>
  <si>
    <t>Beethovenstraat 717, Amsterdam, Amsterdam</t>
  </si>
  <si>
    <t>1083 HK</t>
  </si>
  <si>
    <t>10323373-10375091</t>
  </si>
  <si>
    <t>Muyldermans</t>
  </si>
  <si>
    <t>EU-44384</t>
  </si>
  <si>
    <t>2026-06-23 06:03:23</t>
  </si>
  <si>
    <t>Lelielaan, 21, Boortmeerbeek, Boortmeerbeek</t>
  </si>
  <si>
    <t>TOWLB-DES-XL-SUNSPL,TOWLB-SUM-XL-COLAGN</t>
  </si>
  <si>
    <t>10323371-10375088</t>
  </si>
  <si>
    <t>Marie-Odile</t>
  </si>
  <si>
    <t>SCEPI</t>
  </si>
  <si>
    <t>EU-44380</t>
  </si>
  <si>
    <t>2026-06-23 06:03:53</t>
  </si>
  <si>
    <t>57 Route de Gencay, Poitiers, Poitiers</t>
  </si>
  <si>
    <t>10323372-10375090</t>
  </si>
  <si>
    <t>Sättele</t>
  </si>
  <si>
    <t>EU-44379</t>
  </si>
  <si>
    <t>2026-06-23 06:04:25</t>
  </si>
  <si>
    <t>Breitgasse 1, Hirschberg, Hirschberg</t>
  </si>
  <si>
    <t>TOWLB-DES-XL-IBZAGLW,TOWLB-DES-XL-SUNSPL</t>
  </si>
  <si>
    <t>10323957-10375679</t>
  </si>
  <si>
    <t>Pollerspöck</t>
  </si>
  <si>
    <t>EU-44388</t>
  </si>
  <si>
    <t>2026-06-23 06:04:27</t>
  </si>
  <si>
    <t>Brunnenfeldweg 8, Geretsried, Geretsried</t>
  </si>
  <si>
    <t>10324887-10376621</t>
  </si>
  <si>
    <t>Gehringer</t>
  </si>
  <si>
    <t>EU-44423</t>
  </si>
  <si>
    <t>2026-06-23 06:05:16</t>
  </si>
  <si>
    <t>Sankt Michael 68, Erlangen, Erlangen</t>
  </si>
  <si>
    <t>10322343-10374033</t>
  </si>
  <si>
    <t>Schipke</t>
  </si>
  <si>
    <t>EU-44367</t>
  </si>
  <si>
    <t>2026-06-23 06:06:10</t>
  </si>
  <si>
    <t>Egelsee 9, Dietingen, Dietingen</t>
  </si>
  <si>
    <t>PICNIC-DES-LG-BRGTSIDE,PP-TOWLB-CAB-LG-6SETI</t>
  </si>
  <si>
    <t>10323777-10375499</t>
  </si>
  <si>
    <t>Philipp</t>
  </si>
  <si>
    <t>Mackeprang</t>
  </si>
  <si>
    <t>305-7578488-6631507</t>
  </si>
  <si>
    <t>2026-06-23 06:06:13</t>
  </si>
  <si>
    <t>Niehler Straße 11, Köln, Köln</t>
  </si>
  <si>
    <t>10323959-10375681</t>
  </si>
  <si>
    <t>Hattenkofer</t>
  </si>
  <si>
    <t>305-0404636-9225156</t>
  </si>
  <si>
    <t>2026-06-23 06:07:26</t>
  </si>
  <si>
    <t>Griesbacher Str 30, Marklkofen, Bayern</t>
  </si>
  <si>
    <t>10323961-10375683</t>
  </si>
  <si>
    <t>Percy</t>
  </si>
  <si>
    <t>EU-44396</t>
  </si>
  <si>
    <t>2026-06-23 06:08:23</t>
  </si>
  <si>
    <t>6 Steenputten, Vossem, Vossem</t>
  </si>
  <si>
    <t>HAIRW-SUE-PNKPARA,PONCHA-SUM-LG-LAZRIV</t>
  </si>
  <si>
    <t>10323958-10375680</t>
  </si>
  <si>
    <t>Inna</t>
  </si>
  <si>
    <t>Vilenska</t>
  </si>
  <si>
    <t>EU-44389</t>
  </si>
  <si>
    <t>2026-06-23 06:10:01</t>
  </si>
  <si>
    <t>Kapu St 40/1-2, Phone Number 371 29163134, Jurmala, Jurmala</t>
  </si>
  <si>
    <t>LV-2008</t>
  </si>
  <si>
    <t>Latvia</t>
  </si>
  <si>
    <t>BAGDRY-MD-WAVYBBY,BAGDRY-XS-WAVYBBY</t>
  </si>
  <si>
    <t>10324471-10376195</t>
  </si>
  <si>
    <t>Prock</t>
  </si>
  <si>
    <t>EU-44410</t>
  </si>
  <si>
    <t>2026-06-23 06:11:11</t>
  </si>
  <si>
    <t>Neutorgasse 2, Eggenburg, Eggenburg</t>
  </si>
  <si>
    <t>BALLAST-SUM-CSTCANDY</t>
  </si>
  <si>
    <t>10323962-10375684</t>
  </si>
  <si>
    <t>Eugenia</t>
  </si>
  <si>
    <t>EU-44395</t>
  </si>
  <si>
    <t>2026-06-23 06:11:13</t>
  </si>
  <si>
    <t>97 Posidonos Ave, Glyfada, Glyfada</t>
  </si>
  <si>
    <t>166 74</t>
  </si>
  <si>
    <t>10323960-10375682</t>
  </si>
  <si>
    <t>Daute</t>
  </si>
  <si>
    <t>EU-44397</t>
  </si>
  <si>
    <t>2026-06-23 06:17:09</t>
  </si>
  <si>
    <t>Berggartenstraße 10, Leipzig, Leipzig</t>
  </si>
  <si>
    <t>04155</t>
  </si>
  <si>
    <t>BAGF-SUM-MD-CSTCANDY,TOWLB-DES-XL-IBZAGLW,TOWLB-DES-XL-LEMWAV,TOWLB-SUM-XL-CSTCANDY,TOWLB-SUM-XL-TUTFRU</t>
  </si>
  <si>
    <t>10324698-10376422</t>
  </si>
  <si>
    <t>윤곤</t>
  </si>
  <si>
    <t>이</t>
  </si>
  <si>
    <t>EU-44415</t>
  </si>
  <si>
    <t>2026-06-23 06:18:10</t>
  </si>
  <si>
    <t>Hirtengasse 5, 0 floor (Jung/Lee), Neu-Isenburg, Neu-Isenburg</t>
  </si>
  <si>
    <t>TOWLB-DES-XL-SWTESC,TOWLB-DES-XL-WYWH</t>
  </si>
  <si>
    <t>10324474-10376198</t>
  </si>
  <si>
    <t>Silviu</t>
  </si>
  <si>
    <t>Stricat</t>
  </si>
  <si>
    <t>EU-44411</t>
  </si>
  <si>
    <t>2026-06-23 06:19:15</t>
  </si>
  <si>
    <t>Pfarrer-Hofmann-Straße 26, Teublitz, Teublitz</t>
  </si>
  <si>
    <t>10323963-10375685</t>
  </si>
  <si>
    <t>Max</t>
  </si>
  <si>
    <t>Gennburg</t>
  </si>
  <si>
    <t>EU-44394</t>
  </si>
  <si>
    <t>2026-06-23 06:20:26</t>
  </si>
  <si>
    <t>Niels-Bohr-Ring 8, Potsdam, Potsdam</t>
  </si>
  <si>
    <t>10324186-10375910</t>
  </si>
  <si>
    <t>Gruber</t>
  </si>
  <si>
    <t>EU-44400</t>
  </si>
  <si>
    <t>2026-06-23 06:22:04</t>
  </si>
  <si>
    <t>Am Kalkacker 19, Wolfratshausen, Wolfratshausen</t>
  </si>
  <si>
    <t>10324190-10375914</t>
  </si>
  <si>
    <t>Société ALL CONTENTS</t>
  </si>
  <si>
    <t>BAYET-TAVARES</t>
  </si>
  <si>
    <t>EU-44402</t>
  </si>
  <si>
    <t>2026-06-23 06:23:05</t>
  </si>
  <si>
    <t>38B Ave de la République, Clermont-Ferrand, Clermont-Ferrand</t>
  </si>
  <si>
    <t>BAGF-DES-MD-CHECKMT,BAGF-DES-MD-WYWH,TOWLB-DES-XL-LEMWAV</t>
  </si>
  <si>
    <t>10323374-10375092</t>
  </si>
  <si>
    <t>EU-44385</t>
  </si>
  <si>
    <t>2026-06-23 06:31:11</t>
  </si>
  <si>
    <t>Graf-Arco-Str 7, Stein an der Traun, Stein an der Traun</t>
  </si>
  <si>
    <t>10324699-10376423</t>
  </si>
  <si>
    <t>Bormann</t>
  </si>
  <si>
    <t>EU-44419</t>
  </si>
  <si>
    <t>2026-06-23 06:33:58</t>
  </si>
  <si>
    <t>Heiligengrabstraße 74, Hof, Hof</t>
  </si>
  <si>
    <t>10323780-10375502</t>
  </si>
  <si>
    <t>Ana</t>
  </si>
  <si>
    <t>Strehl</t>
  </si>
  <si>
    <t>EU-44392</t>
  </si>
  <si>
    <t>2026-06-23 06:36:56</t>
  </si>
  <si>
    <t>Bertha-von-Suttner-Straße 54, Erdgeschoss, Iserlohn, Iserlohn</t>
  </si>
  <si>
    <t>10312564-10364214</t>
  </si>
  <si>
    <t>Eldering</t>
  </si>
  <si>
    <t>EU-44218</t>
  </si>
  <si>
    <t>2026-06-23 06:41:20</t>
  </si>
  <si>
    <t>it Harspit 3, Sneek, Sneek</t>
  </si>
  <si>
    <t>8604 VS</t>
  </si>
  <si>
    <t>10325542-10377277</t>
  </si>
  <si>
    <t>Biehn</t>
  </si>
  <si>
    <t>EU-44429</t>
  </si>
  <si>
    <t>2026-06-23 06:43:06</t>
  </si>
  <si>
    <t>Braystraße 3, München, München</t>
  </si>
  <si>
    <t>TOWLB-SUM-LG-MIAMI,TOWLB-SUM-LG-UNICN-R</t>
  </si>
  <si>
    <t>10322874-10374571</t>
  </si>
  <si>
    <t>Schraml</t>
  </si>
  <si>
    <t>EU-44373</t>
  </si>
  <si>
    <t>2026-06-23 06:44:36</t>
  </si>
  <si>
    <t>Am Kirchbühl 9, Plößberg, Plößberg</t>
  </si>
  <si>
    <t>TOWLB-DES-XL-HOTTROP,TOWLB-DOB-XL-CALM</t>
  </si>
  <si>
    <t>10323135-10374843</t>
  </si>
  <si>
    <t>Grit</t>
  </si>
  <si>
    <t>von boenigk</t>
  </si>
  <si>
    <t>EU-44377</t>
  </si>
  <si>
    <t>2026-06-23 06:45:40</t>
  </si>
  <si>
    <t>Schulweg 27, Fambach, Fambach</t>
  </si>
  <si>
    <t>TOWLB-DOB-XL-CALM,TOWLB-SUM-XL-OCEAN</t>
  </si>
  <si>
    <t>10324472-10376196</t>
  </si>
  <si>
    <t>Seaway 7</t>
  </si>
  <si>
    <t>Kris</t>
  </si>
  <si>
    <t>Niddrie</t>
  </si>
  <si>
    <t>EU-44409</t>
  </si>
  <si>
    <t>2026-06-23 07:01:52</t>
  </si>
  <si>
    <t>Louis Pasteurlaan 5, Zoetermeer, Zoetermeer</t>
  </si>
  <si>
    <t>2719 EE</t>
  </si>
  <si>
    <t>10325194-10376928</t>
  </si>
  <si>
    <t>Eldöy</t>
  </si>
  <si>
    <t>EU-44426</t>
  </si>
  <si>
    <t>2026-06-23 07:02:38</t>
  </si>
  <si>
    <t>Hermann-Löns-Weg10, Isernhagen, Isernhagen</t>
  </si>
  <si>
    <t>10323369-10375086</t>
  </si>
  <si>
    <t>Adelberg</t>
  </si>
  <si>
    <t>EU-44382</t>
  </si>
  <si>
    <t>2026-06-23 07:03:43</t>
  </si>
  <si>
    <t>Hüttenstr 20, Erftstadt, Erftstadt</t>
  </si>
  <si>
    <t>BAGF-SUM-MD-UNICN,PICNIC-SUM-XL-UNICN</t>
  </si>
  <si>
    <t>10324470-10376194</t>
  </si>
  <si>
    <t>ter Riet</t>
  </si>
  <si>
    <t>EU-44407</t>
  </si>
  <si>
    <t>2026-06-23 07:31:10</t>
  </si>
  <si>
    <t>Ypeloweg 2-G, Enter, Enter</t>
  </si>
  <si>
    <t>7468 RB</t>
  </si>
  <si>
    <t>TOWLB-DES-XL-LEMWAV,TOWLB-DES-XL-TANTIDE,TOWLB-SUM-XL-COLAGN,TOWLB-SUM-XL-CSTCANDY,TOWLB-SUM-XL-OCEAN</t>
  </si>
  <si>
    <t>10324473-10376197</t>
  </si>
  <si>
    <t>JD Kitchens</t>
  </si>
  <si>
    <t>EU-44408</t>
  </si>
  <si>
    <t>2026-06-23 07:33:42</t>
  </si>
  <si>
    <t>Unit 5,  Ashcourt, Ashbourne Industrial Estate, Ashbourne, Meath</t>
  </si>
  <si>
    <t>A84 PX38</t>
  </si>
  <si>
    <t>TOWLB-SUM-XL-COLAGN,TOWLB-SUM-XL-CSTCANDY,TOWLB-SUM-XL-TUTFRU</t>
  </si>
  <si>
    <t>10322019-10373718</t>
  </si>
  <si>
    <t>Ira</t>
  </si>
  <si>
    <t>EU-44361</t>
  </si>
  <si>
    <t>2026-06-23 07:38:02</t>
  </si>
  <si>
    <t>Alemannenweg 14, Bad Wörishofen, Bad Wörishofen</t>
  </si>
  <si>
    <t>BAGCOOL-MD-NAVY,PICNIC-CAB-XL-NAVY,TOWLB-DES-XL-LEMWAV,TOWLF-ESS-XL-BLUE-R</t>
  </si>
  <si>
    <t>10324884-10376618</t>
  </si>
  <si>
    <t>nathalie</t>
  </si>
  <si>
    <t>pechalat</t>
  </si>
  <si>
    <t>EU-44420</t>
  </si>
  <si>
    <t>2026-06-23 07:41:02</t>
  </si>
  <si>
    <t>4 Place de lEglise, Saint-Cloud, Saint-Cloud</t>
  </si>
  <si>
    <t>TOWLB-KID-LG-GVCLUB,TOWLB-SUM-XL-COLAGN,TOWLB-SUM-XL-CSTCANDY</t>
  </si>
  <si>
    <t>10324694-10376418</t>
  </si>
  <si>
    <t>Ségolène</t>
  </si>
  <si>
    <t>Foltzer</t>
  </si>
  <si>
    <t>EU-44413</t>
  </si>
  <si>
    <t>2026-06-23 07:43:26</t>
  </si>
  <si>
    <t>Hausener Obergasse 3, Frankfurt am Main, Frankfurt am Main</t>
  </si>
  <si>
    <t>PONCHK-SUM-MD-UNICN-NS,TOWLB-CAB-XL-BLUE-R,TOWLB-SUM-XL-COLAGN,TOWLB-SUM-XL-TUTFRU,TOWLB-SUM-XL-UNICN-R</t>
  </si>
  <si>
    <t>10324695-10376419</t>
  </si>
  <si>
    <t>Jule</t>
  </si>
  <si>
    <t>Neuberger</t>
  </si>
  <si>
    <t>304-1199933-6237101</t>
  </si>
  <si>
    <t>2026-06-23 07:49:02</t>
  </si>
  <si>
    <t>Miltenberger Straße 22a, Bürgstadt, Bürgstadt</t>
  </si>
  <si>
    <t>10323781-10375503</t>
  </si>
  <si>
    <t>Sophie-Caroline</t>
  </si>
  <si>
    <t>LENAIN</t>
  </si>
  <si>
    <t>EU-44391</t>
  </si>
  <si>
    <t>2026-06-23 07:50:43</t>
  </si>
  <si>
    <t>25 Ave Alfred Grimal, Bordeaux, Bordeaux</t>
  </si>
  <si>
    <t>10324886-10376620</t>
  </si>
  <si>
    <t>Amrose</t>
  </si>
  <si>
    <t>EU-44421</t>
  </si>
  <si>
    <t>2026-06-23 07:59:59</t>
  </si>
  <si>
    <t>2 Rue de la Chiers, Differdange, Differdange</t>
  </si>
  <si>
    <t>PICNIC-CAB-XL-NAVY,TOWLB-CAB-XL-LTBLU-R</t>
  </si>
  <si>
    <t>10323779-10375501</t>
  </si>
  <si>
    <t>Sylvia</t>
  </si>
  <si>
    <t>Hellinckx</t>
  </si>
  <si>
    <t>EU-44393</t>
  </si>
  <si>
    <t>2026-06-23 08:01:18</t>
  </si>
  <si>
    <t>Bordekensstraat 34, Zemst, Zemst</t>
  </si>
  <si>
    <t>BAGF-CAB-MD-LTPNK,PP-TOWLB-CAB-LG-6SETI</t>
  </si>
  <si>
    <t>10321753-10373441</t>
  </si>
  <si>
    <t>George Souccar</t>
  </si>
  <si>
    <t>Giorgos</t>
  </si>
  <si>
    <t>Souccar</t>
  </si>
  <si>
    <t>EUWS-3217</t>
  </si>
  <si>
    <t>2026-06-23 08:08:32</t>
  </si>
  <si>
    <t>14 aischylou larnaca, House, Larnaca, Larnaca</t>
  </si>
  <si>
    <t>BAGF-SUM-MD-MIAMI,TOWLB-CAB-LG-NAVY-R,TOWLB-CAB-XL-GREEN-R,TOWLB-DES-XL-GRECSHR,TOWLB-DES-XL-HOTTROP,TOWLB-DES-XL-SWTESC,TOWLB-SUM-XL-MIAMI</t>
  </si>
  <si>
    <t>10324468-10376192</t>
  </si>
  <si>
    <t>valerie</t>
  </si>
  <si>
    <t>DUVERGER</t>
  </si>
  <si>
    <t>EU-44406</t>
  </si>
  <si>
    <t>2026-06-23 08:20:01</t>
  </si>
  <si>
    <t>2 Route des Chaumes, Roches-Prémarie-Andillé, Roches-Prémarie-Andillé</t>
  </si>
  <si>
    <t>TOWLB-CAB-LG-LTPNK-R,TOWLB-SUM-LG-MIAMI</t>
  </si>
  <si>
    <t>10323576-10375296</t>
  </si>
  <si>
    <t>EU-44387</t>
  </si>
  <si>
    <t>2026-06-23 08:20:52</t>
  </si>
  <si>
    <t>Rue Victor Lefèvre 24, Schaerbeek, Schaerbeek</t>
  </si>
  <si>
    <t>10317813-10369484</t>
  </si>
  <si>
    <t>EUWS-3213</t>
  </si>
  <si>
    <t>2026-06-23 08:23:45</t>
  </si>
  <si>
    <t>BAGDRY-MD-MIAMI,BAGDRY-XS-MIAMI,BAGDRY-XS-NAVY,BAGF-SUM-MD-UNICN,BALLAST-SUM-CSTCANDY,TOWLB-CAB-LG-GREEN-R,TOWLB-CAB-LG-LTPNK-R,TOWLB-CAB-LG-NAVY-R,TOWLB-SUM-LG-CSTCANDY</t>
  </si>
  <si>
    <t>10325841-10377577</t>
  </si>
  <si>
    <t>Carolina</t>
  </si>
  <si>
    <t>Ruiz</t>
  </si>
  <si>
    <t>EU-44434</t>
  </si>
  <si>
    <t>2026-06-23 08:26:31</t>
  </si>
  <si>
    <t>Waalstraat 120, 3, Ámsterdam, Ámsterdam</t>
  </si>
  <si>
    <t>1079 EC</t>
  </si>
  <si>
    <t>10325839-10377575</t>
  </si>
  <si>
    <t>Plesch</t>
  </si>
  <si>
    <t>EU-44433</t>
  </si>
  <si>
    <t>2026-06-23 08:27:53</t>
  </si>
  <si>
    <t>Seestr18, Herrsching, Herrsching</t>
  </si>
  <si>
    <t>10323966-10375688</t>
  </si>
  <si>
    <t>FBA15LYBQZ9X</t>
  </si>
  <si>
    <t>2026-06-23 08:29:45</t>
  </si>
  <si>
    <t>TOWLB-CAB-XL-NAVY-R,TOWLB-CAB-XL-PINK-R</t>
  </si>
  <si>
    <t>10325836-10377572</t>
  </si>
  <si>
    <t>Annunziata</t>
  </si>
  <si>
    <t>EU-44430</t>
  </si>
  <si>
    <t>2026-06-23 08:30:00</t>
  </si>
  <si>
    <t>Calwerstrasse 32, Stuttgart, Stuttgart</t>
  </si>
  <si>
    <t>BAGBCH-MD-NAVY,TOWLB-SUM-XL-OCEAN,TOWLF-ESS-XL-GREEN-R</t>
  </si>
  <si>
    <t>10325842-10377578</t>
  </si>
  <si>
    <t>Wollenweber</t>
  </si>
  <si>
    <t>EU-44435</t>
  </si>
  <si>
    <t>2026-06-23 08:31:39</t>
  </si>
  <si>
    <t>Böhmische Straße 33, Dresden, Dresden</t>
  </si>
  <si>
    <t>01099</t>
  </si>
  <si>
    <t>BAGF-SUM-MD-CSTCANDY,PICNIC-DES-LG-CANDSTR,TOWLB-SUM-XL-CSTCANDY</t>
  </si>
  <si>
    <t>10325837-10377573</t>
  </si>
  <si>
    <t>Celano</t>
  </si>
  <si>
    <t>EU-44431</t>
  </si>
  <si>
    <t>2026-06-23 08:33:11</t>
  </si>
  <si>
    <t>Via Paolo Barison 42, Scala B, interno 9, piano 5, Roma, Roma</t>
  </si>
  <si>
    <t>00142</t>
  </si>
  <si>
    <t>TOWLB-DES-XL-GRECSHR,TOWLB-DOB-XL-CALM</t>
  </si>
  <si>
    <t>10315158-10366824</t>
  </si>
  <si>
    <t>Cyprus Permanent Rep to EU</t>
  </si>
  <si>
    <t>Evgenia</t>
  </si>
  <si>
    <t>Chamilou</t>
  </si>
  <si>
    <t>EU-44255</t>
  </si>
  <si>
    <t>2026-06-23 08:37:03</t>
  </si>
  <si>
    <t>Avenue de Cortenbergh 61, Bruxelles, Bruxelles</t>
  </si>
  <si>
    <t>10323964-10375686</t>
  </si>
  <si>
    <t>Ton</t>
  </si>
  <si>
    <t>Nederveen</t>
  </si>
  <si>
    <t>EU-44398</t>
  </si>
  <si>
    <t>2026-06-23 08:37:54</t>
  </si>
  <si>
    <t>Parklaan, Rotterdam, Rotterdam</t>
  </si>
  <si>
    <t>3016 BC</t>
  </si>
  <si>
    <t>10322338-10374028</t>
  </si>
  <si>
    <t>Amélie tout court</t>
  </si>
  <si>
    <t>Neotilus</t>
  </si>
  <si>
    <t>Toopiz</t>
  </si>
  <si>
    <t>EUWS-3215</t>
  </si>
  <si>
    <t>2026-06-23 08:55:04</t>
  </si>
  <si>
    <t>5 Quai Jayr, Lyon, Lyon</t>
  </si>
  <si>
    <t>BAGCOOL-MD-NAVY,BAGDRY-XS-HOTTROP,BAGF-DES-MD-SPRCLUB,BAGF-SUM-MD-UNICN,DOGTWL-DES-LG-GOLONG,HAIRW-CAB-LTPNK-NB,HAIRW-CAB-LTPPL-NB,HAIRW-CAB-NAVY-NB,HAIRW-SUE-IBZAGLW,HAIRW-SUE-MIAMI,HAIRW-SUE-PNKPARA,HAIRW-SUE-PSTPIER,HAIRW-SUE-SURFCHK,HAIRW-WAF-CHRYBMB,PICNIC-DES-LG-APPLTRT,PICNIC-DES-LG-BRGTSIDE,PICNIC-DES-XL-BRGTSIDE,PONCHA-CAB-LG-NAVY-NS,PONCHA-CAB-MD-BLUE-NS,PONCHA-CAB-MD-LTPNK-NS,PONCHA-CAB-MD-NAVY-NS,PONCHA-CAB-XL-LTPNK,PONCHA-DES-MD-WTRSUG,PONCHA-SUM-LG-LAZRIV,PONCHA-SUM-MD-CSTCANDY,PONCHA-SUM-MD-UNICN-NS,TEATWL-MD-DINPRTY,TEATWL-MD-TRPPNCH,TOWLB-CAB-LG-GREEN-R,TOWLB-CAB-LG-KHAKI-R,TOWLB-CAB-LG-LTBLU-R,TOWLB-CAB-LG-PINK-R,TOWLB-CAB-XL-BLUE-R,TOWLB-CAB-XL-LTPNK-R,TOWLB-CAB-XL-NAVY-R,TOWLB-DES-LG-OCETRES,TOWLB-DES-XL-BLUSKY,TOWLB-DES-XL-IBZAGLW,TOWLB-DES-XL-MELLOW,TOWLB-DES-XL-WTRSUG,TOWLB-KID-LG-CHECKOUT,TOWLB-SUM-LG-CSTCANDY,TOWLB-SUM-LG-OCEAN,TOWLB-SUM-LG-TUTFRU,TOWLB-SUM-XL-COLAGN,TOWLB-SUM-XL-CSTCANDY,TOWLB-SUM-XL-MIAMI,TOWLF-ESS-LG-DKBLU,TOWLH-CLB-LG-CHRYBMB,TOWLH-CLB-LG-PEPPNCH,TOWLH-CLB-XL-CHRYBMB,TOWLH-CLB-XL-PEPPNCH</t>
  </si>
  <si>
    <t>10307044-10358584</t>
  </si>
  <si>
    <t>Blazevice</t>
  </si>
  <si>
    <t>EU-44132</t>
  </si>
  <si>
    <t>2026-06-23 08:56:13</t>
  </si>
  <si>
    <t>Dzūkų g 23, Jonava, Jonava</t>
  </si>
  <si>
    <t>10323778-10375500</t>
  </si>
  <si>
    <t>EUWS-3218</t>
  </si>
  <si>
    <t>2026-06-23 09:29:27</t>
  </si>
  <si>
    <t>BAGDRY-XS-HOTTROP,BAGDRY-XS-MIAMI,BAGDRY-XS-NAVY,HAIRW-SUE-HOTTROP,HAIRW-SUE-PSTPIER,HAIRW-WAF-CHRYBMB,TOWLB-CAB-XL-NAVY-R,TOWLB-DES-XL-HOTTROP,TOWLB-SUM-XL-COLAGN,TOWLB-SUM-XL-OCEAN</t>
  </si>
  <si>
    <t>10321492-10373175</t>
  </si>
  <si>
    <t>Marienapotheke</t>
  </si>
  <si>
    <t>Simonitsch</t>
  </si>
  <si>
    <t>EUWS-3212</t>
  </si>
  <si>
    <t>2026-06-23 09:52:55</t>
  </si>
  <si>
    <t>Schmalzhofgasse 1, Wien, Wien</t>
  </si>
  <si>
    <t>COOL-CAB-LTGRY-R,COOL-CAB-NAVY-R,COOL-DES-MIDNMOV,DOGTWL-LG-PUPLAID,DOGTWL-LG-RHUBARK,DOGTWL-MD-PUPLAID,DOGTWL-MD-RHUBARK,HAIRW-SUE-MIAMI,HAIRW-SUM-UNICN-NB,TOWLB-SUM-LG-COLAGN,TOWLB-SUM-LG-RAINB-R,TOWLB-SUM-LG-TUTFRU,TOWLB-SUM-XL-COLAGN,TOWLB-SUM-XL-RAINB-R,TOWLB-SUM-XL-TUTFRU</t>
  </si>
  <si>
    <t>10326537-10378282</t>
  </si>
  <si>
    <t>Yentl</t>
  </si>
  <si>
    <t>Demunter</t>
  </si>
  <si>
    <t>EU-44446</t>
  </si>
  <si>
    <t>2026-06-23 10:19:21</t>
  </si>
  <si>
    <t>Portostraat 25, 301, Antwerpen, Antwerpen</t>
  </si>
  <si>
    <t>TOWLB-COLLAB-XL-UNO,TOWLB-SUM-XL-OCEAN</t>
  </si>
  <si>
    <t>10326540-10378285</t>
  </si>
  <si>
    <t>Oconnor</t>
  </si>
  <si>
    <t>EU-44448</t>
  </si>
  <si>
    <t>2026-06-23 10:20:12</t>
  </si>
  <si>
    <t>Woodhill house, Ballymagibbon south, Cross, Mayo</t>
  </si>
  <si>
    <t>F12 F8Y6</t>
  </si>
  <si>
    <t>10326528-10378273</t>
  </si>
  <si>
    <t>Hampel</t>
  </si>
  <si>
    <t>EU-44441</t>
  </si>
  <si>
    <t>2026-06-23 10:20:41</t>
  </si>
  <si>
    <t>Paulsenplatz 2, Hamburg, Hamburg</t>
  </si>
  <si>
    <t>10326529-10378274</t>
  </si>
  <si>
    <t>Margriet</t>
  </si>
  <si>
    <t>Snelder</t>
  </si>
  <si>
    <t>EU-44442</t>
  </si>
  <si>
    <t>2026-06-23 10:20:53</t>
  </si>
  <si>
    <t>Aan het Stichelen 6, Roermond, Roermond</t>
  </si>
  <si>
    <t>6042 TE</t>
  </si>
  <si>
    <t>BAGF-SUM-MD-MIAMI,TOWLB-SUM-LG-COLAGN,TOWLB-SUM-LG-MIAMI</t>
  </si>
  <si>
    <t>10326534-10378279</t>
  </si>
  <si>
    <t>Zoe</t>
  </si>
  <si>
    <t>Grennan</t>
  </si>
  <si>
    <t>EU-44447</t>
  </si>
  <si>
    <t>2026-06-23 10:21:39</t>
  </si>
  <si>
    <t>14 Newtownpark Ave, Blackrock, Dublin</t>
  </si>
  <si>
    <t>A94 W4C4</t>
  </si>
  <si>
    <t>10326530-10378275</t>
  </si>
  <si>
    <t>Kociemba</t>
  </si>
  <si>
    <t>EU-44443</t>
  </si>
  <si>
    <t>2026-06-23 10:22:38</t>
  </si>
  <si>
    <t>Kalenbarg 32, Hamburg, Hamburg</t>
  </si>
  <si>
    <t>10326532-10378277</t>
  </si>
  <si>
    <t>Ballmann</t>
  </si>
  <si>
    <t>EU-44444</t>
  </si>
  <si>
    <t>2026-06-23 10:23:18</t>
  </si>
  <si>
    <t>Burgstallblick 14, Frickingen, Frickingen</t>
  </si>
  <si>
    <t>10326105-10377842</t>
  </si>
  <si>
    <t>Rendering</t>
  </si>
  <si>
    <t>EU-44437</t>
  </si>
  <si>
    <t>2026-06-23 10:54:23</t>
  </si>
  <si>
    <t>Singel 3, Deventer, Deventer</t>
  </si>
  <si>
    <t>7411 HV</t>
  </si>
  <si>
    <t>TOWLB-CAB-LG-LTBGE-R,TOWLB-CAB-XL-BLACK-R,TOWLB-CAB-XL-PINK-R</t>
  </si>
  <si>
    <t>10326106-10377843</t>
  </si>
  <si>
    <t>EU-44436</t>
  </si>
  <si>
    <t>2026-06-23 10:56:07</t>
  </si>
  <si>
    <t>29A, Martello Court, Portmarnock, Dublin</t>
  </si>
  <si>
    <t>D13 HY00</t>
  </si>
  <si>
    <t>10326107-10377844</t>
  </si>
  <si>
    <t>Fortune</t>
  </si>
  <si>
    <t>EU-44440</t>
  </si>
  <si>
    <t>2026-06-23 10:57:23</t>
  </si>
  <si>
    <t>Ballyhealy north, Kilmore, Wexford</t>
  </si>
  <si>
    <t>Y35 A363</t>
  </si>
  <si>
    <t>TOWLB-CAB-XL-PINK-R,TOWLB-SUM-XL-CSTCANDY,TOWLB-SUM-XL-OCEAN,TOWLB-SUM-XL-UNICN-R</t>
  </si>
  <si>
    <t>10326103-10377840</t>
  </si>
  <si>
    <t>Pfahl</t>
  </si>
  <si>
    <t>EU-44439</t>
  </si>
  <si>
    <t>2026-06-23 10:59:43</t>
  </si>
  <si>
    <t>Grimmersdorfer Weg 15, Wachtberg, Wachtberg</t>
  </si>
  <si>
    <t>COOL-CAB-LTGRY-R,COOL-CAB-LTPNK-R,COOL-CAB-NAVY-R</t>
  </si>
  <si>
    <t>10321495-10373178</t>
  </si>
  <si>
    <t>EU-44353</t>
  </si>
  <si>
    <t>2026-06-23 11:02:11</t>
  </si>
  <si>
    <t>BAGDRY-MD-MIAMI,BAGDRY-XS-HOTTROP,TEATWL-MD-DINPRTY,TEATWL-MD-KTCHDISC,TOWLB-KID-MD-TURTROP</t>
  </si>
  <si>
    <t>10327186-10378939</t>
  </si>
  <si>
    <t>Heikaus-Loske</t>
  </si>
  <si>
    <t>EU-44456</t>
  </si>
  <si>
    <t>2026-06-24 05:01:16</t>
  </si>
  <si>
    <t>Hohenzollernstr 26, Duisburg, Duisburg</t>
  </si>
  <si>
    <t>TOWLB-CAB-XL-PINK-R,TOWLB-DES-XL-KARMA</t>
  </si>
  <si>
    <t>10327178-10378931</t>
  </si>
  <si>
    <t>EU-44455</t>
  </si>
  <si>
    <t>2026-06-24 05:02:24</t>
  </si>
  <si>
    <t>33 Seagreen Park, Greystones, Wicklow</t>
  </si>
  <si>
    <t>A63 RP78</t>
  </si>
  <si>
    <t>10326861-10378612</t>
  </si>
  <si>
    <t>Meike</t>
  </si>
  <si>
    <t>Kammerer</t>
  </si>
  <si>
    <t>EU-44450</t>
  </si>
  <si>
    <t>2026-06-24 05:03:47</t>
  </si>
  <si>
    <t>Im Flecken 34, Geisenheim, Geisenheim</t>
  </si>
  <si>
    <t>PP-TOWLB-CAB-LG-4SETF-R,TOWLB-DES-LG-PNKPARA,TOWLB-DES-XL-IBZAGLW,TOWLB-SUM-XL-UNICN-R</t>
  </si>
  <si>
    <t>10326863-10378614</t>
  </si>
  <si>
    <t>Nora</t>
  </si>
  <si>
    <t>Basañez Bilbao</t>
  </si>
  <si>
    <t>EU-44452</t>
  </si>
  <si>
    <t>2026-06-24 05:04:55</t>
  </si>
  <si>
    <t>Calle Tamarindo, 2 3C, Algorta, Vizcaya</t>
  </si>
  <si>
    <t>PONCHK-KID-MD-CHECKOUT,PONCHK-KID-MD-GVCLUB,PONCHK-KID-SM-GVCLUB</t>
  </si>
  <si>
    <t>10326864-10378615</t>
  </si>
  <si>
    <t>Scheunemann</t>
  </si>
  <si>
    <t>EU-44454</t>
  </si>
  <si>
    <t>2026-06-24 05:05:36</t>
  </si>
  <si>
    <t>Am Markt 1, Bönningstedt, Bönningstedt</t>
  </si>
  <si>
    <t>10324693-10376417</t>
  </si>
  <si>
    <t>Calzedonia finanziara belgium</t>
  </si>
  <si>
    <t>Ouijdane</t>
  </si>
  <si>
    <t>Alaoui</t>
  </si>
  <si>
    <t>EU-44412</t>
  </si>
  <si>
    <t>2026-06-24 05:07:59</t>
  </si>
  <si>
    <t>Avenue Louise 283, Bruxelles, Bruxelles</t>
  </si>
  <si>
    <t>10328269-10380041</t>
  </si>
  <si>
    <t>Marie-Fleur</t>
  </si>
  <si>
    <t>Revel</t>
  </si>
  <si>
    <t>304-0710030-6753128</t>
  </si>
  <si>
    <t>2026-06-24 05:08:51</t>
  </si>
  <si>
    <t>Maria-sibylla-merian-straße 16, München, München</t>
  </si>
  <si>
    <t>10329148-10380923</t>
  </si>
  <si>
    <t>Elvira</t>
  </si>
  <si>
    <t>Hibbert</t>
  </si>
  <si>
    <t>302-0332510-9255542</t>
  </si>
  <si>
    <t>2026-06-24 05:09:39</t>
  </si>
  <si>
    <t>Mannheimer Str 36, Graben-Neudorf, Baden-Württemberg</t>
  </si>
  <si>
    <t>10327405-10379162</t>
  </si>
  <si>
    <t>Yris</t>
  </si>
  <si>
    <t>Deguenon</t>
  </si>
  <si>
    <t>EU-44461</t>
  </si>
  <si>
    <t>2026-06-24 05:10:42</t>
  </si>
  <si>
    <t>Grüntaler Straße 14, Berlin, Berlin</t>
  </si>
  <si>
    <t>10328267-10380039</t>
  </si>
  <si>
    <t>Neumann</t>
  </si>
  <si>
    <t>EU-44480</t>
  </si>
  <si>
    <t>2026-06-24 05:11:47</t>
  </si>
  <si>
    <t>Naugarder Straße 36, Berlin, Berlin</t>
  </si>
  <si>
    <t>10328265-10380037</t>
  </si>
  <si>
    <t>Neyt</t>
  </si>
  <si>
    <t>EU-44477</t>
  </si>
  <si>
    <t>2026-06-24 05:12:35</t>
  </si>
  <si>
    <t>Jozef pierrestraat 57, Kessel-lo, Kessel-lo</t>
  </si>
  <si>
    <t>10328474-10380247</t>
  </si>
  <si>
    <t>Familie</t>
  </si>
  <si>
    <t>Hettich</t>
  </si>
  <si>
    <t>305-5365805-1561118</t>
  </si>
  <si>
    <t>2026-06-24 05:13:30</t>
  </si>
  <si>
    <t>Von-Emmich-Str 4, Konstanz, Baden-Württemberg</t>
  </si>
  <si>
    <t>10327834-10379600</t>
  </si>
  <si>
    <t>EU-44469</t>
  </si>
  <si>
    <t>2026-06-24 05:14:26</t>
  </si>
  <si>
    <t>13 Hantoon Rd, Wexford, Wexford</t>
  </si>
  <si>
    <t>Y35 R6W4</t>
  </si>
  <si>
    <t>10329147-10380922</t>
  </si>
  <si>
    <t>Josko</t>
  </si>
  <si>
    <t>EU-44488</t>
  </si>
  <si>
    <t>2026-06-24 05:15:05</t>
  </si>
  <si>
    <t>Pfälzer str 1e, Köln, Köln</t>
  </si>
  <si>
    <t>10329415-10381190</t>
  </si>
  <si>
    <t>Dorien</t>
  </si>
  <si>
    <t>Roovers</t>
  </si>
  <si>
    <t>EU-44500</t>
  </si>
  <si>
    <t>2026-06-24 05:15:47</t>
  </si>
  <si>
    <t>Hanswijkstraat 27, Bus 000, Mechelen, Mechelen</t>
  </si>
  <si>
    <t>10329614-10381389</t>
  </si>
  <si>
    <t>Olivier</t>
  </si>
  <si>
    <t>Laffite</t>
  </si>
  <si>
    <t>EU-44503</t>
  </si>
  <si>
    <t>2026-06-24 05:16:18</t>
  </si>
  <si>
    <t>12 rue louis jouvet, Fondettes, Fondettes</t>
  </si>
  <si>
    <t>10329150-10380925</t>
  </si>
  <si>
    <t>Zecchin Arredamenti</t>
  </si>
  <si>
    <t>zecchin</t>
  </si>
  <si>
    <t>EU-44496</t>
  </si>
  <si>
    <t>2026-06-24 05:16:48</t>
  </si>
  <si>
    <t>Via Camillo Benso Cavour 22, Vittorio Veneto, Treviso</t>
  </si>
  <si>
    <t>TOWLB-DES-LG-SWTESC</t>
  </si>
  <si>
    <t>10328059-10379828</t>
  </si>
  <si>
    <t>oliver james</t>
  </si>
  <si>
    <t>chidley</t>
  </si>
  <si>
    <t>EU-44474</t>
  </si>
  <si>
    <t>2026-06-24 05:17:40</t>
  </si>
  <si>
    <t>Witte De Withstraat 148 2, Amsterdam, Amsterdam</t>
  </si>
  <si>
    <t>1057 ZJ</t>
  </si>
  <si>
    <t>10329418-10381193</t>
  </si>
  <si>
    <t>Mccarthy</t>
  </si>
  <si>
    <t>EU-44502</t>
  </si>
  <si>
    <t>2026-06-24 05:18:15</t>
  </si>
  <si>
    <t>6 hillview estate, Tramore Rd, Cork, Cork</t>
  </si>
  <si>
    <t>T12 N2H0</t>
  </si>
  <si>
    <t>10327615-10379375</t>
  </si>
  <si>
    <t>Hendrik</t>
  </si>
  <si>
    <t>Beckmann</t>
  </si>
  <si>
    <t>EU-44464</t>
  </si>
  <si>
    <t>2026-06-24 05:18:54</t>
  </si>
  <si>
    <t>Lerchenweg 27, Sparrieshoop, Sparrieshoop</t>
  </si>
  <si>
    <t>BAGF-CAB-MD-NAVY</t>
  </si>
  <si>
    <t>10328839-10380614</t>
  </si>
  <si>
    <t>Steinke</t>
  </si>
  <si>
    <t>EU-44492</t>
  </si>
  <si>
    <t>2026-06-24 05:19:26</t>
  </si>
  <si>
    <t>Stutenstraat 29, Schneverdingen, Schneverdingen</t>
  </si>
  <si>
    <t>10328058-10379827</t>
  </si>
  <si>
    <t>McCarthy</t>
  </si>
  <si>
    <t>EU-44475</t>
  </si>
  <si>
    <t>2026-06-24 05:19:59</t>
  </si>
  <si>
    <t>Carrickroche, Galbally, Limerick</t>
  </si>
  <si>
    <t>E34 T202</t>
  </si>
  <si>
    <t>10327618-10379378</t>
  </si>
  <si>
    <t>heike</t>
  </si>
  <si>
    <t>thorer</t>
  </si>
  <si>
    <t>EU-44466</t>
  </si>
  <si>
    <t>2026-06-24 05:23:43</t>
  </si>
  <si>
    <t>Diepenbrockstrasse 38, Münster, Münster</t>
  </si>
  <si>
    <t>PICNIC-DES-XL-BRGTSIDE,TEATWL-MD-APPLTRT,TEATWL-MD-KTCHDISC,TEATWL-MD-STRAWFZ</t>
  </si>
  <si>
    <t>10314223-10365874</t>
  </si>
  <si>
    <t>EU-44232</t>
  </si>
  <si>
    <t>2026-06-24 05:26:58</t>
  </si>
  <si>
    <t>Rue De Roedgen, 2c, Reckange-sur-Mess, Reckange-sur-Mess</t>
  </si>
  <si>
    <t>PONCHK-SUM-MD-UNICN-NS,PONCHK-SUM-SM-UNICN-NS</t>
  </si>
  <si>
    <t>10327402-10379159</t>
  </si>
  <si>
    <t>Zohner</t>
  </si>
  <si>
    <t>EU-44458</t>
  </si>
  <si>
    <t>2026-06-24 05:27:04</t>
  </si>
  <si>
    <t>Hundsburgstraße 37, Borken (Hessen), Borken (Hessen)</t>
  </si>
  <si>
    <t>PICNIC-DES-LG-BANARAM,PICNIC-DES-LG-MARGMAD,TOWLB-DES-XL-SUNSPL</t>
  </si>
  <si>
    <t>10327837-10379603</t>
  </si>
  <si>
    <t>Burnell</t>
  </si>
  <si>
    <t>EU-44470</t>
  </si>
  <si>
    <t>2026-06-24 05:29:16</t>
  </si>
  <si>
    <t>22 Market Square, Portlaoise, Laois</t>
  </si>
  <si>
    <t>R32 NX33</t>
  </si>
  <si>
    <t>TOWLB-CAB-XL-GREEN-R,TOWLB-CAB-XL-PINK-R</t>
  </si>
  <si>
    <t>10327841-10379607</t>
  </si>
  <si>
    <t>Gina</t>
  </si>
  <si>
    <t>Hartmann</t>
  </si>
  <si>
    <t>EU-44471</t>
  </si>
  <si>
    <t>2026-06-24 05:31:22</t>
  </si>
  <si>
    <t>Steinkamp 30, Lägerdorf, Lägerdorf</t>
  </si>
  <si>
    <t>PONCHK-SUM-MD-CSTCANDY,TOWLB-DOB-LG-CALM,TOWLB-SUM-XL-CSTCANDY</t>
  </si>
  <si>
    <t>10326104-10377841</t>
  </si>
  <si>
    <t>EU-44438</t>
  </si>
  <si>
    <t>2026-06-24 05:32:12</t>
  </si>
  <si>
    <t>PONCHA-CLA-LG-NAVY-NS,PONCHA-DES-MD-WTRSUG,PONCHA-SUM-MD-UNICN-NS</t>
  </si>
  <si>
    <t>10328272-10380044</t>
  </si>
  <si>
    <t>Ronan</t>
  </si>
  <si>
    <t>EU-44481</t>
  </si>
  <si>
    <t>2026-06-24 05:40:19</t>
  </si>
  <si>
    <t>74 Woodview, Lucan, Dublin</t>
  </si>
  <si>
    <t>K78 K7X4</t>
  </si>
  <si>
    <t>PICNIC-DES-LG-BRGTSIDE,PP-TOWLB-CAB-LG-6SET-BLUE</t>
  </si>
  <si>
    <t>10327404-10379161</t>
  </si>
  <si>
    <t>Kopf</t>
  </si>
  <si>
    <t>EU-44460</t>
  </si>
  <si>
    <t>2026-06-24 05:42:18</t>
  </si>
  <si>
    <t>Binderstr, 17, Hamburg, Hamburg</t>
  </si>
  <si>
    <t>PONCHK-CAB-SM-LTPNK-NS,PP-TOWLB-CAB-LG-4SET-PINK</t>
  </si>
  <si>
    <t>10327401-10379158</t>
  </si>
  <si>
    <t>Mary Claire</t>
  </si>
  <si>
    <t>EU-44457</t>
  </si>
  <si>
    <t>2026-06-24 05:43:29</t>
  </si>
  <si>
    <t>Rooskeybeg, Claremorris, Claremorris, Mayo</t>
  </si>
  <si>
    <t>F12 CY82</t>
  </si>
  <si>
    <t>10327403-10379160</t>
  </si>
  <si>
    <t>Frötscher</t>
  </si>
  <si>
    <t>EU-44459</t>
  </si>
  <si>
    <t>2026-06-24 05:45:05</t>
  </si>
  <si>
    <t>Latzfons Oberdorf 5, Chiusa, Bolzano</t>
  </si>
  <si>
    <t>10327617-10379377</t>
  </si>
  <si>
    <t>Adriana</t>
  </si>
  <si>
    <t>Guidi</t>
  </si>
  <si>
    <t>EU-44465</t>
  </si>
  <si>
    <t>2026-06-24 05:46:00</t>
  </si>
  <si>
    <t>Otto-Loewe-Str 6, Frannkfurt, Frannkfurt</t>
  </si>
  <si>
    <t>TOWLB-DOB-XL-CALM,TOWLB-SUM-XL-RAINB-R</t>
  </si>
  <si>
    <t>10327407-10379164</t>
  </si>
  <si>
    <t>Inês</t>
  </si>
  <si>
    <t>Dias</t>
  </si>
  <si>
    <t>EU-44463</t>
  </si>
  <si>
    <t>2026-06-24 05:47:12</t>
  </si>
  <si>
    <t>Avenue Echevin Van Muylders 33, B2, Woluwe-Saint-Lambert, Woluwe-Saint-Lambert</t>
  </si>
  <si>
    <t>10327406-10379163</t>
  </si>
  <si>
    <t>Manuel</t>
  </si>
  <si>
    <t>Eickelbaum</t>
  </si>
  <si>
    <t>EU-44462</t>
  </si>
  <si>
    <t>2026-06-24 05:48:04</t>
  </si>
  <si>
    <t>Drubbelstraße 8 B, Delbrück, Delbrück</t>
  </si>
  <si>
    <t>TOWLB-CAB-XL-NAVY-R,TOWLF-ESS-XL-DKBLU</t>
  </si>
  <si>
    <t>10327828-10379594</t>
  </si>
  <si>
    <t>Kogler</t>
  </si>
  <si>
    <t>EU-44468</t>
  </si>
  <si>
    <t>2026-06-24 05:49:16</t>
  </si>
  <si>
    <t>Kaiserin Elisabeth-Straße, 9/2/6, Maria Enzersdorf, Maria Enzersdorf</t>
  </si>
  <si>
    <t>10327831-10379597</t>
  </si>
  <si>
    <t>Vanneste</t>
  </si>
  <si>
    <t>EU-44467</t>
  </si>
  <si>
    <t>2026-06-24 05:50:17</t>
  </si>
  <si>
    <t>Grote Markt 18, Roeselare, Roeselare</t>
  </si>
  <si>
    <t>10328056-10379825</t>
  </si>
  <si>
    <t>O'Neill</t>
  </si>
  <si>
    <t>EU-44472</t>
  </si>
  <si>
    <t>2026-06-24 05:51:47</t>
  </si>
  <si>
    <t>2 the Ave  rockfield, church Rd, blackrock Cork, Cork</t>
  </si>
  <si>
    <t>T12 P5F7</t>
  </si>
  <si>
    <t>BAGF-DES-MD-IBZAGLW,TOWLB-DES-LG-PNKPARA</t>
  </si>
  <si>
    <t>10317347-10369017</t>
  </si>
  <si>
    <t>Stevens</t>
  </si>
  <si>
    <t>EU-44274</t>
  </si>
  <si>
    <t>2026-06-24 05:53:18</t>
  </si>
  <si>
    <t>97, Nieuwstraat, Essen, Essen</t>
  </si>
  <si>
    <t>PONCHK-CAB-MD-NAVY-NS,PONCHK-CAB-SM-NAVY-NS</t>
  </si>
  <si>
    <t>10316666-10368336</t>
  </si>
  <si>
    <t>Schockmel</t>
  </si>
  <si>
    <t>EU-44269</t>
  </si>
  <si>
    <t>2026-06-24 05:57:32</t>
  </si>
  <si>
    <t>Rue De La chapelle 22, Mersch, Mersch</t>
  </si>
  <si>
    <t>PONCHA-CLA-LG-NAVY-NS,PONCHA-DES-MD-WAVYBBY,PONCHA-SUM-MD-CSTCANDY</t>
  </si>
  <si>
    <t>10328273-10380045</t>
  </si>
  <si>
    <t>EU-44483</t>
  </si>
  <si>
    <t>2026-06-24 06:16:30</t>
  </si>
  <si>
    <t>The Old Presbytery, Glounthanue, Cork, Cork</t>
  </si>
  <si>
    <t>T45 EK25</t>
  </si>
  <si>
    <t>10328477-10380250</t>
  </si>
  <si>
    <t>EU-44486</t>
  </si>
  <si>
    <t>2026-06-24 06:18:52</t>
  </si>
  <si>
    <t>Hayfield House, Saucestown, Fethard, Tipperary</t>
  </si>
  <si>
    <t>E91 F4W6</t>
  </si>
  <si>
    <t>10329153-10380928</t>
  </si>
  <si>
    <t>Mandy</t>
  </si>
  <si>
    <t>Van Buren</t>
  </si>
  <si>
    <t>EU-44497</t>
  </si>
  <si>
    <t>2026-06-24 06:20:13</t>
  </si>
  <si>
    <t>Tahitistraat 29, Almere, Almere</t>
  </si>
  <si>
    <t>1339 PK</t>
  </si>
  <si>
    <t>10328850-10380625</t>
  </si>
  <si>
    <t>Veronika</t>
  </si>
  <si>
    <t>Fokscha</t>
  </si>
  <si>
    <t>EU-44494</t>
  </si>
  <si>
    <t>2026-06-24 06:21:48</t>
  </si>
  <si>
    <t>Bankstraße 17, Düsseldorf, Düsseldorf</t>
  </si>
  <si>
    <t>TOWLB-CAB-LG-BLUE-R,TOWLB-DOB-LG-CALM,TOWLB-SUM-LG-RAINB-R</t>
  </si>
  <si>
    <t>10329151-10380926</t>
  </si>
  <si>
    <t>Maud</t>
  </si>
  <si>
    <t>Meeuwissen</t>
  </si>
  <si>
    <t>EU-44495</t>
  </si>
  <si>
    <t>2026-06-24 06:22:47</t>
  </si>
  <si>
    <t>Spoordonkseweg 37, Oirschot, Oirschot</t>
  </si>
  <si>
    <t>5688 KB</t>
  </si>
  <si>
    <t>BAGF-SUM-MD-CSTCANDY,TOWLB-SUM-XL-TUTFRU</t>
  </si>
  <si>
    <t>10328060-10379829</t>
  </si>
  <si>
    <t>Borislava</t>
  </si>
  <si>
    <t>Djavidi</t>
  </si>
  <si>
    <t>EU-44476</t>
  </si>
  <si>
    <t>2026-06-24 06:38:44</t>
  </si>
  <si>
    <t>Rehhofstraße 222, Nürnberg, Nürnberg</t>
  </si>
  <si>
    <t>TOWLB-CAB-XL-BLUE-R,TOWLB-CAB-XL-LTBLU-R,TOWLB-CAB-XL-NAVY-R,TOWLB-CAB-XL-RED-R</t>
  </si>
  <si>
    <t>10328057-10379826</t>
  </si>
  <si>
    <t>Mols</t>
  </si>
  <si>
    <t>EU-44473</t>
  </si>
  <si>
    <t>2026-06-24 06:40:26</t>
  </si>
  <si>
    <t>Padveld 25, Peer, Peer</t>
  </si>
  <si>
    <t>10328270-10380042</t>
  </si>
  <si>
    <t>Reynolds</t>
  </si>
  <si>
    <t>EU-44482</t>
  </si>
  <si>
    <t>2026-06-24 06:42:39</t>
  </si>
  <si>
    <t>Clooncolry, Dromod, Dromod, Leitrim</t>
  </si>
  <si>
    <t>N41 CD90</t>
  </si>
  <si>
    <t>EYEMASK-DES-CHRYBMB,PONCHK-KID-MD-GVCLUB,PONCHK-SUM-MD-CSTCANDY,TOWLB-DES-LG-IBZAGLW</t>
  </si>
  <si>
    <t>10328262-10380034</t>
  </si>
  <si>
    <t>EU-44479</t>
  </si>
  <si>
    <t>2026-06-24 06:44:56</t>
  </si>
  <si>
    <t>27 Cedar View, Ridgewood, Swords, Dublin</t>
  </si>
  <si>
    <t>K67 N275</t>
  </si>
  <si>
    <t>BAGF-SUM-MD-CSTCANDY,TOWLB-SUM-LG-COLAGN,TOWLB-SUM-LG-CSTCANDY,TOWLB-SUM-LG-MIAMI,TOWLB-SUM-LG-OCEAN,TOWLB-SUM-LG-TUTFRU</t>
  </si>
  <si>
    <t>10330129-10381906</t>
  </si>
  <si>
    <t>Seum</t>
  </si>
  <si>
    <t>EU-44508</t>
  </si>
  <si>
    <t>2026-06-24 08:40:06</t>
  </si>
  <si>
    <t>Am Sportfeld 5, Wölfersheim, Wölfersheim</t>
  </si>
  <si>
    <t>TEATWL-MD-KTCHDISC,TOWLB-SUM-LG-COLAGN,TOWLB-SUM-LG-MIAMI,TOWLB-SUM-LG-OCEAN,TOWLB-SUM-LG-TUTFRU,TOWLB-SUM-XL-OCEAN,TOWLB-SUM-XL-TUTFRU</t>
  </si>
  <si>
    <t>10329419-10381194</t>
  </si>
  <si>
    <t>Grogan</t>
  </si>
  <si>
    <t>EU-44501</t>
  </si>
  <si>
    <t>2026-06-24 08:42:20</t>
  </si>
  <si>
    <t>52 Moulden Bridge, Ratoath, Meath</t>
  </si>
  <si>
    <t>A85 F638</t>
  </si>
  <si>
    <t>10329759-10381534</t>
  </si>
  <si>
    <t>McGreevy</t>
  </si>
  <si>
    <t>EU-44505</t>
  </si>
  <si>
    <t>2026-06-24 08:44:02</t>
  </si>
  <si>
    <t>11 Willington Dr, Templeogue, Dublin 6W, Dublin</t>
  </si>
  <si>
    <t>D6W K656</t>
  </si>
  <si>
    <t>10329413-10381188</t>
  </si>
  <si>
    <t>Cam</t>
  </si>
  <si>
    <t>Mob</t>
  </si>
  <si>
    <t>EU-44498</t>
  </si>
  <si>
    <t>2026-06-24 08:45:27</t>
  </si>
  <si>
    <t>Liviana, Porterstown Rd, Castleknock, Dublin</t>
  </si>
  <si>
    <t>D15 R2W1</t>
  </si>
  <si>
    <t>10329616-10381391</t>
  </si>
  <si>
    <t>Jetske</t>
  </si>
  <si>
    <t>ten Have</t>
  </si>
  <si>
    <t>EU-44504</t>
  </si>
  <si>
    <t>2026-06-24 08:47:04</t>
  </si>
  <si>
    <t>Harddraverslaan 32, Santpoort-Zuid, Santpoort-Zuid</t>
  </si>
  <si>
    <t>2082 HM</t>
  </si>
  <si>
    <t>BAGF-CAB-MD-NAVY,BAGF-SUM-MD-MIAMI,TOWLB-CAB-LG-BLUE-R,TOWLB-CAB-LG-GREEN-R,TOWLB-CAB-LG-NAVY-R,TOWLB-CAB-LG-PINK-R,TOWLB-SUM-LG-MIAMI</t>
  </si>
  <si>
    <t>10330328-10382120</t>
  </si>
  <si>
    <t>Haenraets</t>
  </si>
  <si>
    <t>EU-44515</t>
  </si>
  <si>
    <t>2026-06-24 08:57:22</t>
  </si>
  <si>
    <t>Dorpstraat 60, Echt, Echt</t>
  </si>
  <si>
    <t>6102 TX</t>
  </si>
  <si>
    <t>BAGBCH-MD-NAVY,TOWLB-CAB-XL-GREEN-R,TOWLB-CAB-XL-NAVY-R,TOWLB-CAB-XL-PINK-R</t>
  </si>
  <si>
    <t>10329145-10380920</t>
  </si>
  <si>
    <t>Schlicht</t>
  </si>
  <si>
    <t>EU-44489</t>
  </si>
  <si>
    <t>2026-06-24 08:59:06</t>
  </si>
  <si>
    <t>Frankfurter Ring 18, München, München</t>
  </si>
  <si>
    <t>BALLAST-SUM-CSTCANDY,PICNIC-DES-XL-STRIPLIFE</t>
  </si>
  <si>
    <t>10330248-10382025</t>
  </si>
  <si>
    <t>Engi</t>
  </si>
  <si>
    <t>EU-44511</t>
  </si>
  <si>
    <t>2026-06-24 08:59:23</t>
  </si>
  <si>
    <t>Bellealliancestr 1, Hamburg, Hamburg</t>
  </si>
  <si>
    <t>PONCHK-KID-MD-INTOWILD,PONCHK-KID-SM-GVCLUB,PONCHK-SUM-SM-UNICN-NS,TOWLB-SUM-XL-COLAGN,TOWLB-SUM-XL-UNICN-R</t>
  </si>
  <si>
    <t>10329417-10381192</t>
  </si>
  <si>
    <t>Nas</t>
  </si>
  <si>
    <t>Mirghobadi</t>
  </si>
  <si>
    <t>EU-44499</t>
  </si>
  <si>
    <t>2026-06-24 09:00:05</t>
  </si>
  <si>
    <t>Eerste Jacob van Campenstraat, 48-1, Amsterdam, Amsterdam</t>
  </si>
  <si>
    <t>1072 BC</t>
  </si>
  <si>
    <t>BAGF-CAB-MD-NAVY,TOWLB-CAB-LG-NAVY-R</t>
  </si>
  <si>
    <t>10328476-10380249</t>
  </si>
  <si>
    <t>Alina</t>
  </si>
  <si>
    <t>Nechayeva</t>
  </si>
  <si>
    <t>EU-44484</t>
  </si>
  <si>
    <t>2026-06-24 09:01:11</t>
  </si>
  <si>
    <t>13 Wingfield, Corke Abbey, Bray, Dublin</t>
  </si>
  <si>
    <t>A98 KE41</t>
  </si>
  <si>
    <t>10330580-10382377</t>
  </si>
  <si>
    <t>Phillipa</t>
  </si>
  <si>
    <t>Hesketh</t>
  </si>
  <si>
    <t>EU-44522</t>
  </si>
  <si>
    <t>2026-06-24 09:03:31</t>
  </si>
  <si>
    <t>11 Rue Kitty Deville, Alzingen, Alzingen</t>
  </si>
  <si>
    <t>PONCHK-CAB-SM-BLUE-NS,TOWLB-CAB-XL-PINK-R,TOWLB-CAB-XL-RED-R,TOWLB-KID-LG-INTOWILD</t>
  </si>
  <si>
    <t>10328842-10380617</t>
  </si>
  <si>
    <t>Azra</t>
  </si>
  <si>
    <t>Manders</t>
  </si>
  <si>
    <t>EU-44491</t>
  </si>
  <si>
    <t>2026-06-24 09:03:44</t>
  </si>
  <si>
    <t>Victoriestraat 10, Waalwijk, Waalwijk</t>
  </si>
  <si>
    <t>5142 RH</t>
  </si>
  <si>
    <t>TOWLB-CAB-XL-NAVY-R,TOWLB-DES-XL-IBZAGLW</t>
  </si>
  <si>
    <t>10329143-10380918</t>
  </si>
  <si>
    <t>ZININEENSUIKERSPIN</t>
  </si>
  <si>
    <t>Vogel</t>
  </si>
  <si>
    <t>EU-44487</t>
  </si>
  <si>
    <t>2026-06-24 09:04:57</t>
  </si>
  <si>
    <t>Hendrik Andriessenlaan 12, Heemstede, Heemstede</t>
  </si>
  <si>
    <t>2102 CZ</t>
  </si>
  <si>
    <t>10330247-10382024</t>
  </si>
  <si>
    <t>Simonis</t>
  </si>
  <si>
    <t>EU-44512</t>
  </si>
  <si>
    <t>2026-06-24 09:04:59</t>
  </si>
  <si>
    <t>Augusto Sandinostraat 144, Utrecht, Utrecht</t>
  </si>
  <si>
    <t>3573 ZG</t>
  </si>
  <si>
    <t>TOWLB-DES-XL-GRECSHR,TOWLB-DES-XL-SWTESC,TOWLB-DES-XL-TANTIDE</t>
  </si>
  <si>
    <t>10330014-10381789</t>
  </si>
  <si>
    <t>Gustafsson</t>
  </si>
  <si>
    <t>EU-44506</t>
  </si>
  <si>
    <t>2026-06-24 09:05:47</t>
  </si>
  <si>
    <t>Norra långgatan 32, Landskrona, Landskrona</t>
  </si>
  <si>
    <t>261 30</t>
  </si>
  <si>
    <t>TOWLB-CAB-XL-LTBLU-R,TOWLB-CAB-XL-NAVY-R</t>
  </si>
  <si>
    <t>10328475-10380248</t>
  </si>
  <si>
    <t>Heinicke</t>
  </si>
  <si>
    <t>EU-44485</t>
  </si>
  <si>
    <t>2026-06-24 09:07:00</t>
  </si>
  <si>
    <t>Ob Hauptstraße 75a, Hartmannsdorf, Hartmannsdorf</t>
  </si>
  <si>
    <t>09232</t>
  </si>
  <si>
    <t>TOWLB-DES-LG-TROPTRT,TOWLB-SUM-LG-OCEAN</t>
  </si>
  <si>
    <t>10330245-10382022</t>
  </si>
  <si>
    <t>Anna-lena</t>
  </si>
  <si>
    <t>Sonner</t>
  </si>
  <si>
    <t>EU-44509</t>
  </si>
  <si>
    <t>2026-06-24 09:08:09</t>
  </si>
  <si>
    <t>Viktor-Weiß-Str6, Landau, Landau</t>
  </si>
  <si>
    <t>HAIRW-WAF-TIGPALM,PONCHA-DES-MD-IBZAGLW,PONCHK-KID-MD-GVCLUB,PONCHK-SUM-MD-CSTCANDY</t>
  </si>
  <si>
    <t>10328847-10380622</t>
  </si>
  <si>
    <t>FF YO Friederike</t>
  </si>
  <si>
    <t>Ouaqasse</t>
  </si>
  <si>
    <t>EU-44493</t>
  </si>
  <si>
    <t>2026-06-24 09:12:19</t>
  </si>
  <si>
    <t>Almstadtstraße 10, 4 Etage, Berlin, Berlin</t>
  </si>
  <si>
    <t>10328844-10380619</t>
  </si>
  <si>
    <t>loughmore book keeping limited</t>
  </si>
  <si>
    <t>Claire Nolan</t>
  </si>
  <si>
    <t>EU-44490</t>
  </si>
  <si>
    <t>2026-06-24 09:13:11</t>
  </si>
  <si>
    <t>Canteeny, Turlougmore, Turlougmore, Co. GAlway, Galway</t>
  </si>
  <si>
    <t>H65 YC59</t>
  </si>
  <si>
    <t>TOWLB-DOB-XL-CALM,TOWLB-SUM-XL-TUTFRU</t>
  </si>
  <si>
    <t>10330246-10382023</t>
  </si>
  <si>
    <t>Gutsch</t>
  </si>
  <si>
    <t>EU-44510</t>
  </si>
  <si>
    <t>2026-06-24 09:16:07</t>
  </si>
  <si>
    <t>Schlachtstraße 6, Tauberbischofsheim, Tauberbischofsheim</t>
  </si>
  <si>
    <t>10330579-10382376</t>
  </si>
  <si>
    <t>Best</t>
  </si>
  <si>
    <t>EU-44520</t>
  </si>
  <si>
    <t>2026-06-24 09:17:27</t>
  </si>
  <si>
    <t>Hohenzollernring 17, Bayreuth, Bayreuth</t>
  </si>
  <si>
    <t>10330434-10382227</t>
  </si>
  <si>
    <t>Gartmeier</t>
  </si>
  <si>
    <t>EU-44516</t>
  </si>
  <si>
    <t>2026-06-24 09:19:33</t>
  </si>
  <si>
    <t>Grassingerstraße 27, Bad Aibling, Bad Aibling</t>
  </si>
  <si>
    <t>10327183-10378936</t>
  </si>
  <si>
    <t>POZorg-237969051628363-000</t>
  </si>
  <si>
    <t>Jagt</t>
  </si>
  <si>
    <t>028-5474588-9207504</t>
  </si>
  <si>
    <t>2026-06-24 10:57:50</t>
  </si>
  <si>
    <t>Wethouder JAC , de Bruijnstraat 16, Kamerik, Kamerik</t>
  </si>
  <si>
    <t>3471EB</t>
  </si>
  <si>
    <t>10329615-10381390</t>
  </si>
  <si>
    <t>POZorg-276281060185712-000</t>
  </si>
  <si>
    <t>Marilva</t>
  </si>
  <si>
    <t>Mashart</t>
  </si>
  <si>
    <t>028-0436733-2062767</t>
  </si>
  <si>
    <t>2026-06-24 10:58:45</t>
  </si>
  <si>
    <t>Olivier van Noorthof 11, Almere, Almere</t>
  </si>
  <si>
    <t>1363LV</t>
  </si>
  <si>
    <t>10329617-10381392</t>
  </si>
  <si>
    <t>POZorg-278177900144707-000</t>
  </si>
  <si>
    <t>Engberts</t>
  </si>
  <si>
    <t>028-9854698-4526725</t>
  </si>
  <si>
    <t>2026-06-24 10:59:32</t>
  </si>
  <si>
    <t>Nieuw-Amsterdamseweg 16, Schoonebeek, Schoonebeek</t>
  </si>
  <si>
    <t>7761PB</t>
  </si>
  <si>
    <t>10329618-10381393</t>
  </si>
  <si>
    <t>POZorg-278429182871256-000</t>
  </si>
  <si>
    <t>Saira</t>
  </si>
  <si>
    <t>Sprott</t>
  </si>
  <si>
    <t>028-0117903-3852317</t>
  </si>
  <si>
    <t>2026-06-24 11:00:22</t>
  </si>
  <si>
    <t>Kringdans 184, Capelle aan den IJssel, Zuid-Holland</t>
  </si>
  <si>
    <t>2907RM</t>
  </si>
  <si>
    <t>10330874-10382666</t>
  </si>
  <si>
    <t>kimmy</t>
  </si>
  <si>
    <t>Gijsemberg</t>
  </si>
  <si>
    <t>EU-44525</t>
  </si>
  <si>
    <t>2026-06-24 11:01:49</t>
  </si>
  <si>
    <t>Waversebaan 100, Leuven, Leuven</t>
  </si>
  <si>
    <t>10330871-10382663</t>
  </si>
  <si>
    <t>EU-44519</t>
  </si>
  <si>
    <t>2026-06-24 11:02:41</t>
  </si>
  <si>
    <t>10326101-10377838</t>
  </si>
  <si>
    <t>Ellmauer Zeit zum Lesen GmbH</t>
  </si>
  <si>
    <t>Ellmauer</t>
  </si>
  <si>
    <t>EUWS-3220</t>
  </si>
  <si>
    <t>2026-06-24 11:11:26</t>
  </si>
  <si>
    <t>Bahnhofstraße 1, Zell am See, Zell am See</t>
  </si>
  <si>
    <t xml:space="preserve">16212 (x2) A-SCRUNCH-PAPER (x1) A-KRAFT-PAPER-TAPE (x2) </t>
  </si>
  <si>
    <t>HAIRW-SUE-MIAMI,HAIRW-SUE-PNKPARA,HAIRW-SUE-PSTPIER,HAIRW-WAF-TIGPALM,TEATWL-MD-APPLTRT,TEATWL-MD-GLDHOUR,TEATWL-MD-HEADCHEF,TEATWL-MD-KTCHDISC,TEATWL-MD-PEAPOD,TEATWL-MD-RGRTTI,TEATWL-MD-STRAWFZ,TOWLB-CAB-LG-BLUE-R,TOWLB-CAB-LG-GREEN-R,TOWLB-CAB-LG-NAVY-R,TOWLB-CAB-LG-ORANG-R,TOWLB-CAB-LG-PINK-R,TOWLB-DES-LG-MELLOW,TOWLB-DES-LG-PSTPIER,TOWLB-DES-LG-RSPROAD,TOWLB-SUM-LG-OCEAN,TOWLB-SUM-LG-UNICN-R</t>
  </si>
  <si>
    <t>10330873-10382665</t>
  </si>
  <si>
    <t>Clair</t>
  </si>
  <si>
    <t>Sington</t>
  </si>
  <si>
    <t>EU-44526</t>
  </si>
  <si>
    <t>2026-06-24 11:39:16</t>
  </si>
  <si>
    <t>Avenida Antonio Pedrera Soler 30, Jonsons Supermarket, Algorfa, Alicante</t>
  </si>
  <si>
    <t>03169</t>
  </si>
  <si>
    <t>TOWLB-SUM-XL-COLAGN,TOWLB-SUM-XL-CSTCANDY,TOWLB-SUM-XL-OCEAN,TOWLB-SUM-XL-TUTFRU</t>
  </si>
  <si>
    <t>10330581-10382378</t>
  </si>
  <si>
    <t>ALBA</t>
  </si>
  <si>
    <t>CITOLER</t>
  </si>
  <si>
    <t>EU-44521</t>
  </si>
  <si>
    <t>2026-06-24 11:41:54</t>
  </si>
  <si>
    <t>CALLE SABADELL, 4-6, BAJO C, BINEFAR, Huesca</t>
  </si>
  <si>
    <t>HAIRW-SUE-IBZAGLW,PONCHA-DES-MD-IBZAGLW,PONCHA-SUM-LG-CSTCANDY,PONCHK-KID-MD-SKATER,TOWLB-KID-LG-POWPOS</t>
  </si>
  <si>
    <t>10330869-10382661</t>
  </si>
  <si>
    <t>Moores</t>
  </si>
  <si>
    <t>EU-44517</t>
  </si>
  <si>
    <t>2026-06-24 11:43:27</t>
  </si>
  <si>
    <t>309 Limetree Ave, Portmarnock, Dublin 13, Dublin</t>
  </si>
  <si>
    <t>D13 E893</t>
  </si>
  <si>
    <t>BAGF-CAB-MD-NAVY,TOWLB-SUM-LG-COLAGN,TOWLB-SUM-LG-MIAMI,TOWLB-SUM-LG-OCEAN,TOWLB-SUM-LG-TUTFRU</t>
  </si>
  <si>
    <t>10330582-10382379</t>
  </si>
  <si>
    <t>O’Rourke</t>
  </si>
  <si>
    <t>EU-44523</t>
  </si>
  <si>
    <t>2026-06-24 11:44:33</t>
  </si>
  <si>
    <t>78 The Woodlands, Castletown, Celbridge, Kildare</t>
  </si>
  <si>
    <t>W23 T386</t>
  </si>
  <si>
    <t>BAGF-DES-MD-CHECKMT,TOWLB-DES-XL-HOTTROP,TOWLB-DES-XL-SUNSPL</t>
  </si>
  <si>
    <t>10330872-10382664</t>
  </si>
  <si>
    <t>Kuhweide</t>
  </si>
  <si>
    <t>EU-44518</t>
  </si>
  <si>
    <t>2026-06-24 11:46:18</t>
  </si>
  <si>
    <t>Bussestraße 11, Souterrain links, Hamburg, Hamburg</t>
  </si>
  <si>
    <t>BALLAST-CAB-NAVY,BALLAST-SUM-MIAMI,TOWLB-SUM-LG-MIAMI</t>
  </si>
  <si>
    <t>10330875-10382667</t>
  </si>
  <si>
    <t>Valentina</t>
  </si>
  <si>
    <t>Albayrak</t>
  </si>
  <si>
    <t>EU-44524</t>
  </si>
  <si>
    <t>2026-06-24 11:51:28</t>
  </si>
  <si>
    <t>Neuer Weg 45, Frankfurt am Main, Frankfurt am Main</t>
  </si>
  <si>
    <t>TOWLB-CAB-XL-PINK-R,TOWLB-DES-XL-ALOHGLW,TOWLF-ESS-XL-LTPPL</t>
  </si>
  <si>
    <t>10330876-10382668</t>
  </si>
  <si>
    <t>O’neill</t>
  </si>
  <si>
    <t>EU-44528</t>
  </si>
  <si>
    <t>2026-06-24 11:54:12</t>
  </si>
  <si>
    <t>12 glenavy Park, Terenure, Dublin 6W, Dublin</t>
  </si>
  <si>
    <t>D6W FX49</t>
  </si>
  <si>
    <t>10323965-10375687</t>
  </si>
  <si>
    <t>FBA15LY5RLFB</t>
  </si>
  <si>
    <t>2026-06-24 11:55:36</t>
  </si>
  <si>
    <t xml:space="preserve">16212 (x2), 16211 (x1) A-SCRUNCH-PAPER (x1) A-KRAFT-PAPER-TAPE (x2) </t>
  </si>
  <si>
    <t>BAGDRY-XS-MIAMI,BAGF-SUM-MD-COLAGN,BAGF-SUM-MD-MIAMI,BAGF-SUM-MD-UNICN,COOL-CAB-LTPNK-R,PICNIC-DES-LG-CANDSTR,PICNIC-DES-LG-STRIPLIFE,PICNIC-DES-XL-STRIPLIFE,TOWLB-CAB-LG-LTPNK-R,TOWLB-DES-LG-MELLOW,TOWLB-DES-LG-RSPROAD,TOWLB-DES-XL-GRECSHR,TOWLB-DES-XL-HOTTROP,TOWLB-DES-XL-IBZAGLW,TOWLB-DES-XL-LEMWAV,TOWLB-DES-XL-SUNSPL,TOWLB-DES-XL-WYWH,TOWLB-DOB-XL-CALM,TOWLB-SUM-LG-COLAGN,TOWLB-SUM-XL-COLAGN,TOWLF-ESS-XL-BLUE-R,TOWLF-ESS-XL-PINK-R</t>
  </si>
  <si>
    <t>10330877-10382669</t>
  </si>
  <si>
    <t>EU-44527</t>
  </si>
  <si>
    <t>2026-06-24 11:55:46</t>
  </si>
  <si>
    <t>Bilderdijkstraat, 38, Haarlem, Haarlem</t>
  </si>
  <si>
    <t>10331499-10383297</t>
  </si>
  <si>
    <t>Schlegel</t>
  </si>
  <si>
    <t>EU-44533</t>
  </si>
  <si>
    <t>2026-06-24 11:57:38</t>
  </si>
  <si>
    <t>Hasenweg 10, Baldham, Baldham</t>
  </si>
  <si>
    <t>10330878-10382670</t>
  </si>
  <si>
    <t>Marilyn</t>
  </si>
  <si>
    <t>Nicolay</t>
  </si>
  <si>
    <t>EU-44529</t>
  </si>
  <si>
    <t>2026-06-24 11:58:30</t>
  </si>
  <si>
    <t>36 Blvd Robert Schuman, Olm, Olm</t>
  </si>
  <si>
    <t>BAGF-DES-MD-CHECKMT,BALLAST-SUM-CSTCANDY,TOWLB-SUM-XL-CSTCANDY</t>
  </si>
  <si>
    <t>10332026-10383826</t>
  </si>
  <si>
    <t>Lützenburg</t>
  </si>
  <si>
    <t>303-7085473-0994764</t>
  </si>
  <si>
    <t>2026-06-24 12:48:29</t>
  </si>
  <si>
    <t>Dieklage 2, Rahden, Rahden</t>
  </si>
  <si>
    <t>10332014-10383814</t>
  </si>
  <si>
    <t>Hetzenecker</t>
  </si>
  <si>
    <t>305-3894672-1145137</t>
  </si>
  <si>
    <t>2026-06-24 12:49:36</t>
  </si>
  <si>
    <t>Oberhof 5a, Teublitz, Teublitz</t>
  </si>
  <si>
    <t>COOL-CAB-LTPNK-R</t>
  </si>
  <si>
    <t>10332017-10383817</t>
  </si>
  <si>
    <t>Langeleh</t>
  </si>
  <si>
    <t>302-9388329-3866750</t>
  </si>
  <si>
    <t>2026-06-24 12:50:21</t>
  </si>
  <si>
    <t>An Der Reegt 6c, Bielefeld, Nordrhein-Westfalen</t>
  </si>
  <si>
    <t>10332035-10383835</t>
  </si>
  <si>
    <t>Jannika</t>
  </si>
  <si>
    <t>302-3578934-7917162</t>
  </si>
  <si>
    <t>2026-06-24 12:51:02</t>
  </si>
  <si>
    <t>Wilhelmstraße 48, Albstadt, Albstadt</t>
  </si>
  <si>
    <t>10332020-10383820</t>
  </si>
  <si>
    <t>Vogt</t>
  </si>
  <si>
    <t>304-6162216-9813121</t>
  </si>
  <si>
    <t>2026-06-24 12:51:52</t>
  </si>
  <si>
    <t>Fidicinstraße 38, Berlin, Berlin</t>
  </si>
  <si>
    <t>10332051-10383851</t>
  </si>
  <si>
    <t>Maßiny-Maaß</t>
  </si>
  <si>
    <t>306-7174185-9258739</t>
  </si>
  <si>
    <t>2026-06-24 12:52:17</t>
  </si>
  <si>
    <t>Goldbach15, Bielefeld, NRW</t>
  </si>
  <si>
    <t>10332052-10383852</t>
  </si>
  <si>
    <t>Frahm</t>
  </si>
  <si>
    <t>306-0134442-1776331</t>
  </si>
  <si>
    <t>2026-06-24 12:52:43</t>
  </si>
  <si>
    <t>Sünderuper Weg 6, Flensburg, Flensburg</t>
  </si>
  <si>
    <t>10332049-10383849</t>
  </si>
  <si>
    <t>Hidajat</t>
  </si>
  <si>
    <t>302-2086048-0774705</t>
  </si>
  <si>
    <t>2026-06-24 12:53:18</t>
  </si>
  <si>
    <t>Schillstr 31, Gütersloh, Gütersloh</t>
  </si>
  <si>
    <t>10332055-10383855</t>
  </si>
  <si>
    <t>Irena</t>
  </si>
  <si>
    <t>Welslau</t>
  </si>
  <si>
    <t>306-9433905-7733907</t>
  </si>
  <si>
    <t>2026-06-24 12:53:43</t>
  </si>
  <si>
    <t>Beckhausstraße 255a, Bielefeld, Bielefeld</t>
  </si>
  <si>
    <t>10332009-10383809</t>
  </si>
  <si>
    <t>Léonie Sophie</t>
  </si>
  <si>
    <t>Heyn</t>
  </si>
  <si>
    <t>305-8438095-1529138</t>
  </si>
  <si>
    <t>2026-06-24 12:54:16</t>
  </si>
  <si>
    <t>Am Kienpfuhl 15, Berlin, Berlin</t>
  </si>
  <si>
    <t>COOL-CAB-LTGRY-R</t>
  </si>
  <si>
    <t>10332032-10383832</t>
  </si>
  <si>
    <t>JANINE</t>
  </si>
  <si>
    <t>Segeth</t>
  </si>
  <si>
    <t>306-2370688-4635556</t>
  </si>
  <si>
    <t>2026-06-25 04:30:18</t>
  </si>
  <si>
    <t>Münsterstr 71, Düsseldorf, Nordrhein-Westfalen</t>
  </si>
  <si>
    <t>COOL-CAB-LTPNK-R,COOL-DES-MIDNMOV</t>
  </si>
  <si>
    <t>10331999-10383799</t>
  </si>
  <si>
    <t>Kröger</t>
  </si>
  <si>
    <t>302-5031547-0281900</t>
  </si>
  <si>
    <t>2026-06-25 04:31:40</t>
  </si>
  <si>
    <t>Blockweg 1c, Rostock, Rostock</t>
  </si>
  <si>
    <t>10332022-10383822</t>
  </si>
  <si>
    <t>Klasmeier</t>
  </si>
  <si>
    <t>302-8665155-1626753</t>
  </si>
  <si>
    <t>2026-06-25 04:32:16</t>
  </si>
  <si>
    <t>Am Jägerheim 3a, Rheda-Wiedenbrück, Rheda-Wiedenbrück</t>
  </si>
  <si>
    <t>COOL-CAB-LTPNK-R,COOL-CAB-NAVY-R</t>
  </si>
  <si>
    <t>10332040-10383840</t>
  </si>
  <si>
    <t>Kemna</t>
  </si>
  <si>
    <t>303-9239437-7737942</t>
  </si>
  <si>
    <t>2026-06-25 04:33:50</t>
  </si>
  <si>
    <t>Wittigstieg 26d, Hamburg, Hamburg</t>
  </si>
  <si>
    <t>10332029-10383829</t>
  </si>
  <si>
    <t>Rocks</t>
  </si>
  <si>
    <t>304-0232545-6601914</t>
  </si>
  <si>
    <t>2026-06-25 04:34:30</t>
  </si>
  <si>
    <t>Zum Kalvarienberg 25, Rheine, Rheine</t>
  </si>
  <si>
    <t>10332414-10384217</t>
  </si>
  <si>
    <t>Rüdinger</t>
  </si>
  <si>
    <t>028-6208957-2229119</t>
  </si>
  <si>
    <t>2026-06-25 04:34:38</t>
  </si>
  <si>
    <t>Volkartstraße 35, München, München</t>
  </si>
  <si>
    <t>10332046-10383846</t>
  </si>
  <si>
    <t>Lilli</t>
  </si>
  <si>
    <t>Vonnegut</t>
  </si>
  <si>
    <t>302-5766113-9962704</t>
  </si>
  <si>
    <t>2026-06-25 04:35:03</t>
  </si>
  <si>
    <t>Immelmannstraße 88, Münster, Münster</t>
  </si>
  <si>
    <t>10332042-10383842</t>
  </si>
  <si>
    <t>Riepe</t>
  </si>
  <si>
    <t>302-0275175-6298726</t>
  </si>
  <si>
    <t>2026-06-25 04:35:47</t>
  </si>
  <si>
    <t>Heidbrede 85, Bielefeld, Bielefeld</t>
  </si>
  <si>
    <t>COOL-CAB-LTGRY-R,COOL-CAB-LTPNK-R</t>
  </si>
  <si>
    <t>10332048-10383848</t>
  </si>
  <si>
    <t>dausend</t>
  </si>
  <si>
    <t>304-6785284-8880324</t>
  </si>
  <si>
    <t>2026-06-25 04:36:31</t>
  </si>
  <si>
    <t>En De Siep 20, Krefeld, Krefeld</t>
  </si>
  <si>
    <t>COOL-CAB-LTGRY-R,COOL-DES-MIDNMOV</t>
  </si>
  <si>
    <t>10332419-10384222</t>
  </si>
  <si>
    <t>Jean Marc</t>
  </si>
  <si>
    <t>Pericone</t>
  </si>
  <si>
    <t>EU-44542</t>
  </si>
  <si>
    <t>2026-06-25 04:36:37</t>
  </si>
  <si>
    <t>50 Ave Virginie Hériot, Roquebrune-Cap-Martin, Roquebrune-Cap-Martin</t>
  </si>
  <si>
    <t>06190</t>
  </si>
  <si>
    <t>PONCHA-CAB-XL-NAVY,TOWLB-CAB-XL-LTBLU-R</t>
  </si>
  <si>
    <t>10332044-10383844</t>
  </si>
  <si>
    <t>Rasche</t>
  </si>
  <si>
    <t>303-5185955-2054768</t>
  </si>
  <si>
    <t>2026-06-25 04:37:01</t>
  </si>
  <si>
    <t>Dorotheenstr 24, Hagen, Hagen</t>
  </si>
  <si>
    <t>10332054-10383854</t>
  </si>
  <si>
    <t>Druck</t>
  </si>
  <si>
    <t>028-7600381-2339553</t>
  </si>
  <si>
    <t>2026-06-25 04:37:33</t>
  </si>
  <si>
    <t>Thomasstraße 2, Enkenbach-alsenborn, Enkenbach-alsenborn</t>
  </si>
  <si>
    <t>10332411-10384214</t>
  </si>
  <si>
    <t>Krnajac</t>
  </si>
  <si>
    <t>304-8857104-9115517</t>
  </si>
  <si>
    <t>2026-06-25 04:37:56</t>
  </si>
  <si>
    <t>Rathausstrasse 37, Pfaffenhofen A.d.glonn, Pfaffenhofen A.d.glonn</t>
  </si>
  <si>
    <t>10332423-10384226</t>
  </si>
  <si>
    <t>EU-44543</t>
  </si>
  <si>
    <t>2026-06-25 04:38:55</t>
  </si>
  <si>
    <t>Ballinaguile, Croagh, Limerick</t>
  </si>
  <si>
    <t>V94 XW0H</t>
  </si>
  <si>
    <t>10332412-10384215</t>
  </si>
  <si>
    <t>Verena</t>
  </si>
  <si>
    <t>Nolte</t>
  </si>
  <si>
    <t>305-9473809-8865924</t>
  </si>
  <si>
    <t>2026-06-25 04:39:27</t>
  </si>
  <si>
    <t>Köldingsweg 25 B, Verl, Nordrhein-Westfalen</t>
  </si>
  <si>
    <t>10332418-10384221</t>
  </si>
  <si>
    <t>Deike</t>
  </si>
  <si>
    <t>Mild</t>
  </si>
  <si>
    <t>304-5365548-0499549</t>
  </si>
  <si>
    <t>2026-06-25 04:39:57</t>
  </si>
  <si>
    <t>Am Gosekamp 4C, Lehrte, Niedersachsen</t>
  </si>
  <si>
    <t>10332413-10384216</t>
  </si>
  <si>
    <t>Benecke</t>
  </si>
  <si>
    <t>304-2396024-8851559</t>
  </si>
  <si>
    <t>2026-06-25 04:40:30</t>
  </si>
  <si>
    <t>Koburger Straße 5, Berlin, Berlin</t>
  </si>
  <si>
    <t>10332426-10384229</t>
  </si>
  <si>
    <t>304-7019043-4524313</t>
  </si>
  <si>
    <t>2026-06-25 04:41:16</t>
  </si>
  <si>
    <t>Niedersachsenstraße 37, Hasbergen, Hasbergen</t>
  </si>
  <si>
    <t>10332428-10384231</t>
  </si>
  <si>
    <t>Ramona</t>
  </si>
  <si>
    <t>Lorenz</t>
  </si>
  <si>
    <t>304-1970397-0002745</t>
  </si>
  <si>
    <t>2026-06-25 04:42:14</t>
  </si>
  <si>
    <t>Riemekestraße 94, Paderborn, Paderborn</t>
  </si>
  <si>
    <t>10331971-10383771</t>
  </si>
  <si>
    <t>Christophe</t>
  </si>
  <si>
    <t>Tessier</t>
  </si>
  <si>
    <t>EU-44540</t>
  </si>
  <si>
    <t>2026-06-25 04:45:54</t>
  </si>
  <si>
    <t>5 Ave Eugène Thomas, Le Kremlin-Bicêtre, Le Kremlin-Bicêtre</t>
  </si>
  <si>
    <t>PONCHA-CAB-MD-BLUE-NS,PONCHA-CAB-MD-NAVY-NS,PONCHA-DES-MD-WAVYBBY,PONCHA-DES-MD-WTRSUG,PONCHA-SUM-MD-LAZRIV,PONCHA-SUM-MD-UNICN-NS</t>
  </si>
  <si>
    <t>10331522-10383320</t>
  </si>
  <si>
    <t>Jan</t>
  </si>
  <si>
    <t>Lindgens</t>
  </si>
  <si>
    <t>EU-44535</t>
  </si>
  <si>
    <t>2026-06-25 04:47:11</t>
  </si>
  <si>
    <t>Peter-Schnellbach-Straße 43/3, Neckargemünd, Neckargemünd</t>
  </si>
  <si>
    <t>PONCHA-CLA-LG-NAVY-NS,PONCHA-DES-MD-IBZAGLW,TOWLB-CAB-XL-BLACK-R,TOWLB-CAB-XL-NAVY-R</t>
  </si>
  <si>
    <t>10331978-10383778</t>
  </si>
  <si>
    <t>Van Dooren</t>
  </si>
  <si>
    <t>EU-44538</t>
  </si>
  <si>
    <t>2026-06-25 04:48:33</t>
  </si>
  <si>
    <t>Vennestraat 15, Nijlen, Nijlen</t>
  </si>
  <si>
    <t>10331508-10383306</t>
  </si>
  <si>
    <t>Axt</t>
  </si>
  <si>
    <t>306-6577293-7565108</t>
  </si>
  <si>
    <t>2026-06-25 04:50:05</t>
  </si>
  <si>
    <t>Nordring 55, Frankfurt Am Main, Frankfurt Am Main</t>
  </si>
  <si>
    <t>10332892-10384699</t>
  </si>
  <si>
    <t>Bode</t>
  </si>
  <si>
    <t>306-4557169-6913111</t>
  </si>
  <si>
    <t>2026-06-25 04:51:25</t>
  </si>
  <si>
    <t>Am Alten Dreisch 40a, Bielefeld, Bielefeld</t>
  </si>
  <si>
    <t>10332896-10384703</t>
  </si>
  <si>
    <t>Kellermann</t>
  </si>
  <si>
    <t>302-5866444-9242701</t>
  </si>
  <si>
    <t>2026-06-25 04:52:00</t>
  </si>
  <si>
    <t>Endemannhöhe 25 a, Essen, Nordrhein-Westfalen</t>
  </si>
  <si>
    <t>10333211-10385019</t>
  </si>
  <si>
    <t>Terwiel</t>
  </si>
  <si>
    <t>303-2113182-2336360</t>
  </si>
  <si>
    <t>2026-06-25 04:52:36</t>
  </si>
  <si>
    <t>Rudolf Von Langen Straße 34, Münster, Münster</t>
  </si>
  <si>
    <t>10333221-10385029</t>
  </si>
  <si>
    <t>Flügel</t>
  </si>
  <si>
    <t>305-3375453-5481910</t>
  </si>
  <si>
    <t>2026-06-25 04:53:11</t>
  </si>
  <si>
    <t>Am Fichtenbrink 25b, Bielefeld, Nordrhein-Westfalen</t>
  </si>
  <si>
    <t>10332884-10384691</t>
  </si>
  <si>
    <t>Christian</t>
  </si>
  <si>
    <t>Vaupel</t>
  </si>
  <si>
    <t>302-5248636-6504302</t>
  </si>
  <si>
    <t>2026-06-25 04:53:47</t>
  </si>
  <si>
    <t>Kartäuserstr 11, Jülich, Nordrhein-Westfalen</t>
  </si>
  <si>
    <t>10333743-10385557</t>
  </si>
  <si>
    <t>Daisy</t>
  </si>
  <si>
    <t>Maloney</t>
  </si>
  <si>
    <t>EU-44560</t>
  </si>
  <si>
    <t>2026-06-25 04:54:26</t>
  </si>
  <si>
    <t>Treptower Straße 14, Berlin, Berlin</t>
  </si>
  <si>
    <t>10332886-10384693</t>
  </si>
  <si>
    <t>Celia</t>
  </si>
  <si>
    <t>Frischkorn</t>
  </si>
  <si>
    <t>303-5402801-4977907</t>
  </si>
  <si>
    <t>2026-06-25 04:55:03</t>
  </si>
  <si>
    <t>Otto Feldmann Straße 6, Worms, Worms</t>
  </si>
  <si>
    <t>10332888-10384695</t>
  </si>
  <si>
    <t>Schuberth</t>
  </si>
  <si>
    <t>303-4388440-2137925</t>
  </si>
  <si>
    <t>2026-06-25 04:56:16</t>
  </si>
  <si>
    <t>Goethestraße 13, Bielefeld, Bielefeld</t>
  </si>
  <si>
    <t>10333479-10385290</t>
  </si>
  <si>
    <t>Lauschensky</t>
  </si>
  <si>
    <t>EU-44554</t>
  </si>
  <si>
    <t>2026-06-25 04:57:00</t>
  </si>
  <si>
    <t>Kranewittweg 46, Braunau, Braunau</t>
  </si>
  <si>
    <t>10333734-10385548</t>
  </si>
  <si>
    <t>Dullinger</t>
  </si>
  <si>
    <t>304-1769499-1621148</t>
  </si>
  <si>
    <t>2026-06-25 04:57:40</t>
  </si>
  <si>
    <t>Carl-Wittmann-Weg 15, Landshut, Bayern</t>
  </si>
  <si>
    <t>10332897-10384704</t>
  </si>
  <si>
    <t>Leifert</t>
  </si>
  <si>
    <t>304-1844922-1038758</t>
  </si>
  <si>
    <t>2026-06-25 04:58:12</t>
  </si>
  <si>
    <t>Am Teekamp 3, Werl, Werl</t>
  </si>
  <si>
    <t>10333209-10385017</t>
  </si>
  <si>
    <t>Gerbrecht</t>
  </si>
  <si>
    <t>028-8667728-0717110</t>
  </si>
  <si>
    <t>2026-06-25 04:58:46</t>
  </si>
  <si>
    <t>Nockwinkel 65, Essen, Essen</t>
  </si>
  <si>
    <t>10333737-10385551</t>
  </si>
  <si>
    <t>Tiemann</t>
  </si>
  <si>
    <t>306-8228211-2121102</t>
  </si>
  <si>
    <t>2026-06-25 04:59:33</t>
  </si>
  <si>
    <t>Zum Obstgarten 1, Melle, Niedersachsen</t>
  </si>
  <si>
    <t>10333219-10385027</t>
  </si>
  <si>
    <t>Andre</t>
  </si>
  <si>
    <t>Düvelmeyer</t>
  </si>
  <si>
    <t>302-0220192-1704345</t>
  </si>
  <si>
    <t>2026-06-25 05:00:00</t>
  </si>
  <si>
    <t>Kronsweg 1, Bohmte, Niedersachsen</t>
  </si>
  <si>
    <t>10333738-10385552</t>
  </si>
  <si>
    <t>Maylin</t>
  </si>
  <si>
    <t>Brinkmann</t>
  </si>
  <si>
    <t>303-6522535-1603568</t>
  </si>
  <si>
    <t>2026-06-25 05:00:34</t>
  </si>
  <si>
    <t>Eichendorffweg 16, Horn-bad Meinberg, Horn-bad Meinberg</t>
  </si>
  <si>
    <t>10333736-10385550</t>
  </si>
  <si>
    <t>ANKE</t>
  </si>
  <si>
    <t>ROESNER</t>
  </si>
  <si>
    <t>028-0999372-4637928</t>
  </si>
  <si>
    <t>2026-06-25 05:01:03</t>
  </si>
  <si>
    <t>DECKERTSTR 70, BIELEFELD, Nordrhein-Westfalen</t>
  </si>
  <si>
    <t>10333740-10385554</t>
  </si>
  <si>
    <t>Mark</t>
  </si>
  <si>
    <t>Prieur</t>
  </si>
  <si>
    <t>302-8713512-6775543</t>
  </si>
  <si>
    <t>2026-06-25 05:01:30</t>
  </si>
  <si>
    <t>Hennebergstr, 4, Flörsheim Am Main, Hessen</t>
  </si>
  <si>
    <t>10334467-10386288</t>
  </si>
  <si>
    <t>Minjee</t>
  </si>
  <si>
    <t>EU-44571</t>
  </si>
  <si>
    <t>2026-06-25 05:01:52</t>
  </si>
  <si>
    <t>Blumenstraße 13a, Poing, Poing</t>
  </si>
  <si>
    <t>PONCHA-DES-LG-IBZAGLW,PONCHA-DES-LG-WTRSUG</t>
  </si>
  <si>
    <t>10333742-10385556</t>
  </si>
  <si>
    <t>Koppert</t>
  </si>
  <si>
    <t>028-6287022-0038718</t>
  </si>
  <si>
    <t>2026-06-25 05:02:43</t>
  </si>
  <si>
    <t>Gustavstr 19, Bielefeld, Nordrhein-Westfalen</t>
  </si>
  <si>
    <t>10333746-10385560</t>
  </si>
  <si>
    <t>302-3780218-2337939</t>
  </si>
  <si>
    <t>2026-06-25 05:03:11</t>
  </si>
  <si>
    <t>Rigge 16, Ennigerloh, Nordrhein-Westfalen</t>
  </si>
  <si>
    <t>10333741-10385555</t>
  </si>
  <si>
    <t>Whittaker</t>
  </si>
  <si>
    <t>306-4765200-6957154</t>
  </si>
  <si>
    <t>2026-06-25 05:03:48</t>
  </si>
  <si>
    <t>Nürnberger Str 16, Bielefeld, Bielefeld</t>
  </si>
  <si>
    <t>10335468-10387316</t>
  </si>
  <si>
    <t>FITZPATRICK</t>
  </si>
  <si>
    <t>EU-44580</t>
  </si>
  <si>
    <t>2026-06-25 05:05:04</t>
  </si>
  <si>
    <t>23 Shrewsbury Rd, Quinns Rd, Shankill, Dublin, Dublin</t>
  </si>
  <si>
    <t>D18 X082</t>
  </si>
  <si>
    <t>TOWLH-CLB-XL-CHRYBMB,TOWLH-CLB-XL-PEPPNCH</t>
  </si>
  <si>
    <t>10331513-10383311</t>
  </si>
  <si>
    <t>Louisa</t>
  </si>
  <si>
    <t>Luttkus</t>
  </si>
  <si>
    <t>305-9420659-8383502</t>
  </si>
  <si>
    <t>2026-06-25 05:05:57</t>
  </si>
  <si>
    <t>Am Ameisenberg 9, Oberursel (Taunus), Oberursel (Taunus)</t>
  </si>
  <si>
    <t>10331502-10383300</t>
  </si>
  <si>
    <t>Gavin</t>
  </si>
  <si>
    <t>EU-44534</t>
  </si>
  <si>
    <t>2026-06-25 05:06:37</t>
  </si>
  <si>
    <t>Labaun Mount Temple Moate, Dublin, Westmeath</t>
  </si>
  <si>
    <t>N37 DX25</t>
  </si>
  <si>
    <t>10335296-10387144</t>
  </si>
  <si>
    <t>Baltacescu</t>
  </si>
  <si>
    <t>EU-44577</t>
  </si>
  <si>
    <t>2026-06-25 05:06:50</t>
  </si>
  <si>
    <t>Fretaloplaan 4, Temse, Temse</t>
  </si>
  <si>
    <t>BAGF-CAB-MD-NAVY,TOWLB-DES-LG-HOTTROP,TOWLB-DES-LG-TANTIDE</t>
  </si>
  <si>
    <t>10331525-10383323</t>
  </si>
  <si>
    <t>303-1133607-9023564</t>
  </si>
  <si>
    <t>2026-06-25 05:07:01</t>
  </si>
  <si>
    <t>Ginsterweg 13, Michendorf/ OT Michendorf, Michendorf/ OT Michendorf</t>
  </si>
  <si>
    <t>10331531-10383329</t>
  </si>
  <si>
    <t>Böke</t>
  </si>
  <si>
    <t>303-9948708-3667521</t>
  </si>
  <si>
    <t>2026-06-25 05:07:54</t>
  </si>
  <si>
    <t>Hohenhausener Str 14, Vlotho, Nordrhein-Westfalen</t>
  </si>
  <si>
    <t>10331984-10383784</t>
  </si>
  <si>
    <t>Knoche</t>
  </si>
  <si>
    <t>028-9887449-3556360</t>
  </si>
  <si>
    <t>2026-06-25 05:08:27</t>
  </si>
  <si>
    <t>Verresstr 21, Willich, Willich</t>
  </si>
  <si>
    <t>10331510-10383308</t>
  </si>
  <si>
    <t>Eppacher</t>
  </si>
  <si>
    <t>306-0422535-1945144</t>
  </si>
  <si>
    <t>2026-06-25 05:08:52</t>
  </si>
  <si>
    <t>Reidelbachweg 1, Blumberg, Blumberg</t>
  </si>
  <si>
    <t>10334471-10386292</t>
  </si>
  <si>
    <t>Dirk Meyer zu</t>
  </si>
  <si>
    <t>Bentrup</t>
  </si>
  <si>
    <t>303-6770023-9369104</t>
  </si>
  <si>
    <t>2026-06-25 05:09:15</t>
  </si>
  <si>
    <t>Hausheider Str 116, Herford, Herford</t>
  </si>
  <si>
    <t>10331538-10383336</t>
  </si>
  <si>
    <t>Eisenhofer</t>
  </si>
  <si>
    <t>302-9514485-2495513</t>
  </si>
  <si>
    <t>2026-06-25 05:09:26</t>
  </si>
  <si>
    <t>Kantstraße 19, Gera, Gera</t>
  </si>
  <si>
    <t>07548</t>
  </si>
  <si>
    <t>10331541-10383339</t>
  </si>
  <si>
    <t>Hochweiß</t>
  </si>
  <si>
    <t>304-5233375-7653136</t>
  </si>
  <si>
    <t>2026-06-25 05:09:54</t>
  </si>
  <si>
    <t>Virchowstraße 52, Essen, Essen</t>
  </si>
  <si>
    <t>10331544-10383342</t>
  </si>
  <si>
    <t>Dorothea</t>
  </si>
  <si>
    <t>Meyer-Ramloch</t>
  </si>
  <si>
    <t>303-0187397-3684368</t>
  </si>
  <si>
    <t>2026-06-25 05:10:21</t>
  </si>
  <si>
    <t>Wildenburgstraße 14, Köln, Köln</t>
  </si>
  <si>
    <t>10331547-10383345</t>
  </si>
  <si>
    <t>302-6336913-8043546</t>
  </si>
  <si>
    <t>2026-06-25 05:10:46</t>
  </si>
  <si>
    <t>Kirchplatz 2, Kaltenbrunn, Bayern</t>
  </si>
  <si>
    <t>10335463-10387311</t>
  </si>
  <si>
    <t>Tabea</t>
  </si>
  <si>
    <t>Janzen</t>
  </si>
  <si>
    <t>EU-44578</t>
  </si>
  <si>
    <t>2026-06-25 05:11:01</t>
  </si>
  <si>
    <t>Im Heidsiek 129, Herford, Herford</t>
  </si>
  <si>
    <t>PONCHA-CAB-LG-LTPNK-NS</t>
  </si>
  <si>
    <t>10331505-10383303</t>
  </si>
  <si>
    <t>Rebeschke</t>
  </si>
  <si>
    <t>028-3252739-7252368</t>
  </si>
  <si>
    <t>2026-06-25 05:11:22</t>
  </si>
  <si>
    <t>Schopenhauerstraße 25, Hannover, Hannover</t>
  </si>
  <si>
    <t>10331552-10383350</t>
  </si>
  <si>
    <t>Maschmann</t>
  </si>
  <si>
    <t>302-9402731-7047540</t>
  </si>
  <si>
    <t>2026-06-25 05:11:52</t>
  </si>
  <si>
    <t>Aue Grill, Varreler Bruch 1, Barenburg, Niedersachsen</t>
  </si>
  <si>
    <t>10335461-10387309</t>
  </si>
  <si>
    <t>Marie-Luisa</t>
  </si>
  <si>
    <t>Bürger</t>
  </si>
  <si>
    <t>EU-44579</t>
  </si>
  <si>
    <t>2026-06-25 05:12:11</t>
  </si>
  <si>
    <t>Blochmannstraße 19, Dresden, Dresden</t>
  </si>
  <si>
    <t>01069</t>
  </si>
  <si>
    <t>10331981-10383781</t>
  </si>
  <si>
    <t>Ronny</t>
  </si>
  <si>
    <t>305-3530115-0437915</t>
  </si>
  <si>
    <t>2026-06-25 05:12:22</t>
  </si>
  <si>
    <t>Dubliner Str 55, Pattensen, Niedersachsen</t>
  </si>
  <si>
    <t>10331986-10383786</t>
  </si>
  <si>
    <t>Wex</t>
  </si>
  <si>
    <t>306-5281110-8797927</t>
  </si>
  <si>
    <t>2026-06-25 05:12:50</t>
  </si>
  <si>
    <t>Meiereistraße 14/252, Wien, Wien</t>
  </si>
  <si>
    <t>10335465-10387313</t>
  </si>
  <si>
    <t>302-5203558-4000324</t>
  </si>
  <si>
    <t>2026-06-25 05:13:13</t>
  </si>
  <si>
    <t>10331534-10383332</t>
  </si>
  <si>
    <t>Someschan</t>
  </si>
  <si>
    <t>304-1431321-8043559</t>
  </si>
  <si>
    <t>2026-06-25 05:13:19</t>
  </si>
  <si>
    <t>Alfred Sollmann Str, 20, Geseke, Geseke</t>
  </si>
  <si>
    <t>10331555-10383353</t>
  </si>
  <si>
    <t>Regina</t>
  </si>
  <si>
    <t>Kettner</t>
  </si>
  <si>
    <t>306-9288192-6105163</t>
  </si>
  <si>
    <t>2026-06-25 05:13:51</t>
  </si>
  <si>
    <t>Hauptstraße 41, Buxheim, Buxheim</t>
  </si>
  <si>
    <t>10335742-10387590</t>
  </si>
  <si>
    <t>304-5669178-3646700</t>
  </si>
  <si>
    <t>2026-06-25 05:14:34</t>
  </si>
  <si>
    <t>Richtweg 25, Achim, Niedersachsen</t>
  </si>
  <si>
    <t>10332006-10383806</t>
  </si>
  <si>
    <t>Yesim</t>
  </si>
  <si>
    <t>Günaydin-Kernler</t>
  </si>
  <si>
    <t>302-0459172-0371513</t>
  </si>
  <si>
    <t>2026-06-25 05:15:19</t>
  </si>
  <si>
    <t>Espen 6, Pfullendorf, Pfullendorf</t>
  </si>
  <si>
    <t>10331989-10383789</t>
  </si>
  <si>
    <t>Hollweg</t>
  </si>
  <si>
    <t>304-3434622-5661153</t>
  </si>
  <si>
    <t>2026-06-25 05:15:48</t>
  </si>
  <si>
    <t>Wettiner Str 30, Wuppertal, Wuppertal</t>
  </si>
  <si>
    <t>10332003-10383803</t>
  </si>
  <si>
    <t>Christa</t>
  </si>
  <si>
    <t>fritz</t>
  </si>
  <si>
    <t>305-6766787-3906705</t>
  </si>
  <si>
    <t>2026-06-25 05:16:25</t>
  </si>
  <si>
    <t>Am Rottmannshof 57, Bielefeld, Bielefeld</t>
  </si>
  <si>
    <t>10331519-10383317</t>
  </si>
  <si>
    <t>Susen</t>
  </si>
  <si>
    <t>EU-44536</t>
  </si>
  <si>
    <t>2026-06-25 05:19:31</t>
  </si>
  <si>
    <t>Humboldtstraße 22, Bielefeld, Bielefeld</t>
  </si>
  <si>
    <t>10331560-10383358</t>
  </si>
  <si>
    <t>Hueber</t>
  </si>
  <si>
    <t>306-7783478-5614742</t>
  </si>
  <si>
    <t>2026-06-25 05:20:19</t>
  </si>
  <si>
    <t>Großdornberger Str 63, Bielefeld, Bielefeld</t>
  </si>
  <si>
    <t>10331528-10383326</t>
  </si>
  <si>
    <t>Deppe</t>
  </si>
  <si>
    <t>302-4266226-1917941</t>
  </si>
  <si>
    <t>2026-06-25 05:20:49</t>
  </si>
  <si>
    <t>Mönkebergstr 92, Bielefeld, Nordrhein-Westfalen</t>
  </si>
  <si>
    <t>10331991-10383791</t>
  </si>
  <si>
    <t>Marthe</t>
  </si>
  <si>
    <t>Schauer</t>
  </si>
  <si>
    <t>303-5443992-7780336</t>
  </si>
  <si>
    <t>2026-06-25 05:21:48</t>
  </si>
  <si>
    <t>Limkath 1, Büdelsdorf, Büdelsdorf</t>
  </si>
  <si>
    <t>10331537-10383335</t>
  </si>
  <si>
    <t>028-7166979-8589159</t>
  </si>
  <si>
    <t>2026-06-25 05:23:49</t>
  </si>
  <si>
    <t>Berntweg 13a, Berlin, Berlin</t>
  </si>
  <si>
    <t>10331550-10383348</t>
  </si>
  <si>
    <t>Thilo</t>
  </si>
  <si>
    <t>Kaal</t>
  </si>
  <si>
    <t>306-5001022-5843530</t>
  </si>
  <si>
    <t>2026-06-25 05:24:23</t>
  </si>
  <si>
    <t>Gutenbergstr 17, Emmerich am Rhein, Nordrhein-Westfalen</t>
  </si>
  <si>
    <t>10331492-10383290</t>
  </si>
  <si>
    <t>Marijke Van Gyseghem</t>
  </si>
  <si>
    <t>Bring</t>
  </si>
  <si>
    <t xml:space="preserve">me </t>
  </si>
  <si>
    <t>EU-44531</t>
  </si>
  <si>
    <t>2026-06-25 05:24:56</t>
  </si>
  <si>
    <t>Ikaroslaan 31, Zaventem, Zaventem</t>
  </si>
  <si>
    <t>10331996-10383796</t>
  </si>
  <si>
    <t>Neidt</t>
  </si>
  <si>
    <t>306-3393975-7109146</t>
  </si>
  <si>
    <t>2026-06-25 05:25:31</t>
  </si>
  <si>
    <t>Römerschanzenstr 14, Germering, Bayern</t>
  </si>
  <si>
    <t>10331516-10383314</t>
  </si>
  <si>
    <t>EU-44537</t>
  </si>
  <si>
    <t>2026-06-25 05:26:05</t>
  </si>
  <si>
    <t>10334218-10386035</t>
  </si>
  <si>
    <t>Mireille</t>
  </si>
  <si>
    <t>Felten</t>
  </si>
  <si>
    <t>EU-44564</t>
  </si>
  <si>
    <t>2026-06-25 05:26:49</t>
  </si>
  <si>
    <t>Desire zahlen 11, Itzig, Itzig</t>
  </si>
  <si>
    <t>TOWLB-CAB-XL-PINK-R,TOWLB-DES-XL-SUNSPL,TOWLB-DOB-XL-CALM,TOWLB-SUM-LG-MIAMI</t>
  </si>
  <si>
    <t>10333483-10385294</t>
  </si>
  <si>
    <t>De Smet</t>
  </si>
  <si>
    <t>EU-44557</t>
  </si>
  <si>
    <t>2026-06-25 05:28:25</t>
  </si>
  <si>
    <t>Paellepelstraat 53, Ninove, Ninove</t>
  </si>
  <si>
    <t>10332881-10384688</t>
  </si>
  <si>
    <t>Kristin</t>
  </si>
  <si>
    <t>Lansing</t>
  </si>
  <si>
    <t>305-1068500-1845103</t>
  </si>
  <si>
    <t>2026-06-25 05:28:44</t>
  </si>
  <si>
    <t>Besslinghook 6a, Ahaus, Nordrhein-Westfalen</t>
  </si>
  <si>
    <t>10333476-10385287</t>
  </si>
  <si>
    <t>Molski</t>
  </si>
  <si>
    <t>EU-44552</t>
  </si>
  <si>
    <t>2026-06-25 05:29:23</t>
  </si>
  <si>
    <t>Strati Deligiannaki 9, Voula, Voula</t>
  </si>
  <si>
    <t>166 73</t>
  </si>
  <si>
    <t>10332895-10384702</t>
  </si>
  <si>
    <t>Fabian</t>
  </si>
  <si>
    <t>Unger</t>
  </si>
  <si>
    <t>303-3182727-3558712</t>
  </si>
  <si>
    <t>2026-06-25 05:30:00</t>
  </si>
  <si>
    <t>Andreas Wendt Gmbh, Am Neumarkt 38b, Hamburg, Hamburg</t>
  </si>
  <si>
    <t>10333216-10385024</t>
  </si>
  <si>
    <t>Ricarda</t>
  </si>
  <si>
    <t>Mlynarski</t>
  </si>
  <si>
    <t>EU-44545</t>
  </si>
  <si>
    <t>2026-06-25 05:30:47</t>
  </si>
  <si>
    <t>Bahnstraße 21, München, München</t>
  </si>
  <si>
    <t>BAGF-SUM-MD-MIAMI,TOWLB-SUM-XL-OCEAN</t>
  </si>
  <si>
    <t>10333217-10385025</t>
  </si>
  <si>
    <t>Kindel</t>
  </si>
  <si>
    <t>305-8038052-1185114</t>
  </si>
  <si>
    <t>2026-06-25 05:31:18</t>
  </si>
  <si>
    <t>Steinhauser Bergstraße 63, Schwelm, NRW</t>
  </si>
  <si>
    <t>10333733-10385547</t>
  </si>
  <si>
    <t>Leroy</t>
  </si>
  <si>
    <t>EU-44559</t>
  </si>
  <si>
    <t>2026-06-25 05:31:29</t>
  </si>
  <si>
    <t>3 Ave Du Colonel Fabien, Pantin, Pantin</t>
  </si>
  <si>
    <t>BAGF-DES-MD-CHECKMT,PONCHA-DES-LG-WTRSUG,PONCHA-DES-MD-WTRSUG,PONCHA-SUM-MD-CSTCANDY</t>
  </si>
  <si>
    <t>10333220-10385028</t>
  </si>
  <si>
    <t>EU-44550</t>
  </si>
  <si>
    <t>2026-06-25 05:32:09</t>
  </si>
  <si>
    <t>33 RUE PAUL DEROULÈDE, ASNIÈRES SUR SEINE, ASNIÈRES SUR SEINE</t>
  </si>
  <si>
    <t>PONCHK-CAB-SM-LTPNK-NS,PONCHK-SUM-SM-UNICN-NS</t>
  </si>
  <si>
    <t>10333218-10385026</t>
  </si>
  <si>
    <t>Tina</t>
  </si>
  <si>
    <t>Moran</t>
  </si>
  <si>
    <t>EU-44549</t>
  </si>
  <si>
    <t>2026-06-25 05:33:04</t>
  </si>
  <si>
    <t>42 Morehampton Rd, Dublin, Dublin</t>
  </si>
  <si>
    <t>D04 T2V3</t>
  </si>
  <si>
    <t>TOWLB-CAB-XL-GREEN-R,TOWLB-DOB-XL-CALM</t>
  </si>
  <si>
    <t>10334015-10385831</t>
  </si>
  <si>
    <t>Schweer</t>
  </si>
  <si>
    <t>EU-44562</t>
  </si>
  <si>
    <t>2026-06-25 05:33:45</t>
  </si>
  <si>
    <t>Dr-Timmermann-Str 11, Wunstorf, Wunstorf</t>
  </si>
  <si>
    <t>TOWLB-DES-XL-SUNSPL,TOWLB-DES-XL-SWTESC,TOWLB-DOB-XL-CALM</t>
  </si>
  <si>
    <t>10333484-10385295</t>
  </si>
  <si>
    <t>Anica</t>
  </si>
  <si>
    <t>Gillen</t>
  </si>
  <si>
    <t>304-0820669-6580360</t>
  </si>
  <si>
    <t>2026-06-25 05:33:51</t>
  </si>
  <si>
    <t>Nikolaus Groß Str 20, Pulheim, Nordrhein-Westfalen</t>
  </si>
  <si>
    <t>10333480-10385291</t>
  </si>
  <si>
    <t>Lina</t>
  </si>
  <si>
    <t>Wild</t>
  </si>
  <si>
    <t>028-5635888-6855500</t>
  </si>
  <si>
    <t>2026-06-25 05:34:18</t>
  </si>
  <si>
    <t>Römerstraße 247 249, Heidelberg, Heidelberg</t>
  </si>
  <si>
    <t>10334456-10386277</t>
  </si>
  <si>
    <t>Felix</t>
  </si>
  <si>
    <t>Leitenberger</t>
  </si>
  <si>
    <t>EU-44567</t>
  </si>
  <si>
    <t>2026-06-25 05:34:42</t>
  </si>
  <si>
    <t>Kreuzenstr 32, Furth, Furth</t>
  </si>
  <si>
    <t>PONCHA-DES-LG-WAVYBBY</t>
  </si>
  <si>
    <t>10333735-10385549</t>
  </si>
  <si>
    <t>Henkelmann</t>
  </si>
  <si>
    <t>302-2665781-6201163</t>
  </si>
  <si>
    <t>2026-06-25 05:35:04</t>
  </si>
  <si>
    <t>Heinrich Böll Straße 84, Bremen, Bremen</t>
  </si>
  <si>
    <t>10317451-10369121</t>
  </si>
  <si>
    <t>Schultz</t>
  </si>
  <si>
    <t>EU-44279</t>
  </si>
  <si>
    <t>2026-06-25 05:35:27</t>
  </si>
  <si>
    <t>Alosenweg 77, Stuttgart, Stuttgart</t>
  </si>
  <si>
    <t>COOL-CAB-LTGRY-R,COOL-CAB-NAVY-R,COOL-DES-MIDNMOV</t>
  </si>
  <si>
    <t>10334014-10385830</t>
  </si>
  <si>
    <t>Angele</t>
  </si>
  <si>
    <t>SABLON</t>
  </si>
  <si>
    <t>EU-44563</t>
  </si>
  <si>
    <t>2026-06-25 05:35:56</t>
  </si>
  <si>
    <t>68 rue Joseph LEMIUS, CHAMBLY, CHAMBLY</t>
  </si>
  <si>
    <t>10334214-10386031</t>
  </si>
  <si>
    <t>Cordula</t>
  </si>
  <si>
    <t>Pelzer</t>
  </si>
  <si>
    <t>305-0009314-8262709</t>
  </si>
  <si>
    <t>2026-06-25 05:36:38</t>
  </si>
  <si>
    <t>Obermühle 26 B, Brühl, Nordrhein-Westfalen</t>
  </si>
  <si>
    <t>10334469-10386290</t>
  </si>
  <si>
    <t>Ruthe</t>
  </si>
  <si>
    <t>304-2872248-1834742</t>
  </si>
  <si>
    <t>2026-06-25 05:37:29</t>
  </si>
  <si>
    <t>Hohenzollernstrasse 4, Bielefeld, Bielefeld</t>
  </si>
  <si>
    <t>10334474-10386295</t>
  </si>
  <si>
    <t>Rebekka</t>
  </si>
  <si>
    <t>302-8422800-3680310</t>
  </si>
  <si>
    <t>2026-06-25 05:38:06</t>
  </si>
  <si>
    <t>Windorfer Straße 45a, Leipzig, Leipzig</t>
  </si>
  <si>
    <t>04229</t>
  </si>
  <si>
    <t>10334476-10386297</t>
  </si>
  <si>
    <t>Lippert</t>
  </si>
  <si>
    <t>305-6870327-6308339</t>
  </si>
  <si>
    <t>2026-06-25 05:39:06</t>
  </si>
  <si>
    <t>Schwingelerweg 15, Wesseling, Wesseling</t>
  </si>
  <si>
    <t>10334478-10386299</t>
  </si>
  <si>
    <t>302-5557930-1929913</t>
  </si>
  <si>
    <t>2026-06-25 05:39:45</t>
  </si>
  <si>
    <t>Immenhofer Straße 92, Stuttgart, Stuttgart</t>
  </si>
  <si>
    <t>10334486-10386307</t>
  </si>
  <si>
    <t>Moench</t>
  </si>
  <si>
    <t>302-0280135-2460349</t>
  </si>
  <si>
    <t>2026-06-25 05:40:07</t>
  </si>
  <si>
    <t>Görlitzer Straße 10, Steinhagen, Steinhagen</t>
  </si>
  <si>
    <t>10334482-10386303</t>
  </si>
  <si>
    <t>Friedrich</t>
  </si>
  <si>
    <t>302-8629397-9120364</t>
  </si>
  <si>
    <t>2026-06-25 05:40:14</t>
  </si>
  <si>
    <t>Am Kulturheim 24, Löbau, Sachsen</t>
  </si>
  <si>
    <t>02708</t>
  </si>
  <si>
    <t>10334488-10386309</t>
  </si>
  <si>
    <t>Becker</t>
  </si>
  <si>
    <t>304-7520643-2623555</t>
  </si>
  <si>
    <t>2026-06-25 05:40:44</t>
  </si>
  <si>
    <t>Am Gewende 13, Siegen, Siegen</t>
  </si>
  <si>
    <t>10335038-10386886</t>
  </si>
  <si>
    <t>Rebbert</t>
  </si>
  <si>
    <t>EU-44572</t>
  </si>
  <si>
    <t>2026-06-25 05:41:10</t>
  </si>
  <si>
    <t>Königsau 3, Lippstadt, Lippstadt</t>
  </si>
  <si>
    <t>10335037-10386885</t>
  </si>
  <si>
    <t>Laura u. Alexander</t>
  </si>
  <si>
    <t>Stühmeier</t>
  </si>
  <si>
    <t>305-4346200-4052357</t>
  </si>
  <si>
    <t>2026-06-25 05:41:20</t>
  </si>
  <si>
    <t>Schwarzenmoorstr 198, Herford, NRW</t>
  </si>
  <si>
    <t>10335041-10386889</t>
  </si>
  <si>
    <t>Drüppel</t>
  </si>
  <si>
    <t>305-7799958-4347551</t>
  </si>
  <si>
    <t>2026-06-25 05:41:49</t>
  </si>
  <si>
    <t>Im Aatal 9, Bad Wünnenberg, Bad Wünnenberg</t>
  </si>
  <si>
    <t>10335046-10386894</t>
  </si>
  <si>
    <t>Flötotto</t>
  </si>
  <si>
    <t>028-0924368-5547530</t>
  </si>
  <si>
    <t>2026-06-25 05:42:10</t>
  </si>
  <si>
    <t>Stephansweg 12, Gütersloh, Gütersloh</t>
  </si>
  <si>
    <t>10334013-10385829</t>
  </si>
  <si>
    <t>Ragna</t>
  </si>
  <si>
    <t>Wiemer</t>
  </si>
  <si>
    <t>304-8841043-6809964</t>
  </si>
  <si>
    <t>2026-06-25 05:42:17</t>
  </si>
  <si>
    <t>Lutterstraße 28, Bielefeld, Nordrhein-Westfalen</t>
  </si>
  <si>
    <t>10335043-10386891</t>
  </si>
  <si>
    <t>Marcel</t>
  </si>
  <si>
    <t>Wesnigk</t>
  </si>
  <si>
    <t>305-3200864-7741933</t>
  </si>
  <si>
    <t>2026-06-25 05:42:50</t>
  </si>
  <si>
    <t>Gabelsbergerstraße 19, Unna, Unna</t>
  </si>
  <si>
    <t>10335466-10387314</t>
  </si>
  <si>
    <t>Rembold</t>
  </si>
  <si>
    <t>306-6144870-5669913</t>
  </si>
  <si>
    <t>2026-06-25 05:43:00</t>
  </si>
  <si>
    <t>Herzogstraße 32, Neuss, Neuss</t>
  </si>
  <si>
    <t>10335045-10386893</t>
  </si>
  <si>
    <t>Volkmann</t>
  </si>
  <si>
    <t>028-9925231-1624315</t>
  </si>
  <si>
    <t>2026-06-25 05:43:28</t>
  </si>
  <si>
    <t>Heisenbergweg 16, Bielefeld, Bielefeld</t>
  </si>
  <si>
    <t>10335294-10387142</t>
  </si>
  <si>
    <t>Korenke</t>
  </si>
  <si>
    <t>302-8852433-8647522</t>
  </si>
  <si>
    <t>2026-06-25 05:44:25</t>
  </si>
  <si>
    <t>Sandforther Str 101, Halle (westf.), Nordrhein-Westfalen</t>
  </si>
  <si>
    <t>10335298-10387146</t>
  </si>
  <si>
    <t>Adelheid</t>
  </si>
  <si>
    <t>Homeyer</t>
  </si>
  <si>
    <t>304-2314080-5775534</t>
  </si>
  <si>
    <t>2026-06-25 05:45:06</t>
  </si>
  <si>
    <t>Oester 49, Harsewinkel, Harsewinkel</t>
  </si>
  <si>
    <t>10334226-10386043</t>
  </si>
  <si>
    <t>Gesa</t>
  </si>
  <si>
    <t>Heyer</t>
  </si>
  <si>
    <t>028-3414649-1652347</t>
  </si>
  <si>
    <t>2026-06-25 05:45:44</t>
  </si>
  <si>
    <t>Hasetorwall 11, Osnabrück, Osnabrück</t>
  </si>
  <si>
    <t>10335300-10387148</t>
  </si>
  <si>
    <t>302-7467102-6201104</t>
  </si>
  <si>
    <t>2026-06-25 05:46:19</t>
  </si>
  <si>
    <t>Steuerbüro Zentgraf, Salmbacher Str 77, Berlin, Berlin</t>
  </si>
  <si>
    <t>10334463-10386284</t>
  </si>
  <si>
    <t>CLAUDIA</t>
  </si>
  <si>
    <t>LINKE</t>
  </si>
  <si>
    <t>305-0126930-1983528</t>
  </si>
  <si>
    <t>2026-06-25 05:46:49</t>
  </si>
  <si>
    <t>RENNSTR 11, 3 Etage, HERFORD, NRW</t>
  </si>
  <si>
    <t>10334480-10386301</t>
  </si>
  <si>
    <t>Schwotzer</t>
  </si>
  <si>
    <t>306-3707702-2089121</t>
  </si>
  <si>
    <t>2026-06-25 05:47:21</t>
  </si>
  <si>
    <t>Schreefeld 13, Steinhagen, Nordrhein-Westfalen</t>
  </si>
  <si>
    <t>10335470-10387318</t>
  </si>
  <si>
    <t>Supthut</t>
  </si>
  <si>
    <t>EU-44581</t>
  </si>
  <si>
    <t>2026-06-25 05:49:58</t>
  </si>
  <si>
    <t>Schnickenfeld 7, Prisdorf, Prisdorf</t>
  </si>
  <si>
    <t>10335297-10387145</t>
  </si>
  <si>
    <t>EU-44576</t>
  </si>
  <si>
    <t>2026-06-25 05:50:50</t>
  </si>
  <si>
    <t>Hiltenspergerstr 28, 3 Stock, München, München</t>
  </si>
  <si>
    <t>DOGTWL-MD-SUNSPL,PICNIC-DES-LG-MARGMAD</t>
  </si>
  <si>
    <t>10334221-10386038</t>
  </si>
  <si>
    <t>Sans Souci</t>
  </si>
  <si>
    <t>Killiney hill road</t>
  </si>
  <si>
    <t>EU-44565</t>
  </si>
  <si>
    <t>2026-06-25 05:52:00</t>
  </si>
  <si>
    <t>Killiney, Dublin, Dublin</t>
  </si>
  <si>
    <t>A96 WP90</t>
  </si>
  <si>
    <t>10333739-10385553</t>
  </si>
  <si>
    <t>Nebelsieck</t>
  </si>
  <si>
    <t>306-3888857-9324368</t>
  </si>
  <si>
    <t>2026-06-25 05:52:44</t>
  </si>
  <si>
    <t>Ottenser Hauptstraße 43, Hamburg, Hamburg</t>
  </si>
  <si>
    <t>10334224-10386041</t>
  </si>
  <si>
    <t>Hammann</t>
  </si>
  <si>
    <t>305-7823007-1515522</t>
  </si>
  <si>
    <t>2026-06-25 05:53:26</t>
  </si>
  <si>
    <t>Hochwaldstr 29, Bad Nauheim, Bad Nauheim</t>
  </si>
  <si>
    <t>10334771-10386619</t>
  </si>
  <si>
    <t>Jäger</t>
  </si>
  <si>
    <t>304-8685713-3558757</t>
  </si>
  <si>
    <t>2026-06-25 05:55:26</t>
  </si>
  <si>
    <t>Gertrud Feiertag Straße 2, Potsdam, Potsdam</t>
  </si>
  <si>
    <t>10335042-10386890</t>
  </si>
  <si>
    <t>Stumpp</t>
  </si>
  <si>
    <t>028-2638045-2266709</t>
  </si>
  <si>
    <t>Vorderste Wiese 6, Hamburg, Hamburg</t>
  </si>
  <si>
    <t>10335679-10387527</t>
  </si>
  <si>
    <t>Nancy</t>
  </si>
  <si>
    <t>Ovalle</t>
  </si>
  <si>
    <t>306-6593633-6979526</t>
  </si>
  <si>
    <t>2026-06-25 05:56:06</t>
  </si>
  <si>
    <t>Fugelstr 4, München, München</t>
  </si>
  <si>
    <t>10335292-10387140</t>
  </si>
  <si>
    <t>Suttmann</t>
  </si>
  <si>
    <t>304-3638952-8850717</t>
  </si>
  <si>
    <t>2026-06-25 05:56:41</t>
  </si>
  <si>
    <t>Raamfeld 271, Hamburg, Hamburg</t>
  </si>
  <si>
    <t>10335301-10387149</t>
  </si>
  <si>
    <t>Arndt</t>
  </si>
  <si>
    <t>028-9856046-1636342</t>
  </si>
  <si>
    <t>2026-06-25 05:57:39</t>
  </si>
  <si>
    <t>Klein Liedern 1, Uelzen, Niedersachsen</t>
  </si>
  <si>
    <t>10335302-10387150</t>
  </si>
  <si>
    <t>Glaubitz</t>
  </si>
  <si>
    <t>306-7751251-3944324</t>
  </si>
  <si>
    <t>2026-06-25 05:58:24</t>
  </si>
  <si>
    <t>Kaiserstrasse 178a, Radevormwald, Radevormwald</t>
  </si>
  <si>
    <t>10328264-10380036</t>
  </si>
  <si>
    <t>Nerea</t>
  </si>
  <si>
    <t>Olazaguirre</t>
  </si>
  <si>
    <t>EU-44478</t>
  </si>
  <si>
    <t>2026-06-25 05:59:52</t>
  </si>
  <si>
    <t>Lukategitxu 3, Berango, Vizcaya</t>
  </si>
  <si>
    <t>PONCHA-DES-MD-IBZAGLW,PONCHA-SUM-MD-UNICN-NS,PONCHK-SUM-MD-UNICN-NS</t>
  </si>
  <si>
    <t>10335040-10386888</t>
  </si>
  <si>
    <t>Pronk</t>
  </si>
  <si>
    <t>EU-44573</t>
  </si>
  <si>
    <t>2026-06-25 06:17:59</t>
  </si>
  <si>
    <t>Kreek 10, Poeldijk, Poeldijk</t>
  </si>
  <si>
    <t>2685 WE</t>
  </si>
  <si>
    <t>BAGF-DES-MD-WAVYBBY,TOWLB-CAB-XL-PINK-R,TOWLB-SUM-LG-MIAMI,TOWLB-SUM-LG-UNICN-R,TOWLF-ESS-XL-DKBLU</t>
  </si>
  <si>
    <t>10334459-10386280</t>
  </si>
  <si>
    <t>Beatrix</t>
  </si>
  <si>
    <t>Jaissle</t>
  </si>
  <si>
    <t>EU-44568</t>
  </si>
  <si>
    <t>2026-06-25 06:19:40</t>
  </si>
  <si>
    <t>Silcherstr12, Ludwigsburg, Ludwigsburg</t>
  </si>
  <si>
    <t>10334465-10386286</t>
  </si>
  <si>
    <t>Otremba</t>
  </si>
  <si>
    <t>EU-44570</t>
  </si>
  <si>
    <t>2026-06-25 06:20:46</t>
  </si>
  <si>
    <t>Am Spangen 18, Düsseldorf, Düsseldorf</t>
  </si>
  <si>
    <t>TOWLB-CAB-LG-BLUE-R,TOWLB-CAB-LG-GREEN-R,TOWLB-CAB-MD-LTPNK,TOWLB-SUM-XL-TUTFRU</t>
  </si>
  <si>
    <t>10333215-10385023</t>
  </si>
  <si>
    <t>de Jong</t>
  </si>
  <si>
    <t>EU-44547</t>
  </si>
  <si>
    <t>2026-06-25 06:23:58</t>
  </si>
  <si>
    <t>Rijsbergegweg 38b, Etten-Leur, Etten-Leur</t>
  </si>
  <si>
    <t>4873 LT</t>
  </si>
  <si>
    <t>BAGF-SUM-MD-MIAMI,TOWLB-CAB-XL-NAVY-R,TOWLB-CAB-XL-PINK-R,TOWLB-SUM-XL-OCEAN,TOWLB-SUM-XL-TUTFRU</t>
  </si>
  <si>
    <t>10333475-10385286</t>
  </si>
  <si>
    <t>Impens</t>
  </si>
  <si>
    <t>EU-44553</t>
  </si>
  <si>
    <t>2026-06-25 06:26:12</t>
  </si>
  <si>
    <t>Coupure 708, Gent, Gent</t>
  </si>
  <si>
    <t>DOGTWL-MD-K9CAMO,TOWLB-CAB-XL-GREEN-R,TOWLB-CAB-XL-NAVY-R,TOWLB-CAB-XL-PINK-R,TOWLB-CAB-XL-RED-R</t>
  </si>
  <si>
    <t>10332421-10384224</t>
  </si>
  <si>
    <t>van Geldern</t>
  </si>
  <si>
    <t>EU-44541</t>
  </si>
  <si>
    <t>2026-06-25 06:27:51</t>
  </si>
  <si>
    <t>Eichendorffstrasse 8, Eichendorffstrasse 8, Borken, Borken</t>
  </si>
  <si>
    <t>10332891-10384698</t>
  </si>
  <si>
    <t>Gerdom</t>
  </si>
  <si>
    <t>306-4182814-3865122</t>
  </si>
  <si>
    <t>2026-06-25 06:28:54</t>
  </si>
  <si>
    <t>Schwalbenmoor 5, Meine - Abbesbüttel, Meine - Abbesbüttel</t>
  </si>
  <si>
    <t>10333213-10385021</t>
  </si>
  <si>
    <t>Breuss</t>
  </si>
  <si>
    <t>302-1339402-5737130</t>
  </si>
  <si>
    <t>2026-06-25 06:30:13</t>
  </si>
  <si>
    <t>Luzisfeldweg 6, Altach, Altach</t>
  </si>
  <si>
    <t>10328639-10380414</t>
  </si>
  <si>
    <t>THE BRITISH SHOP Versandhandel</t>
  </si>
  <si>
    <t>Sheikholeslami</t>
  </si>
  <si>
    <t>EUWS-3219</t>
  </si>
  <si>
    <t>2026-06-25 06:33:12</t>
  </si>
  <si>
    <t>Auf dem Steinbüchel 6, Meckenheim, Meckenheim</t>
  </si>
  <si>
    <t>BAGDRY-MD-MIAMI,BAGDRY-MD-NAVY,BAGDRY-XS-MIAMI,BAGDRY-XS-NAVY,BAGF-SUM-MD-COLAGN,BAGF-SUM-MD-MIAMI,BAGTOI-MD-CHRYBMB,BALLAST-CAB-NAVY,BALLAST-SUM-MIAMI,EYEMASK-DES-CHRYBMB,PICNIC-DES-LG-CANDSTR,TOWLB-CAB-LG-KHAKI-R,TOWLB-DES-LG-RSPROAD,TOWLB-SUM-LG-COLAGN,TOWLB-SUM-LG-MIAMI</t>
  </si>
  <si>
    <t>10335975-10387824</t>
  </si>
  <si>
    <t>Schneemann</t>
  </si>
  <si>
    <t>EU-44583</t>
  </si>
  <si>
    <t>2026-06-25 06:34:18</t>
  </si>
  <si>
    <t>Alte Bahnhofstr 22b, Pöcking, Pöcking</t>
  </si>
  <si>
    <t>TOWLB-CAB-XL-BLUE-R,TOWLB-CAB-XL-NAVY-R,TOWLB-KID-LG-BUILDBCH,TOWLB-KID-LG-GVCLUB,TOWLB-KID-LG-JELLY</t>
  </si>
  <si>
    <t>10333482-10385293</t>
  </si>
  <si>
    <t>Laura Low</t>
  </si>
  <si>
    <t>Low</t>
  </si>
  <si>
    <t>EU-44558</t>
  </si>
  <si>
    <t>2026-06-25 06:36:20</t>
  </si>
  <si>
    <t>Wenslauerstraat 66, Amsterdam, Amsterdam</t>
  </si>
  <si>
    <t>1053 BB</t>
  </si>
  <si>
    <t>TOWLB-SUM-LG-COLAGN,TOWLB-SUM-LG-MIAMI,TOWLB-SUM-LG-OCEAN,TOWLB-SUM-LG-TUTFRU,TOWLB-SUM-XL-TUTFRU</t>
  </si>
  <si>
    <t>10333477-10385288</t>
  </si>
  <si>
    <t>Blais</t>
  </si>
  <si>
    <t>EU-44556</t>
  </si>
  <si>
    <t>2026-06-25 06:37:44</t>
  </si>
  <si>
    <t>16 Ashe Grove, Knocksedan Demesne, Swords, Dublin</t>
  </si>
  <si>
    <t>K67 YF82</t>
  </si>
  <si>
    <t>10333485-10385296</t>
  </si>
  <si>
    <t>Gerlinde</t>
  </si>
  <si>
    <t>Schlau</t>
  </si>
  <si>
    <t>306-8273178-4935514</t>
  </si>
  <si>
    <t>2026-06-25 06:38:27</t>
  </si>
  <si>
    <t>Schlaugruppe, Am alten Fluss 6, Lemgo, NRW</t>
  </si>
  <si>
    <t>10332879-10384686</t>
  </si>
  <si>
    <t>EU-44544</t>
  </si>
  <si>
    <t>2026-06-25 06:56:22</t>
  </si>
  <si>
    <t>Johannes Verhulststraat 118-2, Amsterdam, Amsterdam</t>
  </si>
  <si>
    <t>1071 NL</t>
  </si>
  <si>
    <t>10334227-10386044</t>
  </si>
  <si>
    <t>McCartney</t>
  </si>
  <si>
    <t>EU-44566</t>
  </si>
  <si>
    <t>2026-06-25 06:58:18</t>
  </si>
  <si>
    <t>30 Glendara, Kilteragh, Limerick, Limerick</t>
  </si>
  <si>
    <t>V94 W3CP</t>
  </si>
  <si>
    <t>TOWLB-SUM-XL-OCEAN,TOWLB-SUM-XL-TUTFRU</t>
  </si>
  <si>
    <t>10333214-10385022</t>
  </si>
  <si>
    <t>Inin</t>
  </si>
  <si>
    <t>Van Gysegem</t>
  </si>
  <si>
    <t>EU-44548</t>
  </si>
  <si>
    <t>2026-06-25 06:59:21</t>
  </si>
  <si>
    <t>Jef de Belderlaan 2, Deurle, Deurle</t>
  </si>
  <si>
    <t>TOWLB-CAB-XL-NAVY-R,TOWLB-DES-LG-PSTPIER</t>
  </si>
  <si>
    <t>10335044-10386892</t>
  </si>
  <si>
    <t>EU-44574</t>
  </si>
  <si>
    <t>2026-06-25 07:00:00</t>
  </si>
  <si>
    <t>TOWLB-CAB-XL-BLACK-R,TOWLB-CAB-XL-RED-R</t>
  </si>
  <si>
    <t>10332424-10384227</t>
  </si>
  <si>
    <t>Huppertz</t>
  </si>
  <si>
    <t>305-5189671-1472321</t>
  </si>
  <si>
    <t>2026-06-25 07:00:51</t>
  </si>
  <si>
    <t>Leopoldshöher Straße 6d, Bad Salzuflen, Bad Salzuflen</t>
  </si>
  <si>
    <t>10333226-10385034</t>
  </si>
  <si>
    <t>Mucker</t>
  </si>
  <si>
    <t>306-0302536-4558717</t>
  </si>
  <si>
    <t>2026-06-25 07:01:38</t>
  </si>
  <si>
    <t>Im Meerpool 6b, Goldenstedt, Goldenstedt</t>
  </si>
  <si>
    <t>10334009-10385825</t>
  </si>
  <si>
    <t>MERLE</t>
  </si>
  <si>
    <t>ENGELBART-ZEITZ</t>
  </si>
  <si>
    <t>304-4540175-9418750</t>
  </si>
  <si>
    <t>2026-06-25 07:02:20</t>
  </si>
  <si>
    <t>Glatzer Str 15, Spenge, Nordrhein-Westfalen</t>
  </si>
  <si>
    <t>10334225-10386042</t>
  </si>
  <si>
    <t>Elisabeth</t>
  </si>
  <si>
    <t>Steutzger</t>
  </si>
  <si>
    <t>305-1533912-3736355</t>
  </si>
  <si>
    <t>2026-06-25 07:03:34</t>
  </si>
  <si>
    <t>Bachbauernstraße 2c, München, München</t>
  </si>
  <si>
    <t>10334228-10386045</t>
  </si>
  <si>
    <t>Beatrice</t>
  </si>
  <si>
    <t>Kersten</t>
  </si>
  <si>
    <t>305-5354393-4247552</t>
  </si>
  <si>
    <t>2026-06-25 07:04:15</t>
  </si>
  <si>
    <t>Sülldorfer Mühlenweg 4c, Hamburg, Hamburg</t>
  </si>
  <si>
    <t>10334484-10386305</t>
  </si>
  <si>
    <t>Brands</t>
  </si>
  <si>
    <t>305-3024806-8851556</t>
  </si>
  <si>
    <t>2026-06-25 07:05:00</t>
  </si>
  <si>
    <t>Holunderweg 2, Heiden, Heiden</t>
  </si>
  <si>
    <t>10332416-10384219</t>
  </si>
  <si>
    <t>Kaliebe</t>
  </si>
  <si>
    <t>306-2208713-4192302</t>
  </si>
  <si>
    <t>2026-06-25 07:06:14</t>
  </si>
  <si>
    <t>Rheinstraße 9, Gnarrenburg, Gnarrenburg</t>
  </si>
  <si>
    <t>10332417-10384220</t>
  </si>
  <si>
    <t>Hoyer</t>
  </si>
  <si>
    <t>306-9592315-0920319</t>
  </si>
  <si>
    <t>2026-06-25 07:06:53</t>
  </si>
  <si>
    <t>Beguinenstraße 72, Duisburg, Duisburg</t>
  </si>
  <si>
    <t>10332894-10384701</t>
  </si>
  <si>
    <t>303-0682578-8028325</t>
  </si>
  <si>
    <t>2026-06-25 07:07:29</t>
  </si>
  <si>
    <t>Akademie Für Manuelle Medizin, Von Esmarch Str 50, Münster, Münster</t>
  </si>
  <si>
    <t>10332898-10384705</t>
  </si>
  <si>
    <t>Natascha</t>
  </si>
  <si>
    <t>Till</t>
  </si>
  <si>
    <t>306-5947059-0185113</t>
  </si>
  <si>
    <t>2026-06-25 07:08:01</t>
  </si>
  <si>
    <t>Im Feld 26, Rietberg, Rietberg</t>
  </si>
  <si>
    <t>10333206-10385014</t>
  </si>
  <si>
    <t>Witt</t>
  </si>
  <si>
    <t>302-1661952-9838740</t>
  </si>
  <si>
    <t>2026-06-25 07:08:31</t>
  </si>
  <si>
    <t>Ericaweg 22, Bad Oeynhausen, Bad Oeynhausen</t>
  </si>
  <si>
    <t>10333223-10385031</t>
  </si>
  <si>
    <t>Dagmar</t>
  </si>
  <si>
    <t>Dörscheln</t>
  </si>
  <si>
    <t>028-4736495-5102766</t>
  </si>
  <si>
    <t>2026-06-25 07:09:16</t>
  </si>
  <si>
    <t>Buschköttersweg 39, Gütersloh, Gütersloh</t>
  </si>
  <si>
    <t>10333481-10385292</t>
  </si>
  <si>
    <t>303-3881634-3170737</t>
  </si>
  <si>
    <t>2026-06-25 07:14:51</t>
  </si>
  <si>
    <t>Arndtstraße 17, Würzburg, Würzburg</t>
  </si>
  <si>
    <t>10334011-10385827</t>
  </si>
  <si>
    <t>Wiebke</t>
  </si>
  <si>
    <t>Hahn</t>
  </si>
  <si>
    <t>303-6510865-7080337</t>
  </si>
  <si>
    <t>2026-06-25 07:15:50</t>
  </si>
  <si>
    <t>Eitelstr 28, Düsseldorf, Düsseldorf</t>
  </si>
  <si>
    <t>10335039-10386887</t>
  </si>
  <si>
    <t>Britta</t>
  </si>
  <si>
    <t>Boye</t>
  </si>
  <si>
    <t>302-5421178-2805962</t>
  </si>
  <si>
    <t>2026-06-25 07:16:14</t>
  </si>
  <si>
    <t>Hausleitner Str 1, Waging a. See, Bayern</t>
  </si>
  <si>
    <t>10335035-10386883</t>
  </si>
  <si>
    <t>Scheel</t>
  </si>
  <si>
    <t>303-3702170-5057930</t>
  </si>
  <si>
    <t>2026-06-25 07:16:57</t>
  </si>
  <si>
    <t>Tieckstr 17, Hannover, Hannover</t>
  </si>
  <si>
    <t>10335047-10386895</t>
  </si>
  <si>
    <t>Pöhler</t>
  </si>
  <si>
    <t>302-9465581-0745137</t>
  </si>
  <si>
    <t>2026-06-25 07:17:46</t>
  </si>
  <si>
    <t>Am Meerpohl 19, Warendorf, Nordrhein-Westfalen</t>
  </si>
  <si>
    <t>10335293-10387141</t>
  </si>
  <si>
    <t>Zieling</t>
  </si>
  <si>
    <t>302-4549167-0657935</t>
  </si>
  <si>
    <t>2026-06-25 07:18:23</t>
  </si>
  <si>
    <t>Am Hasselberg 17, Duisburg, Nordrhein-Westfalen</t>
  </si>
  <si>
    <t>10335471-10387319</t>
  </si>
  <si>
    <t>028-3713895-7021959</t>
  </si>
  <si>
    <t>2026-06-25 07:19:22</t>
  </si>
  <si>
    <t>10334461-10386282</t>
  </si>
  <si>
    <t>Büttner</t>
  </si>
  <si>
    <t>EU-44569</t>
  </si>
  <si>
    <t>2026-06-25 07:19:58</t>
  </si>
  <si>
    <t>Lobenhofferstraße 41b, Bamberg, Bamberg</t>
  </si>
  <si>
    <t>10335299-10387147</t>
  </si>
  <si>
    <t>Schiprowski</t>
  </si>
  <si>
    <t>303-7526350-3770707</t>
  </si>
  <si>
    <t>2026-06-25 07:20:26</t>
  </si>
  <si>
    <t>Federseestr 13 A, München, München</t>
  </si>
  <si>
    <t>10335976-10387825</t>
  </si>
  <si>
    <t>Leiendecker</t>
  </si>
  <si>
    <t>304-9374307-7359539</t>
  </si>
  <si>
    <t>2026-06-25 07:21:06</t>
  </si>
  <si>
    <t>Lüningstr 11, Versmold, Nordrhein-Westfalen</t>
  </si>
  <si>
    <t>10336145-10388000</t>
  </si>
  <si>
    <t>Eble</t>
  </si>
  <si>
    <t>303-0897203-6215518</t>
  </si>
  <si>
    <t>2026-06-25 07:58:41</t>
  </si>
  <si>
    <t>Dambach-La-Ville-Str 7, Rauenberg, Baden-Württemberg</t>
  </si>
  <si>
    <t>10335974-10387823</t>
  </si>
  <si>
    <t>Jordy</t>
  </si>
  <si>
    <t>Reynders</t>
  </si>
  <si>
    <t>EU-44582</t>
  </si>
  <si>
    <t>2026-06-25 08:13:12</t>
  </si>
  <si>
    <t>Ernest Staesstraat 6, Edegem, Edegem</t>
  </si>
  <si>
    <t>10335295-10387143</t>
  </si>
  <si>
    <t>Bajurny</t>
  </si>
  <si>
    <t>EU-44575</t>
  </si>
  <si>
    <t>2026-06-25 08:14:38</t>
  </si>
  <si>
    <t>Van Blankenburgstraat 21B, 's-Gravenhage, 's-Gravenhage</t>
  </si>
  <si>
    <t>2517 XM</t>
  </si>
  <si>
    <t>10336332-10388187</t>
  </si>
  <si>
    <t>Hauke</t>
  </si>
  <si>
    <t>Schiek</t>
  </si>
  <si>
    <t>302-0469675-5313109</t>
  </si>
  <si>
    <t>2026-06-25 08:45:07</t>
  </si>
  <si>
    <t>Nordstraße 33, Dresden, Dresden</t>
  </si>
  <si>
    <t>10336329-10388184</t>
  </si>
  <si>
    <t>Maybin</t>
  </si>
  <si>
    <t>EU-44585</t>
  </si>
  <si>
    <t>2026-06-25 08:46:39</t>
  </si>
  <si>
    <t>75 Brighton Rd, Dublin 6, Dublin</t>
  </si>
  <si>
    <t>D06 HC60</t>
  </si>
  <si>
    <t>PONCHK-CAB-MD-NAVY-NS,TOWLB-CAB-LG-BLUE-R,TOWLB-CAB-LG-NAVY-R,TOWLB-CAB-LG-ORANG-R,TOWLB-CAB-LG-RED-R</t>
  </si>
  <si>
    <t>10336331-10388186</t>
  </si>
  <si>
    <t>Léonie</t>
  </si>
  <si>
    <t>305-2745550-6196348</t>
  </si>
  <si>
    <t>2026-06-25 08:47:16</t>
  </si>
  <si>
    <t>Dreisch 21, Braunschweig, Braunschweig</t>
  </si>
  <si>
    <t>10327180-10378933</t>
  </si>
  <si>
    <t>EUWS-3221</t>
  </si>
  <si>
    <t>2026-06-25 09:17:53</t>
  </si>
  <si>
    <t>Eberhardstraße 7, Ludwigsburg, Ludwigsburg</t>
  </si>
  <si>
    <t>BAGDRY-XS-HOTTROP,BAGDRY-XS-MIAMI,BAGDRY-XS-NAVY,PONCHA-SUM-LG-CSTCANDY,PONCHA-SUM-LG-LAZRIV,PONCHA-SUM-MD-CSTCANDY,PONCHA-SUM-MD-LAZRIV,TOWLB-CAB-LG-KHAKI-R,TOWLB-CAB-LG-LTBLU-R,TOWLB-CAB-LG-NAVY-R,TOWLB-CAB-LG-PINK-R,TOWLB-CAB-LG-RED-R,TOWLB-CAB-XL-KHAKI-R,TOWLB-CAB-XL-LTBLU-R,TOWLB-CAB-XL-NAVY-R,TOWLB-CAB-XL-PINK-R,TOWLB-CAB-XL-RED-R,TOWLB-DES-LG-HOTTROP,TOWLB-DES-LG-OCETRES,TOWLB-DES-XL-HOTTROP,TOWLB-DES-XL-OCETRES,TOWLB-DOB-LG-CALM,TOWLB-DOB-XL-CALM,TOWLB-SUM-LG-CSTCANDY,TOWLB-SUM-XL-CSTCANDY</t>
  </si>
  <si>
    <t>10336531-10388388</t>
  </si>
  <si>
    <t>Michele</t>
  </si>
  <si>
    <t>Mignolet</t>
  </si>
  <si>
    <t>EU-44589</t>
  </si>
  <si>
    <t>2026-06-25 09:36:11</t>
  </si>
  <si>
    <t>Krijgsbaan 43, Mortsel, Mortsel</t>
  </si>
  <si>
    <t>TOWLB-CAB-LG-BLUE-R,TOWLB-CAB-LG-GREEN-R,TOWLB-CAB-LG-NAVY-R,TOWLB-CAB-LG-PINK-R,TOWLB-DES-LG-WTRSUG</t>
  </si>
  <si>
    <t>10336546-10388403</t>
  </si>
  <si>
    <t>Clarie</t>
  </si>
  <si>
    <t>Neary</t>
  </si>
  <si>
    <t>EU-44592</t>
  </si>
  <si>
    <t>2026-06-25 09:38:24</t>
  </si>
  <si>
    <t>Brockna, Kiltegan, Wcklow, Wicklow</t>
  </si>
  <si>
    <t>W91 X8WP</t>
  </si>
  <si>
    <t>10336528-10388385</t>
  </si>
  <si>
    <t>Sorcha</t>
  </si>
  <si>
    <t>Redmond</t>
  </si>
  <si>
    <t>EU-44587</t>
  </si>
  <si>
    <t>2026-06-25 09:39:35</t>
  </si>
  <si>
    <t>3 Manor Rise, Mulgannon, Wexford, Wexford</t>
  </si>
  <si>
    <t>Y35 T0CW</t>
  </si>
  <si>
    <t>TOWLB-CAB-XL-NAVY-R,TOWLB-CAB-XL-PINK-R,TOWLB-KID-LG-SKATER</t>
  </si>
  <si>
    <t>10336545-10388402</t>
  </si>
  <si>
    <t>EU-44590</t>
  </si>
  <si>
    <t>2026-06-25 09:41:20</t>
  </si>
  <si>
    <t>Amberley, knocknamullagh, Rochestown, Cork, Cork, Cork</t>
  </si>
  <si>
    <t>T12 PF97</t>
  </si>
  <si>
    <t>TOWLB-SUM-LG-COLAGN,TOWLB-SUM-LG-MIAMI,TOWLB-SUM-LG-OCEAN,TOWLB-SUM-LG-TUTFRU,TOWLB-SUM-LG-UNICN-R</t>
  </si>
  <si>
    <t>10336541-10388398</t>
  </si>
  <si>
    <t>Pinkenburg</t>
  </si>
  <si>
    <t>305-0284492-4285902</t>
  </si>
  <si>
    <t>2026-06-25 09:42:42</t>
  </si>
  <si>
    <t>Gluckstr 15, Sindelfingen, Sindelfingen</t>
  </si>
  <si>
    <t>10331496-10383294</t>
  </si>
  <si>
    <t>Quigley</t>
  </si>
  <si>
    <t>EU-44532</t>
  </si>
  <si>
    <t>2026-06-25 09:55:56</t>
  </si>
  <si>
    <t>2 Willow Terrace, Blackrock, Dublin</t>
  </si>
  <si>
    <t>A94 Y9C5</t>
  </si>
  <si>
    <t>BAGBCH-MD-NAVY,BAGF-CAB-MD-NAVY,COOL-CAB-NAVY-R,DOGTWL-MD-K9CAMO,TOWLB-CAB-LG-NAVY-R,TOWLB-CAB-XL-BLUE-R,TOWLB-CAB-XL-NAVY-R</t>
  </si>
  <si>
    <t>10336538-10388395</t>
  </si>
  <si>
    <t>Amann</t>
  </si>
  <si>
    <t>303-6937019-0646702</t>
  </si>
  <si>
    <t>2026-06-25 09:59:20</t>
  </si>
  <si>
    <t>Kastanienweg 45, Weiterstadt, Weiterstadt</t>
  </si>
  <si>
    <t>10336543-10388400</t>
  </si>
  <si>
    <t>Grainne Mason</t>
  </si>
  <si>
    <t>EU-44591</t>
  </si>
  <si>
    <t>2026-06-25 10:01:53</t>
  </si>
  <si>
    <t>27 Marlton Demesne, Wicklow, Wicklow</t>
  </si>
  <si>
    <t>A67 RY76</t>
  </si>
  <si>
    <t>HAIRW-WAF-CHRYBMB</t>
  </si>
  <si>
    <t>10336530-10388387</t>
  </si>
  <si>
    <t>Diogo</t>
  </si>
  <si>
    <t>Rodrigues</t>
  </si>
  <si>
    <t>EU-44586</t>
  </si>
  <si>
    <t>2026-06-25 10:03:11</t>
  </si>
  <si>
    <t>Turfhaven 44, 's-Gravenhage, 's-Gravenhage</t>
  </si>
  <si>
    <t>2511 DK</t>
  </si>
  <si>
    <t>10330867-10382659</t>
  </si>
  <si>
    <t>cleastore sarl clea</t>
  </si>
  <si>
    <t>clerc</t>
  </si>
  <si>
    <t>Emmanuel</t>
  </si>
  <si>
    <t>EUWS-3222</t>
  </si>
  <si>
    <t>2026-06-25 10:03:55</t>
  </si>
  <si>
    <t>8 Ave Louis Lajarrige, La Baule-Escoublac, La Baule-Escoublac</t>
  </si>
  <si>
    <t>BAGDRY-MD-NAVY,BAGDRY-XS-MIAMI,BAGDRY-XS-WAVYBBY,BAGDRY-XS-WYWH,BAGF-DES-MD-BANARAM,BAGF-SUM-MD-COLAGN,COOL-CAB-LTPNK-R,COOL-CAB-NAVY-R,PONCHA-SUM-MD-LAZRIV,TOWLB-DES-LG-PNKPARA,TOWLB-DES-LG-TROPTRT,TOWLB-SUM-LG-OCEAN</t>
  </si>
  <si>
    <t>10336548-10388405</t>
  </si>
  <si>
    <t>Cantrell</t>
  </si>
  <si>
    <t>EU-44593</t>
  </si>
  <si>
    <t>2026-06-25 10:04:09</t>
  </si>
  <si>
    <t>1 The Links, Ballymoneen Rd, Knocknacarra, Galway</t>
  </si>
  <si>
    <t>H91 ND8V</t>
  </si>
  <si>
    <t>10336533-10388390</t>
  </si>
  <si>
    <t>Valderrama Oudot</t>
  </si>
  <si>
    <t>EU-44588</t>
  </si>
  <si>
    <t>2026-06-25 10:05:00</t>
  </si>
  <si>
    <t>LiegnitzerStr 41, Berlin, Berlin</t>
  </si>
  <si>
    <t>10333224-10385032</t>
  </si>
  <si>
    <t>Lobna</t>
  </si>
  <si>
    <t>Abdellatif</t>
  </si>
  <si>
    <t>EU-44551</t>
  </si>
  <si>
    <t>2026-06-25 11:00:02</t>
  </si>
  <si>
    <t>6 Wilfield, Dublin, Dublin</t>
  </si>
  <si>
    <t>D04 PN22</t>
  </si>
  <si>
    <t>TOWLB-CAB-LG-BLUE-R,TOWLB-CAB-LG-NAVY-R,TOWLB-CAB-LG-ORANG-R,TOWLB-CAB-LG-RED-R,TOWLB-DES-LG-GRECSHR,TOWLB-DES-LG-SWTESC,TOWLB-DES-LG-WTRSUG,TOWLB-DES-LG-WYWH,TOWLB-SUM-LG-COLAGN,TOWLB-SUM-LG-MIAMI,TOWLB-SUM-LG-OCEAN,TOWLB-SUM-LG-TUTFRU</t>
  </si>
  <si>
    <t>10336143-10387998</t>
  </si>
  <si>
    <t>305-0369967-0648317</t>
  </si>
  <si>
    <t>2026-06-25 11:02:45</t>
  </si>
  <si>
    <t>10336336-10388191</t>
  </si>
  <si>
    <t>306-4944901-3578741</t>
  </si>
  <si>
    <t>2026-06-25 11:03:23</t>
  </si>
  <si>
    <t>10331993-10383793</t>
  </si>
  <si>
    <t>Treiber</t>
  </si>
  <si>
    <t>306-5604363-6871530</t>
  </si>
  <si>
    <t>2026-06-25 11:31:31</t>
  </si>
  <si>
    <t>Annweilerstrabe 1a, Packstation 134, Landau, Landau</t>
  </si>
  <si>
    <t>10331976-10383775</t>
  </si>
  <si>
    <t>Dinis Rodrigues</t>
  </si>
  <si>
    <t>Jolie</t>
  </si>
  <si>
    <t>Greenwood</t>
  </si>
  <si>
    <t>EU-44539</t>
  </si>
  <si>
    <t>2026-06-25 11:33:28</t>
  </si>
  <si>
    <t>Estrada Nacional 120, Portelas, 15, Lagos, Faro</t>
  </si>
  <si>
    <t>8600-319</t>
  </si>
  <si>
    <t>10337186-10389038</t>
  </si>
  <si>
    <t>EU-44597</t>
  </si>
  <si>
    <t>2026-06-25 11:52:52</t>
  </si>
  <si>
    <t>10337209-10389061</t>
  </si>
  <si>
    <t>Róisín</t>
  </si>
  <si>
    <t>EU-44607</t>
  </si>
  <si>
    <t>2026-06-25 11:53:21</t>
  </si>
  <si>
    <t>9 An Bothair Dara, Lis Na Dara, Dundalk, Louth</t>
  </si>
  <si>
    <t>A91 F5NW</t>
  </si>
  <si>
    <t>10337190-10389042</t>
  </si>
  <si>
    <t>Block</t>
  </si>
  <si>
    <t>305-6291150-2069107</t>
  </si>
  <si>
    <t>2026-06-25 11:53:46</t>
  </si>
  <si>
    <t>Georg-Ohm-Weg 1, Rüsselsheim, Hessen</t>
  </si>
  <si>
    <t>10336334-10388189</t>
  </si>
  <si>
    <t>SILKE</t>
  </si>
  <si>
    <t>DIEKMANN</t>
  </si>
  <si>
    <t>306-7667079-4818720</t>
  </si>
  <si>
    <t>2026-06-25 11:54:27</t>
  </si>
  <si>
    <t>MARGERITENWEG 10, CLOPPENBURG, Niedersachsen</t>
  </si>
  <si>
    <t>10336535-10388392</t>
  </si>
  <si>
    <t>Steve</t>
  </si>
  <si>
    <t>Klempin</t>
  </si>
  <si>
    <t>306-4918186-5497956</t>
  </si>
  <si>
    <t>2026-06-25 11:55:13</t>
  </si>
  <si>
    <t>Hans-Sachs-Str 8, Brieselang, Brieselang</t>
  </si>
  <si>
    <t>10336536-10388393</t>
  </si>
  <si>
    <t>Eiss</t>
  </si>
  <si>
    <t>305-0380171-2941924</t>
  </si>
  <si>
    <t>2026-06-25 11:55:43</t>
  </si>
  <si>
    <t>Haldenstr 80, Aichtal, Baden-Württemberg</t>
  </si>
  <si>
    <t>10336540-10388397</t>
  </si>
  <si>
    <t>Katherina</t>
  </si>
  <si>
    <t>306-8931364-4810713</t>
  </si>
  <si>
    <t>2026-06-25 11:56:16</t>
  </si>
  <si>
    <t>Burgwiese, 1, Bielefeld, Bielefeld</t>
  </si>
  <si>
    <t>10337189-10389041</t>
  </si>
  <si>
    <t>Ehm</t>
  </si>
  <si>
    <t>EU-44596</t>
  </si>
  <si>
    <t>2026-06-25 11:56:46</t>
  </si>
  <si>
    <t>Franzstraße, 1, Nürnberg, Nürnberg</t>
  </si>
  <si>
    <t>10337184-10389036</t>
  </si>
  <si>
    <t>304-3176175-5290716</t>
  </si>
  <si>
    <t>2026-06-25 11:57:10</t>
  </si>
  <si>
    <t>Liebfrauenstr 17, Recklinghausen, Recklinghausen</t>
  </si>
  <si>
    <t>10336814-10388673</t>
  </si>
  <si>
    <t>Balster</t>
  </si>
  <si>
    <t>304-4908668-4997103</t>
  </si>
  <si>
    <t>2026-06-25 11:57:50</t>
  </si>
  <si>
    <t>Holtrichtersweg 77, Dorsten, Dorsten</t>
  </si>
  <si>
    <t>10337519-10389382</t>
  </si>
  <si>
    <t>Annette in</t>
  </si>
  <si>
    <t>EU-44594</t>
  </si>
  <si>
    <t>2026-06-25 12:09:26</t>
  </si>
  <si>
    <t>10 Tubbermore Rd, Dalkey, Dublin</t>
  </si>
  <si>
    <t>A96 V2H0</t>
  </si>
  <si>
    <t>TOWLB-CAB-XL-BLACK-R,TOWLB-CAB-XL-PINK-R</t>
  </si>
  <si>
    <t>10337524-10389387</t>
  </si>
  <si>
    <t>Pattie</t>
  </si>
  <si>
    <t>Lavelle</t>
  </si>
  <si>
    <t>EU-44608</t>
  </si>
  <si>
    <t>2026-06-25 12:10:28</t>
  </si>
  <si>
    <t>5 Mayfair, Coast Rd, Malahide, Dublin</t>
  </si>
  <si>
    <t>K36 TW89</t>
  </si>
  <si>
    <t>10337201-10389053</t>
  </si>
  <si>
    <t>Schwarzkopf</t>
  </si>
  <si>
    <t>EU-44602</t>
  </si>
  <si>
    <t>2026-06-25 12:13:40</t>
  </si>
  <si>
    <t>Anton-Graff-Str 29, Dresden, Dresden</t>
  </si>
  <si>
    <t>PICNIC-DES-XL-STRIPLIFE,TOWLB-CAB-XL-NAVY-R,TOWLB-CAB-XL-PINK-R</t>
  </si>
  <si>
    <t>10337196-10389048</t>
  </si>
  <si>
    <t>Stadler</t>
  </si>
  <si>
    <t>EU-44599</t>
  </si>
  <si>
    <t>2026-06-25 12:15:49</t>
  </si>
  <si>
    <t>Tatzelwurmstr 1, Rosenheim, Rosenheim</t>
  </si>
  <si>
    <t>10337515-10389378</t>
  </si>
  <si>
    <t>EU-44086</t>
  </si>
  <si>
    <t>2026-06-25 12:16:22</t>
  </si>
  <si>
    <t>10337199-10389051</t>
  </si>
  <si>
    <t>Irene</t>
  </si>
  <si>
    <t>IAKOVIDOU</t>
  </si>
  <si>
    <t>EU-44600</t>
  </si>
  <si>
    <t>2026-06-25 12:16:38</t>
  </si>
  <si>
    <t>Peisistratou 22, 103, Nicosia, Nicosia</t>
  </si>
  <si>
    <t>TOWLB-CAB-XL-LTBLU-R,TOWLB-CAB-XL-PINK-R</t>
  </si>
  <si>
    <t>10337210-10389062</t>
  </si>
  <si>
    <t>Caro</t>
  </si>
  <si>
    <t>De Buysscher</t>
  </si>
  <si>
    <t>EU-44606</t>
  </si>
  <si>
    <t>2026-06-25 12:17:19</t>
  </si>
  <si>
    <t>Verenigde Natiesstraat 13, Erpe-Mere, Erpe-Mere</t>
  </si>
  <si>
    <t>TOWLB-CAB-XL-BLACK-R,TOWLB-SUM-XL-UNICN-R</t>
  </si>
  <si>
    <t>10337205-10389057</t>
  </si>
  <si>
    <t>Kotzurek</t>
  </si>
  <si>
    <t>EU-44604</t>
  </si>
  <si>
    <t>2026-06-25 12:18:48</t>
  </si>
  <si>
    <t>Hildastraße 57A, Offenburg, Offenburg</t>
  </si>
  <si>
    <t>10337193-10389045</t>
  </si>
  <si>
    <t>FELIX</t>
  </si>
  <si>
    <t>EU-44598</t>
  </si>
  <si>
    <t>2026-06-25 12:19:29</t>
  </si>
  <si>
    <t>50ter Ave de Saint-Cloud, Versailles, Versailles</t>
  </si>
  <si>
    <t>PONCHA-CAB-LG-LTPNK-NS,PONCHA-CAB-XL-NAVY,PONCHK-CAB-MD-NAVY-NS</t>
  </si>
  <si>
    <t>10337179-10389031</t>
  </si>
  <si>
    <t>Iancu</t>
  </si>
  <si>
    <t>EU-44595</t>
  </si>
  <si>
    <t>2026-06-25 12:19:50</t>
  </si>
  <si>
    <t>Plopeni 24, Bucharest, București</t>
  </si>
  <si>
    <t>050326</t>
  </si>
  <si>
    <t>TOWLB-CAB-XL-BLUE-R,TOWLB-CAB-XL-NAVY-R</t>
  </si>
  <si>
    <t>10337197-10389049</t>
  </si>
  <si>
    <t>Steven</t>
  </si>
  <si>
    <t>Timme</t>
  </si>
  <si>
    <t>EU-44601</t>
  </si>
  <si>
    <t>2026-06-25 12:20:33</t>
  </si>
  <si>
    <t>5 Santa Barbara, 17 Filellinon, Paralimni, Paralimni</t>
  </si>
  <si>
    <t>10337211-10389063</t>
  </si>
  <si>
    <t>Borowko</t>
  </si>
  <si>
    <t>028-6752472-0206740</t>
  </si>
  <si>
    <t>2026-06-25 12:21:10</t>
  </si>
  <si>
    <t>Gebrüder Grimm Str 33, Rödermark, Rödermark</t>
  </si>
  <si>
    <t>10337204-10389056</t>
  </si>
  <si>
    <t>Pop</t>
  </si>
  <si>
    <t>EU-44605</t>
  </si>
  <si>
    <t>2026-06-25 12:21:26</t>
  </si>
  <si>
    <t>Hildegard-Lagrenne-Straße 34, Mannheim, Mannheim</t>
  </si>
  <si>
    <t>TOWLB-DES-XL-HOTTROP,TOWLB-KID-LG-SKATER,TOWLB-SUM-XL-OCEAN</t>
  </si>
  <si>
    <t>10337183-10389035</t>
  </si>
  <si>
    <t>Jochen</t>
  </si>
  <si>
    <t>Schmitz</t>
  </si>
  <si>
    <t>306-7398127-1365939</t>
  </si>
  <si>
    <t>2026-06-25 12:21:46</t>
  </si>
  <si>
    <t>Ginsterweg 5, Lienen, Nordrhein-Westfalen</t>
  </si>
  <si>
    <t>10337207-10389059</t>
  </si>
  <si>
    <t>Gadd</t>
  </si>
  <si>
    <t>EU-44603</t>
  </si>
  <si>
    <t>2026-06-25 12:22:41</t>
  </si>
  <si>
    <t>13 ashfield park, stillorgan Rd, dublin, Dublin</t>
  </si>
  <si>
    <t>D04 C2C7</t>
  </si>
  <si>
    <t>TOWLB-CAB-LG-BLUE-R,TOWLB-CAB-LG-GREEN-R,TOWLB-CAB-LG-ORANG-R,TOWLB-CAB-LG-RED-R</t>
  </si>
  <si>
    <t>10337534-10389397</t>
  </si>
  <si>
    <t>Elle</t>
  </si>
  <si>
    <t>Drummond</t>
  </si>
  <si>
    <t>EU-44611</t>
  </si>
  <si>
    <t>2026-06-25 12:23:04</t>
  </si>
  <si>
    <t>Apartment 3 Huband Court, Percy Place, Ballsbridge, Dublin</t>
  </si>
  <si>
    <t>D04 HF95</t>
  </si>
  <si>
    <t>10337540-10389403</t>
  </si>
  <si>
    <t>Schildhauer</t>
  </si>
  <si>
    <t>EU-44613</t>
  </si>
  <si>
    <t>2026-06-25 12:23:36</t>
  </si>
  <si>
    <t>Bahnstraße 4, Willich, Willich</t>
  </si>
  <si>
    <t>10337531-10389394</t>
  </si>
  <si>
    <t>Arno</t>
  </si>
  <si>
    <t>EU-44610</t>
  </si>
  <si>
    <t>2026-06-25 12:24:15</t>
  </si>
  <si>
    <t>Kernerstraße 48, Stuttgart, Stuttgart</t>
  </si>
  <si>
    <t>10337536-10389399</t>
  </si>
  <si>
    <t>Loida</t>
  </si>
  <si>
    <t>EU-44612</t>
  </si>
  <si>
    <t>2026-06-25 12:24:45</t>
  </si>
  <si>
    <t>Merkurweg 24, Weikersheim, Weikersheim</t>
  </si>
  <si>
    <t>BAGF-SUM-MD-CSTCANDY,PICNIC-DES-XL-STRIPLIFE</t>
  </si>
  <si>
    <t>10337522-10389385</t>
  </si>
  <si>
    <t>Alba</t>
  </si>
  <si>
    <t>Manzanedo</t>
  </si>
  <si>
    <t>EU-44609</t>
  </si>
  <si>
    <t>2026-06-25 12:27:56</t>
  </si>
  <si>
    <t>Calle Moli 16 1ºA, Montornes del Valles, Barcelona</t>
  </si>
  <si>
    <t>08170</t>
  </si>
  <si>
    <t>PONCHK-CAB-MD-LTPNK-NS,PONCHK-SUM-MD-UNICN-NS</t>
  </si>
  <si>
    <t>10337527-10389390</t>
  </si>
  <si>
    <t>Rohrmoser</t>
  </si>
  <si>
    <t>305-8695499-5994727</t>
  </si>
  <si>
    <t>2026-06-25 12:28:29</t>
  </si>
  <si>
    <t>Jufenalm Boho GmbH, Jufen 10, Maria Alm, Maria Alm</t>
  </si>
  <si>
    <t>10340402-10392295</t>
  </si>
  <si>
    <t>Reimann</t>
  </si>
  <si>
    <t>EU-44648</t>
  </si>
  <si>
    <t>2026-06-26 05:52:32</t>
  </si>
  <si>
    <t>Sommerfelder Straße 3, Eberswalde, Eberswalde</t>
  </si>
  <si>
    <t>BALLAST-CAB-NAVY,BALLAST-SUM-CSTCANDY,TOWLB-CAB-LG-NAVY-R,TOWLB-SUM-LG-CSTCANDY</t>
  </si>
  <si>
    <t>10340398-10392291</t>
  </si>
  <si>
    <t>Kristel</t>
  </si>
  <si>
    <t>Dewin</t>
  </si>
  <si>
    <t>EU-44646</t>
  </si>
  <si>
    <t>2026-06-26 05:55:04</t>
  </si>
  <si>
    <t>Gravin De Merodestraat 99, Westerlo, Westerlo</t>
  </si>
  <si>
    <t>BAGF-SUM-MD-MIAMI,TOWLB-SUM-LG-MIAMI,TOWLB-SUM-XL-OCEAN,TOWLB-SUM-XL-TUTFRU</t>
  </si>
  <si>
    <t>10341010-10392903</t>
  </si>
  <si>
    <t>EU-44650</t>
  </si>
  <si>
    <t>2026-06-26 05:55:33</t>
  </si>
  <si>
    <t>14 Knockmore drive, Tallaght, Dublin</t>
  </si>
  <si>
    <t>D24 C3W0</t>
  </si>
  <si>
    <t>10341012-10392905</t>
  </si>
  <si>
    <t>Walter</t>
  </si>
  <si>
    <t>305-7806672-8621939</t>
  </si>
  <si>
    <t>2026-06-26 05:56:11</t>
  </si>
  <si>
    <t>Maschweg 86, Halle (Westf.), Deutschland</t>
  </si>
  <si>
    <t>10341225-10393118</t>
  </si>
  <si>
    <t>St Lawrence</t>
  </si>
  <si>
    <t>EU-44652</t>
  </si>
  <si>
    <t>2026-06-26 05:56:23</t>
  </si>
  <si>
    <t>2 Seaview Gate, Dublin Rd, Shankill, Dublin</t>
  </si>
  <si>
    <t>D18 RV11</t>
  </si>
  <si>
    <t>10338685-10390573</t>
  </si>
  <si>
    <t>Cristina</t>
  </si>
  <si>
    <t>EU-44628</t>
  </si>
  <si>
    <t>2026-06-26 05:57:45</t>
  </si>
  <si>
    <t>Eßlinggasse 18, Top 4A, Wien, Wien</t>
  </si>
  <si>
    <t>TOWLB-DES-LG-MELLOW,TOWLB-SUM-LG-COLAGN</t>
  </si>
  <si>
    <t>10339605-10391497</t>
  </si>
  <si>
    <t>Knut</t>
  </si>
  <si>
    <t>Scheibmayr</t>
  </si>
  <si>
    <t>303-4650790-9937127</t>
  </si>
  <si>
    <t>2026-06-26 05:57:53</t>
  </si>
  <si>
    <t>Galurastr 13, Freiburg im Breisgau, Baden-Württemberg</t>
  </si>
  <si>
    <t>10339175-10391066</t>
  </si>
  <si>
    <t>Schulte</t>
  </si>
  <si>
    <t>EU-44637</t>
  </si>
  <si>
    <t>2026-06-26 05:58:32</t>
  </si>
  <si>
    <t>Rübenkamp 80, Hamburg, Hamburg</t>
  </si>
  <si>
    <t>10340053-10391945</t>
  </si>
  <si>
    <t>Markey</t>
  </si>
  <si>
    <t>EU-44645</t>
  </si>
  <si>
    <t>2026-06-26 05:58:54</t>
  </si>
  <si>
    <t>107 Gaybrook Lawns, Malahide, Dublin, Dublin</t>
  </si>
  <si>
    <t>K36 TK30</t>
  </si>
  <si>
    <t>10339171-10391062</t>
  </si>
  <si>
    <t>Wolff</t>
  </si>
  <si>
    <t>303-5162904-3176335</t>
  </si>
  <si>
    <t>2026-06-26 05:59:20</t>
  </si>
  <si>
    <t>Oberegert 13, Meckenbeuren, Meckenbeuren</t>
  </si>
  <si>
    <t>COOL-CAB-NAVY-R,COOL-DES-MIDNMOV</t>
  </si>
  <si>
    <t>10338694-10390582</t>
  </si>
  <si>
    <t>Schücker</t>
  </si>
  <si>
    <t>302-3782080-9450710</t>
  </si>
  <si>
    <t>2026-06-26 05:59:44</t>
  </si>
  <si>
    <t>Elpidiusstraße 13, Südlohn, Südlohn</t>
  </si>
  <si>
    <t>10338687-10390575</t>
  </si>
  <si>
    <t>EU-44629</t>
  </si>
  <si>
    <t>2026-06-26 06:00:00</t>
  </si>
  <si>
    <t>Ulmer Straße 22, Leonberg, Leonberg</t>
  </si>
  <si>
    <t>PONCHA-SUM-XL-UNICN,TOWLB-SUM-XL-UNICN-R</t>
  </si>
  <si>
    <t>10340665-10392558</t>
  </si>
  <si>
    <t>stefanie</t>
  </si>
  <si>
    <t>robotta</t>
  </si>
  <si>
    <t>028-5291740-8608322</t>
  </si>
  <si>
    <t>2026-06-26 06:00:41</t>
  </si>
  <si>
    <t>Ammergaustraße 177a, Oldenburg, niedersachsen</t>
  </si>
  <si>
    <t>10337818-10389685</t>
  </si>
  <si>
    <t>Margot</t>
  </si>
  <si>
    <t>De Valck</t>
  </si>
  <si>
    <t>EU-44617</t>
  </si>
  <si>
    <t>2026-06-26 06:01:23</t>
  </si>
  <si>
    <t>6, Bekegemsestraat 6/6, Zedelgem, Zedelgem</t>
  </si>
  <si>
    <t>10338095-10389968</t>
  </si>
  <si>
    <t>Senay</t>
  </si>
  <si>
    <t>Varol</t>
  </si>
  <si>
    <t>EU-44623</t>
  </si>
  <si>
    <t>2026-06-26 06:01:41</t>
  </si>
  <si>
    <t>Sedanstraße 23, München, München</t>
  </si>
  <si>
    <t>10338691-10390579</t>
  </si>
  <si>
    <t>Corcoran</t>
  </si>
  <si>
    <t>EU-44630</t>
  </si>
  <si>
    <t>2026-06-26 06:02:05</t>
  </si>
  <si>
    <t>Dunbin Little, Knockbridge, Dundalk, Louth</t>
  </si>
  <si>
    <t>A91 V522</t>
  </si>
  <si>
    <t>TOWLB-DES-LG-PSTPIER,TOWLB-SUM-LG-TUTFRU</t>
  </si>
  <si>
    <t>10340400-10392293</t>
  </si>
  <si>
    <t>Nenad</t>
  </si>
  <si>
    <t>Vićentić</t>
  </si>
  <si>
    <t>EU-44647</t>
  </si>
  <si>
    <t>2026-06-26 06:02:36</t>
  </si>
  <si>
    <t>Floßgasse 12, 8, Wien, Wien</t>
  </si>
  <si>
    <t>10338100-10389973</t>
  </si>
  <si>
    <t>Shine</t>
  </si>
  <si>
    <t>EU-44624</t>
  </si>
  <si>
    <t>2026-06-26 06:03:04</t>
  </si>
  <si>
    <t>286 Sundrive Rd, Crumlin, Dublin 12, Dublin</t>
  </si>
  <si>
    <t>D12 HK09</t>
  </si>
  <si>
    <t>TOWLB-SUM-XL-RAINB-R,TOWLB-SUM-XL-TUTFRU</t>
  </si>
  <si>
    <t>10338085-10389958</t>
  </si>
  <si>
    <t>EU-44619</t>
  </si>
  <si>
    <t>2026-06-26 06:03:22</t>
  </si>
  <si>
    <t>Amselweg 4, Dresden, Dresden</t>
  </si>
  <si>
    <t>01109</t>
  </si>
  <si>
    <t>10339607-10391499</t>
  </si>
  <si>
    <t>Rotari</t>
  </si>
  <si>
    <t>304-6804680-6209165</t>
  </si>
  <si>
    <t>2026-06-26 06:03:59</t>
  </si>
  <si>
    <t>Pettenkoferstr 25a, München, München</t>
  </si>
  <si>
    <t>TOWLF-ESS-XL-PINK-R</t>
  </si>
  <si>
    <t>10337822-10389689</t>
  </si>
  <si>
    <t>Helmut</t>
  </si>
  <si>
    <t>Ahnen</t>
  </si>
  <si>
    <t>028-1778299-5137968</t>
  </si>
  <si>
    <t>2026-06-26 06:05:01</t>
  </si>
  <si>
    <t>Hauptstr 61, Dieblich, Dieblich</t>
  </si>
  <si>
    <t>10338099-10389972</t>
  </si>
  <si>
    <t>Malte-Maurice</t>
  </si>
  <si>
    <t>Dreyer</t>
  </si>
  <si>
    <t>304-4634596-9902743</t>
  </si>
  <si>
    <t>2026-06-26 06:05:11</t>
  </si>
  <si>
    <t>Gifkendorf 45, Vastorf, Vastorf</t>
  </si>
  <si>
    <t>10339609-10391501</t>
  </si>
  <si>
    <t>Schlemmer</t>
  </si>
  <si>
    <t>303-3588313-9212331</t>
  </si>
  <si>
    <t>2026-06-26 06:05:28</t>
  </si>
  <si>
    <t>Lärchenweg 7, Kirchehrenbach, Kirchehrenbach</t>
  </si>
  <si>
    <t>10338686-10390574</t>
  </si>
  <si>
    <t>Hester</t>
  </si>
  <si>
    <t>Nast</t>
  </si>
  <si>
    <t>306-8739889-6071534</t>
  </si>
  <si>
    <t>2026-06-26 06:05:55</t>
  </si>
  <si>
    <t>Berufsbildungswerk Rummelsberg, We 8 Rummelsberg 74, Schwarzenbruck, Schwarzenbruck</t>
  </si>
  <si>
    <t>10338092-10389965</t>
  </si>
  <si>
    <t>Danijel</t>
  </si>
  <si>
    <t>Rusiti</t>
  </si>
  <si>
    <t>EU-44620</t>
  </si>
  <si>
    <t>2026-06-26 06:06:25</t>
  </si>
  <si>
    <t>Georg-Preßmar-Str 6, Geislingen/Steige, Geislingen/Steige</t>
  </si>
  <si>
    <t>10337810-10389677</t>
  </si>
  <si>
    <t>Bott</t>
  </si>
  <si>
    <t>EU-44615</t>
  </si>
  <si>
    <t>2026-06-26 06:07:27</t>
  </si>
  <si>
    <t>Grenzstraße 128, Krefeld, Krefeld</t>
  </si>
  <si>
    <t>10338087-10389960</t>
  </si>
  <si>
    <t>Zillekens</t>
  </si>
  <si>
    <t>303-7060815-6043530</t>
  </si>
  <si>
    <t>2026-06-26 06:08:48</t>
  </si>
  <si>
    <t>Ginsterweg 5, Hückelhoven, Nordrhein-Westfalen</t>
  </si>
  <si>
    <t>10339365-10391256</t>
  </si>
  <si>
    <t>EU-44639</t>
  </si>
  <si>
    <t>2026-06-26 06:10:22</t>
  </si>
  <si>
    <t>Margueritenring 48A, Berlin, Berlin</t>
  </si>
  <si>
    <t>10338394-10390277</t>
  </si>
  <si>
    <t>Bernd</t>
  </si>
  <si>
    <t>Gerlach</t>
  </si>
  <si>
    <t>EU-44625</t>
  </si>
  <si>
    <t>2026-06-26 06:13:12</t>
  </si>
  <si>
    <t>Körschstraße 41, Stuttgart, Stuttgart</t>
  </si>
  <si>
    <t>10338692-10390580</t>
  </si>
  <si>
    <t>Staab</t>
  </si>
  <si>
    <t>302-5056109-9317102</t>
  </si>
  <si>
    <t>2026-06-26 06:16:28</t>
  </si>
  <si>
    <t>Limburgerstr 39, Leipzig, Leipzig</t>
  </si>
  <si>
    <t>10337816-10389683</t>
  </si>
  <si>
    <t>Anastasia</t>
  </si>
  <si>
    <t>Ohland</t>
  </si>
  <si>
    <t>303-6700269-2931519</t>
  </si>
  <si>
    <t>2026-06-26 06:17:47</t>
  </si>
  <si>
    <t>Hohensteinstr 8a, Memmelsdorf, Memmelsdorf</t>
  </si>
  <si>
    <t>10339172-10391063</t>
  </si>
  <si>
    <t>Karmann</t>
  </si>
  <si>
    <t>028-8673560-5396358</t>
  </si>
  <si>
    <t>2026-06-26 06:18:56</t>
  </si>
  <si>
    <t>Fröbelstraße 66, Duisburg, Duisburg</t>
  </si>
  <si>
    <t>10337812-10389679</t>
  </si>
  <si>
    <t>Mahmud</t>
  </si>
  <si>
    <t>Salem</t>
  </si>
  <si>
    <t>028-9896108-9851539</t>
  </si>
  <si>
    <t>2026-06-26 06:19:57</t>
  </si>
  <si>
    <t>Fritz Reuter Allee 142, Berlin, Berlin</t>
  </si>
  <si>
    <t>10340045-10391937</t>
  </si>
  <si>
    <t>John</t>
  </si>
  <si>
    <t>EU-44643</t>
  </si>
  <si>
    <t>2026-06-26 06:21:25</t>
  </si>
  <si>
    <t>Arndtstraße 15, Weiden in der Oberpfalz, Weiden in der Oberpfalz</t>
  </si>
  <si>
    <t>10340050-10391942</t>
  </si>
  <si>
    <t>BRITTA</t>
  </si>
  <si>
    <t>SCHAWJINSKI</t>
  </si>
  <si>
    <t>302-1355344-2456366</t>
  </si>
  <si>
    <t>2026-06-26 06:22:33</t>
  </si>
  <si>
    <t>RUELAUER RING 51, SCHWARZENBEK, Schleswig-Holstein</t>
  </si>
  <si>
    <t>10341011-10392904</t>
  </si>
  <si>
    <t>Guy</t>
  </si>
  <si>
    <t>Van de Steene</t>
  </si>
  <si>
    <t>EU-44649</t>
  </si>
  <si>
    <t>2026-06-26 06:53:06</t>
  </si>
  <si>
    <t>Pastoor De Vosstraat 47, Oosterzele, Oosterzele</t>
  </si>
  <si>
    <t>10341498-10393392</t>
  </si>
  <si>
    <t>den Butter</t>
  </si>
  <si>
    <t>EU-44655</t>
  </si>
  <si>
    <t>2026-06-26 06:55:33</t>
  </si>
  <si>
    <t>Amstelmeer 62, Barendrecht, Barendrecht</t>
  </si>
  <si>
    <t>2993 PL</t>
  </si>
  <si>
    <t>10339614-10391506</t>
  </si>
  <si>
    <t>MANUELA</t>
  </si>
  <si>
    <t>BOLAND</t>
  </si>
  <si>
    <t>302-2459069-1302749</t>
  </si>
  <si>
    <t>2026-06-26 06:56:34</t>
  </si>
  <si>
    <t>Baumschulenweg 1, Hamminkeln, Hamminkeln</t>
  </si>
  <si>
    <t>COOL-DES-MIDNMOV,TOWLB-SUM-LG-COLAGN</t>
  </si>
  <si>
    <t>10341175-10393068</t>
  </si>
  <si>
    <t>Heiko</t>
  </si>
  <si>
    <t>Sasse</t>
  </si>
  <si>
    <t>028-6064579-7587542</t>
  </si>
  <si>
    <t>2026-06-26 06:58:25</t>
  </si>
  <si>
    <t>Sasse Solutions Gmbh, Schwarzburgstraße 10, Frankfurt Am Main, Frankfurt Am Main</t>
  </si>
  <si>
    <t>10340049-10391941</t>
  </si>
  <si>
    <t>EU-44641</t>
  </si>
  <si>
    <t>2026-06-26 07:11:54</t>
  </si>
  <si>
    <t>12 Hannert De Gaarden, Elvange, Elvange</t>
  </si>
  <si>
    <t>TOWLB-DES-XL-WYWH,TOWLB-SUM-XL-RAINB-R,TOWLB-SUM-XL-TUTFRU,TOWLB-SUM-XL-UNICN-R</t>
  </si>
  <si>
    <t>10340047-10391939</t>
  </si>
  <si>
    <t>EU-44642</t>
  </si>
  <si>
    <t>2026-06-26 07:19:44</t>
  </si>
  <si>
    <t>Carrigcannon, Bandon, Cork, Cork</t>
  </si>
  <si>
    <t>P72 DE68</t>
  </si>
  <si>
    <t>TOWLB-CAB-XL-BLUE-R,TOWLB-CAB-XL-LTBLU-R,TOWLB-CAB-XL-NAVY-R</t>
  </si>
  <si>
    <t>10339174-10391065</t>
  </si>
  <si>
    <t>KrissCo BV</t>
  </si>
  <si>
    <t>Noyez</t>
  </si>
  <si>
    <t>EU-44638</t>
  </si>
  <si>
    <t>2026-06-26 07:22:52</t>
  </si>
  <si>
    <t>Sint-Jozefstraat 80, Merelbeke, Merelbeke</t>
  </si>
  <si>
    <t>TOWLB-CAB-LG-BLUE-R,TOWLB-CAB-LG-GREEN-R,TOWLB-CAB-LG-NAVY-R,TOWLB-CAB-LG-PINK-R,TOWLB-DES-XL-SUNSPL,TOWLB-KID-MD-TURTROP</t>
  </si>
  <si>
    <t>10339611-10391503</t>
  </si>
  <si>
    <t>Füchsl</t>
  </si>
  <si>
    <t>EU-44640</t>
  </si>
  <si>
    <t>2026-06-26 07:51:22</t>
  </si>
  <si>
    <t>Freystraße 1, München, München</t>
  </si>
  <si>
    <t>PICNIC-CAB-LG-NAVY,TOWLB-CAB-LG-BLUE-R,TOWLB-CAB-LG-NAVY-R,TOWLB-CAB-LG-ORANG-R,TOWLB-DES-LG-MELLOW</t>
  </si>
  <si>
    <t>10340041-10391933</t>
  </si>
  <si>
    <t>Danique</t>
  </si>
  <si>
    <t>Poorte - van der Heide</t>
  </si>
  <si>
    <t>EU-44644</t>
  </si>
  <si>
    <t>2026-06-26 07:52:47</t>
  </si>
  <si>
    <t>De Skâns 20, Leeuwarden, Leeuwarden</t>
  </si>
  <si>
    <t>8941 DM</t>
  </si>
  <si>
    <t>EYEMASK-DES-CHRYBMB,HAIRW-SUE-PSTPIER,TOWLB-SUM-XL-TUTFRU</t>
  </si>
  <si>
    <t>10341849-10393751</t>
  </si>
  <si>
    <t>Schneck</t>
  </si>
  <si>
    <t>EU-44662</t>
  </si>
  <si>
    <t>2026-06-26 08:18:16</t>
  </si>
  <si>
    <t>Mendelssohnstr 31, Baldham, Baldham</t>
  </si>
  <si>
    <t>BAGDRY-XS-NAVY,BALLAST-CAB-NAVY,TOWLB-SUM-XL-RAINB-R</t>
  </si>
  <si>
    <t>10341851-10393753</t>
  </si>
  <si>
    <t>Coen</t>
  </si>
  <si>
    <t>Louwerse</t>
  </si>
  <si>
    <t>EU-44664</t>
  </si>
  <si>
    <t>2026-06-26 08:19:30</t>
  </si>
  <si>
    <t>Zaalboslaan 8, Velp, Velp</t>
  </si>
  <si>
    <t>6881 RH</t>
  </si>
  <si>
    <t>10341852-10393754</t>
  </si>
  <si>
    <t>EU-44663</t>
  </si>
  <si>
    <t>2026-06-26 08:20:46</t>
  </si>
  <si>
    <t>PONCHA-SUM-LG-LAZRIV,PONCHK-KID-MD-GVCLUB,PONCHK-KID-MD-SKATER</t>
  </si>
  <si>
    <t>10341848-10393750</t>
  </si>
  <si>
    <t>Vani</t>
  </si>
  <si>
    <t>Vijayakumar</t>
  </si>
  <si>
    <t>EU-44658</t>
  </si>
  <si>
    <t>2026-06-26 08:21:44</t>
  </si>
  <si>
    <t>Speierlingweg 22, Frankfurt am Main, Frankfurt am Main</t>
  </si>
  <si>
    <t>BAGDRY-XS-NAVY,TOWLB-DES-LG-TANTIDE,TOWLB-DOB-LG-CALM</t>
  </si>
  <si>
    <t>10341850-10393752</t>
  </si>
  <si>
    <t>Robin</t>
  </si>
  <si>
    <t>Waegeneire</t>
  </si>
  <si>
    <t>EU-44661</t>
  </si>
  <si>
    <t>2026-06-26 08:22:53</t>
  </si>
  <si>
    <t>Meervalstraat 14, Tessenderlo-Ham, Tessenderlo-Ham</t>
  </si>
  <si>
    <t>TOWLB-SUM-LG-CSTCANDY,TOWLB-SUM-LG-MIAMI,TOWLB-SUM-MD-UNICN</t>
  </si>
  <si>
    <t>10341847-10393749</t>
  </si>
  <si>
    <t>EU-44660</t>
  </si>
  <si>
    <t>2026-06-26 08:27:57</t>
  </si>
  <si>
    <t>Feldstraße 175, Alsdorf, Alsdorf</t>
  </si>
  <si>
    <t>10341626-10393520</t>
  </si>
  <si>
    <t>Stockburger</t>
  </si>
  <si>
    <t>EU-44657</t>
  </si>
  <si>
    <t>2026-06-26 08:36:44</t>
  </si>
  <si>
    <t>Schwarzwaldstr 3, Kandern, Kandern</t>
  </si>
  <si>
    <t>10341627-10393521</t>
  </si>
  <si>
    <t>Bernd-Rüdiger</t>
  </si>
  <si>
    <t>Wulff</t>
  </si>
  <si>
    <t>305-6810011-0997908</t>
  </si>
  <si>
    <t>2026-06-26 08:37:37</t>
  </si>
  <si>
    <t>Am Schwarzen Berg 34 36 23554, Lübeck, Lübeck, Lübeck</t>
  </si>
  <si>
    <t>10341628-10393522</t>
  </si>
  <si>
    <t>303-0462760-5571542</t>
  </si>
  <si>
    <t>2026-06-26 08:38:12</t>
  </si>
  <si>
    <t>Wasenstraße 9, Villingen-schwenningen, Villingen-schwenningen</t>
  </si>
  <si>
    <t>10341853-10393755</t>
  </si>
  <si>
    <t>Bresgen</t>
  </si>
  <si>
    <t>028-4798121-2147509</t>
  </si>
  <si>
    <t>2026-06-26 08:38:48</t>
  </si>
  <si>
    <t>Daphnestrasse 22, München, München</t>
  </si>
  <si>
    <t>10341855-10393757</t>
  </si>
  <si>
    <t>Brigitte</t>
  </si>
  <si>
    <t>028-9583418-4939501</t>
  </si>
  <si>
    <t>2026-06-26 08:39:32</t>
  </si>
  <si>
    <t>Osttor 82b, Münster, Münster</t>
  </si>
  <si>
    <t>10337820-10389687</t>
  </si>
  <si>
    <t>Nouvel</t>
  </si>
  <si>
    <t>EU-44618</t>
  </si>
  <si>
    <t>2026-06-26 08:39:57</t>
  </si>
  <si>
    <t>10 Rue Xavier de Feller, Luxembourg, Luxembourg</t>
  </si>
  <si>
    <t>TOWLB-CAB-MD-LTPNK,TOWLB-DES-LG-MELLOW,TOWLB-DES-LG-PSTPIER</t>
  </si>
  <si>
    <t>10338398-10390281</t>
  </si>
  <si>
    <t>Kürschner</t>
  </si>
  <si>
    <t>EU-44626</t>
  </si>
  <si>
    <t>2026-06-26 08:42:21</t>
  </si>
  <si>
    <t>Schwarzkreuzstr  12, Ladenburg, Ladenburg</t>
  </si>
  <si>
    <t>TOWLB-DES-LG-PSTPIER,TOWLB-DOB-LG-CALM,TOWLB-SUM-LG-COLAGN,TOWLB-SUM-LG-CSTCANDY,TOWLB-SUM-LG-MIAMI</t>
  </si>
  <si>
    <t>10337813-10389680</t>
  </si>
  <si>
    <t>Viktorija</t>
  </si>
  <si>
    <t>Loginova</t>
  </si>
  <si>
    <t>EU-44616</t>
  </si>
  <si>
    <t>2026-06-26 08:43:41</t>
  </si>
  <si>
    <t>Piltenes 8-61, 61, Liepaja, Liepaja</t>
  </si>
  <si>
    <t>LV-3405</t>
  </si>
  <si>
    <t>BAGF-DES-MD-BANARAM,TOWLB-DES-LG-ALOHGLW,TOWLB-DES-LG-SUNSPL,TOWLB-DES-LG-TROPTRT</t>
  </si>
  <si>
    <t>10338689-10390577</t>
  </si>
  <si>
    <t>Van Mulders</t>
  </si>
  <si>
    <t>EU-44631</t>
  </si>
  <si>
    <t>2026-06-26 08:46:13</t>
  </si>
  <si>
    <t>5 op der Houscht, Sandweiler, Sandweiler</t>
  </si>
  <si>
    <t>TEATWL-MD-PEAPOD,TOWLB-DES-LG-MELLOW,TOWLB-SUM-LG-COLAGN</t>
  </si>
  <si>
    <t>10342159-10394065</t>
  </si>
  <si>
    <t>Dominique Glöggler</t>
  </si>
  <si>
    <t>EU-44670</t>
  </si>
  <si>
    <t>2026-06-26 08:54:48</t>
  </si>
  <si>
    <t>Samlandweg 16, Neu-Ulm, Neu-Ulm</t>
  </si>
  <si>
    <t>BAGF-DES-MD-WAVYBBY,PICNIC-DES-XL-GRCSHR,PP-TOWLB-CAB-LG-6SETI</t>
  </si>
  <si>
    <t>10342149-10394055</t>
  </si>
  <si>
    <t>Bernpaintner</t>
  </si>
  <si>
    <t>304-3077941-9754765</t>
  </si>
  <si>
    <t>2026-06-26 08:56:21</t>
  </si>
  <si>
    <t>Stephan-Blattmannstr 15, Furtwangen, Furtwangen</t>
  </si>
  <si>
    <t>10342170-10394076</t>
  </si>
  <si>
    <t>Thorenz</t>
  </si>
  <si>
    <t>302-0685002-1436359</t>
  </si>
  <si>
    <t>2026-06-26 08:58:15</t>
  </si>
  <si>
    <t>Wohnung 25, Gustav Heinemann Ufer 86a, Köln, Köln</t>
  </si>
  <si>
    <t>10342162-10394068</t>
  </si>
  <si>
    <t>Katelijn</t>
  </si>
  <si>
    <t>Van buul</t>
  </si>
  <si>
    <t>EU-44669</t>
  </si>
  <si>
    <t>2026-06-26 09:01:41</t>
  </si>
  <si>
    <t>Paul Lebeaustraat 9/9, Paul Lebeaustraat 9/9, Antwerpen, Antwerpen</t>
  </si>
  <si>
    <t>10342166-10394072</t>
  </si>
  <si>
    <t>IRATXE</t>
  </si>
  <si>
    <t>MARTIN ASCORRA</t>
  </si>
  <si>
    <t>EU-44671</t>
  </si>
  <si>
    <t>2026-06-26 09:03:20</t>
  </si>
  <si>
    <t>Avenida Ballonti 2, BAJO A, Portugalete, Vizcaya</t>
  </si>
  <si>
    <t>TOWLB-DES-XL-KARMA,TOWLB-DES-XL-SWTESC</t>
  </si>
  <si>
    <t>10338697-10390585</t>
  </si>
  <si>
    <t>EU-44632</t>
  </si>
  <si>
    <t>2026-06-26 09:09:26</t>
  </si>
  <si>
    <t>Seumestraße 10, Nürnberg, Nürnberg</t>
  </si>
  <si>
    <t>PICNIC-DES-LG-STRIPLIFE,TOWLB-CAB-LG-PINK-R,TOWLB-DES-LG-HOTTROP,TOWLB-DES-LG-PSTPIER,TOWLB-SUM-LG-CSTCANDY</t>
  </si>
  <si>
    <t>10338921-10390810</t>
  </si>
  <si>
    <t>Kämpf</t>
  </si>
  <si>
    <t>EU-44634</t>
  </si>
  <si>
    <t>2026-06-26 09:12:48</t>
  </si>
  <si>
    <t>Fuchsleite 3, Weitramsdorf, Weitramsdorf</t>
  </si>
  <si>
    <t>BAGF-SUM-MD-CSTCANDY,BAGF-SUM-MD-UNICN,PICNIC-DES-XL-CANDSTR,PP-TOWLB-CAB-LG-4SETA-R,TOWLB-SUM-LG-COLAGN,TOWLB-SUM-LG-MIAMI,TOWLB-SUM-LG-OCEAN,TOWLB-SUM-LG-RAINB-R,TOWLB-SUM-LG-TUTFRU</t>
  </si>
  <si>
    <t>10338097-10389970</t>
  </si>
  <si>
    <t>Huyghe</t>
  </si>
  <si>
    <t>EU-44622</t>
  </si>
  <si>
    <t>2026-06-26 09:15:56</t>
  </si>
  <si>
    <t>Duinkerkestraat 1, Veurne, Veurne</t>
  </si>
  <si>
    <t>10339170-10391061</t>
  </si>
  <si>
    <t>EU-44636</t>
  </si>
  <si>
    <t>2026-06-26 09:17:22</t>
  </si>
  <si>
    <t>BAGF-DES-MD-BANARAM,BAGF-SUM-MD-CSTCANDY,BAGF-SUM-MD-MIAMI</t>
  </si>
  <si>
    <t>10337808-10389675</t>
  </si>
  <si>
    <t>Varnai</t>
  </si>
  <si>
    <t>EU-44614</t>
  </si>
  <si>
    <t>2026-06-26 09:19:03</t>
  </si>
  <si>
    <t>Böcklinstraße 6, Frankfurt am Main, Frankfurt am Main</t>
  </si>
  <si>
    <t>10342598-10394493</t>
  </si>
  <si>
    <t>Heß</t>
  </si>
  <si>
    <t>EU-44672</t>
  </si>
  <si>
    <t>2026-06-26 10:13:47</t>
  </si>
  <si>
    <t>Dresdener Ring 67, Backnang, Backnang</t>
  </si>
  <si>
    <t>BAGF-SUM-MD-CSTCANDY,PICNIC-SUM-LG-UNICN,PONCHK-SUM-MD-CSTCANDY</t>
  </si>
  <si>
    <t>10342601-10394496</t>
  </si>
  <si>
    <t>CHEZ MME COHEN</t>
  </si>
  <si>
    <t>Bheewa</t>
  </si>
  <si>
    <t>LUXIMUN</t>
  </si>
  <si>
    <t>EU-44673</t>
  </si>
  <si>
    <t>2026-06-26 10:14:50</t>
  </si>
  <si>
    <t>6 CHEMIN DES SABLES  DOMAINE DE, LA SALIS BATIMENT  B ALBATROS, ANTIBES, ANTIBES</t>
  </si>
  <si>
    <t>06160</t>
  </si>
  <si>
    <t>10333474-10385285</t>
  </si>
  <si>
    <t>Flexidade</t>
  </si>
  <si>
    <t>CARLA</t>
  </si>
  <si>
    <t>GONCALVES</t>
  </si>
  <si>
    <t>EUWS-3207</t>
  </si>
  <si>
    <t>2026-06-26 10:27:47</t>
  </si>
  <si>
    <t>8 Rue Precomtal, Montbrison, Montbrison</t>
  </si>
  <si>
    <t>BAGDRY-MD-MIAMI,BAGDRY-MD-NAVY,TOWLB-CAB-XL-KHAKI-R,TOWLB-CAB-XL-LTBGE-R,TOWLB-CAB-XL-LTBLU-R,TOWLB-CAB-XL-NAVY-R,TOWLB-CAB-XL-ORANG-R,TOWLB-CAB-XL-PINK-R,TOWLB-CAB-XL-RED-R,TOWLB-CAB-XL-YELL-R,TOWLB-SUM-XL-COLAGN,TOWLB-SUM-XL-CSTCANDY,TOWLB-SUM-XL-MIAMI</t>
  </si>
  <si>
    <t>10342934-10394834</t>
  </si>
  <si>
    <t>Lionel</t>
  </si>
  <si>
    <t>Hex</t>
  </si>
  <si>
    <t>EU-44676</t>
  </si>
  <si>
    <t>2026-06-26 11:11:48</t>
  </si>
  <si>
    <t>Kuringersteenweg 34, 34, Hasselt, Hasselt</t>
  </si>
  <si>
    <t>PICNIC-DES-LG-MARGMAD,PICNIC-DES-XL-BRGTSIDE,TEATWL-MD-CHECKPLS,TEATWL-MD-KTCHDISC,TEATWL-MD-RGRTTI,TEATWL-MD-SQCLEAN</t>
  </si>
  <si>
    <t>10342931-10394831</t>
  </si>
  <si>
    <t>O'Malley</t>
  </si>
  <si>
    <t>EU-44675</t>
  </si>
  <si>
    <t>2026-06-26 11:13:13</t>
  </si>
  <si>
    <t>Letterlough, Newport, Mayo</t>
  </si>
  <si>
    <t>F28 E267</t>
  </si>
  <si>
    <t>BAGF-DES-MD-WYWH,PONCHK-KID-MD-GVCLUB,PONCHK-KID-MD-INTOWILD,PONCHK-SUM-MD-UNICN-NS,TOWLB-DES-LG-GRECSHR,TOWLB-DES-LG-TANTIDE</t>
  </si>
  <si>
    <t>10342936-10394836</t>
  </si>
  <si>
    <t>Nelly</t>
  </si>
  <si>
    <t>Schläfereit</t>
  </si>
  <si>
    <t>EU-44677</t>
  </si>
  <si>
    <t>2026-06-26 11:14:29</t>
  </si>
  <si>
    <t>Westerlandstraße 15A, Berlin, Berlin</t>
  </si>
  <si>
    <t>10342929-10394829</t>
  </si>
  <si>
    <t>Braun Marcus</t>
  </si>
  <si>
    <t>EU-44674</t>
  </si>
  <si>
    <t>2026-06-26 11:16:14</t>
  </si>
  <si>
    <t>Dietfurter Straße 5a, Breitenbrunn, Breitenbrunn</t>
  </si>
  <si>
    <t>TOWLB-CAB-XL-BLACK-R,TOWLB-CAB-XL-NAVY-R</t>
  </si>
  <si>
    <t>10341499-10393393</t>
  </si>
  <si>
    <t>Stolskij</t>
  </si>
  <si>
    <t>EU-44656</t>
  </si>
  <si>
    <t>2026-06-26 11:18:53</t>
  </si>
  <si>
    <t>Metzstr 14, München, München</t>
  </si>
  <si>
    <t>TOWLB-DES-LG-PSTPIER,TOWLB-SUM-LG-UNICN-R</t>
  </si>
  <si>
    <t>10341856-10393758</t>
  </si>
  <si>
    <t>Yasmin</t>
  </si>
  <si>
    <t>Van Den Broek</t>
  </si>
  <si>
    <t>EU-44665</t>
  </si>
  <si>
    <t>2026-06-26 11:23:33</t>
  </si>
  <si>
    <t>de Gaarden 20, Raalte, Raalte</t>
  </si>
  <si>
    <t>8101 ZD</t>
  </si>
  <si>
    <t>10342146-10394052</t>
  </si>
  <si>
    <t>Viktor</t>
  </si>
  <si>
    <t>Brand</t>
  </si>
  <si>
    <t>EU-44666</t>
  </si>
  <si>
    <t>2026-06-26 11:24:22</t>
  </si>
  <si>
    <t>Zuidereinde 170, ‘s-Graveland, ‘s-Graveland</t>
  </si>
  <si>
    <t>1243 KP</t>
  </si>
  <si>
    <t>TOWLB-CAB-XL-BLUE-R,TOWLB-CAB-XL-GREEN-R</t>
  </si>
  <si>
    <t>10342151-10394057</t>
  </si>
  <si>
    <t>rozan</t>
  </si>
  <si>
    <t>hamaker</t>
  </si>
  <si>
    <t>EU-44668</t>
  </si>
  <si>
    <t>2026-06-26 11:25:26</t>
  </si>
  <si>
    <t>Stadionweg 71-h, Amsterdam, Amsterdam</t>
  </si>
  <si>
    <t>1077 SE</t>
  </si>
  <si>
    <t>TOWLB-CAB-XL-GREEN-R,TOWLF-ESS-XL-LTPPL</t>
  </si>
  <si>
    <t>10347579-10399506</t>
  </si>
  <si>
    <t>Noah</t>
  </si>
  <si>
    <t>Schwarz</t>
  </si>
  <si>
    <t>EU-44734</t>
  </si>
  <si>
    <t>2026-06-29 05:01:06</t>
  </si>
  <si>
    <t>Lilienthalstraße 20, Köln, Köln</t>
  </si>
  <si>
    <t>10343724-10395629</t>
  </si>
  <si>
    <t>van Holsteijn</t>
  </si>
  <si>
    <t>EU-44687</t>
  </si>
  <si>
    <t>2026-06-29 05:01:17</t>
  </si>
  <si>
    <t>Kruilier 28, Wateringen, Wateringen</t>
  </si>
  <si>
    <t>2291 MK</t>
  </si>
  <si>
    <t>BAGF-DES-MD-BANARAM,TOWLB-DES-XL-ALOHGLW,TOWLF-ESS-XL-GREEN-R</t>
  </si>
  <si>
    <t>10346425-10398352</t>
  </si>
  <si>
    <t>Singer</t>
  </si>
  <si>
    <t>302-4967619-8413946</t>
  </si>
  <si>
    <t>2026-06-29 05:03:06</t>
  </si>
  <si>
    <t>Am Kreuzberg 1, Titting, Titting</t>
  </si>
  <si>
    <t>10346674-10398601</t>
  </si>
  <si>
    <t>Louise Moore</t>
  </si>
  <si>
    <t>EU-44724</t>
  </si>
  <si>
    <t>2026-06-29 05:04:36</t>
  </si>
  <si>
    <t>Farranavarra, Boherlahan, Cashel, Tipperary</t>
  </si>
  <si>
    <t>E25 XD72</t>
  </si>
  <si>
    <t>10343727-10395632</t>
  </si>
  <si>
    <t>Georgi</t>
  </si>
  <si>
    <t>EU-44688</t>
  </si>
  <si>
    <t>2026-06-29 05:05:12</t>
  </si>
  <si>
    <t>Hofäckerallee 15a, Unterföhring, Unterföhring</t>
  </si>
  <si>
    <t>BAGDRY-MD-MIAMI,BAGF-SUM-MD-MIAMI,TOWLB-CAB-LG-LTBGE-R,TOWLB-DES-LG-HOTTROP,TOWLB-DES-LG-MELLOW,TOWLB-SUM-LG-CSTCANDY,TOWLB-SUM-LG-MIAMI</t>
  </si>
  <si>
    <t>10346673-10398600</t>
  </si>
  <si>
    <t>Fromm</t>
  </si>
  <si>
    <t>305-2677958-7224321</t>
  </si>
  <si>
    <t>2026-06-29 05:05:49</t>
  </si>
  <si>
    <t>Hohenwaldstr 21a, Oberhaching, Oberhaching</t>
  </si>
  <si>
    <t>10343732-10395637</t>
  </si>
  <si>
    <t>EU-44690</t>
  </si>
  <si>
    <t>2026-06-29 05:06:55</t>
  </si>
  <si>
    <t>70 Dublin Rd, Sutton, Dublin 13, Dublin</t>
  </si>
  <si>
    <t>D13 H3E6</t>
  </si>
  <si>
    <t>10347444-10399371</t>
  </si>
  <si>
    <t>Thiel</t>
  </si>
  <si>
    <t>EU-44730</t>
  </si>
  <si>
    <t>2026-06-29 05:06:58</t>
  </si>
  <si>
    <t>Helgolandstraße 5a, Dresden, Dresden</t>
  </si>
  <si>
    <t>10347832-10399759</t>
  </si>
  <si>
    <t>Ferris</t>
  </si>
  <si>
    <t>EU-44741</t>
  </si>
  <si>
    <t>2026-06-29 05:07:57</t>
  </si>
  <si>
    <t>33 Daletree view, Firhouse, Dublin, Dublin</t>
  </si>
  <si>
    <t>D24 Y9X8</t>
  </si>
  <si>
    <t>10343713-10395618</t>
  </si>
  <si>
    <t>Van Beugen</t>
  </si>
  <si>
    <t>EU-44685</t>
  </si>
  <si>
    <t>2026-06-29 05:08:28</t>
  </si>
  <si>
    <t>Loeteweg 1F, Hazerswoude-Dorp, Hazerswoude-Dorp</t>
  </si>
  <si>
    <t>2391 NL</t>
  </si>
  <si>
    <t>TOWLB-CAB-XL-NAVY-R,TOWLB-DES-XL-TANTIDE,TOWLB-SUM-XL-OCEAN</t>
  </si>
  <si>
    <t>10347837-10399764</t>
  </si>
  <si>
    <t>Mélanie</t>
  </si>
  <si>
    <t>Cauchois</t>
  </si>
  <si>
    <t>EU-44742</t>
  </si>
  <si>
    <t>2026-06-29 05:09:34</t>
  </si>
  <si>
    <t>11 Place Adolphe Chérioux, Paris, Paris</t>
  </si>
  <si>
    <t>10344083-10395992</t>
  </si>
  <si>
    <t>Lalor</t>
  </si>
  <si>
    <t>EU-44695</t>
  </si>
  <si>
    <t>2026-06-29 05:10:06</t>
  </si>
  <si>
    <t>41 Beresford Drive, Donabate, Dublin</t>
  </si>
  <si>
    <t>K36 ED23</t>
  </si>
  <si>
    <t>TOWLB-DES-XL-ALOHGLW,TOWLB-DES-XL-SUNSPL,TOWLB-KID-LG-POWPOS</t>
  </si>
  <si>
    <t>10347834-10399761</t>
  </si>
  <si>
    <t>Hanin</t>
  </si>
  <si>
    <t>Thoma</t>
  </si>
  <si>
    <t>EU-44739</t>
  </si>
  <si>
    <t>2026-06-29 05:12:59</t>
  </si>
  <si>
    <t>Jasminweg 10 10, Überlingen, Überlingen</t>
  </si>
  <si>
    <t>10347831-10399758</t>
  </si>
  <si>
    <t>Benedikt</t>
  </si>
  <si>
    <t>Böhm</t>
  </si>
  <si>
    <t>028-5822519-4312360</t>
  </si>
  <si>
    <t>2026-06-29 05:13:37</t>
  </si>
  <si>
    <t>Kurt-Stieler-Str 12, Pöcking, Pöcking</t>
  </si>
  <si>
    <t>10347580-10399507</t>
  </si>
  <si>
    <t>TANJA</t>
  </si>
  <si>
    <t>METZKER</t>
  </si>
  <si>
    <t>EU-44736</t>
  </si>
  <si>
    <t>2026-06-29 05:14:22</t>
  </si>
  <si>
    <t>Turmbergstrasse 29, KARLSRUHE, KARLSRUHE</t>
  </si>
  <si>
    <t>10338696-10390584</t>
  </si>
  <si>
    <t>Desislava</t>
  </si>
  <si>
    <t>Byanova</t>
  </si>
  <si>
    <t>EU-44633</t>
  </si>
  <si>
    <t>2026-06-29 05:15:50</t>
  </si>
  <si>
    <t>St Constantine  Elena, 49th St No 15, Varna, Varna</t>
  </si>
  <si>
    <t>PONCHK-CAB-MD-BLUE-NS,PONCHK-CAB-MD-LTPNK-NS,PONCHK-CAB-SM-LTPNK-NS</t>
  </si>
  <si>
    <t>10347833-10399760</t>
  </si>
  <si>
    <t>van Blanken</t>
  </si>
  <si>
    <t>EU-44740</t>
  </si>
  <si>
    <t>2026-06-29 05:16:38</t>
  </si>
  <si>
    <t>Westeinde 40, Nieuwleusen, Nieuwleusen</t>
  </si>
  <si>
    <t>7711 CK</t>
  </si>
  <si>
    <t>10346415-10398342</t>
  </si>
  <si>
    <t>Lotze</t>
  </si>
  <si>
    <t>EU-44723</t>
  </si>
  <si>
    <t>2026-06-29 05:17:35</t>
  </si>
  <si>
    <t>Zum Loh 5, Nieder-Olm, Nieder-Olm</t>
  </si>
  <si>
    <t>10346412-10398339</t>
  </si>
  <si>
    <t>Benninghoven</t>
  </si>
  <si>
    <t>304-8241946-4856352</t>
  </si>
  <si>
    <t>2026-06-29 05:18:21</t>
  </si>
  <si>
    <t>Bitte Paketbox benutzen, Erbschlö 40b, Wuppertal, Wuppertal</t>
  </si>
  <si>
    <t>10346417-10398344</t>
  </si>
  <si>
    <t>Jonas</t>
  </si>
  <si>
    <t>Lehmann</t>
  </si>
  <si>
    <t>303-6743774-5020307</t>
  </si>
  <si>
    <t>2026-06-29 05:19:13</t>
  </si>
  <si>
    <t>Hauptstraße 71, Unterspreewald, Unterspreewald</t>
  </si>
  <si>
    <t>10346420-10398347</t>
  </si>
  <si>
    <t>Niemeier</t>
  </si>
  <si>
    <t>302-6174124-2340311</t>
  </si>
  <si>
    <t>2026-06-29 05:20:00</t>
  </si>
  <si>
    <t>Jürgen Töpfer Straße 121, Hamburg, Hamburg</t>
  </si>
  <si>
    <t>10346422-10398349</t>
  </si>
  <si>
    <t>Rezene-Sonat</t>
  </si>
  <si>
    <t>028-0496432-0431556</t>
  </si>
  <si>
    <t>2026-06-29 05:20:53</t>
  </si>
  <si>
    <t>Torstensonstraße 4a, Nürnberg, Nürnberg</t>
  </si>
  <si>
    <t>10347838-10399765</t>
  </si>
  <si>
    <t>Pika</t>
  </si>
  <si>
    <t>028-6268073-4046732</t>
  </si>
  <si>
    <t>2026-06-29 05:21:39</t>
  </si>
  <si>
    <t>Talstraße 3, Stadecken-Elsheim, Stadecken-Elsheim</t>
  </si>
  <si>
    <t>10346879-10398806</t>
  </si>
  <si>
    <t>Sandoaia</t>
  </si>
  <si>
    <t>303-7893598-8900331</t>
  </si>
  <si>
    <t>2026-06-29 05:22:51</t>
  </si>
  <si>
    <t>Sandoaia, Brentanostraße 9, Frankenthal (pfalz), Frankenthal (pfalz)</t>
  </si>
  <si>
    <t>10347839-10399766</t>
  </si>
  <si>
    <t>ANJA</t>
  </si>
  <si>
    <t>WEBER</t>
  </si>
  <si>
    <t>306-8987835-6937920</t>
  </si>
  <si>
    <t>2026-06-29 05:23:48</t>
  </si>
  <si>
    <t>ANGERLOHSTR 30B, MUENCHEN, MUENCHEN</t>
  </si>
  <si>
    <t>10347829-10399756</t>
  </si>
  <si>
    <t>Seidel-Brinkmann</t>
  </si>
  <si>
    <t>028-9062617-2293907</t>
  </si>
  <si>
    <t>2026-06-29 05:24:38</t>
  </si>
  <si>
    <t>Obernfeld 10, Sarstedt, Sarstedt</t>
  </si>
  <si>
    <t>10343731-10395636</t>
  </si>
  <si>
    <t>EU-44691</t>
  </si>
  <si>
    <t>2026-06-29 05:26:51</t>
  </si>
  <si>
    <t>83 New Caragh Court, Naas, Kildare</t>
  </si>
  <si>
    <t>W91 H2YE</t>
  </si>
  <si>
    <t>10344081-10395990</t>
  </si>
  <si>
    <t>sonja</t>
  </si>
  <si>
    <t>smits</t>
  </si>
  <si>
    <t>EU-44694</t>
  </si>
  <si>
    <t>2026-06-29 05:30:25</t>
  </si>
  <si>
    <t>Rhijnhofweg 57, Oegstgeest, Oegstgeest</t>
  </si>
  <si>
    <t>2342 CR</t>
  </si>
  <si>
    <t>PICNIC-DES-LG-MARGMAD,TOWLB-DES-LG-PSTPIER</t>
  </si>
  <si>
    <t>10343708-10395613</t>
  </si>
  <si>
    <t>Carmel</t>
  </si>
  <si>
    <t>Lynn</t>
  </si>
  <si>
    <t>EU-44682</t>
  </si>
  <si>
    <t>2026-06-29 05:32:59</t>
  </si>
  <si>
    <t>3 Richdale court, Marlinstown, Mullingar, Westmeath</t>
  </si>
  <si>
    <t>N91 R7D6</t>
  </si>
  <si>
    <t>TOWLB-CAB-XL-NAVY-R,TOWLB-COLLAB-XL-UNO</t>
  </si>
  <si>
    <t>10344078-10395987</t>
  </si>
  <si>
    <t>Quinlan</t>
  </si>
  <si>
    <t>EU-44678</t>
  </si>
  <si>
    <t>2026-06-29 05:35:38</t>
  </si>
  <si>
    <t>Knockeravoola, Upperchurch, Thurles, Tipperary</t>
  </si>
  <si>
    <t>E41 X363</t>
  </si>
  <si>
    <t>TOWLB-SUM-LG-OCEAN,TOWLB-SUM-LG-TUTFRU</t>
  </si>
  <si>
    <t>10345051-10396971</t>
  </si>
  <si>
    <t>Terschüren</t>
  </si>
  <si>
    <t>EU-44700</t>
  </si>
  <si>
    <t>2026-06-29 05:37:31</t>
  </si>
  <si>
    <t>Roonstraße 1, Duisburg, Duisburg</t>
  </si>
  <si>
    <t>PONCHA-CAB-XL-LTPNK,PONCHA-CAB-XL-NAVY,PONCHA-DES-LG-WAVYBBY</t>
  </si>
  <si>
    <t>10343294-10395198</t>
  </si>
  <si>
    <t>Fischer</t>
  </si>
  <si>
    <t>EU-44679</t>
  </si>
  <si>
    <t>2026-06-29 05:37:46</t>
  </si>
  <si>
    <t>Adolfstr 13, Berlin, Berlin</t>
  </si>
  <si>
    <t>TOWLB-DES-LG-SUNSPL,TOWLB-SUM-XL-RAINB-R</t>
  </si>
  <si>
    <t>10343733-10395638</t>
  </si>
  <si>
    <t>EU-44689</t>
  </si>
  <si>
    <t>2026-06-29 05:39:02</t>
  </si>
  <si>
    <t>Eichenweg 12, Eggenfelden, Eggenfelden</t>
  </si>
  <si>
    <t>TOWLB-KID-LG-POWPOS,TOWLB-SUM-LG-RAINB-R</t>
  </si>
  <si>
    <t>10343719-10395624</t>
  </si>
  <si>
    <t>SEBA ST HERBLAIN</t>
  </si>
  <si>
    <t>METAYER</t>
  </si>
  <si>
    <t>EU-44686</t>
  </si>
  <si>
    <t>2026-06-29 05:42:57</t>
  </si>
  <si>
    <t>283 route de Vannes, SAINT HERBLAIN, SAINT HERBLAIN</t>
  </si>
  <si>
    <t>EYEMASK-DES-CHRYBMB,TOWLH-CLB-LG-CHRYBMB</t>
  </si>
  <si>
    <t>10347581-10399508</t>
  </si>
  <si>
    <t>Christiaan</t>
  </si>
  <si>
    <t>EU-44735</t>
  </si>
  <si>
    <t>2026-06-29 05:43:08</t>
  </si>
  <si>
    <t>Claude Debussylaan 247, Amsterdam, Amsterdam</t>
  </si>
  <si>
    <t>1082 MC</t>
  </si>
  <si>
    <t>HAIRW-WAF-CHRYBMB,TOWLB-DES-LG-KARMA,TOWLB-DES-XL-KARMA</t>
  </si>
  <si>
    <t>10345348-10397271</t>
  </si>
  <si>
    <t>Baci</t>
  </si>
  <si>
    <t>Lauwers</t>
  </si>
  <si>
    <t>EU-44707</t>
  </si>
  <si>
    <t>2026-06-29 05:45:30</t>
  </si>
  <si>
    <t>Taxandriastraat 20, Westerlo, Westerlo</t>
  </si>
  <si>
    <t>BAGF-SUM-MD-MIAMI,PONCHA-CAB-XL-NAVY,PONCHK-SUM-MD-CSTCANDY,TOWLB-SUM-LG-CSTCANDY</t>
  </si>
  <si>
    <t>10344775-10396688</t>
  </si>
  <si>
    <t>Noes</t>
  </si>
  <si>
    <t>Sardjoe</t>
  </si>
  <si>
    <t>EU-44697</t>
  </si>
  <si>
    <t>2026-06-29 05:47:38</t>
  </si>
  <si>
    <t>Ringlaan 205, Maasmechelen, Maasmechelen</t>
  </si>
  <si>
    <t>PONCHK-KID-MD-INTOWILD,TOWLB-CAB-LG-NAVY-R,TOWLB-CAB-LG-PINK-R</t>
  </si>
  <si>
    <t>10344779-10396692</t>
  </si>
  <si>
    <t>Linhart</t>
  </si>
  <si>
    <t>EU-44698</t>
  </si>
  <si>
    <t>2026-06-29 05:48:00</t>
  </si>
  <si>
    <t>Johannesweg 5, Lindau (Bodensee), Lindau (Bodensee)</t>
  </si>
  <si>
    <t>HAIRW-SUE-PNKPARA,PICNIC-DES-XL-STRIPLIFE</t>
  </si>
  <si>
    <t>10345349-10397272</t>
  </si>
  <si>
    <t>Park Linné Service Point</t>
  </si>
  <si>
    <t>Steker</t>
  </si>
  <si>
    <t>EU-44706</t>
  </si>
  <si>
    <t>2026-06-29 05:48:18</t>
  </si>
  <si>
    <t>Eupener Straße 57, Köln, Köln</t>
  </si>
  <si>
    <t>10345053-10396973</t>
  </si>
  <si>
    <t>Bastian</t>
  </si>
  <si>
    <t>Kustermann</t>
  </si>
  <si>
    <t>EU-44705</t>
  </si>
  <si>
    <t>2026-06-29 05:49:17</t>
  </si>
  <si>
    <t>Birkenstraße 9, Benningen, Benningen</t>
  </si>
  <si>
    <t>10345054-10396974</t>
  </si>
  <si>
    <t>Lejeune</t>
  </si>
  <si>
    <t>Julien</t>
  </si>
  <si>
    <t>EU-44704</t>
  </si>
  <si>
    <t>77, Ave Florent Becker, Verviers, Verviers</t>
  </si>
  <si>
    <t>TOWLB-DES-LG-MELLOW,TOWLB-DES-LG-PSTPIER,TOWLB-DES-LG-TANTIDE,TOWLB-SUM-LG-CSTCANDY</t>
  </si>
  <si>
    <t>10345588-10397511</t>
  </si>
  <si>
    <t>EU-44712</t>
  </si>
  <si>
    <t>2026-06-29 05:50:00</t>
  </si>
  <si>
    <t>10344778-10396691</t>
  </si>
  <si>
    <t>Chantal</t>
  </si>
  <si>
    <t>Langejans</t>
  </si>
  <si>
    <t>EU-44699</t>
  </si>
  <si>
    <t>2026-06-29 05:50:35</t>
  </si>
  <si>
    <t>Duinweg, Soest, Soest</t>
  </si>
  <si>
    <t>3768 BM</t>
  </si>
  <si>
    <t>10343711-10395616</t>
  </si>
  <si>
    <t>Spiessens</t>
  </si>
  <si>
    <t>EU-44681</t>
  </si>
  <si>
    <t>2026-06-29 05:50:42</t>
  </si>
  <si>
    <t>Reyerdijk 20, Rotterdam, Rotterdam</t>
  </si>
  <si>
    <t>3079 ND</t>
  </si>
  <si>
    <t>TOWLB-CAB-LG-GREEN-R,TOWLB-DES-LG-MELLOW</t>
  </si>
  <si>
    <t>10345874-10397798</t>
  </si>
  <si>
    <t>Fenja</t>
  </si>
  <si>
    <t>Rosini</t>
  </si>
  <si>
    <t>EU-44715</t>
  </si>
  <si>
    <t>2026-06-29 05:51:35</t>
  </si>
  <si>
    <t>Saonestraße 17, Frankfurt am Main, Frankfurt am Main</t>
  </si>
  <si>
    <t>10345352-10397275</t>
  </si>
  <si>
    <t>Loftus</t>
  </si>
  <si>
    <t>EU-44709</t>
  </si>
  <si>
    <t>2026-06-29 05:51:46</t>
  </si>
  <si>
    <t>Listdreef 1, Schoten, Schoten</t>
  </si>
  <si>
    <t>10344415-10396324</t>
  </si>
  <si>
    <t>Zysman,</t>
  </si>
  <si>
    <t>Nadia</t>
  </si>
  <si>
    <t>EU-44696</t>
  </si>
  <si>
    <t>2026-06-29 05:52:27</t>
  </si>
  <si>
    <t>Knesebeckstr  75, Berlin, Berlin</t>
  </si>
  <si>
    <t>10346134-10398061</t>
  </si>
  <si>
    <t>EMERIA FRANCE SERVICES</t>
  </si>
  <si>
    <t>PUISSET</t>
  </si>
  <si>
    <t>EU-44718</t>
  </si>
  <si>
    <t>2026-06-29 05:53:12</t>
  </si>
  <si>
    <t>3 rue des turlurets A02 villa, Castellane Direction, immobilière, CHATENAY MALABRY, CHATENAY MALABRY</t>
  </si>
  <si>
    <t>10343723-10395628</t>
  </si>
  <si>
    <t>Mariano</t>
  </si>
  <si>
    <t>Pellecchia</t>
  </si>
  <si>
    <t>305-4613553-1765109</t>
  </si>
  <si>
    <t>2026-06-29 05:53:22</t>
  </si>
  <si>
    <t>Beethovenstraße 5, Rieden, Bayern</t>
  </si>
  <si>
    <t>10345055-10396975</t>
  </si>
  <si>
    <t>maren</t>
  </si>
  <si>
    <t>Wolke</t>
  </si>
  <si>
    <t>302-1419169-2719530</t>
  </si>
  <si>
    <t>2026-06-29 05:54:09</t>
  </si>
  <si>
    <t>Am Ausbesserungswerk 8, Köln, Köln</t>
  </si>
  <si>
    <t>10345868-10397792</t>
  </si>
  <si>
    <t>Aenne</t>
  </si>
  <si>
    <t>Boehnke-Gruber</t>
  </si>
  <si>
    <t>EU-44714</t>
  </si>
  <si>
    <t>2026-06-29 05:54:32</t>
  </si>
  <si>
    <t>Moltkestr 81, Kiel, Kiel</t>
  </si>
  <si>
    <t>10343734-10395639</t>
  </si>
  <si>
    <t>Manley</t>
  </si>
  <si>
    <t>EU-44693</t>
  </si>
  <si>
    <t>2026-06-29 05:55:03</t>
  </si>
  <si>
    <t>Carrer del Greco 8, Sant Antoni de Portmany, Balears</t>
  </si>
  <si>
    <t>10343704-10395609</t>
  </si>
  <si>
    <t>Dahlhaus</t>
  </si>
  <si>
    <t>EU-44680</t>
  </si>
  <si>
    <t>2026-06-29 05:55:53</t>
  </si>
  <si>
    <t>Jägerhofstr 30, Wuppertal, Wuppertal</t>
  </si>
  <si>
    <t>10347443-10399370</t>
  </si>
  <si>
    <t>Iuliia</t>
  </si>
  <si>
    <t>Koshchuk</t>
  </si>
  <si>
    <t>EU-44728</t>
  </si>
  <si>
    <t>2026-06-29 05:55:57</t>
  </si>
  <si>
    <t>Chausseestraße 9, Berlin, Berlin</t>
  </si>
  <si>
    <t>TOWLB-CAB-LG-BLUE-R,TOWLB-SUM-LG-OCEAN</t>
  </si>
  <si>
    <t>10346146-10398073</t>
  </si>
  <si>
    <t>Hong</t>
  </si>
  <si>
    <t>028-1614059-5827528</t>
  </si>
  <si>
    <t>2026-06-29 05:56:43</t>
  </si>
  <si>
    <t>Schierker Straße 6, Bremen, Bremen</t>
  </si>
  <si>
    <t>10346132-10398059</t>
  </si>
  <si>
    <t>Baris Paket</t>
  </si>
  <si>
    <t>Alex</t>
  </si>
  <si>
    <t>von Aesch</t>
  </si>
  <si>
    <t>EU-44717</t>
  </si>
  <si>
    <t>2026-06-29 05:57:15</t>
  </si>
  <si>
    <t>Hauptstraße 45, Lottstetten, Lottstetten</t>
  </si>
  <si>
    <t>PONCHK-KID-MD-GVCLUB,PONCHK-KID-SM-INTOWILD</t>
  </si>
  <si>
    <t>10346141-10398068</t>
  </si>
  <si>
    <t>Michaelson</t>
  </si>
  <si>
    <t>305-2145840-9626759</t>
  </si>
  <si>
    <t>2026-06-29 05:57:31</t>
  </si>
  <si>
    <t>Alte Hauptstr 60a, Hechendorf, Hechendorf</t>
  </si>
  <si>
    <t>10343735-10395640</t>
  </si>
  <si>
    <t>EU-44692</t>
  </si>
  <si>
    <t>2026-06-29 05:58:14</t>
  </si>
  <si>
    <t>10346143-10398070</t>
  </si>
  <si>
    <t>Söte</t>
  </si>
  <si>
    <t>EU-44720</t>
  </si>
  <si>
    <t>2026-06-29 05:58:20</t>
  </si>
  <si>
    <t>Radekamp 11, Hamburg, Hamburg</t>
  </si>
  <si>
    <t>BAGF-SUM-MD-COLAGN,TOWLB-SUM-XL-OCEAN</t>
  </si>
  <si>
    <t>10346410-10398337</t>
  </si>
  <si>
    <t>Mutant</t>
  </si>
  <si>
    <t>Innie</t>
  </si>
  <si>
    <t>Tran</t>
  </si>
  <si>
    <t>EU-44722</t>
  </si>
  <si>
    <t>2026-06-29 05:59:27</t>
  </si>
  <si>
    <t>Frankrijklei 115, Antwerpen, Antwerpen</t>
  </si>
  <si>
    <t>10346149-10398076</t>
  </si>
  <si>
    <t>D'Arcy</t>
  </si>
  <si>
    <t>EU-44721</t>
  </si>
  <si>
    <t>2026-06-29 06:00:09</t>
  </si>
  <si>
    <t>2 The Paddocks View, Adamstown, Lucan, Dublin</t>
  </si>
  <si>
    <t>K78 FY54</t>
  </si>
  <si>
    <t>10347574-10399501</t>
  </si>
  <si>
    <t>Vélo Klub</t>
  </si>
  <si>
    <t>Roelof</t>
  </si>
  <si>
    <t>Winkelmans</t>
  </si>
  <si>
    <t>EU-44733</t>
  </si>
  <si>
    <t>2026-06-29 06:00:30</t>
  </si>
  <si>
    <t>Bruul 106, Mechelen, Mechelen</t>
  </si>
  <si>
    <t>10344087-10395996</t>
  </si>
  <si>
    <t>Weinhold</t>
  </si>
  <si>
    <t>028-6335638-6441122</t>
  </si>
  <si>
    <t>2026-06-29 06:00:51</t>
  </si>
  <si>
    <t>äneasstr 9, Berlin, Berlin</t>
  </si>
  <si>
    <t>10344777-10396690</t>
  </si>
  <si>
    <t>Bodmann</t>
  </si>
  <si>
    <t>303-2049787-1460361</t>
  </si>
  <si>
    <t>2026-06-29 06:01:23</t>
  </si>
  <si>
    <t>Börnsener Straße 29, Börnsen, Börnsen</t>
  </si>
  <si>
    <t>10347576-10399503</t>
  </si>
  <si>
    <t>Selin</t>
  </si>
  <si>
    <t>Kandaz</t>
  </si>
  <si>
    <t>EU-44732</t>
  </si>
  <si>
    <t>2026-06-29 06:01:44</t>
  </si>
  <si>
    <t>Buchenhang 28, Herdorf, Herdorf</t>
  </si>
  <si>
    <t>10345350-10397273</t>
  </si>
  <si>
    <t>EU-44708</t>
  </si>
  <si>
    <t>2026-06-29 06:02:05</t>
  </si>
  <si>
    <t>Tharauer Allee 4a, Berlin, Berlin</t>
  </si>
  <si>
    <t>10345049-10396969</t>
  </si>
  <si>
    <t>Mahler</t>
  </si>
  <si>
    <t>EU-44702</t>
  </si>
  <si>
    <t>2026-06-29 06:02:45</t>
  </si>
  <si>
    <t>Frankfurter Strasse 16, Würzburg, Würzburg</t>
  </si>
  <si>
    <t>10346138-10398065</t>
  </si>
  <si>
    <t>Wichert</t>
  </si>
  <si>
    <t>306-4446937-4758765</t>
  </si>
  <si>
    <t>2026-06-29 06:02:47</t>
  </si>
  <si>
    <t>Starkey Laboratories Gmbh, Deutschland Hauptstrasse 54, Brühl, Brühl</t>
  </si>
  <si>
    <t>10345864-10397788</t>
  </si>
  <si>
    <t>EU-44713</t>
  </si>
  <si>
    <t>2026-06-29 06:03:12</t>
  </si>
  <si>
    <t>M Thal 6, Füssen, Füssen</t>
  </si>
  <si>
    <t>10345870-10397794</t>
  </si>
  <si>
    <t>Henning</t>
  </si>
  <si>
    <t>Nieslony</t>
  </si>
  <si>
    <t>302-5298997-1457934</t>
  </si>
  <si>
    <t>2026-06-29 06:03:35</t>
  </si>
  <si>
    <t>Rampenstraße 16, Bochum, Bochum</t>
  </si>
  <si>
    <t>10347442-10399369</t>
  </si>
  <si>
    <t>Cordier</t>
  </si>
  <si>
    <t>EU-44729</t>
  </si>
  <si>
    <t>2026-06-29 06:03:47</t>
  </si>
  <si>
    <t>Rue Paschal 52, Lobbes, Lobbes</t>
  </si>
  <si>
    <t>10345872-10397796</t>
  </si>
  <si>
    <t>Sattler</t>
  </si>
  <si>
    <t>305-0336057-4398708</t>
  </si>
  <si>
    <t>2026-06-29 06:04:09</t>
  </si>
  <si>
    <t>Mähdachstr 26, Stuttgart, Baden-Württemberg</t>
  </si>
  <si>
    <t>10345351-10397274</t>
  </si>
  <si>
    <t>Matz-Leithold</t>
  </si>
  <si>
    <t>EU-44710</t>
  </si>
  <si>
    <t>2026-06-29 06:04:52</t>
  </si>
  <si>
    <t>In den Küpperbenden 9, Aachen, Aachen</t>
  </si>
  <si>
    <t>10345591-10397514</t>
  </si>
  <si>
    <t>EU-44711</t>
  </si>
  <si>
    <t>2026-06-29 06:05:29</t>
  </si>
  <si>
    <t>10345052-10396972</t>
  </si>
  <si>
    <t>Loes</t>
  </si>
  <si>
    <t>Bokken</t>
  </si>
  <si>
    <t>EU-44703</t>
  </si>
  <si>
    <t>2026-06-29 06:06:10</t>
  </si>
  <si>
    <t>Zeven Zillenerf 27, Kaggevinne, Kaggevinne</t>
  </si>
  <si>
    <t>10348132-10400060</t>
  </si>
  <si>
    <t>Neutzsch</t>
  </si>
  <si>
    <t>EU-44748</t>
  </si>
  <si>
    <t>2026-06-29 06:08:01</t>
  </si>
  <si>
    <t>Sigismundkorso 39A, Berlin, Berlin</t>
  </si>
  <si>
    <t>PONCHA-SUM-LG-CSTCANDY,PONCHK-CAB-MD-NAVY-NS,PONCHK-KID-MD-SKATER,TOWLB-CAB-XL-BLUE-R</t>
  </si>
  <si>
    <t>10348131-10400059</t>
  </si>
  <si>
    <t>Buiter</t>
  </si>
  <si>
    <t>EU-44745</t>
  </si>
  <si>
    <t>2026-06-29 06:09:02</t>
  </si>
  <si>
    <t>Puttersbos 79, 79, Hoofddorp, Hoofddorp</t>
  </si>
  <si>
    <t>2134 TD</t>
  </si>
  <si>
    <t>TOWLB-DES-LG-GRECSHR,TOWLB-DES-LG-TANTIDE</t>
  </si>
  <si>
    <t>10347836-10399763</t>
  </si>
  <si>
    <t>Kessler</t>
  </si>
  <si>
    <t>EU-44737</t>
  </si>
  <si>
    <t>2026-06-29 06:10:01</t>
  </si>
  <si>
    <t>Mümmelmannsweg 10c, Oldenburg, Oldenburg</t>
  </si>
  <si>
    <t>TOWLB-SUM-LG-CSTCANDY,TOWLB-SUM-LG-MIAMI,TOWLB-SUM-LG-OCEAN,TOWLB-SUM-XL-TUTFRU</t>
  </si>
  <si>
    <t>10343706-10395611</t>
  </si>
  <si>
    <t>Laetitia</t>
  </si>
  <si>
    <t>Boidevaix</t>
  </si>
  <si>
    <t>EU-44683</t>
  </si>
  <si>
    <t>2026-06-29 06:11:15</t>
  </si>
  <si>
    <t>Berliner Str 85, Schwalbach, Schwalbach</t>
  </si>
  <si>
    <t>TOWLB-DES-XL-GRECSHR,TOWLB-DES-XL-TANTIDE,TOWLB-DES-XL-WYWH</t>
  </si>
  <si>
    <t>10347835-10399762</t>
  </si>
  <si>
    <t>de Kwant</t>
  </si>
  <si>
    <t>EU-44738</t>
  </si>
  <si>
    <t>2026-06-29 06:12:23</t>
  </si>
  <si>
    <t>Overkroetenlaan 21, Breda, Breda</t>
  </si>
  <si>
    <t>4823 KC</t>
  </si>
  <si>
    <t>TOWLB-DES-LG-WTRSUG,TOWLB-SUM-LG-COLAGN,TOWLB-SUM-LG-TUTFRU</t>
  </si>
  <si>
    <t>10348713-10400646</t>
  </si>
  <si>
    <t>Aleksandra</t>
  </si>
  <si>
    <t>Tyburska</t>
  </si>
  <si>
    <t>EU-44760</t>
  </si>
  <si>
    <t>2026-06-29 06:15:01</t>
  </si>
  <si>
    <t>54 The Cloisters, Abbeydorney, Kerry</t>
  </si>
  <si>
    <t>V92 E1H5</t>
  </si>
  <si>
    <t>PICNIC-DES-XL-GRCSHR,PP-TOWLB-CAB-LG-6SETI</t>
  </si>
  <si>
    <t>10348135-10400063</t>
  </si>
  <si>
    <t>Elnerie</t>
  </si>
  <si>
    <t>Jansen van Rensburg</t>
  </si>
  <si>
    <t>EU-44750</t>
  </si>
  <si>
    <t>2026-06-29 06:16:08</t>
  </si>
  <si>
    <t>Lange Lakenstraat 20rd, Haarlem, Haarlem</t>
  </si>
  <si>
    <t>2011 ZC</t>
  </si>
  <si>
    <t>TOWLB-DES-LG-PSTPIER,TOWLB-SUM-LG-MIAMI</t>
  </si>
  <si>
    <t>10348956-10400890</t>
  </si>
  <si>
    <t>Janssen</t>
  </si>
  <si>
    <t>EU-44765</t>
  </si>
  <si>
    <t>2026-06-29 06:17:10</t>
  </si>
  <si>
    <t>St Antonielaan 227, Arnhem, Arnhem</t>
  </si>
  <si>
    <t>6821 GH</t>
  </si>
  <si>
    <t>TOWLB-SUM-LG-COLAGN,TOWLB-SUM-LG-TUTFRU</t>
  </si>
  <si>
    <t>10349768-10401705</t>
  </si>
  <si>
    <t>Yasmine</t>
  </si>
  <si>
    <t>Goudembourg</t>
  </si>
  <si>
    <t>EU-44784</t>
  </si>
  <si>
    <t>2026-06-29 06:18:09</t>
  </si>
  <si>
    <t>1a An Der Driicht, Eschdorf, Eschdorf</t>
  </si>
  <si>
    <t>10343716-10395621</t>
  </si>
  <si>
    <t>Tosja</t>
  </si>
  <si>
    <t>Brust-van de Vliet</t>
  </si>
  <si>
    <t>EU-44684</t>
  </si>
  <si>
    <t>2026-06-29 06:18:53</t>
  </si>
  <si>
    <t>Elvis Presleystraat 15, Arnhem, Arnhem</t>
  </si>
  <si>
    <t>6836 DB</t>
  </si>
  <si>
    <t>10348130-10400058</t>
  </si>
  <si>
    <t>EU-44746</t>
  </si>
  <si>
    <t>2026-06-29 06:19:48</t>
  </si>
  <si>
    <t>Bahnhofstraße 22, Homberg Ohm, Homberg Ohm</t>
  </si>
  <si>
    <t>BAGF-SUM-MD-MIAMI,BALLAST-SUM-MIAMI</t>
  </si>
  <si>
    <t>10349774-10401711</t>
  </si>
  <si>
    <t>Babette</t>
  </si>
  <si>
    <t>Tettero</t>
  </si>
  <si>
    <t>EU-44789</t>
  </si>
  <si>
    <t>2026-06-29 06:20:37</t>
  </si>
  <si>
    <t>Hofcampweg 111, Wassenaar, Wassenaar</t>
  </si>
  <si>
    <t>2241 KE</t>
  </si>
  <si>
    <t>TOWLF-ESS-XL-DKBLU,TOWLF-ESS-XL-PINK-R</t>
  </si>
  <si>
    <t>10349776-10401713</t>
  </si>
  <si>
    <t>Guido</t>
  </si>
  <si>
    <t>Marz</t>
  </si>
  <si>
    <t>305-9185487-3063561</t>
  </si>
  <si>
    <t>2026-06-29 06:21:15</t>
  </si>
  <si>
    <t>Mohnweg 1 a, Köln, Nordrhein-Westfalen</t>
  </si>
  <si>
    <t>10349777-10401714</t>
  </si>
  <si>
    <t>Schulz</t>
  </si>
  <si>
    <t>EU-44792</t>
  </si>
  <si>
    <t>2026-06-29 06:22:16</t>
  </si>
  <si>
    <t>Kaltenbach 10, Hinterweidenthal, Hinterweidenthal</t>
  </si>
  <si>
    <t>BAGF-DES-MD-WAVYBBY,BAGF-DES-MD-WYWH</t>
  </si>
  <si>
    <t>10353537-10405478</t>
  </si>
  <si>
    <t>Taras</t>
  </si>
  <si>
    <t>Antoshchuk</t>
  </si>
  <si>
    <t>EU-44873</t>
  </si>
  <si>
    <t>2026-06-29 06:34:42</t>
  </si>
  <si>
    <t>Gottfried-Böhm-Ring 32, München, München</t>
  </si>
  <si>
    <t>TOWLB-CAB-XL-LTBLU-R,TOWLB-DES-XL-GRECSHR</t>
  </si>
  <si>
    <t>10351371-10403311</t>
  </si>
  <si>
    <t>Kalachikova</t>
  </si>
  <si>
    <t>EU-44823</t>
  </si>
  <si>
    <t>2026-06-29 06:36:17</t>
  </si>
  <si>
    <t>Oostenburgermiddenstraat 76, AMSTERDAM, AMSTERDAM</t>
  </si>
  <si>
    <t>TOWLB-CAB-LG-BLACK-R,TOWLB-CAB-LG-GREEN-R</t>
  </si>
  <si>
    <t>10352277-10404217</t>
  </si>
  <si>
    <t>Maggie</t>
  </si>
  <si>
    <t>Haas</t>
  </si>
  <si>
    <t>EU-44831</t>
  </si>
  <si>
    <t>2026-06-29 06:38:50</t>
  </si>
  <si>
    <t>Wassergasse 14, Regensburg, Regensburg</t>
  </si>
  <si>
    <t>PICNIC-DES-XL-CANDSTR,PICNIC-DES-XL-STRIPLIFE</t>
  </si>
  <si>
    <t>10350940-10402880</t>
  </si>
  <si>
    <t>Karine</t>
  </si>
  <si>
    <t>Picart</t>
  </si>
  <si>
    <t>EU-44817</t>
  </si>
  <si>
    <t>2026-06-29 06:40:29</t>
  </si>
  <si>
    <t>Rue dEcorche Vent 14, Gembloux, Gembloux</t>
  </si>
  <si>
    <t>TOWLB-DES-XL-IBZAGLW,TOWLB-SUM-LG-COLAGN</t>
  </si>
  <si>
    <t>10351156-10403096</t>
  </si>
  <si>
    <t>EU-44821</t>
  </si>
  <si>
    <t>2026-06-29 06:43:49</t>
  </si>
  <si>
    <t>10351160-10403100</t>
  </si>
  <si>
    <t>EU-44822</t>
  </si>
  <si>
    <t>2026-06-29 06:45:49</t>
  </si>
  <si>
    <t>In der Roterde 7J, Frankfurt am Main, Frankfurt am Main</t>
  </si>
  <si>
    <t>10350234-10402173</t>
  </si>
  <si>
    <t>Wiemann</t>
  </si>
  <si>
    <t>EU-44803</t>
  </si>
  <si>
    <t>2026-06-29 06:47:19</t>
  </si>
  <si>
    <t>Scheideweg 11, Hamburg, Hamburg</t>
  </si>
  <si>
    <t xml:space="preserve">16215 (x1)   </t>
  </si>
  <si>
    <t>PONCHA-CAB-XL-LTPNK,TOWLB-SUM-LG-MIAMI</t>
  </si>
  <si>
    <t>10348979-10400913</t>
  </si>
  <si>
    <t>Carla</t>
  </si>
  <si>
    <t>Herrmann</t>
  </si>
  <si>
    <t>EU-44770</t>
  </si>
  <si>
    <t>2026-06-29 06:48:00</t>
  </si>
  <si>
    <t>Schellingstraße 90, München, München</t>
  </si>
  <si>
    <t>10348974-10400908</t>
  </si>
  <si>
    <t>Kaschuba</t>
  </si>
  <si>
    <t>EU-44773</t>
  </si>
  <si>
    <t>2026-06-29 06:50:00</t>
  </si>
  <si>
    <t>Hannah-Szenes-Straße 24, Monheim am Rhein, Monheim am Rhein</t>
  </si>
  <si>
    <t>TOWLB-DES-XL-SUNSPL,TOWLB-DES-XL-SWTESC,TOWLB-SUM-XL-RAINB-R,TOWLF-ESS-XL-GREEN-R</t>
  </si>
  <si>
    <t>10349282-10401217</t>
  </si>
  <si>
    <t>Povoa</t>
  </si>
  <si>
    <t>EU-44776</t>
  </si>
  <si>
    <t>2026-06-29 06:53:23</t>
  </si>
  <si>
    <t>Lenaustrasse 22, Neukolln, Berlin, Berlin</t>
  </si>
  <si>
    <t>BAGF-SUM-MD-CSTCANDY,PICNIC-DES-LG-STRIPLIFE,TOWLB-SUM-LG-COLAGN,TOWLB-SUM-LG-MIAMI,TOWLB-SUM-LG-OCEAN,TOWLB-SUM-LG-TUTFRU</t>
  </si>
  <si>
    <t>10352279-10404219</t>
  </si>
  <si>
    <t>Adrien</t>
  </si>
  <si>
    <t>EU-44829</t>
  </si>
  <si>
    <t>2026-06-29 06:54:18</t>
  </si>
  <si>
    <t>2 Allée des Muriers, Tignieu-Jameyzieu, Tignieu-Jameyzieu</t>
  </si>
  <si>
    <t>10350004-10401941</t>
  </si>
  <si>
    <t>Schuwerk</t>
  </si>
  <si>
    <t>EU-44782</t>
  </si>
  <si>
    <t>2026-06-29 06:55:18</t>
  </si>
  <si>
    <t>Eberhard-Joser-Weg 16, Leutkirch im Allgäu, Leutkirch im Allgäu</t>
  </si>
  <si>
    <t>TOWLB-DES-LG-MELLOW,TOWLB-SUM-LG-MIAMI</t>
  </si>
  <si>
    <t>10348972-10400906</t>
  </si>
  <si>
    <t>Hylla</t>
  </si>
  <si>
    <t>EU-44768</t>
  </si>
  <si>
    <t>2026-06-29 06:55:19</t>
  </si>
  <si>
    <t>Krügerstr 13, Berlin, Berlin</t>
  </si>
  <si>
    <t>PONCHK-SUM-MD-CSTCANDY,TOWLB-SUM-LG-COLAGN,TOWLB-SUM-LG-MIAMI,TOWLB-SUM-LG-OCEAN,TOWLB-SUM-LG-TUTFRU</t>
  </si>
  <si>
    <t>10348983-10400917</t>
  </si>
  <si>
    <t>Ruf</t>
  </si>
  <si>
    <t>EU-44774</t>
  </si>
  <si>
    <t>2026-06-29 06:56:48</t>
  </si>
  <si>
    <t>Albersbacherstr90, Oberkirch, Oberkirch</t>
  </si>
  <si>
    <t>10345050-10396970</t>
  </si>
  <si>
    <t>Cameron</t>
  </si>
  <si>
    <t>EU-44701</t>
  </si>
  <si>
    <t>2026-06-29 06:57:42</t>
  </si>
  <si>
    <t>Klippgatan 14D, Stockholm, Stockholm</t>
  </si>
  <si>
    <t>116 35</t>
  </si>
  <si>
    <t>10352734-10404674</t>
  </si>
  <si>
    <t>Monique</t>
  </si>
  <si>
    <t>Bohler-Harpes</t>
  </si>
  <si>
    <t>EU-44848</t>
  </si>
  <si>
    <t>2026-06-29 07:04:23</t>
  </si>
  <si>
    <t>1 Op de Maessen, Weiler-La-Tour, Weiler-La-Tour</t>
  </si>
  <si>
    <t>TOWLB-CAB-XL-BLACK-R,TOWLB-CAB-XL-BLUE-R</t>
  </si>
  <si>
    <t>10352485-10404425</t>
  </si>
  <si>
    <t>Harder-Mondry</t>
  </si>
  <si>
    <t>EU-44843</t>
  </si>
  <si>
    <t>2026-06-29 07:05:59</t>
  </si>
  <si>
    <t>Lüttdörp 22A, Wasbek, Wasbek</t>
  </si>
  <si>
    <t>BAGF-SUM-MD-MIAMI,PICNIC-DES-XL-STRIPLIFE</t>
  </si>
  <si>
    <t>10352483-10404423</t>
  </si>
  <si>
    <t>Schubert Martinez</t>
  </si>
  <si>
    <t>EU-44841</t>
  </si>
  <si>
    <t>2026-06-29 07:07:07</t>
  </si>
  <si>
    <t>Eschenbruch 1, Lehrte, Lehrte</t>
  </si>
  <si>
    <t>10352482-10404422</t>
  </si>
  <si>
    <t>Dustmann</t>
  </si>
  <si>
    <t>EU-44842</t>
  </si>
  <si>
    <t>2026-06-29 07:08:49</t>
  </si>
  <si>
    <t>Hamte-Kamp 4, Goslar, Goslar</t>
  </si>
  <si>
    <t>TOWLB-DES-XL-SUNSPL,TOWLB-SUM-LG-CSTCANDY</t>
  </si>
  <si>
    <t>10352732-10404672</t>
  </si>
  <si>
    <t>EU-44845</t>
  </si>
  <si>
    <t>2026-06-29 07:10:50</t>
  </si>
  <si>
    <t>Röttler Straße, 5, Lörrach, Lörrach</t>
  </si>
  <si>
    <t>TOWLB-DES-LG-GRECSHR,TOWLB-DES-LG-MELLOW</t>
  </si>
  <si>
    <t>10352481-10404421</t>
  </si>
  <si>
    <t>Paraskevi</t>
  </si>
  <si>
    <t>Salpea</t>
  </si>
  <si>
    <t>EU-44840</t>
  </si>
  <si>
    <t>2026-06-29 07:12:03</t>
  </si>
  <si>
    <t>Albert Bechetlaan 2B, Kraainem, Kraainem</t>
  </si>
  <si>
    <t>TOWLB-CAB-LG-RED-R,TOWLB-SUM-LG-UNICN-R</t>
  </si>
  <si>
    <t>10350933-10402873</t>
  </si>
  <si>
    <t>Evie</t>
  </si>
  <si>
    <t>Snoeckx</t>
  </si>
  <si>
    <t>EU-44813</t>
  </si>
  <si>
    <t>2026-06-29 07:13:51</t>
  </si>
  <si>
    <t>Wilgenbaan 42, Grimbergen, Grimbergen</t>
  </si>
  <si>
    <t>TOWLB-DES-LG-SWTESC,TOWLB-DES-LG-WYWH</t>
  </si>
  <si>
    <t>10348966-10400900</t>
  </si>
  <si>
    <t>MAIKE</t>
  </si>
  <si>
    <t>LASRICH</t>
  </si>
  <si>
    <t>303-3435555-1434756</t>
  </si>
  <si>
    <t>2026-06-29 07:15:00</t>
  </si>
  <si>
    <t>AUF DEM BORGKAMP 29, OELDE, OELDE</t>
  </si>
  <si>
    <t>10352477-10404417</t>
  </si>
  <si>
    <t>Jüttner-Lorenzen</t>
  </si>
  <si>
    <t>EU-44836</t>
  </si>
  <si>
    <t>2026-06-29 07:16:08</t>
  </si>
  <si>
    <t>Altengammer Elbdeich 4, Hamburg, Hamburg</t>
  </si>
  <si>
    <t>HAIRW-SUE-MIAMI</t>
  </si>
  <si>
    <t>10349284-10401219</t>
  </si>
  <si>
    <t>Elif</t>
  </si>
  <si>
    <t>Kizilhan</t>
  </si>
  <si>
    <t>EU-44777</t>
  </si>
  <si>
    <t>2026-06-29 07:17:09</t>
  </si>
  <si>
    <t>Theodor-Loos-Weg 38, Berlin, Berlin</t>
  </si>
  <si>
    <t>10346137-10398064</t>
  </si>
  <si>
    <t>Karwig</t>
  </si>
  <si>
    <t>EU-44719</t>
  </si>
  <si>
    <t>2026-06-29 07:20:26</t>
  </si>
  <si>
    <t>16 Ophaly Court, Dundrum, Dublin 14, Dublin</t>
  </si>
  <si>
    <t>D14 F202</t>
  </si>
  <si>
    <t>HAIRW-WAF-TIGPALM,PICNIC-DES-LG-MARGMAD,TEATWL-MD-RGRTTI</t>
  </si>
  <si>
    <t>10347577-10399504</t>
  </si>
  <si>
    <t>Van der Ent</t>
  </si>
  <si>
    <t>EU-44731</t>
  </si>
  <si>
    <t>2026-06-29 07:22:59</t>
  </si>
  <si>
    <t>Ridder van Dorplaan 30, Zuid-Beijerland, Zuid-Beijerland</t>
  </si>
  <si>
    <t>3284 AV</t>
  </si>
  <si>
    <t>BAGF-DES-MD-SPRCLUB,TOWLB-DES-XL-GRECSHR,TOWLB-DES-XL-SWTESC,TOWLB-DES-XL-TANTIDE,TOWLB-DES-XL-WYWH</t>
  </si>
  <si>
    <t>10349287-10401222</t>
  </si>
  <si>
    <t>Jesus</t>
  </si>
  <si>
    <t>EU-44779</t>
  </si>
  <si>
    <t>2026-06-29 07:24:31</t>
  </si>
  <si>
    <t>Allée des Grillons 2, Waterloo, Waterloo</t>
  </si>
  <si>
    <t>BAGF-DES-MD-WYWH,DOGTWL-LG-RHUBARK,PICNIC-DES-XL-STRIPLIFE,PONCHK-KID-SM-BUBDRM,PONCHK-KID-SM-TURTROP,TOWLB-DES-LG-TROPTRT,TOWLB-SUM-XL-OCEAN</t>
  </si>
  <si>
    <t>10349771-10401708</t>
  </si>
  <si>
    <t>Breitbach</t>
  </si>
  <si>
    <t>EU-44786</t>
  </si>
  <si>
    <t>2026-06-29 07:27:26</t>
  </si>
  <si>
    <t>Hörsterplatz 4, Münster, Münster</t>
  </si>
  <si>
    <t>HAIRW-SUE-PNKPARA,PICNIC-CAB-LG-NAVY,PICNIC-DES-LG-SPRCLUB,PICNIC-DES-LG-STRIPLIFE</t>
  </si>
  <si>
    <t>10349286-10401221</t>
  </si>
  <si>
    <t>Barthauer</t>
  </si>
  <si>
    <t>EU-44778</t>
  </si>
  <si>
    <t>2026-06-29 07:29:02</t>
  </si>
  <si>
    <t>Am Tannenbühl 8, Oberschwarzach, Oberschwarzach</t>
  </si>
  <si>
    <t>TOWLB-DOB-LG-CALM,TOWLB-SUM-LG-TUTFRU,TOWLB-SUM-XL-OCEAN</t>
  </si>
  <si>
    <t>10350002-10401939</t>
  </si>
  <si>
    <t>Vandenweghe</t>
  </si>
  <si>
    <t>EU-44780</t>
  </si>
  <si>
    <t>2026-06-29 07:30:32</t>
  </si>
  <si>
    <t>Tuitboslei, 9, HEMIKSEM, HEMIKSEM</t>
  </si>
  <si>
    <t>TOWLB-DES-LG-HOTTROP,TOWLB-DES-LG-WTRSUG,TOWLB-SUM-LG-MIAMI</t>
  </si>
  <si>
    <t>10350237-10402176</t>
  </si>
  <si>
    <t>Dreisow</t>
  </si>
  <si>
    <t>EU-44808</t>
  </si>
  <si>
    <t>2026-06-29 07:42:22</t>
  </si>
  <si>
    <t>Grieslweg 6, Maitenbeth, Maitenbeth</t>
  </si>
  <si>
    <t>TEATWL-MD-STRAWFZ,TOWLB-CAB-XL-BLUE-R,TOWLB-CAB-XL-PINK-R,TOWLB-DES-LG-MELLOW,TOWLB-DES-LG-WTRSUG</t>
  </si>
  <si>
    <t>10350235-10402174</t>
  </si>
  <si>
    <t>Bridie</t>
  </si>
  <si>
    <t>Moloney</t>
  </si>
  <si>
    <t>EU-44806</t>
  </si>
  <si>
    <t>2026-06-29 07:48:25</t>
  </si>
  <si>
    <t>Sallybrook House, Sarsfield Court, Glanmire, Cork</t>
  </si>
  <si>
    <t>T45 XD36</t>
  </si>
  <si>
    <t>PONCHK-KID-MD-GVCLUB,PONCHK-KID-MD-SKATER,TOWLB-KID-LG-GVCLUB,TOWLB-KID-LG-SKATER,TOWLB-SUM-LG-COLAGN,TOWLB-SUM-LG-MIAMI,TOWLB-SUM-LG-OCEAN,TOWLB-SUM-LG-TUTFRU</t>
  </si>
  <si>
    <t>10350437-10402377</t>
  </si>
  <si>
    <t>Sylvie</t>
  </si>
  <si>
    <t>Galerme</t>
  </si>
  <si>
    <t>EU-44809</t>
  </si>
  <si>
    <t>2026-06-29 07:50:23</t>
  </si>
  <si>
    <t>7 rue du moulin, Mignères, Mignères</t>
  </si>
  <si>
    <t>10348137-10400065</t>
  </si>
  <si>
    <t>Fish</t>
  </si>
  <si>
    <t>Bryan</t>
  </si>
  <si>
    <t>EU-44751</t>
  </si>
  <si>
    <t>2026-06-29 07:51:32</t>
  </si>
  <si>
    <t>Calle del Río Sil 9, Boadilla del Monte, Madrid</t>
  </si>
  <si>
    <t>COOL-CAB-NAVY-R,TOWLB-CAB-XL-BLUE-R</t>
  </si>
  <si>
    <t>10350233-10402172</t>
  </si>
  <si>
    <t>Desiree</t>
  </si>
  <si>
    <t>Vondracek</t>
  </si>
  <si>
    <t>EU-44804</t>
  </si>
  <si>
    <t>2026-06-29 07:51:47</t>
  </si>
  <si>
    <t>Ettenhausener Straße 25, Bonn, Bonn</t>
  </si>
  <si>
    <t>10350937-10402877</t>
  </si>
  <si>
    <t>Erna</t>
  </si>
  <si>
    <t>Spil</t>
  </si>
  <si>
    <t>EU-44814</t>
  </si>
  <si>
    <t>2026-06-29 07:52:58</t>
  </si>
  <si>
    <t>Iseoplantsoen 34, Amsterdam, Amsterdam</t>
  </si>
  <si>
    <t>1060 PW</t>
  </si>
  <si>
    <t>TOWLB-SUM-LG-COLAGN,TOWLB-SUM-XL-RAINB-R,TOWLF-ESS-XL-GREEN-R</t>
  </si>
  <si>
    <t>10348418-10400349</t>
  </si>
  <si>
    <t>Reuter</t>
  </si>
  <si>
    <t>EU-44752</t>
  </si>
  <si>
    <t>2026-06-29 07:54:15</t>
  </si>
  <si>
    <t>Über der Klause 12, München, München</t>
  </si>
  <si>
    <t>BAGDRY-XS-WYWH,TOWLB-DES-XL-GRECSHR,TOWLB-DES-XL-SWTESC,TOWLB-DES-XL-WYWH</t>
  </si>
  <si>
    <t>10348417-10400348</t>
  </si>
  <si>
    <t>Halstrick</t>
  </si>
  <si>
    <t>EU-44753</t>
  </si>
  <si>
    <t>2026-06-29 07:55:51</t>
  </si>
  <si>
    <t>Dorfstraße 46, Senden, Senden</t>
  </si>
  <si>
    <t>BAGF-SUM-MD-CSTCANDY,BAGF-SUM-MD-MIAMI,TOWLB-SUM-LG-CSTCANDY,TOWLB-SUM-LG-MIAMI</t>
  </si>
  <si>
    <t>10348136-10400064</t>
  </si>
  <si>
    <t>Schönbroich</t>
  </si>
  <si>
    <t>EU-44749</t>
  </si>
  <si>
    <t>2026-06-29 08:00:48</t>
  </si>
  <si>
    <t>Mühleninsel 3, 3, Grevenbroich, Grevenbroich</t>
  </si>
  <si>
    <t>10349538-10401474</t>
  </si>
  <si>
    <t>Büchele</t>
  </si>
  <si>
    <t>EU-44781</t>
  </si>
  <si>
    <t>2026-06-29 08:01:37</t>
  </si>
  <si>
    <t>Weiler Weg 10, Kürnbach, Kürnbach</t>
  </si>
  <si>
    <t>PONCHK-KID-MD-SKATER</t>
  </si>
  <si>
    <t>10348416-10400347</t>
  </si>
  <si>
    <t>Demmig</t>
  </si>
  <si>
    <t>EU-44754</t>
  </si>
  <si>
    <t>2026-06-29 08:02:27</t>
  </si>
  <si>
    <t>Zum Weidetrieb 19, Wilsdruff, Wilsdruff</t>
  </si>
  <si>
    <t>01723</t>
  </si>
  <si>
    <t>10350232-10402171</t>
  </si>
  <si>
    <t>EU-44805</t>
  </si>
  <si>
    <t>2026-06-29 08:03:10</t>
  </si>
  <si>
    <t>122 The Waterside, Charlotte Quay, Dublin, Dublin</t>
  </si>
  <si>
    <t>D04 P650</t>
  </si>
  <si>
    <t>10348719-10400652</t>
  </si>
  <si>
    <t>Varvara</t>
  </si>
  <si>
    <t>Kozlova</t>
  </si>
  <si>
    <t>EU-44761</t>
  </si>
  <si>
    <t>2026-06-29 08:03:33</t>
  </si>
  <si>
    <t>Raamstraat 41L, Hague, Hague</t>
  </si>
  <si>
    <t>2512 BZ</t>
  </si>
  <si>
    <t>10350007-10401944</t>
  </si>
  <si>
    <t>Kohl</t>
  </si>
  <si>
    <t>EU-44794</t>
  </si>
  <si>
    <t>2026-06-29 08:04:11</t>
  </si>
  <si>
    <t>Orffstraße 3, Ludwigshafen am Rhein, Ludwigshafen am Rhein</t>
  </si>
  <si>
    <t>10348718-10400651</t>
  </si>
  <si>
    <t>EU-44762</t>
  </si>
  <si>
    <t>2026-06-29 08:04:54</t>
  </si>
  <si>
    <t>Wolfgangstraße 17, Munich, Munich</t>
  </si>
  <si>
    <t>10350230-10402169</t>
  </si>
  <si>
    <t>EU-44801</t>
  </si>
  <si>
    <t>2026-06-29 08:05:35</t>
  </si>
  <si>
    <t>Friedensallee75, Hamburg, Hamburg</t>
  </si>
  <si>
    <t>10348133-10400061</t>
  </si>
  <si>
    <t>Renault</t>
  </si>
  <si>
    <t>EU-44747</t>
  </si>
  <si>
    <t>2026-06-29 08:05:50</t>
  </si>
  <si>
    <t>14 chemin des grands champs, Messery, Messery</t>
  </si>
  <si>
    <t>10349772-10401709</t>
  </si>
  <si>
    <t>Larsson</t>
  </si>
  <si>
    <t>EU-44785</t>
  </si>
  <si>
    <t>2026-06-29 08:06:35</t>
  </si>
  <si>
    <t>Kuskvägen 1, Boden, Boden</t>
  </si>
  <si>
    <t>961 74</t>
  </si>
  <si>
    <t>10348959-10400893</t>
  </si>
  <si>
    <t>Brienen</t>
  </si>
  <si>
    <t>EU-44767</t>
  </si>
  <si>
    <t>2026-06-29 08:06:43</t>
  </si>
  <si>
    <t>Papenvoortsesteeg 1, Rijkevoort-De Walsert, Rijkevoort-De Walsert</t>
  </si>
  <si>
    <t>5449 AB</t>
  </si>
  <si>
    <t>10350438-10402378</t>
  </si>
  <si>
    <t>Kürzdörfer</t>
  </si>
  <si>
    <t>304-5158935-4651561</t>
  </si>
  <si>
    <t>2026-06-29 08:07:19</t>
  </si>
  <si>
    <t>Campestr12, Nürnberg, Bayern</t>
  </si>
  <si>
    <t>10349283-10401218</t>
  </si>
  <si>
    <t>EU-44775</t>
  </si>
  <si>
    <t>2026-06-29 08:07:26</t>
  </si>
  <si>
    <t>Am Wasserturm 2, Hemau, Hemau</t>
  </si>
  <si>
    <t>10350439-10402379</t>
  </si>
  <si>
    <t>305-6268198-5603544</t>
  </si>
  <si>
    <t>2026-06-29 08:08:11</t>
  </si>
  <si>
    <t>An Der Bleiche 37, Aldenhoven, Aldenhoven</t>
  </si>
  <si>
    <t>10348976-10400910</t>
  </si>
  <si>
    <t>Vasiliki</t>
  </si>
  <si>
    <t>Pantzartzi</t>
  </si>
  <si>
    <t>EU-44771</t>
  </si>
  <si>
    <t>2026-06-29 08:08:12</t>
  </si>
  <si>
    <t>Bei der Friedenseiche 6, Hamburg, Hamburg</t>
  </si>
  <si>
    <t>10348953-10400887</t>
  </si>
  <si>
    <t>Yen</t>
  </si>
  <si>
    <t>EU-44764</t>
  </si>
  <si>
    <t>2026-06-29 08:09:03</t>
  </si>
  <si>
    <t>Place De Linde 5, Anderlecht, Anderlecht</t>
  </si>
  <si>
    <t>10350935-10402875</t>
  </si>
  <si>
    <t>Bömler</t>
  </si>
  <si>
    <t>303-4585852-0109140</t>
  </si>
  <si>
    <t>2026-06-29 08:09:09</t>
  </si>
  <si>
    <t>Schillerstraße 52, Münster, Münster</t>
  </si>
  <si>
    <t>10348128-10400056</t>
  </si>
  <si>
    <t>Hub</t>
  </si>
  <si>
    <t>EU-44743</t>
  </si>
  <si>
    <t>2026-06-29 08:09:44</t>
  </si>
  <si>
    <t>Hermann-Wember-Str 1, Lünen, Lünen</t>
  </si>
  <si>
    <t>10350941-10402881</t>
  </si>
  <si>
    <t>Leidig</t>
  </si>
  <si>
    <t>303-7812292-5762723</t>
  </si>
  <si>
    <t>2026-06-29 08:10:02</t>
  </si>
  <si>
    <t>Brüsseler Str 3, Rüsselsheim Am Main, Rüsselsheim Am Main</t>
  </si>
  <si>
    <t>10348126-10400054</t>
  </si>
  <si>
    <t>Baltrusaityte</t>
  </si>
  <si>
    <t>EU-44744</t>
  </si>
  <si>
    <t>2026-06-29 08:10:38</t>
  </si>
  <si>
    <t>40A Rue des Minières, Dudelange, Dudelange</t>
  </si>
  <si>
    <t>10350011-10401948</t>
  </si>
  <si>
    <t>Mäuser</t>
  </si>
  <si>
    <t>EU-44796</t>
  </si>
  <si>
    <t>2026-06-29 08:10:49</t>
  </si>
  <si>
    <t>Hans-Niermann-Ring 40, Rheine, Rheine</t>
  </si>
  <si>
    <t>10348420-10400351</t>
  </si>
  <si>
    <t>Schriefer</t>
  </si>
  <si>
    <t>EU-44757</t>
  </si>
  <si>
    <t>2026-06-29 08:11:18</t>
  </si>
  <si>
    <t>Lerchenweg 12, Münsing, Münsing</t>
  </si>
  <si>
    <t>10350008-10401945</t>
  </si>
  <si>
    <t>Halina</t>
  </si>
  <si>
    <t>Wawzyniak</t>
  </si>
  <si>
    <t>305-5164079-9137913</t>
  </si>
  <si>
    <t>2026-06-29 08:11:42</t>
  </si>
  <si>
    <t>Mollstraße 17, Berlin, Berlin</t>
  </si>
  <si>
    <t>10348715-10400648</t>
  </si>
  <si>
    <t>Krursel</t>
  </si>
  <si>
    <t>304-2261254-0293112</t>
  </si>
  <si>
    <t>2026-06-29 08:11:44</t>
  </si>
  <si>
    <t>Lindenstr 12 B, Olfen, Olfen</t>
  </si>
  <si>
    <t>10350238-10402177</t>
  </si>
  <si>
    <t>Domberger</t>
  </si>
  <si>
    <t>305-0850198-2625149</t>
  </si>
  <si>
    <t>2026-06-29 08:12:56</t>
  </si>
  <si>
    <t>Serlostr 20, Gladbeck, Gladbeck</t>
  </si>
  <si>
    <t>10353788-10405729</t>
  </si>
  <si>
    <t>Aya</t>
  </si>
  <si>
    <t>Weinert</t>
  </si>
  <si>
    <t>EU-44882</t>
  </si>
  <si>
    <t>2026-06-29 08:13:14</t>
  </si>
  <si>
    <t>Steinstr 43, München - Au-Haidhausen, München - Au-Haidhausen</t>
  </si>
  <si>
    <t>PICNIC-DES-LG-SORBET</t>
  </si>
  <si>
    <t>10348134-10400062</t>
  </si>
  <si>
    <t>Bühre</t>
  </si>
  <si>
    <t>304-4889953-3988357</t>
  </si>
  <si>
    <t>2026-06-29 08:13:23</t>
  </si>
  <si>
    <t>Katrin-Sello-Weg 30, Hannover, Niedersachsen</t>
  </si>
  <si>
    <t>10351529-10403469</t>
  </si>
  <si>
    <t>Skoric</t>
  </si>
  <si>
    <t>EU-44826</t>
  </si>
  <si>
    <t>2026-06-29 08:13:59</t>
  </si>
  <si>
    <t>Ulica grada Vukovara 222, ZAGREB, ZAGREB</t>
  </si>
  <si>
    <t>10348717-10400650</t>
  </si>
  <si>
    <t>303-3511856-6353914</t>
  </si>
  <si>
    <t>2026-06-29 08:14:06</t>
  </si>
  <si>
    <t>10350635-10402575</t>
  </si>
  <si>
    <t>Carlotta</t>
  </si>
  <si>
    <t>Cronrath</t>
  </si>
  <si>
    <t>EU-44810</t>
  </si>
  <si>
    <t>2026-06-29 08:14:25</t>
  </si>
  <si>
    <t>Neumarkt 5, Siegen, Siegen</t>
  </si>
  <si>
    <t>10353540-10405481</t>
  </si>
  <si>
    <t>Grünling</t>
  </si>
  <si>
    <t>EU-44877</t>
  </si>
  <si>
    <t>2026-06-29 08:14:52</t>
  </si>
  <si>
    <t>Elke Grünling, Kriegshaldenstr3, Rosengarten, Rosengarten</t>
  </si>
  <si>
    <t>10348720-10400653</t>
  </si>
  <si>
    <t>Dammann</t>
  </si>
  <si>
    <t>EU-44763</t>
  </si>
  <si>
    <t>2026-06-29 08:15:02</t>
  </si>
  <si>
    <t>Baekernweg 3, Reken, Reken</t>
  </si>
  <si>
    <t>10353024-10404964</t>
  </si>
  <si>
    <t>Koch</t>
  </si>
  <si>
    <t>304-0110571-1391505</t>
  </si>
  <si>
    <t>2026-06-29 08:15:31</t>
  </si>
  <si>
    <t>Lavendelweg 34, Eckental, Bayern</t>
  </si>
  <si>
    <t>10348964-10400898</t>
  </si>
  <si>
    <t>Steffen</t>
  </si>
  <si>
    <t>Dudda</t>
  </si>
  <si>
    <t>306-1598555-8073947</t>
  </si>
  <si>
    <t>2026-06-29 08:15:42</t>
  </si>
  <si>
    <t>Westring 7, Bergheim, Bergheim</t>
  </si>
  <si>
    <t>10348716-10400649</t>
  </si>
  <si>
    <t>303-8557298-6037137</t>
  </si>
  <si>
    <t>2026-06-29 08:16:13</t>
  </si>
  <si>
    <t>Wolfsbacher Weg 7, Simmerath, Simmerath</t>
  </si>
  <si>
    <t>10352476-10404416</t>
  </si>
  <si>
    <t>EU-44837</t>
  </si>
  <si>
    <t>2026-06-29 08:16:31</t>
  </si>
  <si>
    <t>Landgrafenstraße 63, Dortmund, Dortmund</t>
  </si>
  <si>
    <t>10350936-10402876</t>
  </si>
  <si>
    <t>Renzler</t>
  </si>
  <si>
    <t>EU-44815</t>
  </si>
  <si>
    <t>2026-06-29 08:16:34</t>
  </si>
  <si>
    <t>urbarer Str 23, St goar, St goar</t>
  </si>
  <si>
    <t>10349285-10401220</t>
  </si>
  <si>
    <t>Tewes</t>
  </si>
  <si>
    <t>303-6272510-0399531</t>
  </si>
  <si>
    <t>2026-06-29 08:16:59</t>
  </si>
  <si>
    <t>Friedrich Engels Straße 21, Bernburg (saale), Bernburg (saale)</t>
  </si>
  <si>
    <t>06406</t>
  </si>
  <si>
    <t>10352474-10404414</t>
  </si>
  <si>
    <t>Fricker</t>
  </si>
  <si>
    <t>EU-44838</t>
  </si>
  <si>
    <t>2026-06-29 08:17:12</t>
  </si>
  <si>
    <t>Kirchstrasse 10, Wehr, Wehr</t>
  </si>
  <si>
    <t>10350934-10402874</t>
  </si>
  <si>
    <t>Djordje</t>
  </si>
  <si>
    <t>Mancev</t>
  </si>
  <si>
    <t>EU-44812</t>
  </si>
  <si>
    <t>2026-06-29 08:17:28</t>
  </si>
  <si>
    <t>Prenzlauer Allee 220, Berlin, Berlin</t>
  </si>
  <si>
    <t>10352743-10404683</t>
  </si>
  <si>
    <t>Steinmüller</t>
  </si>
  <si>
    <t>EU-44857</t>
  </si>
  <si>
    <t>2026-06-29 08:17:48</t>
  </si>
  <si>
    <t>An der Lohe, 11D, Hamburg, Hamburg</t>
  </si>
  <si>
    <t>10349770-10401707</t>
  </si>
  <si>
    <t>Le Goff</t>
  </si>
  <si>
    <t>EU-44787</t>
  </si>
  <si>
    <t>2026-06-29 08:18:13</t>
  </si>
  <si>
    <t>16, rue des pres, Luxembourg, Luxembourg</t>
  </si>
  <si>
    <t>10353013-10404953</t>
  </si>
  <si>
    <t>Geis</t>
  </si>
  <si>
    <t>303-0868563-0856348</t>
  </si>
  <si>
    <t>2026-06-29 08:18:15</t>
  </si>
  <si>
    <t>Bäckerweg 14, Frankfurt Am Main, Frankfurt Am Main</t>
  </si>
  <si>
    <t>10350943-10402883</t>
  </si>
  <si>
    <t>Geil</t>
  </si>
  <si>
    <t>306-2544957-4433168</t>
  </si>
  <si>
    <t>2026-06-29 08:18:58</t>
  </si>
  <si>
    <t>Langhansstraße 24C, Berlin, Berlin</t>
  </si>
  <si>
    <t>10349769-10401706</t>
  </si>
  <si>
    <t>Triemer</t>
  </si>
  <si>
    <t>EU-44783</t>
  </si>
  <si>
    <t>2026-06-29 08:19:15</t>
  </si>
  <si>
    <t>Holzgasse 14, Ulm, Ulm</t>
  </si>
  <si>
    <t>10353295-10405236</t>
  </si>
  <si>
    <t>EU-44869</t>
  </si>
  <si>
    <t>2026-06-29 08:19:29</t>
  </si>
  <si>
    <t>Courtwood, Ballybrittas, Portlaoise, Laois</t>
  </si>
  <si>
    <t>R32 YP71</t>
  </si>
  <si>
    <t>10350005-10401942</t>
  </si>
  <si>
    <t>Molitor</t>
  </si>
  <si>
    <t>EU-44793</t>
  </si>
  <si>
    <t>2026-06-29 08:19:45</t>
  </si>
  <si>
    <t>4 Loetsch, Christnach, Christnach</t>
  </si>
  <si>
    <t>HAIRW-CAB-LTBLU-NB,HAIRW-SUE-MIAMI,TOWLB-CAB-XL-BLUE-R,TOWLB-CAB-XL-GREEN-R,TOWLB-DES-XL-TANTIDE,TOWLB-SUM-XL-OCEAN</t>
  </si>
  <si>
    <t>10350236-10402175</t>
  </si>
  <si>
    <t>Tortosa Tribaldos</t>
  </si>
  <si>
    <t>EU-44807</t>
  </si>
  <si>
    <t>2026-06-29 08:20:04</t>
  </si>
  <si>
    <t>Calle Mayor 6 Piso1B, Hondón de las Nieves, Alicante</t>
  </si>
  <si>
    <t>03688</t>
  </si>
  <si>
    <t>10353292-10405233</t>
  </si>
  <si>
    <t>Ramsauer</t>
  </si>
  <si>
    <t>306-4930684-8678757</t>
  </si>
  <si>
    <t>2026-06-29 08:20:09</t>
  </si>
  <si>
    <t>Bauhüttenstr 5, Nürnberg, Bayern</t>
  </si>
  <si>
    <t>10352479-10404419</t>
  </si>
  <si>
    <t>Rahn</t>
  </si>
  <si>
    <t>302-6373645-2688306</t>
  </si>
  <si>
    <t>2026-06-29 08:20:44</t>
  </si>
  <si>
    <t>Dr Goltz Str 10c, Fürstenwalde/spree, Fürstenwalde/spree</t>
  </si>
  <si>
    <t>10349778-10401715</t>
  </si>
  <si>
    <t>Alia</t>
  </si>
  <si>
    <t>Hanafi</t>
  </si>
  <si>
    <t>EU-44791</t>
  </si>
  <si>
    <t>2026-06-29 08:20:59</t>
  </si>
  <si>
    <t>4 An der 5 Gaarw, Steinsel, Steinsel</t>
  </si>
  <si>
    <t>10351888-10403828</t>
  </si>
  <si>
    <t>Russ</t>
  </si>
  <si>
    <t>302-3319936-3048312</t>
  </si>
  <si>
    <t>2026-06-29 08:21:15</t>
  </si>
  <si>
    <t>Hafeninsel 20, Offenbach Am Main, Offenbach Am Main</t>
  </si>
  <si>
    <t>10350010-10401947</t>
  </si>
  <si>
    <t>Monja</t>
  </si>
  <si>
    <t>Trybanski</t>
  </si>
  <si>
    <t>EU-44797</t>
  </si>
  <si>
    <t>Danziger Straße 11, Schmallenberg, Schmallenberg</t>
  </si>
  <si>
    <t>PONCHA-DES-LG-WTRSUG,PONCHK-SUM-MD-UNICN-NS</t>
  </si>
  <si>
    <t>10349775-10401712</t>
  </si>
  <si>
    <t>Fogolin-Lenninger</t>
  </si>
  <si>
    <t>EU-44788</t>
  </si>
  <si>
    <t>2026-06-29 08:21:52</t>
  </si>
  <si>
    <t>In den Peschen 157, Duisburg, Duisburg</t>
  </si>
  <si>
    <t>10352278-10404218</t>
  </si>
  <si>
    <t>Saake</t>
  </si>
  <si>
    <t>EU-44830</t>
  </si>
  <si>
    <t>Frettholzweg 2b, Porta Westfalica, Porta Westfalica</t>
  </si>
  <si>
    <t>10350634-10402574</t>
  </si>
  <si>
    <t>EU-44811</t>
  </si>
  <si>
    <t>2026-06-29 08:22:50</t>
  </si>
  <si>
    <t>10350229-10402168</t>
  </si>
  <si>
    <t>Lan Alber</t>
  </si>
  <si>
    <t>EU-44802</t>
  </si>
  <si>
    <t>2026-06-29 08:23:43</t>
  </si>
  <si>
    <t>Honsellstraße 8, Etage 3, Frankfurt am Main, Frankfurt am Main</t>
  </si>
  <si>
    <t>BAGF-DES-MD-WTRSUG,TOWLB-SUM-LG-COLAGN,TOWLB-SUM-LG-MIAMI,TOWLB-SUM-LG-OCEAN,TOWLB-SUM-LG-TUTFRU</t>
  </si>
  <si>
    <t>10350013-10401950</t>
  </si>
  <si>
    <t>EU-44799</t>
  </si>
  <si>
    <t>2026-06-29 08:25:12</t>
  </si>
  <si>
    <t>Baurnafea, Castlewarren, Kilkenny</t>
  </si>
  <si>
    <t>R95 Y6PN</t>
  </si>
  <si>
    <t>BAGF-CAB-MD-NAVY,TOWLB-CAB-XL-BLUE-R,TOWLB-DES-XL-GRECSHR</t>
  </si>
  <si>
    <t>10350231-10402170</t>
  </si>
  <si>
    <t>Champion</t>
  </si>
  <si>
    <t>EU-44800</t>
  </si>
  <si>
    <t>2026-06-29 08:26:24</t>
  </si>
  <si>
    <t>6 Square Raphaël, Merci De Sonner Au 19, Le Chesnay-Rocquencourt, Le Chesnay-Rocquencourt</t>
  </si>
  <si>
    <t>BAGF-DES-MD-WAVYBBY,TOWLB-CAB-XL-GREEN-R,TOWLB-DES-XL-GRECSHR</t>
  </si>
  <si>
    <t>10353293-10405234</t>
  </si>
  <si>
    <t>Heinz</t>
  </si>
  <si>
    <t>305-3595172-7014745</t>
  </si>
  <si>
    <t>2026-06-29 08:26:38</t>
  </si>
  <si>
    <t>Münchner Str 81c, Unterföhring, Unterföhring</t>
  </si>
  <si>
    <t>10353786-10405727</t>
  </si>
  <si>
    <t>Waltraud</t>
  </si>
  <si>
    <t>Stein</t>
  </si>
  <si>
    <t>EU-44880</t>
  </si>
  <si>
    <t>2026-06-29 08:27:13</t>
  </si>
  <si>
    <t>Schlehenbühl  3, Amstetten, Amstetten</t>
  </si>
  <si>
    <t>10351159-10403099</t>
  </si>
  <si>
    <t>Stoutjesdijk</t>
  </si>
  <si>
    <t>EU-44820</t>
  </si>
  <si>
    <t>2026-06-29 08:27:16</t>
  </si>
  <si>
    <t>Gijs van Veldhuizenlaan 130, Rotterdam, Rotterdam</t>
  </si>
  <si>
    <t>3034 KW</t>
  </si>
  <si>
    <t>TEATWL-MD-KTCHDISC,TOWLB-SUM-XL-OCEAN,TOWLB-SUM-XL-TUTFRU</t>
  </si>
  <si>
    <t>10353025-10404965</t>
  </si>
  <si>
    <t>Ballmert</t>
  </si>
  <si>
    <t>304-2985665-3744317</t>
  </si>
  <si>
    <t>2026-06-29 08:28:17</t>
  </si>
  <si>
    <t>Trottenstrasse 41, Zürich, Zürich</t>
  </si>
  <si>
    <t>10352281-10404221</t>
  </si>
  <si>
    <t>Malte Wachsmuth</t>
  </si>
  <si>
    <t>EU-44834</t>
  </si>
  <si>
    <t>2026-06-29 08:29:10</t>
  </si>
  <si>
    <t>Schrammsweg 4, Hamburg, Hamburg</t>
  </si>
  <si>
    <t>10350938-10402878</t>
  </si>
  <si>
    <t>Seckel</t>
  </si>
  <si>
    <t>EU-44816</t>
  </si>
  <si>
    <t>2026-06-29 08:29:47</t>
  </si>
  <si>
    <t>Kurpfalzring 9, Bammental, Bammental</t>
  </si>
  <si>
    <t>TOWLB-DES-XL-SUNSPL,TOWLB-DOB-LG-CALM,TOWLB-SUM-XL-UNICN-R,TOWLF-ESS-XL-LTPPL</t>
  </si>
  <si>
    <t>10352738-10404678</t>
  </si>
  <si>
    <t>Raffaela</t>
  </si>
  <si>
    <t>EU-44852</t>
  </si>
  <si>
    <t>2026-06-29 08:30:08</t>
  </si>
  <si>
    <t>Ohlmüllerstraße 9, München, München</t>
  </si>
  <si>
    <t>10354005-10405947</t>
  </si>
  <si>
    <t>Paulius</t>
  </si>
  <si>
    <t>colka</t>
  </si>
  <si>
    <t>EU-44886</t>
  </si>
  <si>
    <t>2026-06-29 08:30:55</t>
  </si>
  <si>
    <t>Zemynos g19, 46, Vilnius, Vilnius</t>
  </si>
  <si>
    <t>07158</t>
  </si>
  <si>
    <t>10352282-10404222</t>
  </si>
  <si>
    <t>Windisch</t>
  </si>
  <si>
    <t>EU-44833</t>
  </si>
  <si>
    <t>2026-06-29 08:31:05</t>
  </si>
  <si>
    <t>Am Lehmberg 35, Ratingen, Ratingen</t>
  </si>
  <si>
    <t>BAGF-CAB-MD-LTPNK,HAIRW-CAB-LTPNK-NB,TOWLB-CAB-MD-LTPNK</t>
  </si>
  <si>
    <t>10350942-10402882</t>
  </si>
  <si>
    <t>Foullidou</t>
  </si>
  <si>
    <t>EU-44819</t>
  </si>
  <si>
    <t>2026-06-29 08:33:37</t>
  </si>
  <si>
    <t>Potamos tou kampou 16, Nicosia, Nicosia</t>
  </si>
  <si>
    <t>10352471-10404411</t>
  </si>
  <si>
    <t>Haley</t>
  </si>
  <si>
    <t>EU-44835</t>
  </si>
  <si>
    <t>2026-06-29 08:34:22</t>
  </si>
  <si>
    <t>1 Chestnut Ave, Ard Na Sidhe, Clonmel, Tipperary</t>
  </si>
  <si>
    <t>E91 EH36</t>
  </si>
  <si>
    <t>TOWLB-CAB-LG-RED-R,TOWLB-CAB-XL-LTBLU-R,TOWLB-DES-LG-MELLOW,TOWLB-SUM-LG-RAINB-R,TOWLB-SUM-XL-OCEAN,TOWLB-SUM-XL-TUTFRU</t>
  </si>
  <si>
    <t>10352280-10404220</t>
  </si>
  <si>
    <t>Herdlitzka</t>
  </si>
  <si>
    <t>EU-44832</t>
  </si>
  <si>
    <t>2026-06-29 08:36:13</t>
  </si>
  <si>
    <t>Banaschstrasse 31, Brieselang, Brieselang</t>
  </si>
  <si>
    <t>TOWLB-CAB-XL-BLACK-R,TOWLB-DES-XL-GRECSHR,TOWLB-DOB-LG-CALM,TOWLB-SUM-XL-UNICN-R</t>
  </si>
  <si>
    <t>10351700-10403640</t>
  </si>
  <si>
    <t>Carey</t>
  </si>
  <si>
    <t>EU-44827</t>
  </si>
  <si>
    <t>2026-06-29 08:38:35</t>
  </si>
  <si>
    <t>Legnanara rd, Kentstown, Legnanara road, Meath</t>
  </si>
  <si>
    <t>C15 DK46</t>
  </si>
  <si>
    <t>BAGF-CAB-MD-LTPNK,TOWLB-CAB-LG-BLUE-R,TOWLB-CAB-LG-GREEN-R,TOWLB-CAB-LG-NAVY-R,TOWLB-CAB-LG-PINK-R</t>
  </si>
  <si>
    <t>10352484-10404424</t>
  </si>
  <si>
    <t>van Hamme</t>
  </si>
  <si>
    <t>EU-44844</t>
  </si>
  <si>
    <t>2026-06-29 08:41:53</t>
  </si>
  <si>
    <t>Wördenmoorweg 65, Hamburg, Hamburg</t>
  </si>
  <si>
    <t>PONCHA-DES-MD-IBZAGLW,PONCHA-DES-MD-WTRSUG,PONCHK-KID-MD-INTOWILD,PONCHK-KID-MD-SKATER</t>
  </si>
  <si>
    <t>10352733-10404673</t>
  </si>
  <si>
    <t>Hunter</t>
  </si>
  <si>
    <t>EU-44849</t>
  </si>
  <si>
    <t>2026-06-29 08:43:22</t>
  </si>
  <si>
    <t>11 The Crescent, Grange Manor, Lucan, Dublin</t>
  </si>
  <si>
    <t>K78 FR64</t>
  </si>
  <si>
    <t>TOWLB-CAB-LG-RED-R,TOWLB-DOB-LG-CALM,TOWLB-SUM-LG-COLAGN,TOWLB-SUM-LG-MIAMI</t>
  </si>
  <si>
    <t>10352472-10404412</t>
  </si>
  <si>
    <t>Georgiou</t>
  </si>
  <si>
    <t>EU-44839</t>
  </si>
  <si>
    <t>2026-06-29 08:44:44</t>
  </si>
  <si>
    <t>92 Democracy St, Ayios Dometios, Nicosia, Nicosia</t>
  </si>
  <si>
    <t>HAIRW-SUE-IBZAGLW,HAIRW-SUM-UNICN-NB,TOWLB-KID-LG-POWPOS,TOWLB-SUM-XL-UNICN-R</t>
  </si>
  <si>
    <t>10353784-10405725</t>
  </si>
  <si>
    <t>Léonard</t>
  </si>
  <si>
    <t>EU-44879</t>
  </si>
  <si>
    <t>2026-06-29 08:46:42</t>
  </si>
  <si>
    <t>Isabellaplein 3, Bus 22, Tervuren, Tervuren</t>
  </si>
  <si>
    <t>10353532-10405473</t>
  </si>
  <si>
    <t>Fallon</t>
  </si>
  <si>
    <t>EU-44871</t>
  </si>
  <si>
    <t>2026-06-29 08:47:52</t>
  </si>
  <si>
    <t>88, Haddington Rd, Dublin 4, Dublin</t>
  </si>
  <si>
    <t>D04 F5N8</t>
  </si>
  <si>
    <t>10353019-10404959</t>
  </si>
  <si>
    <t>Goder</t>
  </si>
  <si>
    <t>EU-44860</t>
  </si>
  <si>
    <t>2026-06-29 08:48:55</t>
  </si>
  <si>
    <t>8 Blv Raymond Pointcare, Villa 6, Allee Virgine 6, Garches, Garches</t>
  </si>
  <si>
    <t>10353785-10405726</t>
  </si>
  <si>
    <t>Bötz</t>
  </si>
  <si>
    <t>EU-44878</t>
  </si>
  <si>
    <t>2026-06-29 08:50:48</t>
  </si>
  <si>
    <t>Hartmannstraße 17, Bad Kissingen, Bad Kissingen</t>
  </si>
  <si>
    <t>TOWLB-DES-LG-SUNSPL,TOWLB-SUM-LG-UNICN-R</t>
  </si>
  <si>
    <t>10353021-10404961</t>
  </si>
  <si>
    <t>Annabelle</t>
  </si>
  <si>
    <t>Van Oene</t>
  </si>
  <si>
    <t>EU-44859</t>
  </si>
  <si>
    <t>2026-06-29 08:51:55</t>
  </si>
  <si>
    <t>Tapuitstraat 36, Schoonhoven, Schoonhoven</t>
  </si>
  <si>
    <t>2872 AB</t>
  </si>
  <si>
    <t>10352739-10404679</t>
  </si>
  <si>
    <t>Marjoes</t>
  </si>
  <si>
    <t>EU-44854</t>
  </si>
  <si>
    <t>2026-06-29 08:57:04</t>
  </si>
  <si>
    <t>Rozenlaantje 10, Laren, Laren</t>
  </si>
  <si>
    <t>1251 BW</t>
  </si>
  <si>
    <t>TOWLB-CAB-LG-LTBGE-R,TOWLB-CAB-XL-BLUE-R,TOWLB-CAB-XL-LTBLU-R,TOWLB-CAB-XL-PINK-R</t>
  </si>
  <si>
    <t>10352736-10404676</t>
  </si>
  <si>
    <t>Bradford</t>
  </si>
  <si>
    <t>EU-44851</t>
  </si>
  <si>
    <t>2026-06-29 08:59:37</t>
  </si>
  <si>
    <t>Herzogstraße 75, München, München</t>
  </si>
  <si>
    <t>BAGCOOL-MD-NAVY,BAGF-DES-MD-SPRCLUB,PICNIC-DES-XL-SPRCLUB</t>
  </si>
  <si>
    <t>10352737-10404677</t>
  </si>
  <si>
    <t>EU-44850</t>
  </si>
  <si>
    <t>2026-06-29 09:01:57</t>
  </si>
  <si>
    <t>Avenue des Camélias 36, Woluwe-Saint-Pierre, Woluwe-Saint-Pierre</t>
  </si>
  <si>
    <t>TOWLB-DES-XL-GRECSHR,TOWLB-SUM-LG-COLAGN,TOWLB-SUM-LG-MIAMI,TOWLB-SUM-LG-OCEAN,TOWLB-SUM-LG-TUTFRU</t>
  </si>
  <si>
    <t>10352742-10404682</t>
  </si>
  <si>
    <t>Ilka</t>
  </si>
  <si>
    <t>Steinkühler</t>
  </si>
  <si>
    <t>EU-44858</t>
  </si>
  <si>
    <t>2026-06-29 09:03:43</t>
  </si>
  <si>
    <t>Grete-Mosheim-Straße 15, München, München</t>
  </si>
  <si>
    <t>HAIRW-SUE-MIAMI,TOWLB-CAB-MD-LTBLU,TOWLB-CAB-XL-PINK-R</t>
  </si>
  <si>
    <t>10352741-10404681</t>
  </si>
  <si>
    <t>Marie-Hélène</t>
  </si>
  <si>
    <t>DOHOLLOU</t>
  </si>
  <si>
    <t>EU-44855</t>
  </si>
  <si>
    <t>2026-06-29 09:05:03</t>
  </si>
  <si>
    <t>1 CHEMIN DES CLOS CASTELS, Pléneuf-Val-André, Pléneuf-Val-André</t>
  </si>
  <si>
    <t>TOWLB-DES-LG-SWTESC,TOWLB-DES-LG-WYWH,TOWLB-SUM-LG-OCEAN</t>
  </si>
  <si>
    <t>10354899-10406841</t>
  </si>
  <si>
    <t>imke</t>
  </si>
  <si>
    <t>tillmann</t>
  </si>
  <si>
    <t>EU-44903</t>
  </si>
  <si>
    <t>2026-06-29 09:08:16</t>
  </si>
  <si>
    <t>Kaiserstr 251a, Krefeld, Krefeld</t>
  </si>
  <si>
    <t>10354007-10405949</t>
  </si>
  <si>
    <t>Kirchmann</t>
  </si>
  <si>
    <t>EU-44889</t>
  </si>
  <si>
    <t>2026-06-29 09:09:09</t>
  </si>
  <si>
    <t>Bahnhofplatz 8, Sonthofen, Sonthofen</t>
  </si>
  <si>
    <t>10355173-10407115</t>
  </si>
  <si>
    <t>Stommel</t>
  </si>
  <si>
    <t>304-0090403-1079525</t>
  </si>
  <si>
    <t>2026-06-29 09:10:18</t>
  </si>
  <si>
    <t>Am Steinweg 14a, Hennef (Sieg), Nordrhein-Westfalen</t>
  </si>
  <si>
    <t>10357008-10408952</t>
  </si>
  <si>
    <t>EU-44929</t>
  </si>
  <si>
    <t>2026-06-29 09:11:08</t>
  </si>
  <si>
    <t>10355512-10407454</t>
  </si>
  <si>
    <t>Veli</t>
  </si>
  <si>
    <t>Künbül</t>
  </si>
  <si>
    <t>303-5391586-1525932</t>
  </si>
  <si>
    <t>2026-06-29 09:12:18</t>
  </si>
  <si>
    <t>Breslauerstrasse 26, Balingen, Balingen</t>
  </si>
  <si>
    <t>10354010-10405952</t>
  </si>
  <si>
    <t>Miotke</t>
  </si>
  <si>
    <t>302-6066300-2343568</t>
  </si>
  <si>
    <t>2026-06-29 09:13:04</t>
  </si>
  <si>
    <t>Homburger Str 5, Friedberg (Hessen), Hessen</t>
  </si>
  <si>
    <t>10354462-10406404</t>
  </si>
  <si>
    <t>Arty</t>
  </si>
  <si>
    <t>Smolinska</t>
  </si>
  <si>
    <t>305-7946253-7369933</t>
  </si>
  <si>
    <t>2026-06-29 09:13:57</t>
  </si>
  <si>
    <t>Blümchensaal 48, Lüneburg, Lüneburg</t>
  </si>
  <si>
    <t>10356055-10407998</t>
  </si>
  <si>
    <t>Metz</t>
  </si>
  <si>
    <t>303-5277509-7705149</t>
  </si>
  <si>
    <t>2026-06-29 09:14:37</t>
  </si>
  <si>
    <t>Gemeindestraße 5, Poppenhausen, Poppenhausen</t>
  </si>
  <si>
    <t>10356061-10408004</t>
  </si>
  <si>
    <t>Kurtz</t>
  </si>
  <si>
    <t>302-9219592-9789946</t>
  </si>
  <si>
    <t>2026-06-29 09:15:11</t>
  </si>
  <si>
    <t>Clemens Cassel Straße 12, Celle, Celle</t>
  </si>
  <si>
    <t>10354014-10405956</t>
  </si>
  <si>
    <t>Gerard</t>
  </si>
  <si>
    <t>EU-44891</t>
  </si>
  <si>
    <t>2026-06-29 09:15:48</t>
  </si>
  <si>
    <t>63 Leinster Wood South, Carton House, Maynooth, Kildare</t>
  </si>
  <si>
    <t>W23 P5X0</t>
  </si>
  <si>
    <t>10357289-10409235</t>
  </si>
  <si>
    <t>van der Waal</t>
  </si>
  <si>
    <t>EU-44930</t>
  </si>
  <si>
    <t>2026-06-29 09:16:41</t>
  </si>
  <si>
    <t>Abraham Kuyperlaan 31a, Rotterdam, Rotterdam</t>
  </si>
  <si>
    <t>3038 PB</t>
  </si>
  <si>
    <t>10356059-10408002</t>
  </si>
  <si>
    <t>Lehner</t>
  </si>
  <si>
    <t>EU-44921</t>
  </si>
  <si>
    <t>2026-06-29 09:17:37</t>
  </si>
  <si>
    <t>Tristanstraße 13, Germering, Germering</t>
  </si>
  <si>
    <t>10354008-10405950</t>
  </si>
  <si>
    <t>Willems</t>
  </si>
  <si>
    <t>EU-44888</t>
  </si>
  <si>
    <t>2026-06-29 09:18:50</t>
  </si>
  <si>
    <t>29 Kondelstrasse, Kinderbeuern, Kinderbeuern</t>
  </si>
  <si>
    <t>10355517-10407459</t>
  </si>
  <si>
    <t>Nico</t>
  </si>
  <si>
    <t>Körber</t>
  </si>
  <si>
    <t>EU-44914</t>
  </si>
  <si>
    <t>2026-06-29 09:19:22</t>
  </si>
  <si>
    <t>Arminstraße 21, Düsseldorf, Düsseldorf</t>
  </si>
  <si>
    <t>TOWLB-DES-XL-KARMA</t>
  </si>
  <si>
    <t>10353291-10405232</t>
  </si>
  <si>
    <t>Biskup</t>
  </si>
  <si>
    <t>EU-44867</t>
  </si>
  <si>
    <t>2026-06-29 09:19:55</t>
  </si>
  <si>
    <t>Schorlemmers Kamp 29, Lünen, Lünen</t>
  </si>
  <si>
    <t>PICNIC-DES-XL-GRCSHR,TOWLB-DES-XL-GRECSHR</t>
  </si>
  <si>
    <t>10355174-10407116</t>
  </si>
  <si>
    <t>Monica</t>
  </si>
  <si>
    <t>McHugh</t>
  </si>
  <si>
    <t>EU-44910</t>
  </si>
  <si>
    <t>2026-06-29 09:20:16</t>
  </si>
  <si>
    <t>14 Vartry Ave, Raheen, Limerick</t>
  </si>
  <si>
    <t>V94 D1RR</t>
  </si>
  <si>
    <t>10357121-10409065</t>
  </si>
  <si>
    <t>Granicki</t>
  </si>
  <si>
    <t>028-5210084-9333147</t>
  </si>
  <si>
    <t>2026-06-29 09:21:00</t>
  </si>
  <si>
    <t>Welsestraße 29a, Bernau Bei Berlin, Bernau Bei Berlin</t>
  </si>
  <si>
    <t>10353026-10404966</t>
  </si>
  <si>
    <t>MAR</t>
  </si>
  <si>
    <t>VALDÉS MAESTRO</t>
  </si>
  <si>
    <t>EU-44866</t>
  </si>
  <si>
    <t>2026-06-29 09:21:41</t>
  </si>
  <si>
    <t>CL MAYOR, N 55 - 4 PISO, PALENCIA, Palencia</t>
  </si>
  <si>
    <t>BAGDRY-MD-WAVYBBY,PONCHA-DES-LG-WAVYBBY,TOWLB-DES-XL-GRECSHR</t>
  </si>
  <si>
    <t>10354698-10406640</t>
  </si>
  <si>
    <t>Aislinn</t>
  </si>
  <si>
    <t>EU-44901</t>
  </si>
  <si>
    <t>2026-06-29 09:21:58</t>
  </si>
  <si>
    <t>14 Springhill Court, Graiguecullen, Carlow</t>
  </si>
  <si>
    <t>R93 C9C7</t>
  </si>
  <si>
    <t>10356054-10407997</t>
  </si>
  <si>
    <t>Symes</t>
  </si>
  <si>
    <t>EU-44917</t>
  </si>
  <si>
    <t>2026-06-29 09:22:22</t>
  </si>
  <si>
    <t>Sydney House, 33 Sydney Ave, Blackrock, Dublin</t>
  </si>
  <si>
    <t>A94 F9T4</t>
  </si>
  <si>
    <t>PONCHA-SUM-LG-CSTCANDY,TOWLB-DES-XL-KARMA</t>
  </si>
  <si>
    <t>10352735-10404675</t>
  </si>
  <si>
    <t>Gabriel</t>
  </si>
  <si>
    <t>Alejandro Soltz</t>
  </si>
  <si>
    <t>EU-44847</t>
  </si>
  <si>
    <t>2026-06-29 09:22:36</t>
  </si>
  <si>
    <t>Schwedter Str 12a, Berlin, Berlin</t>
  </si>
  <si>
    <t>COOL-DES-MIDNMOV,TOWLB-CAB-XL-BLACK-R</t>
  </si>
  <si>
    <t>10352745-10404685</t>
  </si>
  <si>
    <t>Lidiya</t>
  </si>
  <si>
    <t>Hofmeister</t>
  </si>
  <si>
    <t>EU-44856</t>
  </si>
  <si>
    <t>2026-06-29 09:23:56</t>
  </si>
  <si>
    <t>Frankensteinstraße 5, Bürstadt, Bürstadt</t>
  </si>
  <si>
    <t>10354239-10406181</t>
  </si>
  <si>
    <t>Naegele</t>
  </si>
  <si>
    <t>306-6371107-9527554</t>
  </si>
  <si>
    <t>2026-06-29 09:24:46</t>
  </si>
  <si>
    <t>Daniel Naegele, Hörwarthstraße 35, München, München</t>
  </si>
  <si>
    <t>10354901-10406843</t>
  </si>
  <si>
    <t>Birger</t>
  </si>
  <si>
    <t>Huysmans</t>
  </si>
  <si>
    <t>EU-44906</t>
  </si>
  <si>
    <t>2026-06-29 09:25:07</t>
  </si>
  <si>
    <t>Academiestraat 27, Tienen, Tienen</t>
  </si>
  <si>
    <t>TOWLB-DES-XL-KARMA,TOWLB-DES-XL-TANTIDE</t>
  </si>
  <si>
    <t>10353015-10404955</t>
  </si>
  <si>
    <t>Cusack</t>
  </si>
  <si>
    <t>EU-44863</t>
  </si>
  <si>
    <t>2026-06-29 09:25:24</t>
  </si>
  <si>
    <t>140A The Maples, Clonskeagh, Dublin 14, Dublin, Dublin</t>
  </si>
  <si>
    <t>D14 XD88</t>
  </si>
  <si>
    <t>10354238-10406180</t>
  </si>
  <si>
    <t>EU-44896</t>
  </si>
  <si>
    <t>2026-06-29 09:25:54</t>
  </si>
  <si>
    <t>Packhofpassage 3, // 3 OG, links, Braunschweig, Braunschweig</t>
  </si>
  <si>
    <t>10353017-10404957</t>
  </si>
  <si>
    <t>Feldkamp</t>
  </si>
  <si>
    <t>EU-44862</t>
  </si>
  <si>
    <t>2026-06-29 09:26:05</t>
  </si>
  <si>
    <t>Weißsteiner Straße 9, Hamm, Hamm</t>
  </si>
  <si>
    <t>BAGF-SUM-MD-CSTCANDY,COOL-DES-MIDNMOV,TOWLB-SUM-XL-OCEAN</t>
  </si>
  <si>
    <t>10354699-10406641</t>
  </si>
  <si>
    <t>EU-44900</t>
  </si>
  <si>
    <t>2026-06-29 09:27:07</t>
  </si>
  <si>
    <t>7 Rockfield Green, Maynooth, Kildare</t>
  </si>
  <si>
    <t>W23 F6Y4</t>
  </si>
  <si>
    <t>BAGF-SUM-MD-CSTCANDY,TOWLB-SUM-LG-CSTCANDY</t>
  </si>
  <si>
    <t>10354240-10406182</t>
  </si>
  <si>
    <t>Motta</t>
  </si>
  <si>
    <t>EU-44898</t>
  </si>
  <si>
    <t>2026-06-29 09:27:23</t>
  </si>
  <si>
    <t>Alameda Alto da Barra, 17, 3 dto, Oeiras, Lisboa</t>
  </si>
  <si>
    <t>2780-180</t>
  </si>
  <si>
    <t>10354898-10406840</t>
  </si>
  <si>
    <t>Schaap</t>
  </si>
  <si>
    <t>EU-44904</t>
  </si>
  <si>
    <t>2026-06-29 09:28:15</t>
  </si>
  <si>
    <t>Blauwband 104, Waddinxveen, Waddinxveen</t>
  </si>
  <si>
    <t>2742 NS</t>
  </si>
  <si>
    <t>10356052-10407995</t>
  </si>
  <si>
    <t>Timm</t>
  </si>
  <si>
    <t>EU-44916</t>
  </si>
  <si>
    <t>2026-06-29 09:30:37</t>
  </si>
  <si>
    <t>Roseggerstr 7, Seefeld, Seefeld</t>
  </si>
  <si>
    <t>PICNIC-DES-LG-BRGTSIDE,TOWLB-SUM-LG-OCEAN</t>
  </si>
  <si>
    <t>10354013-10405955</t>
  </si>
  <si>
    <t>Falk</t>
  </si>
  <si>
    <t>Schlienz</t>
  </si>
  <si>
    <t>EU-44892</t>
  </si>
  <si>
    <t>2026-06-29 09:31:41</t>
  </si>
  <si>
    <t>Bergstr 3/1, Esslingen, Esslingen</t>
  </si>
  <si>
    <t>10354009-10405951</t>
  </si>
  <si>
    <t>Schutyser</t>
  </si>
  <si>
    <t>EU-44887</t>
  </si>
  <si>
    <t>2026-06-29 09:32:53</t>
  </si>
  <si>
    <t>Elisabethlaan 47/47, Elisabethlaan 47/47, Ninove, Ninove</t>
  </si>
  <si>
    <t>10354897-10406839</t>
  </si>
  <si>
    <t>Kylie</t>
  </si>
  <si>
    <t>de Vlieg</t>
  </si>
  <si>
    <t>EU-44899</t>
  </si>
  <si>
    <t>2026-06-29 09:34:27</t>
  </si>
  <si>
    <t>48 Priory Court, gorey, Wexford</t>
  </si>
  <si>
    <t>Y25 YV57</t>
  </si>
  <si>
    <t>BAGCOOL-MD-NAVY,PICNIC-DES-XL-BRGTSIDE</t>
  </si>
  <si>
    <t>10354011-10405953</t>
  </si>
  <si>
    <t>EU-44894</t>
  </si>
  <si>
    <t>2026-06-29 09:35:57</t>
  </si>
  <si>
    <t>59 Grange Village, Mullingar, Westmeath</t>
  </si>
  <si>
    <t>N91 EP9C</t>
  </si>
  <si>
    <t>TOWLB-CAB-LG-LTPPL-R,TOWLB-CAB-LG-NAVY-R</t>
  </si>
  <si>
    <t>10354700-10406642</t>
  </si>
  <si>
    <t>Zimpel</t>
  </si>
  <si>
    <t>028-0159178-0133933</t>
  </si>
  <si>
    <t>2026-06-29 09:36:34</t>
  </si>
  <si>
    <t>Waldheimer Str 21, Berlin, Berlin</t>
  </si>
  <si>
    <t>10352740-10404680</t>
  </si>
  <si>
    <t>Trlep</t>
  </si>
  <si>
    <t>EU-44853</t>
  </si>
  <si>
    <t>2026-06-29 09:40:42</t>
  </si>
  <si>
    <t>Premrlova ulica 2a, Izola, Izola</t>
  </si>
  <si>
    <t>TOWLB-DES-XL-TANTIDE,TOWLB-SUM-XL-TUTFRU</t>
  </si>
  <si>
    <t>10354697-10406639</t>
  </si>
  <si>
    <t>Brogard</t>
  </si>
  <si>
    <t>EU-44902</t>
  </si>
  <si>
    <t>2026-06-29 09:43:39</t>
  </si>
  <si>
    <t>Adulastraße 1, Trier, Trier</t>
  </si>
  <si>
    <t>TOWLH-CBH-SM-FOAM,TOWLH-CBH-SM-PINK</t>
  </si>
  <si>
    <t>10353028-10404968</t>
  </si>
  <si>
    <t>Tricia</t>
  </si>
  <si>
    <t>Milner</t>
  </si>
  <si>
    <t>EU-44864</t>
  </si>
  <si>
    <t>2026-06-29 09:45:45</t>
  </si>
  <si>
    <t>14 Woodview, Fionn Laoi, Baile An Chollaigh, Cork</t>
  </si>
  <si>
    <t>P31 ER85</t>
  </si>
  <si>
    <t>TOWLB-CAB-LG-NAVY-R,TOWLB-SUM-LG-TUTFRU</t>
  </si>
  <si>
    <t>10355171-10407113</t>
  </si>
  <si>
    <t>Estación de Servicio Arriaran</t>
  </si>
  <si>
    <t>Urtza</t>
  </si>
  <si>
    <t>Usabel</t>
  </si>
  <si>
    <t>EU-44908</t>
  </si>
  <si>
    <t>2026-06-29 09:46:09</t>
  </si>
  <si>
    <t>Larramendi Kalea 28, Tolosa, Guipúzcoa</t>
  </si>
  <si>
    <t>HAIRW-SUE-WYWH,TOWLB-DES-XL-SWTESC,TOWLB-DES-XL-WYWH,TOWLB-KID-LG-BUILDBCH,TOWLB-KID-LG-GVCLUB</t>
  </si>
  <si>
    <t>10353027-10404967</t>
  </si>
  <si>
    <t>EU-44865</t>
  </si>
  <si>
    <t>2026-06-29 09:46:54</t>
  </si>
  <si>
    <t>Hermelinweg 10, Norderstedt, Norderstedt</t>
  </si>
  <si>
    <t>10353023-10404963</t>
  </si>
  <si>
    <t>heidrun</t>
  </si>
  <si>
    <t>beckert</t>
  </si>
  <si>
    <t>305-9533588-7661953</t>
  </si>
  <si>
    <t>2026-06-29 09:47:34</t>
  </si>
  <si>
    <t>Lübecker Straße 49, Dresden, Dresden</t>
  </si>
  <si>
    <t>01157</t>
  </si>
  <si>
    <t>10354015-10405957</t>
  </si>
  <si>
    <t>MEDINA</t>
  </si>
  <si>
    <t>LUNGU</t>
  </si>
  <si>
    <t>EU-44895</t>
  </si>
  <si>
    <t>2026-06-29 09:53:25</t>
  </si>
  <si>
    <t>10 THE GREEN OLDGRANGE WOOD, MONASTEREVIN, Kildare</t>
  </si>
  <si>
    <t>W34 K273</t>
  </si>
  <si>
    <t>BAGCOOL-MD-NAVY,BAGF-SUM-MD-CSTCANDY,BALLAST-SUM-MIAMI,PICNIC-DES-XL-CANDSTR,TOWLB-CAB-XL-RED-R,TOWLB-KID-LG-CHECKOUT,TOWLB-KID-MD-TURTROP,TOWLB-SUM-XL-TUTFRU</t>
  </si>
  <si>
    <t>10354900-10406842</t>
  </si>
  <si>
    <t>Rode</t>
  </si>
  <si>
    <t>EU-44905</t>
  </si>
  <si>
    <t>2026-06-29 09:56:38</t>
  </si>
  <si>
    <t>Rue de Savoie 110, Saint-Gilles, Saint-Gilles</t>
  </si>
  <si>
    <t>BAGF-DES-MD-CHECKMT,TOWLB-CAB-LG-GREEN-R,TOWLB-DES-LG-TANTIDE</t>
  </si>
  <si>
    <t>10354241-10406183</t>
  </si>
  <si>
    <t>Karger</t>
  </si>
  <si>
    <t>EU-44897</t>
  </si>
  <si>
    <t>2026-06-29 09:58:03</t>
  </si>
  <si>
    <t>Wichernstraße 20 Zufahrt nur, über Wilhelmshöherstraße, 134-136, Frankfurt am Main, Frankfurt am Main</t>
  </si>
  <si>
    <t>10353530-10405471</t>
  </si>
  <si>
    <t>Baumann</t>
  </si>
  <si>
    <t>EU-44872</t>
  </si>
  <si>
    <t>2026-06-29 10:03:26</t>
  </si>
  <si>
    <t>Aachener Straße 405, Köln, Köln</t>
  </si>
  <si>
    <t>BAGF-DES-MD-WTRSUG,GIFT-BOX-BEAUTY-TIGPALM,PICNIC-DES-XL-APPLTRT,TOWLB-CAB-LG-NAVY-R,TOWLB-CAB-XL-GREEN-R,TOWLB-DES-XL-TANTIDE,TOWLB-KID-MD-JELLY</t>
  </si>
  <si>
    <t>10355516-10407458</t>
  </si>
  <si>
    <t>Sona</t>
  </si>
  <si>
    <t>Lukacova</t>
  </si>
  <si>
    <t>EU-44911</t>
  </si>
  <si>
    <t>2026-06-29 10:04:07</t>
  </si>
  <si>
    <t>Cintorinska 19, Stupava, Stupava</t>
  </si>
  <si>
    <t>900 31</t>
  </si>
  <si>
    <t>BAGF-CAB-MD-LTPNK,BAGF-SUM-MD-UNICN,TOWLB-CAB-MD-LTPNK,TOWLB-SUM-MD-UNICN</t>
  </si>
  <si>
    <t>10356051-10407994</t>
  </si>
  <si>
    <t>Miquel</t>
  </si>
  <si>
    <t>EU-44915</t>
  </si>
  <si>
    <t>2026-06-29 10:06:12</t>
  </si>
  <si>
    <t>153 Ave Charles de gaulle, Neuilly sur seine, Neuilly sur seine</t>
  </si>
  <si>
    <t>TOWLB-DES-XL-SWTESC,TOWLB-DES-XL-TANTIDE,TOWLB-DES-XL-WYWH</t>
  </si>
  <si>
    <t>10353539-10405480</t>
  </si>
  <si>
    <t>Schütte</t>
  </si>
  <si>
    <t>EU-44875</t>
  </si>
  <si>
    <t>2026-06-29 10:07:44</t>
  </si>
  <si>
    <t>Up de Brak 5, Seevetal, Seevetal</t>
  </si>
  <si>
    <t>BAGF-DES-MD-IBZAGLW,BALLAST-SUM-CSTCANDY,PICNIC-SUM-XL-UNICN,PONCHA-SUM-LG-CSTCANDY,PONCHK-SUM-SM-UNICN-NS</t>
  </si>
  <si>
    <t>10355172-10407114</t>
  </si>
  <si>
    <t>Mariella</t>
  </si>
  <si>
    <t>Mensching</t>
  </si>
  <si>
    <t>EU-44909</t>
  </si>
  <si>
    <t>2026-06-29 10:07:51</t>
  </si>
  <si>
    <t>Am Köther Pfad 26, Hessisch Oldendorf, Hessisch Oldendorf</t>
  </si>
  <si>
    <t>10355515-10407457</t>
  </si>
  <si>
    <t>isabel</t>
  </si>
  <si>
    <t>gentrup</t>
  </si>
  <si>
    <t>EU-44912</t>
  </si>
  <si>
    <t>2026-06-29 10:09:10</t>
  </si>
  <si>
    <t>birnstr 9, rheda-Wiedenbrück, rheda-Wiedenbrück</t>
  </si>
  <si>
    <t>10355513-10407455</t>
  </si>
  <si>
    <t>Ocallaghan</t>
  </si>
  <si>
    <t>EU-44913</t>
  </si>
  <si>
    <t>2026-06-29 10:10:34</t>
  </si>
  <si>
    <t>Clenagh, Newmarket on Fergus, Clare</t>
  </si>
  <si>
    <t>V95 K310</t>
  </si>
  <si>
    <t>10357968-10409893</t>
  </si>
  <si>
    <t>Keller</t>
  </si>
  <si>
    <t>EU-44943</t>
  </si>
  <si>
    <t>2026-06-29 10:15:59</t>
  </si>
  <si>
    <t>Sportplatzgasse 29b, Pirka, Pirka</t>
  </si>
  <si>
    <t>BALLAST-CAB-NAVY,BALLAST-SUM-MIAMI</t>
  </si>
  <si>
    <t>10353541-10405482</t>
  </si>
  <si>
    <t>27/03/1981</t>
  </si>
  <si>
    <t>Liesbeth</t>
  </si>
  <si>
    <t>Dewyn</t>
  </si>
  <si>
    <t>EU-44876</t>
  </si>
  <si>
    <t>2026-06-29 10:17:33</t>
  </si>
  <si>
    <t>Nieuwenhovestraat 10, Waregem, Waregem</t>
  </si>
  <si>
    <t>TOWLB-CAB-LG-NAVY-R,TOWLB-CAB-LG-ORANG-R,TOWLB-SUM-LG-CSTCANDY,TOWLB-SUM-LG-MIAMI</t>
  </si>
  <si>
    <t>10357964-10409889</t>
  </si>
  <si>
    <t>SOPHIE</t>
  </si>
  <si>
    <t>DERIJCKERE</t>
  </si>
  <si>
    <t>EU-44942</t>
  </si>
  <si>
    <t>2026-06-29 10:19:05</t>
  </si>
  <si>
    <t>Vijverlaan 57/4, Antwerpen, Antwerpen</t>
  </si>
  <si>
    <t>TOWLB-DES-LG-PSTPIER,TOWLB-DOB-LG-CALM</t>
  </si>
  <si>
    <t>10353294-10405235</t>
  </si>
  <si>
    <t>BUDON</t>
  </si>
  <si>
    <t>EU-44868</t>
  </si>
  <si>
    <t>2026-06-29 10:19:17</t>
  </si>
  <si>
    <t>3 Rue Ramuntcho, Appt 5, Mauléon-Licharre, Mauléon-Licharre</t>
  </si>
  <si>
    <t>BAGDRY-XS-WAVYBBY,TOWLB-DES-LG-GRECSHR,TOWLB-DES-LG-SUNSPL,TOWLB-DOB-LG-CALM,TOWLB-KID-MD-POWPOS,TOWLB-KID-MD-TURTROP</t>
  </si>
  <si>
    <t>10353535-10405476</t>
  </si>
  <si>
    <t>Kirby</t>
  </si>
  <si>
    <t>EU-44874</t>
  </si>
  <si>
    <t>2026-06-29 10:20:40</t>
  </si>
  <si>
    <t>8 Primrose Hill, Celbridge, Kildare</t>
  </si>
  <si>
    <t>W23 ED60</t>
  </si>
  <si>
    <t>DOGTWL-MD-SUNSPL,HAIRW-SUE-MIAMI,HAIRW-SUM-UNICN-NB</t>
  </si>
  <si>
    <t>10354004-10405946</t>
  </si>
  <si>
    <t>EU-44885</t>
  </si>
  <si>
    <t>2026-06-29 10:23:53</t>
  </si>
  <si>
    <t>10356065-10408008</t>
  </si>
  <si>
    <t>ORiordan</t>
  </si>
  <si>
    <t>EU-44927</t>
  </si>
  <si>
    <t>2026-06-29 10:25:21</t>
  </si>
  <si>
    <t>22 Belmont Gardens, Donnybrook, Dublin, Dublin</t>
  </si>
  <si>
    <t>D04 N2H7</t>
  </si>
  <si>
    <t>TOWLB-CAB-XL-GREEN-R,TOWLB-DES-XL-IBZAGLW,TOWLB-DES-XL-WYWH,TOWLB-SUM-XL-OCEAN</t>
  </si>
  <si>
    <t>10353789-10405730</t>
  </si>
  <si>
    <t>LAËTITIA</t>
  </si>
  <si>
    <t>LAPAQUE</t>
  </si>
  <si>
    <t>EU-44884</t>
  </si>
  <si>
    <t>2026-06-29 10:26:14</t>
  </si>
  <si>
    <t>14A rue Principale, La Maxe, La Maxe</t>
  </si>
  <si>
    <t>PONCHK-KID-MD-GVCLUB,PONCHK-KID-SM-GVCLUB,TOWLB-DES-LG-TROPTRT,TOWLB-DES-XL-WYWH,TOWLB-KID-LG-GVCLUB</t>
  </si>
  <si>
    <t>10356053-10407996</t>
  </si>
  <si>
    <t>Eckhardt</t>
  </si>
  <si>
    <t>EU-44918</t>
  </si>
  <si>
    <t>2026-06-29 10:53:00</t>
  </si>
  <si>
    <t>Auf der Kuhr 16d, Frankfurt, Frankfurt</t>
  </si>
  <si>
    <t>BAGBCH-MD-NAVY,TOWLB-CAB-LG-NAVY-R</t>
  </si>
  <si>
    <t>10353787-10405728</t>
  </si>
  <si>
    <t>Patte</t>
  </si>
  <si>
    <t>EU-44881</t>
  </si>
  <si>
    <t>2026-06-29 10:53:11</t>
  </si>
  <si>
    <t>Victoire Daubié, 37 Rue Julie Daubié, Nancy, Nancy</t>
  </si>
  <si>
    <t>PONCHA-SUM-LG-UNICN-NS,PONCHK-SUM-MD-CSTCANDY,PONCHK-SUM-MD-UNICN-NS</t>
  </si>
  <si>
    <t>10354012-10405954</t>
  </si>
  <si>
    <t>Despoina</t>
  </si>
  <si>
    <t>EU-44893</t>
  </si>
  <si>
    <t>2026-06-29 10:54:51</t>
  </si>
  <si>
    <t>Teukrou 19 A, Deryneia, Deryneia</t>
  </si>
  <si>
    <t>TOWLB-DES-XL-GRECSHR,TOWLB-SUM-XL-RAINB-R,TOWLB-SUM-XL-TUTFRU</t>
  </si>
  <si>
    <t>10357553-10409508</t>
  </si>
  <si>
    <t>Zink</t>
  </si>
  <si>
    <t>EU-44931</t>
  </si>
  <si>
    <t>2026-06-29 10:55:08</t>
  </si>
  <si>
    <t>Teisendorfer Str 15, Piding, Piding</t>
  </si>
  <si>
    <t>TOWLB-CAB-MD-LTPNK,TOWLB-DES-XL-GRECSHR,TOWLB-DES-XL-TANTIDE</t>
  </si>
  <si>
    <t>10356056-10407999</t>
  </si>
  <si>
    <t>Dedonder</t>
  </si>
  <si>
    <t>EU-44920</t>
  </si>
  <si>
    <t>2026-06-29 10:56:17</t>
  </si>
  <si>
    <t>Remparden 37/0, Oudenaarde, Oudenaarde</t>
  </si>
  <si>
    <t>TOWLB-DES-LG-TROPTRT,TOWLB-DES-XL-KARMA,TOWLB-DOB-LG-CALM</t>
  </si>
  <si>
    <t>10354006-10405948</t>
  </si>
  <si>
    <t>Hensgens</t>
  </si>
  <si>
    <t>EU-44890</t>
  </si>
  <si>
    <t>2026-06-29 10:56:32</t>
  </si>
  <si>
    <t>Auf die Höff 2, Selfkant, Selfkant</t>
  </si>
  <si>
    <t>BAGF-DES-MD-CHECKMT,BAGF-DES-MD-IBZAGLW,BAGF-DES-MD-WTRSUG,BAGF-SUM-MD-COLAGN,BAGF-SUM-MD-CSTCANDY</t>
  </si>
  <si>
    <t>10357962-10409887</t>
  </si>
  <si>
    <t>Dieter</t>
  </si>
  <si>
    <t>Reich</t>
  </si>
  <si>
    <t>EU-44941</t>
  </si>
  <si>
    <t>2026-06-29 10:57:23</t>
  </si>
  <si>
    <t>Eichenstraße 117, Viersen, Viersen</t>
  </si>
  <si>
    <t>DOGTWL-MD-SUNSPL,HAIRW-SUE-OCETRES,HAIRW-SUE-PSTPIER</t>
  </si>
  <si>
    <t>10356063-10408006</t>
  </si>
  <si>
    <t>Gioia</t>
  </si>
  <si>
    <t>Zitzlaff</t>
  </si>
  <si>
    <t>EU-44924</t>
  </si>
  <si>
    <t>2026-06-29 10:58:51</t>
  </si>
  <si>
    <t>Cadixstraat 50, Antwerpen, Antwerpen</t>
  </si>
  <si>
    <t>10356064-10408007</t>
  </si>
  <si>
    <t>Nicolai</t>
  </si>
  <si>
    <t>Prost</t>
  </si>
  <si>
    <t>EU-44926</t>
  </si>
  <si>
    <t>2026-06-29 10:59:56</t>
  </si>
  <si>
    <t>Euskirchener Str 12, Köln, Köln</t>
  </si>
  <si>
    <t>10356058-10408001</t>
  </si>
  <si>
    <t>Hungsberg</t>
  </si>
  <si>
    <t>EU-44922</t>
  </si>
  <si>
    <t>2026-06-29 11:01:43</t>
  </si>
  <si>
    <t>Fichtering 6, Büttelborn, Büttelborn</t>
  </si>
  <si>
    <t>BALLAST-SUM-MIAMI,TOWLB-DES-XL-TANTIDE</t>
  </si>
  <si>
    <t>10357549-10409504</t>
  </si>
  <si>
    <t>Suttorp</t>
  </si>
  <si>
    <t>EU-44934</t>
  </si>
  <si>
    <t>2026-06-29 11:02:44</t>
  </si>
  <si>
    <t>Parelsnoer 40, Rhoon, Rhoon</t>
  </si>
  <si>
    <t>3162 VK</t>
  </si>
  <si>
    <t>10357557-10409512</t>
  </si>
  <si>
    <t>Fauck</t>
  </si>
  <si>
    <t>EU-44940</t>
  </si>
  <si>
    <t>2026-06-29 11:03:43</t>
  </si>
  <si>
    <t>Industriestraße 13, Petersaurach, Petersaurach</t>
  </si>
  <si>
    <t>TOWLB-CAB-LG-LTBGE-R,TOWLB-CAB-LG-ORANG-R</t>
  </si>
  <si>
    <t>10356057-10408000</t>
  </si>
  <si>
    <t>Alexey</t>
  </si>
  <si>
    <t>Blokhin</t>
  </si>
  <si>
    <t>EU-44919</t>
  </si>
  <si>
    <t>2026-06-29 11:04:37</t>
  </si>
  <si>
    <t>Pobrezni 677/77, Prague, Prague</t>
  </si>
  <si>
    <t>186 00</t>
  </si>
  <si>
    <t>TOWLB-CAB-LG-BLUE-R</t>
  </si>
  <si>
    <t>10357554-10409509</t>
  </si>
  <si>
    <t>Hamilton</t>
  </si>
  <si>
    <t>EU-44935</t>
  </si>
  <si>
    <t>2026-06-29 11:06:19</t>
  </si>
  <si>
    <t>20 Bayside Crescent, Sutton, Dublin</t>
  </si>
  <si>
    <t>D13 DX96</t>
  </si>
  <si>
    <t>10356060-10408003</t>
  </si>
  <si>
    <t>Elles</t>
  </si>
  <si>
    <t>Steinvoorte</t>
  </si>
  <si>
    <t>EU-44923</t>
  </si>
  <si>
    <t>2026-06-29 11:06:26</t>
  </si>
  <si>
    <t>Linnaeusstraat 334, Den Haag, Den Haag</t>
  </si>
  <si>
    <t>2522 HC</t>
  </si>
  <si>
    <t>10357558-10409513</t>
  </si>
  <si>
    <t>Sehlbach</t>
  </si>
  <si>
    <t>EU-44939</t>
  </si>
  <si>
    <t>2026-06-29 11:07:22</t>
  </si>
  <si>
    <t>Alteburger Str 284a, Köln, Köln</t>
  </si>
  <si>
    <t>10357559-10409514</t>
  </si>
  <si>
    <t>Jansen</t>
  </si>
  <si>
    <t>EU-44938</t>
  </si>
  <si>
    <t>2026-06-29 11:08:11</t>
  </si>
  <si>
    <t>Achter De Blauwe Hand 13, Breda, Breda</t>
  </si>
  <si>
    <t>4811 VD</t>
  </si>
  <si>
    <t>10357560-10409515</t>
  </si>
  <si>
    <t>Edgar</t>
  </si>
  <si>
    <t>Stucke</t>
  </si>
  <si>
    <t>304-5842578-8912312</t>
  </si>
  <si>
    <t>2026-06-29 11:08:18</t>
  </si>
  <si>
    <t>Mühlbecker Weg 10, Muldestausee, Muldestausee</t>
  </si>
  <si>
    <t>06774</t>
  </si>
  <si>
    <t>HAIRW-SUE-PNKPARA,HAIRW-SUE-SQZDAY</t>
  </si>
  <si>
    <t>10357556-10409511</t>
  </si>
  <si>
    <t>Tarazona</t>
  </si>
  <si>
    <t>EU-44937</t>
  </si>
  <si>
    <t>2026-06-29 11:08:51</t>
  </si>
  <si>
    <t>Markt 10 veghel, 4, Veghel, Veghel</t>
  </si>
  <si>
    <t>5461 JJ</t>
  </si>
  <si>
    <t>10357552-10409507</t>
  </si>
  <si>
    <t>Reinfried</t>
  </si>
  <si>
    <t>Ida</t>
  </si>
  <si>
    <t>EU-44932</t>
  </si>
  <si>
    <t>2026-06-29 11:09:31</t>
  </si>
  <si>
    <t>Am Seefeld, 7, ELSDORF, ELSDORF</t>
  </si>
  <si>
    <t>10357551-10409506</t>
  </si>
  <si>
    <t>Kadovic</t>
  </si>
  <si>
    <t>EU-44933</t>
  </si>
  <si>
    <t>2026-06-29 11:10:10</t>
  </si>
  <si>
    <t>Wendloher Weg 3, Hamburg, Hamburg</t>
  </si>
  <si>
    <t>10357966-10409891</t>
  </si>
  <si>
    <t>Kepper</t>
  </si>
  <si>
    <t>306-8038091-6442720</t>
  </si>
  <si>
    <t>2026-06-29 11:11:09</t>
  </si>
  <si>
    <t>Gilborn 14a, Wedemark, Wedemark</t>
  </si>
  <si>
    <t>10357555-10409510</t>
  </si>
  <si>
    <t>Xantal</t>
  </si>
  <si>
    <t>Martini</t>
  </si>
  <si>
    <t>EU-44936</t>
  </si>
  <si>
    <t>2026-06-29 11:43:34</t>
  </si>
  <si>
    <t>De Haarhof 18, Hoevelaken, Hoevelaken</t>
  </si>
  <si>
    <t>3871 SE</t>
  </si>
  <si>
    <t>COOL-CAB-NAVY-R,TOWLB-CAB-XL-BLUE-R,TOWLB-SUM-XL-TUTFRU,TOWLH-CLB-XL-PEPPNCH</t>
  </si>
  <si>
    <t>10348419-10400350</t>
  </si>
  <si>
    <t>Scheible</t>
  </si>
  <si>
    <t>EU-44755</t>
  </si>
  <si>
    <t>2026-06-29 11:50:02</t>
  </si>
  <si>
    <t>Harzbergstrasse 56, Grossbottwar, Grossbottwar</t>
  </si>
  <si>
    <t>10348421-10400352</t>
  </si>
  <si>
    <t>EU-44759</t>
  </si>
  <si>
    <t>2026-06-29 11:51:50</t>
  </si>
  <si>
    <t>53 Bremore DRIVE, Balbriggan, Dublin</t>
  </si>
  <si>
    <t>K32 DW60</t>
  </si>
  <si>
    <t>PONCHA-CAB-XL-NAVY,PONCHA-SUM-XL-UNICN,PONCHK-CAB-MD-BLUE-NS</t>
  </si>
  <si>
    <t>10348961-10400895</t>
  </si>
  <si>
    <t>Bobeva</t>
  </si>
  <si>
    <t>EU-44766</t>
  </si>
  <si>
    <t>2026-06-29 11:53:25</t>
  </si>
  <si>
    <t>Guldensporenlaan, 57, Kessel-lo, Kessel-lo</t>
  </si>
  <si>
    <t>BAGF-SUM-MD-CSTCANDY,TOWLB-SUM-LG-COLAGN,TOWLB-SUM-LG-CSTCANDY</t>
  </si>
  <si>
    <t>10348969-10400903</t>
  </si>
  <si>
    <t>EU-44769</t>
  </si>
  <si>
    <t>2026-06-29 11:55:58</t>
  </si>
  <si>
    <t>Eduardstraße 17b, Hamburg, Hamburg</t>
  </si>
  <si>
    <t>HAIRW-SUE-SQZDAY,TOWLB-COLLAB-XL-UNO,TOWLB-DES-XL-WYWH,TOWLB-DOB-LG-CALM,TOWLB-KID-MD-GVCLUB</t>
  </si>
  <si>
    <t>10348422-10400353</t>
  </si>
  <si>
    <t>Kern</t>
  </si>
  <si>
    <t>EU-44758</t>
  </si>
  <si>
    <t>2026-06-29 11:57:39</t>
  </si>
  <si>
    <t>Malvenweg 10, Wolfsburg, Wolfsburg</t>
  </si>
  <si>
    <t>10344073-10395982</t>
  </si>
  <si>
    <t>boutique cast'in</t>
  </si>
  <si>
    <t>boutique</t>
  </si>
  <si>
    <t>cast'in</t>
  </si>
  <si>
    <t>EUWS-3228</t>
  </si>
  <si>
    <t>2026-06-30 04:55:55</t>
  </si>
  <si>
    <t>10 bis Blvd duponchel, saint cast le guildo, saint cast le guildo</t>
  </si>
  <si>
    <t>BAGDRY-XS-MIAMI,BAGDRY-XS-NAVY,GIFT-BOX-BEAUTY-CHRYBMB,PONCHA-CAB-MD-NAVY-NS,POS-DIS-LG-FULL-TOWLB-EN-24,TOWLB-DES-XL-SWTESC,TOWLB-SUM-XL-UNICN-R,TOWLH-CLB-XL-CHRYBMB</t>
  </si>
  <si>
    <t>10340038-10391930</t>
  </si>
  <si>
    <t>ArteBrands Sp. z o.o.</t>
  </si>
  <si>
    <t>Wojciech</t>
  </si>
  <si>
    <t>Kopciewski</t>
  </si>
  <si>
    <t>ASP11670-6</t>
  </si>
  <si>
    <t>2026-06-30 05:07:20</t>
  </si>
  <si>
    <t>Sarmacka 20, Warszawa, Warszawa</t>
  </si>
  <si>
    <t>02-972</t>
  </si>
  <si>
    <t>POSTAGE-ONLY-SKU,TOWLB-CAB-LG-NAVY-R,TOWLB-CAB-XL-BLACK-R,TOWLB-CAB-XL-KHAKI-R,TOWLB-DES-XL-BLUSKY</t>
  </si>
  <si>
    <t>Dock and Bay,POSTAGE-ONLY</t>
  </si>
  <si>
    <t>10324883-10376617</t>
  </si>
  <si>
    <t>ASP11670-5</t>
  </si>
  <si>
    <t>2026-06-30 05:10:30</t>
  </si>
  <si>
    <t xml:space="preserve">16211 (x6), ownpack1 (x3), OWNPACK (x3) A-SCRUNCH-PAPER (x1) A-KRAFT-PAPER-TAPE (x2) </t>
  </si>
  <si>
    <t>PICNIC-CAB-LG-NAVY,PICNIC-CAB-XL-NAVY,TOWLB-CAB-LG-BLACK-R,TOWLB-CAB-LG-GREEN-R,TOWLB-CAB-LG-KHAKI-R,TOWLB-CAB-LG-LTGRY-R,TOWLB-CAB-LG-LTPNK-R,TOWLB-CAB-LG-LTPPL-R,TOWLB-CAB-LG-ORANG-R,TOWLB-CAB-LG-RED-R,TOWLB-CAB-XL-BLUE-R,TOWLB-CAB-XL-GREEN-R,TOWLB-CAB-XL-LTPPL-R,TOWLB-CAB-XL-NAVY-R,TOWLB-CAB-XL-ORANG-R,TOWLB-CAB-XL-RED-R,TOWLB-SUM-LG-UNICN-R,TOWLB-SUM-XL-UNICN-R</t>
  </si>
  <si>
    <t>10342136-10394042</t>
  </si>
  <si>
    <t>EUWS-3224</t>
  </si>
  <si>
    <t>2026-06-30 05:28:42</t>
  </si>
  <si>
    <t>10359290-10411228</t>
  </si>
  <si>
    <t>EU-44961</t>
  </si>
  <si>
    <t>2026-06-30 05:31:49</t>
  </si>
  <si>
    <t>Sülldorfer Landstraße 176F, Hamburg, Hamburg</t>
  </si>
  <si>
    <t>10359938-10411893</t>
  </si>
  <si>
    <t>EU-44974</t>
  </si>
  <si>
    <t>2026-06-30 05:33:15</t>
  </si>
  <si>
    <t>Enfield Rd, Meath, Meath, Meath</t>
  </si>
  <si>
    <t>C15 HH57</t>
  </si>
  <si>
    <t>10360966-10412930</t>
  </si>
  <si>
    <t>O Kennedy</t>
  </si>
  <si>
    <t>EU-44984</t>
  </si>
  <si>
    <t>2026-06-30 05:34:24</t>
  </si>
  <si>
    <t>19 The Oaks, Riverbank, Annacotty, Limerick</t>
  </si>
  <si>
    <t>V94 X8C1</t>
  </si>
  <si>
    <t>10360964-10412928</t>
  </si>
  <si>
    <t>Tahara</t>
  </si>
  <si>
    <t>EU-44983</t>
  </si>
  <si>
    <t>2026-06-30 05:35:41</t>
  </si>
  <si>
    <t>PASSEIG DE LA MARINA 238, APTO 1-2, CASTELLDEFELS, Barcelona</t>
  </si>
  <si>
    <t>08860</t>
  </si>
  <si>
    <t>10344412-10396321</t>
  </si>
  <si>
    <t>POZorg 180885618213901-000</t>
  </si>
  <si>
    <t>Elizabeth</t>
  </si>
  <si>
    <t>Olatunde</t>
  </si>
  <si>
    <t>028-1841570-4383533</t>
  </si>
  <si>
    <t>2026-06-30 05:36:35</t>
  </si>
  <si>
    <t>Ookmeerweg 238 A, Amsterdam, Amsterdam</t>
  </si>
  <si>
    <t>1069MP</t>
  </si>
  <si>
    <t>10358993-10410928</t>
  </si>
  <si>
    <t>Linsenmann</t>
  </si>
  <si>
    <t>EU-44956</t>
  </si>
  <si>
    <t>2026-06-30 05:37:24</t>
  </si>
  <si>
    <t>Lessingstraße 2, Isernhagen, Isernhagen</t>
  </si>
  <si>
    <t>10358547-10410480</t>
  </si>
  <si>
    <t>Kienzle</t>
  </si>
  <si>
    <t>EU-44947</t>
  </si>
  <si>
    <t>2026-06-30 05:38:20</t>
  </si>
  <si>
    <t>Kehlweg 16, Westerndorf, Rosenheim, Rosenheim</t>
  </si>
  <si>
    <t>10326862-10378613</t>
  </si>
  <si>
    <t>Haak</t>
  </si>
  <si>
    <t>EU-44453</t>
  </si>
  <si>
    <t>2026-06-30 05:39:13</t>
  </si>
  <si>
    <t>Jakobstraße 107, Aachen, Aachen</t>
  </si>
  <si>
    <t>PONCHA-SUM-LG-LAZRIV</t>
  </si>
  <si>
    <t>10358997-10410932</t>
  </si>
  <si>
    <t>Rummenigge</t>
  </si>
  <si>
    <t>305-0944721-8350728</t>
  </si>
  <si>
    <t>2026-06-30 05:39:58</t>
  </si>
  <si>
    <t>Eibseestraße 8, Grünwald, Grünwald</t>
  </si>
  <si>
    <t>10358555-10410488</t>
  </si>
  <si>
    <t>Sloan</t>
  </si>
  <si>
    <t>EU-44950</t>
  </si>
  <si>
    <t>2026-06-30 05:40:51</t>
  </si>
  <si>
    <t>6 Glendarragh, Grantstown Village, Waterford, Waterford</t>
  </si>
  <si>
    <t>X91 E3P4</t>
  </si>
  <si>
    <t>PONCHA-DES-MD-IBZAGLW</t>
  </si>
  <si>
    <t>10359289-10411227</t>
  </si>
  <si>
    <t>Bühler</t>
  </si>
  <si>
    <t>EU-44960</t>
  </si>
  <si>
    <t>2026-06-30 05:41:27</t>
  </si>
  <si>
    <t>Kanisfluhweg 6, Kressbronn am Bodensee, Kressbronn am Bodensee</t>
  </si>
  <si>
    <t>10361359-10413323</t>
  </si>
  <si>
    <t>Pedreso</t>
  </si>
  <si>
    <t>EU-44993</t>
  </si>
  <si>
    <t>2026-06-30 05:42:07</t>
  </si>
  <si>
    <t>22 Ailesbury Mews, Dublin City, Dublin</t>
  </si>
  <si>
    <t>D04 Y1X5</t>
  </si>
  <si>
    <t>10358549-10410482</t>
  </si>
  <si>
    <t>HAZEL</t>
  </si>
  <si>
    <t>ANNIKIN</t>
  </si>
  <si>
    <t>EU-44949</t>
  </si>
  <si>
    <t>2026-06-30 05:42:47</t>
  </si>
  <si>
    <t>Schoolstraat 26, Amsterdam, Amsterdam</t>
  </si>
  <si>
    <t>1054 KD</t>
  </si>
  <si>
    <t>10358565-10410498</t>
  </si>
  <si>
    <t>Dever</t>
  </si>
  <si>
    <t>EU-44953</t>
  </si>
  <si>
    <t>2026-06-30 05:43:26</t>
  </si>
  <si>
    <t>Saula West, Achill, Westport, Mayo</t>
  </si>
  <si>
    <t>F28 AH67</t>
  </si>
  <si>
    <t>10358544-10410477</t>
  </si>
  <si>
    <t>Kaltenthaler</t>
  </si>
  <si>
    <t>EU-44946</t>
  </si>
  <si>
    <t>2026-06-30 05:44:18</t>
  </si>
  <si>
    <t>Wasserturmstraße 47, Ismaning, Ismaning</t>
  </si>
  <si>
    <t>10357965-10409890</t>
  </si>
  <si>
    <t>Lorena</t>
  </si>
  <si>
    <t>Saiz</t>
  </si>
  <si>
    <t>305-8998201-2859532</t>
  </si>
  <si>
    <t>2026-06-30 05:44:56</t>
  </si>
  <si>
    <t>Am Römischen Hof 9, Bad Homburg, Bad Homburg</t>
  </si>
  <si>
    <t>10359624-10411571</t>
  </si>
  <si>
    <t>Leung</t>
  </si>
  <si>
    <t>EU-44966</t>
  </si>
  <si>
    <t>2026-06-30 05:45:32</t>
  </si>
  <si>
    <t>Koninging Wilhelminaplein 822, Amsterdam, Amsterdam</t>
  </si>
  <si>
    <t>1062 KS</t>
  </si>
  <si>
    <t>10359623-10411570</t>
  </si>
  <si>
    <t>EU-44967</t>
  </si>
  <si>
    <t>2026-06-30 05:45:58</t>
  </si>
  <si>
    <t>10361631-10413595</t>
  </si>
  <si>
    <t>Esmee</t>
  </si>
  <si>
    <t>Koornhof</t>
  </si>
  <si>
    <t>EU-44994</t>
  </si>
  <si>
    <t>2026-06-30 05:46:27</t>
  </si>
  <si>
    <t>Pieter De lintstraat 57, Hoek Van Holland, Hoek Van Holland</t>
  </si>
  <si>
    <t>3151 MN</t>
  </si>
  <si>
    <t>10338920-10390809</t>
  </si>
  <si>
    <t>EU-44635</t>
  </si>
  <si>
    <t>2026-06-30 05:47:00</t>
  </si>
  <si>
    <t>Dietrich-Bonhoeffer-Str 14, Oberursel, Oberursel</t>
  </si>
  <si>
    <t>10338094-10389967</t>
  </si>
  <si>
    <t>ELINA</t>
  </si>
  <si>
    <t>GIANNOPOULOU</t>
  </si>
  <si>
    <t>EU-44621</t>
  </si>
  <si>
    <t>2026-06-30 06:04:12</t>
  </si>
  <si>
    <t>31 MILLEWEE, STRASSEN, STRASSEN</t>
  </si>
  <si>
    <t>TEATWL-MD-DINPRTY,TEATWL-MD-RGRTTI,TOWLB-DES-XL-GRECSHR,TOWLB-DES-XL-SWTESC,TOWLB-DES-XL-TANTIDE,TOWLB-DES-XL-WYWH</t>
  </si>
  <si>
    <t>10326542-10378287</t>
  </si>
  <si>
    <t>Tomczak</t>
  </si>
  <si>
    <t>EU-44449</t>
  </si>
  <si>
    <t>2026-06-30 06:08:02</t>
  </si>
  <si>
    <t>Keverberg 29, Amsterdam, Amsterdam</t>
  </si>
  <si>
    <t>1082 BD</t>
  </si>
  <si>
    <t>BAGF-SUM-MD-MIAMI,PONCHK-SUM-MD-CSTCANDY,PONCHK-SUM-SM-UNICN-NS,TEATWL-MD-GLDHOUR,TEATWL-MD-KTCHDISC,TOWLB-CAB-MD-LTPNK</t>
  </si>
  <si>
    <t>10341315-10393209</t>
  </si>
  <si>
    <t>Le Cam</t>
  </si>
  <si>
    <t>EU-44654</t>
  </si>
  <si>
    <t>2026-06-30 06:09:35</t>
  </si>
  <si>
    <t>3 Rue des Menus, Boulogne-Billancourt, Boulogne-Billancourt</t>
  </si>
  <si>
    <t>HAIRW-CLA-NAVY-NB,TEATWL-MD-KTCHDISC,TOWLB-CAB-XL-RED-R,TOWLB-KID-LG-POWPOS</t>
  </si>
  <si>
    <t>10358552-10410485</t>
  </si>
  <si>
    <t>Agata</t>
  </si>
  <si>
    <t>Berenson</t>
  </si>
  <si>
    <t>EU-44948</t>
  </si>
  <si>
    <t>2026-06-30 06:10:50</t>
  </si>
  <si>
    <t>109 Blvd Charles Simonis, Luxembourg, Luxembourg</t>
  </si>
  <si>
    <t>10338396-10390279</t>
  </si>
  <si>
    <t>Köhler</t>
  </si>
  <si>
    <t>EU-44627</t>
  </si>
  <si>
    <t>2026-06-30 06:12:36</t>
  </si>
  <si>
    <t>Falknersweg 16, Erlangen, Erlangen</t>
  </si>
  <si>
    <t>COOL-CAB-NAVY-R,TOWLB-DES-LG-SUNSPL,TOWLB-DES-LG-TANTIDE</t>
  </si>
  <si>
    <t>10342138-10394044</t>
  </si>
  <si>
    <t>EUWS-3227</t>
  </si>
  <si>
    <t>2026-06-30 06:29:38</t>
  </si>
  <si>
    <t xml:space="preserve">16212 (x1), 16211 (x2) A-SCRUNCH-PAPER (x1) A-KRAFT-PAPER-TAPE (x2) </t>
  </si>
  <si>
    <t>BAGF-CAB-MD-NAVY,BAGF-SUM-MD-CSTCANDY,BAGF-SUM-MD-MIAMI,PICNIC-CAB-LG-NAVY,PICNIC-DES-LG-APPLTRT,PICNIC-DES-LG-CANDSTR,TEATWL-MD-APPLTRT,TEATWL-MD-STRAWFZ,TEATWL-MD-TRPPNCH,TOWLB-CAB-LG-NAVY-R,TOWLB-CAB-LG-RED-R,TOWLB-CAB-LG-YELL-R,TOWLB-CAB-XL-KHAKI-R,TOWLB-CAB-XL-LTGRY-R,TOWLB-CAB-XL-PINK-R,TOWLB-CAB-XL-RED-R,TOWLB-CAB-XL-YELL-R,TOWLB-SUM-LG-CSTCANDY,TOWLB-SUM-LG-MIAMI,TOWLB-SUM-XL-CSTCANDY,TOWLB-SUM-XL-MIAMI</t>
  </si>
  <si>
    <t>10359001-10410936</t>
  </si>
  <si>
    <t>Hilde</t>
  </si>
  <si>
    <t>Boogmans</t>
  </si>
  <si>
    <t>EU-44958</t>
  </si>
  <si>
    <t>2026-06-30 06:34:37</t>
  </si>
  <si>
    <t>Bus 103, Mechelsestraat 160, Londerzeel, Londerzeel</t>
  </si>
  <si>
    <t>10359291-10411229</t>
  </si>
  <si>
    <t>Taufer</t>
  </si>
  <si>
    <t>EU-44965</t>
  </si>
  <si>
    <t>2026-06-30 06:39:51</t>
  </si>
  <si>
    <t>Schwarzenkopfstr 6a, München, München</t>
  </si>
  <si>
    <t>BAGDRY-XS-HOTTROP,BAGF-DES-MD-CHECKMT,PONCHA-DES-LG-IBZAGLW,TOWLB-DES-LG-SUNSPL,TOWLB-DES-XL-IBZAGLW,TOWLB-SUM-XL-OCEAN</t>
  </si>
  <si>
    <t>10361357-10413321</t>
  </si>
  <si>
    <t>Boumeester</t>
  </si>
  <si>
    <t>EU-44991</t>
  </si>
  <si>
    <t>2026-06-30 06:39:55</t>
  </si>
  <si>
    <t>Douwes Dekkerlaan, 66, Bergschenhoek, Bergschenhoek</t>
  </si>
  <si>
    <t>2662 AL</t>
  </si>
  <si>
    <t>DOGTWL-LG-PUPLAID,TOWLB-CAB-XL-BLUE-R,TOWLB-CAB-XL-GREEN-R,TOWLB-CAB-XL-PINK-R,TOWLB-SUM-XL-UNICN-R</t>
  </si>
  <si>
    <t>10359293-10411231</t>
  </si>
  <si>
    <t>Hendrix</t>
  </si>
  <si>
    <t>EU-44963</t>
  </si>
  <si>
    <t>2026-06-30 06:41:21</t>
  </si>
  <si>
    <t>Boerenlegerstraat 173, Edegem, Edegem</t>
  </si>
  <si>
    <t>10359292-10411230</t>
  </si>
  <si>
    <t>Panagos</t>
  </si>
  <si>
    <t>Lemos</t>
  </si>
  <si>
    <t>EU-44964</t>
  </si>
  <si>
    <t>2026-06-30 06:42:17</t>
  </si>
  <si>
    <t>41A Pefkon St, Athens, Athens</t>
  </si>
  <si>
    <t>145 62</t>
  </si>
  <si>
    <t>COOL-DES-MIDNMOV,TOWLB-CAB-XL-BLUE-R,TOWLB-SUM-LG-COLAGN</t>
  </si>
  <si>
    <t>10359936-10411891</t>
  </si>
  <si>
    <t>Joicey</t>
  </si>
  <si>
    <t>EU-44972</t>
  </si>
  <si>
    <t>2026-06-30 06:43:18</t>
  </si>
  <si>
    <t>Am Großen Sand 6, Mainz, Mainz</t>
  </si>
  <si>
    <t>BAGF-CAB-MD-NAVY,TOWLB-CAB-XL-BLUE-R,TOWLB-SUM-XL-OCEAN</t>
  </si>
  <si>
    <t>10359626-10411573</t>
  </si>
  <si>
    <t>Wiemers</t>
  </si>
  <si>
    <t>EU-44969</t>
  </si>
  <si>
    <t>2026-06-30 06:44:02</t>
  </si>
  <si>
    <t>Martener Str 515, Wiemers  Transport GmbH  Co KG, Dortmund, Dortmund</t>
  </si>
  <si>
    <t>TOWLB-CAB-LG-LTPPL-R,TOWLB-DES-LG-MELLOW,TOWLB-SUM-XL-RAINB-R</t>
  </si>
  <si>
    <t>10360260-10412220</t>
  </si>
  <si>
    <t>Emanuele</t>
  </si>
  <si>
    <t>Taiana</t>
  </si>
  <si>
    <t>EU-44975</t>
  </si>
  <si>
    <t>2026-06-30 06:44:10</t>
  </si>
  <si>
    <t>Carducci 18, Olgiate Comasco, Como</t>
  </si>
  <si>
    <t>10359288-10411226</t>
  </si>
  <si>
    <t>Gozde</t>
  </si>
  <si>
    <t>Satiroglu Gul</t>
  </si>
  <si>
    <t>EU-44959</t>
  </si>
  <si>
    <t>2026-06-30 06:46:04</t>
  </si>
  <si>
    <t>Leo-Leistikow-Allee 2, Hamburg, Hamburg</t>
  </si>
  <si>
    <t>PONCHK-KID-MD-GVCLUB,PONCHK-KID-MD-INTOWILD,PONCHK-KID-MD-SKATER</t>
  </si>
  <si>
    <t>10359625-10411572</t>
  </si>
  <si>
    <t>Pielecki</t>
  </si>
  <si>
    <t>EU-44970</t>
  </si>
  <si>
    <t>2026-06-30 06:46:54</t>
  </si>
  <si>
    <t>Detmolder Straße 788, Bielefeld, Bielefeld</t>
  </si>
  <si>
    <t>BAGF-DES-MD-IBZAGLW,BAGF-SUM-MD-MIAMI,PONCHK-KID-MD-GVCLUB,PONCHK-KID-SM-JELLY</t>
  </si>
  <si>
    <t>10359937-10411892</t>
  </si>
  <si>
    <t>Bakker</t>
  </si>
  <si>
    <t>EU-44973</t>
  </si>
  <si>
    <t>2026-06-30 06:49:14</t>
  </si>
  <si>
    <t>Pastoraleperenlaan 19, Vleuten, Vleuten</t>
  </si>
  <si>
    <t>3452 EA</t>
  </si>
  <si>
    <t>TOWLB-KID-LG-INTOWILD,TOWLB-KID-LG-JELLY,TOWLB-KID-LG-SKATER,TOWLF-ESS-XL-DKBLU</t>
  </si>
  <si>
    <t>10360261-10412221</t>
  </si>
  <si>
    <t>mcMahon</t>
  </si>
  <si>
    <t>EU-44976</t>
  </si>
  <si>
    <t>2026-06-30 06:50:20</t>
  </si>
  <si>
    <t>1 Woodland Park, Waterloo, Blarney, Cork, Cork</t>
  </si>
  <si>
    <t>T23 PV40</t>
  </si>
  <si>
    <t>10358568-10410501</t>
  </si>
  <si>
    <t>Ashling</t>
  </si>
  <si>
    <t>Nulty</t>
  </si>
  <si>
    <t>EU-44955</t>
  </si>
  <si>
    <t>2026-06-30 06:50:53</t>
  </si>
  <si>
    <t>4 Ballough, Lusk, Dublin</t>
  </si>
  <si>
    <t>K45 EC96</t>
  </si>
  <si>
    <t>10358999-10410934</t>
  </si>
  <si>
    <t>Hartl</t>
  </si>
  <si>
    <t>EU-44957</t>
  </si>
  <si>
    <t>2026-06-30 06:51:53</t>
  </si>
  <si>
    <t>Mahlgassing 1, Pfarrkirchen, Pfarrkirchen</t>
  </si>
  <si>
    <t>BAGDRY-XS-NAVY,COOL-CAB-NAVY-R,HAIRW-SUE-BBGWLK</t>
  </si>
  <si>
    <t>10361358-10413322</t>
  </si>
  <si>
    <t>Marit</t>
  </si>
  <si>
    <t>Verbeek</t>
  </si>
  <si>
    <t>EU-44992</t>
  </si>
  <si>
    <t>2026-06-30 07:02:37</t>
  </si>
  <si>
    <t>Top Naeffstraat 1, Gorinchem, Gorinchem</t>
  </si>
  <si>
    <t>4207 MT</t>
  </si>
  <si>
    <t>TOWLB-CAB-XL-GREEN-R,TOWLB-DES-XL-KARMA,TOWLB-DES-XL-TANTIDE,TOWLB-SUM-XL-OCEAN</t>
  </si>
  <si>
    <t>10361873-10413837</t>
  </si>
  <si>
    <t>McDwyer</t>
  </si>
  <si>
    <t>EU-45002</t>
  </si>
  <si>
    <t>2026-06-30 07:04:49</t>
  </si>
  <si>
    <t>20 Spencer Villas, Glenageary, Dublin</t>
  </si>
  <si>
    <t>A96 W0F4</t>
  </si>
  <si>
    <t>10362070-10414034</t>
  </si>
  <si>
    <t>Burcu</t>
  </si>
  <si>
    <t>Ocak</t>
  </si>
  <si>
    <t>EU-45006</t>
  </si>
  <si>
    <t>2026-06-30 07:06:14</t>
  </si>
  <si>
    <t>Fürther Str 5, Ocak / Bayram, Berlin, Berlin</t>
  </si>
  <si>
    <t>PONCHK-CAB-SM-BLUE-NS,TOWLF-ESS-LG-DKBLU,TOWLF-ESS-LG-GREEN-R,TOWLF-ESS-LG-PINK-R</t>
  </si>
  <si>
    <t>10361877-10413841</t>
  </si>
  <si>
    <t>Ravens</t>
  </si>
  <si>
    <t>EU-45000</t>
  </si>
  <si>
    <t>2026-06-30 07:07:39</t>
  </si>
  <si>
    <t>Tom-Dyk-Straße 39, Bremen, Bremen</t>
  </si>
  <si>
    <t>PONCHK-KID-MD-GVCLUB,PONCHK-KID-SM-BUBDRM,PONCHK-SUM-SM-UNICN-NS</t>
  </si>
  <si>
    <t>10352730-10404670</t>
  </si>
  <si>
    <t>Rondeau</t>
  </si>
  <si>
    <t>Cécile</t>
  </si>
  <si>
    <t>EUWS-3223</t>
  </si>
  <si>
    <t>2026-06-30 07:09:10</t>
  </si>
  <si>
    <t>5 Cours Bailly des Écotais, Saint-Martin-de-Ré, Saint-Martin-de-Ré</t>
  </si>
  <si>
    <t>TOWLB-CAB-XL-GREEN-R,TOWLB-CAB-XL-NAVY-R,TOWLB-CAB-XL-RED-R,TOWLB-DES-XL-GRECSHR,TOWLB-DES-XL-SWTESC,TOWLB-DES-XL-TANTIDE,TOWLB-DES-XL-WYWH,TOWLB-SUM-XL-TUTFRU</t>
  </si>
  <si>
    <t>10361875-10413839</t>
  </si>
  <si>
    <t>Förster</t>
  </si>
  <si>
    <t>EU-45001</t>
  </si>
  <si>
    <t>2026-06-30 07:09:17</t>
  </si>
  <si>
    <t>Großbeerenstraße, 29, Potsdam, Potsdam</t>
  </si>
  <si>
    <t>10360262-10412222</t>
  </si>
  <si>
    <t>FBA15LZ3L1J0</t>
  </si>
  <si>
    <t>2026-06-30 07:10:55</t>
  </si>
  <si>
    <t>TOWLB-CAB-LG-BLUE-R,TOWLB-CAB-XL-BLACK-R,TOWLB-CAB-XL-GREEN-R</t>
  </si>
  <si>
    <t>10360493-10412455</t>
  </si>
  <si>
    <t>Quintana Vives</t>
  </si>
  <si>
    <t>EU-44977</t>
  </si>
  <si>
    <t>2026-06-30 07:15:27</t>
  </si>
  <si>
    <t>Carrer de lAurora, 90 A 2n 1a, Igualada, Barcelona</t>
  </si>
  <si>
    <t>08700</t>
  </si>
  <si>
    <t>10358562-10410495</t>
  </si>
  <si>
    <t>privatkunde</t>
  </si>
  <si>
    <t>Voorn</t>
  </si>
  <si>
    <t>EU-44954</t>
  </si>
  <si>
    <t>2026-06-30 07:18:16</t>
  </si>
  <si>
    <t>Rode Klaver, 10, Uithoorn, Uithoorn</t>
  </si>
  <si>
    <t>1422 SM</t>
  </si>
  <si>
    <t>BALLAST-SUM-CSTCANDY,PICNIC-SUM-XL-UNICN</t>
  </si>
  <si>
    <t>10359627-10411574</t>
  </si>
  <si>
    <t>EU-44968</t>
  </si>
  <si>
    <t>2026-06-30 07:20:10</t>
  </si>
  <si>
    <t>Chausseestrasse 37, Berlin, Berlin</t>
  </si>
  <si>
    <t>BAGCOOL-MD-NAVY,PICNIC-CAB-XL-NAVY</t>
  </si>
  <si>
    <t>10360717-10412680</t>
  </si>
  <si>
    <t>Fjeldgaard Thorsen</t>
  </si>
  <si>
    <t>EU-44980</t>
  </si>
  <si>
    <t>2026-06-30 07:21:32</t>
  </si>
  <si>
    <t>Sct Mortens Gade 2, 1 mf, Randers C, Randers C</t>
  </si>
  <si>
    <t>BAGDRY-XS-NAVY,BAGF-SUM-MD-COLAGN,PONCHA-CAB-MD-NAVY-NS,TOWLB-SUM-LG-COLAGN</t>
  </si>
  <si>
    <t>10358538-10410471</t>
  </si>
  <si>
    <t>Clernon</t>
  </si>
  <si>
    <t>EU-44944</t>
  </si>
  <si>
    <t>2026-06-30 07:21:47</t>
  </si>
  <si>
    <t>76 The Woods, Johnstown, Glounthaune, Cork</t>
  </si>
  <si>
    <t>T45 EK61</t>
  </si>
  <si>
    <t>10360960-10412924</t>
  </si>
  <si>
    <t>Sadullah</t>
  </si>
  <si>
    <t>Aktas</t>
  </si>
  <si>
    <t>EU-44982</t>
  </si>
  <si>
    <t>2026-06-30 07:22:55</t>
  </si>
  <si>
    <t>Bertoldistr 5, Köln, Köln</t>
  </si>
  <si>
    <t>10361353-10413317</t>
  </si>
  <si>
    <t>Graeme</t>
  </si>
  <si>
    <t>McNeill</t>
  </si>
  <si>
    <t>EU-44989</t>
  </si>
  <si>
    <t>2026-06-30 07:22:57</t>
  </si>
  <si>
    <t>Tulach, Knapton Rd, Monkstown, Dublin</t>
  </si>
  <si>
    <t>A96 WV96</t>
  </si>
  <si>
    <t>10358557-10410490</t>
  </si>
  <si>
    <t>Studio Dentistico Vignoletti</t>
  </si>
  <si>
    <t>fabio</t>
  </si>
  <si>
    <t>Vignoletti</t>
  </si>
  <si>
    <t>EU-44952</t>
  </si>
  <si>
    <t>2026-06-30 07:24:09</t>
  </si>
  <si>
    <t>Via Tolosetto Farinati degli, Uberti 10b Studio dentistico, Vignoletti, Verona, Verona</t>
  </si>
  <si>
    <t>PONCHK-KID-MD-CHECKOUT,PONCHK-KID-MD-SKATER</t>
  </si>
  <si>
    <t>10361354-10413318</t>
  </si>
  <si>
    <t>Mette</t>
  </si>
  <si>
    <t>Vilsøe Lowth</t>
  </si>
  <si>
    <t>EU-44988</t>
  </si>
  <si>
    <t>2026-06-30 07:25:03</t>
  </si>
  <si>
    <t>Ewaldsbakken 12, Hellerup, Hellerup</t>
  </si>
  <si>
    <t>BAGF-SUM-MD-MIAMI,COOL-CAB-NAVY-R,PICNIC-CAB-LG-NAVY</t>
  </si>
  <si>
    <t>10360962-10412926</t>
  </si>
  <si>
    <t>Kitty</t>
  </si>
  <si>
    <t>Westerbeek</t>
  </si>
  <si>
    <t>EU-44981</t>
  </si>
  <si>
    <t>2026-06-30 07:25:30</t>
  </si>
  <si>
    <t>Zonnehof, 24, Berkel en Rodenrijs, Berkel en Rodenrijs</t>
  </si>
  <si>
    <t>2651 TW</t>
  </si>
  <si>
    <t>10360716-10412679</t>
  </si>
  <si>
    <t>Mauerer</t>
  </si>
  <si>
    <t>EU-44979</t>
  </si>
  <si>
    <t>2026-06-30 07:26:16</t>
  </si>
  <si>
    <t>Neuwerkstr 1, HAIRfurt, Erfurt, Erfurt</t>
  </si>
  <si>
    <t>10358541-10410474</t>
  </si>
  <si>
    <t>EU-44945</t>
  </si>
  <si>
    <t>2026-06-30 07:27:33</t>
  </si>
  <si>
    <t>PONCHK-SUM-SM-UNICN-NS,TOWLB-DES-LG-MELLOW</t>
  </si>
  <si>
    <t>10358560-10410493</t>
  </si>
  <si>
    <t>Remmersmann</t>
  </si>
  <si>
    <t>EU-44951</t>
  </si>
  <si>
    <t>2026-06-30 07:28:20</t>
  </si>
  <si>
    <t>Lange Wiese 19, Bernstadt, Bernstadt</t>
  </si>
  <si>
    <t>BAGF-DES-MD-BANARAM,BAGF-SUM-MD-CSTCANDY</t>
  </si>
  <si>
    <t>10361632-10413596</t>
  </si>
  <si>
    <t>Stassen</t>
  </si>
  <si>
    <t>EU-44995</t>
  </si>
  <si>
    <t>2026-06-30 07:30:51</t>
  </si>
  <si>
    <t>Esslinger Straße 42, Unterensingen, Unterensingen</t>
  </si>
  <si>
    <t>10361635-10413599</t>
  </si>
  <si>
    <t>Acton</t>
  </si>
  <si>
    <t>EU-44998</t>
  </si>
  <si>
    <t>2026-06-30 07:31:48</t>
  </si>
  <si>
    <t>195 New Vale, Dublin 18, Dublin</t>
  </si>
  <si>
    <t>D18 RC75</t>
  </si>
  <si>
    <t>10361352-10413316</t>
  </si>
  <si>
    <t>Devika</t>
  </si>
  <si>
    <t>Goudsbloem</t>
  </si>
  <si>
    <t>EU-44986</t>
  </si>
  <si>
    <t>2026-06-30 07:32:50</t>
  </si>
  <si>
    <t>Kapittelweg 43, Hilversum, Hilversum</t>
  </si>
  <si>
    <t>1216 HR</t>
  </si>
  <si>
    <t>TOWLB-CAB-XL-BLUE-R,TOWLB-DES-XL-GRECSHR</t>
  </si>
  <si>
    <t>10361880-10413844</t>
  </si>
  <si>
    <t>Dragos</t>
  </si>
  <si>
    <t>Apostu</t>
  </si>
  <si>
    <t>EU-45005</t>
  </si>
  <si>
    <t>2026-06-30 07:33:55</t>
  </si>
  <si>
    <t>Bucura, 4C, Cluj-Napoca, Cluj</t>
  </si>
  <si>
    <t>TOWLB-CAB-LG-BLUE-R,TOWLB-CAB-LG-GREEN-R</t>
  </si>
  <si>
    <t>10362440-10414404</t>
  </si>
  <si>
    <t>EU-45008</t>
  </si>
  <si>
    <t>2026-06-30 07:35:11</t>
  </si>
  <si>
    <t>Rheinhäuser Straße 87, Mannheim, Mannheim</t>
  </si>
  <si>
    <t>TOWLB-CAB-XL-PINK-R,TOWLB-SUM-XL-UNICN-R</t>
  </si>
  <si>
    <t>10361351-10413315</t>
  </si>
  <si>
    <t>Celina</t>
  </si>
  <si>
    <t>Huber</t>
  </si>
  <si>
    <t>EU-44987</t>
  </si>
  <si>
    <t>2026-06-30 07:36:07</t>
  </si>
  <si>
    <t>Ringstraße 13, Friedberg, Friedberg</t>
  </si>
  <si>
    <t>TOWLB-DES-LG-TANTIDE,TOWLB-SUM-LG-COLAGN</t>
  </si>
  <si>
    <t>10361878-10413842</t>
  </si>
  <si>
    <t>Zangl</t>
  </si>
  <si>
    <t>EU-45003</t>
  </si>
  <si>
    <t>2026-06-30 07:37:02</t>
  </si>
  <si>
    <t>Heerstraße 15, Ubstadt-Weiher, Ubstadt-Weiher</t>
  </si>
  <si>
    <t>10361350-10413314</t>
  </si>
  <si>
    <t>Karl</t>
  </si>
  <si>
    <t>EU-44985</t>
  </si>
  <si>
    <t>2026-06-30 07:37:47</t>
  </si>
  <si>
    <t>De Wijngaardstraat 74, Wijnegem, Wijnegem</t>
  </si>
  <si>
    <t>BALLAST-SUM-CSTCANDY,TOWLB-SUM-XL-TUTFRU</t>
  </si>
  <si>
    <t>10362582-10414546</t>
  </si>
  <si>
    <t>Frauke</t>
  </si>
  <si>
    <t>Huth</t>
  </si>
  <si>
    <t>304-8502373-1842719</t>
  </si>
  <si>
    <t>2026-06-30 07:38:35</t>
  </si>
  <si>
    <t>Albert-Schulz-Str 13, Rostock, Mecklenburg-Vorpommern</t>
  </si>
  <si>
    <t>10361355-10413319</t>
  </si>
  <si>
    <t>Julia Winter</t>
  </si>
  <si>
    <t>EU-44990</t>
  </si>
  <si>
    <t>2026-06-30 07:51:37</t>
  </si>
  <si>
    <t>In Der Witz 13, 2, Wiesbaden, Wiesbaden</t>
  </si>
  <si>
    <t>10360715-10412678</t>
  </si>
  <si>
    <t>EU-44978</t>
  </si>
  <si>
    <t>2026-06-30 07:53:11</t>
  </si>
  <si>
    <t>8 Willow Park, Churchfields, Delgany, Wicklow</t>
  </si>
  <si>
    <t>A63 A891</t>
  </si>
  <si>
    <t>TOWLB-DES-XL-ALOHGLW,TOWLB-DES-XL-WYWH,TOWLB-SUM-XL-OCEAN,TOWLB-SUM-XL-UNICN-R</t>
  </si>
  <si>
    <t>10362898-10414862</t>
  </si>
  <si>
    <t>Özge</t>
  </si>
  <si>
    <t>Can</t>
  </si>
  <si>
    <t>304-8995758-7706721</t>
  </si>
  <si>
    <t>2026-06-30 07:58:31</t>
  </si>
  <si>
    <t>Kleine Frankfurter Straße 2, Wiesbaden, Wiesbaden</t>
  </si>
  <si>
    <t>10360494-10412456</t>
  </si>
  <si>
    <t>Petry</t>
  </si>
  <si>
    <t>028-4548045-2147568</t>
  </si>
  <si>
    <t>2026-06-30 08:00:46</t>
  </si>
  <si>
    <t>Rheintalblick 3, Rüdesheim am Rhein, Hessen</t>
  </si>
  <si>
    <t>10361879-10413843</t>
  </si>
  <si>
    <t>Keuters</t>
  </si>
  <si>
    <t>EU-45004</t>
  </si>
  <si>
    <t>2026-06-30 08:01:30</t>
  </si>
  <si>
    <t>Schwannstraße 17, 5 Etage, Düsseldorf, Düsseldorf</t>
  </si>
  <si>
    <t>10363025-10414989</t>
  </si>
  <si>
    <t>Bero</t>
  </si>
  <si>
    <t>Luke Vincent Ernst</t>
  </si>
  <si>
    <t>EU-45013</t>
  </si>
  <si>
    <t>2026-06-30 08:02:10</t>
  </si>
  <si>
    <t>Möörkenweg 24, Hamburg, Hamburg</t>
  </si>
  <si>
    <t>10361356-10413320</t>
  </si>
  <si>
    <t>Jahn</t>
  </si>
  <si>
    <t>306-3701147-1329105</t>
  </si>
  <si>
    <t>2026-06-30 08:02:50</t>
  </si>
  <si>
    <t>Lindenweg 1, Bröbberow, Bröbberow</t>
  </si>
  <si>
    <t>10363026-10414990</t>
  </si>
  <si>
    <t>Borchard</t>
  </si>
  <si>
    <t>EU-45012</t>
  </si>
  <si>
    <t>2026-06-30 08:03:19</t>
  </si>
  <si>
    <t>Wrangelstraße 20, Hamburg, Hamburg</t>
  </si>
  <si>
    <t>10363393-10415364</t>
  </si>
  <si>
    <t>EU-45016</t>
  </si>
  <si>
    <t>2026-06-30 09:22:49</t>
  </si>
  <si>
    <t>TOWLB-CAB-XL-BLUE-R,TOWLB-CAB-XL-LTBLU-R,TOWLB-CAB-XL-PINK-R,TOWLB-SUM-XL-UNICN-R</t>
  </si>
  <si>
    <t>10363394-10415365</t>
  </si>
  <si>
    <t>Aoibhinn</t>
  </si>
  <si>
    <t>EU-45018</t>
  </si>
  <si>
    <t>2026-06-30 09:26:53</t>
  </si>
  <si>
    <t>39 Stepaside Park, Dublin 18, Dublin</t>
  </si>
  <si>
    <t>D18 FY83</t>
  </si>
  <si>
    <t>TOWLB-CAB-LG-NAVY-R,TOWLB-CAB-MD-LTPNK,TOWLB-DES-LG-SWTESC,TOWLB-DES-LG-WTRSUG,TOWLB-DES-LG-WYWH,TOWLB-SUM-LG-TUTFRU</t>
  </si>
  <si>
    <t>10363175-10415139</t>
  </si>
  <si>
    <t>EU-45014</t>
  </si>
  <si>
    <t>2026-06-30 09:28:46</t>
  </si>
  <si>
    <t>Altenburger Straße 26, Zwickau, Zwickau</t>
  </si>
  <si>
    <t>08058</t>
  </si>
  <si>
    <t>10333731-10385545</t>
  </si>
  <si>
    <t>Tischideen &amp; Ambiente</t>
  </si>
  <si>
    <t>Fluck</t>
  </si>
  <si>
    <t>T28802-1</t>
  </si>
  <si>
    <t>2026-06-30 09:28:48</t>
  </si>
  <si>
    <t>Poststraße 29, Geisingen-Leipferdingen, Geisingen-Leipferdingen</t>
  </si>
  <si>
    <t xml:space="preserve">16212 (x8) A-SCRUNCH-PAPER (x1) A-KRAFT-PAPER-TAPE (x2) </t>
  </si>
  <si>
    <t>BAGF-CAB-MD-LTPNK,PONCHK-CAB-MD-NAVY-NS,PONCHK-CAB-SM-NAVY-NS,PONCHK-SUM-MD-CSTCANDY,TOWLB-CAB-LG-LTBGE-R,TOWLB-CAB-LG-LTPNK-R,TOWLB-CAB-LG-LTPPL-R,TOWLB-CAB-LG-NAVY-R,TOWLB-CAB-LG-YELL-R,TOWLB-CAB-XL-LTPNK-R,TOWLB-CAB-XL-LTPPL-R,TOWLB-CAB-XL-ORANG-R,TOWLB-DES-LG-CHECKMT,TOWLB-DES-LG-TROPTRT,TOWLB-KID-LG-KARMCHAM,TOWLB-KID-LG-TURTROP,TOWLB-SUM-LG-COLAGN,TOWLB-SUM-LG-CSTCANDY,TOWLB-SUM-XL-COLAGN,TOWLB-SUM-XL-CSTCANDY,TOWLB-SUM-XL-MIAMI,TOWLF-ESS-LG-GREY-R,TOWLF-ESS-XL-DKBLU,TOWLF-ESS-XL-LTPPL</t>
  </si>
  <si>
    <t>10363027-10414991</t>
  </si>
  <si>
    <t>Overath</t>
  </si>
  <si>
    <t>EU-45011</t>
  </si>
  <si>
    <t>2026-06-30 09:29:43</t>
  </si>
  <si>
    <t>Gilmerich 16, Troisdorf, Troisdorf</t>
  </si>
  <si>
    <t>EYEMASK-DES-NOTTDY,GIFT-BOX-BEAUTY-TIGPALM,TOWLB-DES-XL-GRECSHR,TOWLB-SUM-LG-MIAMI,TOWLH-DES-LG-TIGPALM</t>
  </si>
  <si>
    <t>10362897-10414861</t>
  </si>
  <si>
    <t>Vaitiare</t>
  </si>
  <si>
    <t>EU-45009</t>
  </si>
  <si>
    <t>2026-06-30 09:31:32</t>
  </si>
  <si>
    <t>At 2 Esc A, Calle sants 258, Barcelona, Barcelona</t>
  </si>
  <si>
    <t>08028</t>
  </si>
  <si>
    <t>PONCHA-SUM-LG-CSTCANDY,PONCHK-SUM-MD-CSTCANDY,TOWLB-SUM-XL-UNICN-R</t>
  </si>
  <si>
    <t>10363396-10415367</t>
  </si>
  <si>
    <t>EU-45019</t>
  </si>
  <si>
    <t>2026-06-30 09:32:47</t>
  </si>
  <si>
    <t>Gleneagle, Kilgobbin Rd, Dublin 18, Dublin</t>
  </si>
  <si>
    <t>D18 E3T8</t>
  </si>
  <si>
    <t>HAIRW-SUE-IBZAGLW,PP-TOWLB-CAB-LG-6SETM</t>
  </si>
  <si>
    <t>10363395-10415366</t>
  </si>
  <si>
    <t>Szilvia</t>
  </si>
  <si>
    <t>Nagy</t>
  </si>
  <si>
    <t>EU-45017</t>
  </si>
  <si>
    <t>2026-06-30 09:34:27</t>
  </si>
  <si>
    <t>Luckenrech 2, Zwingenberg, Zwingenberg</t>
  </si>
  <si>
    <t>BAGF-SUM-MD-CSTCANDY,TOWLB-DES-LG-TROPTRT,TOWLB-SUM-LG-COLAGN,TOWLB-SUM-LG-CSTCANDY</t>
  </si>
  <si>
    <t>10360263-10412223</t>
  </si>
  <si>
    <t>DTM2</t>
  </si>
  <si>
    <t>FBA15LZCMN3T</t>
  </si>
  <si>
    <t>2026-06-30 09:38:15</t>
  </si>
  <si>
    <t>Kaltbandstraße 4, Dortmund, Dortmund</t>
  </si>
  <si>
    <t>BAGF-DES-MD-IBZAGLW,BAGF-DES-MD-WAVYBBY,BAGF-DES-MD-WTRSUG,BAGF-DES-MD-WYWH,BAGF-SUM-MD-CSTCANDY,COOL-CAB-NAVY-R,PICNIC-DES-XL-CANDSTR,PICNIC-SUM-LG-UNICN,PICNIC-SUM-XL-UNICN,TOWLB-DES-LG-ALOHGLW,TOWLB-DES-LG-PSTPIER,TOWLB-DES-LG-TROPTRT,TOWLB-DES-XL-ALOHGLW,TOWLB-DES-XL-KARMA,TOWLB-DES-XL-TANTIDE,TOWLB-DOB-LG-CALM,TOWLB-KID-MD-POWPOS,TOWLB-SUM-XL-OCEAN,TOWLB-SUM-XL-TUTFRU,TOWLF-ESS-LG-DKBLU,TOWLF-ESS-LG-GREY-R,TOWLF-ESS-LG-LTPPL,TOWLF-ESS-LG-PINK-R,TOWLF-ESS-XL-DKBLU,TOWLF-ESS-XL-GREEN-R,TOWLF-ESS-XL-GREY-R,TOWLF-ESS-XL-LTPPL</t>
  </si>
  <si>
    <t>10342143-10394049</t>
  </si>
  <si>
    <t>EUWS-3226</t>
  </si>
  <si>
    <t>2026-06-30 11:22:22</t>
  </si>
  <si>
    <t>BAGDRY-XS-HOTTROP,BAGDRY-XS-NAVY,BAGDRY-XS-WAVYBBY,BAGDRY-XS-WYWH,BAGF-CAB-MD-NAVY,BAGF-SUM-MD-CSTCANDY,BAGF-SUM-MD-MIAMI,BALLAST-CAB-NAVY,BALLAST-SUM-CSTCANDY,BALLAST-SUM-MIAMI,COOL-CAB-NAVY-R,COOL-DES-MIDNMOV,TEATWL-MD-CHECKPLS,TEATWL-MD-RGRTTI,TOWLB-CAB-LG-BLACK-R,TOWLB-CAB-LG-KHAKI-R,TOWLB-CAB-XL-BLACK-R,TOWLB-CAB-XL-KHAKI-R,TOWLB-DES-LG-BLUSKY,TOWLB-DES-XL-BLUSKY,TOWLB-DOB-LG-CALM,TOWLB-DOB-XL-CALM,TOWLB-SUM-LG-MIAMI,TOWLB-SUM-LG-OCEAN,TOWLB-SUM-LG-UNICN-R</t>
  </si>
  <si>
    <t>10363985-10415967</t>
  </si>
  <si>
    <t>rita</t>
  </si>
  <si>
    <t>khawaja</t>
  </si>
  <si>
    <t>EU-45034</t>
  </si>
  <si>
    <t>2026-06-30 11:26:17</t>
  </si>
  <si>
    <t>Ojos del Salado, 74, Granada, Granada</t>
  </si>
  <si>
    <t>PONCHK-KID-MD-INTOWILD,PONCHK-SUM-MD-CSTCANDY</t>
  </si>
  <si>
    <t>10363664-10415641</t>
  </si>
  <si>
    <t>Erz</t>
  </si>
  <si>
    <t>EU-45023</t>
  </si>
  <si>
    <t>2026-06-30 11:28:21</t>
  </si>
  <si>
    <t>Friedrich-Tedsen-Ring 29, Schwanewede, Schwanewede</t>
  </si>
  <si>
    <t>PONCHA-CAB-MD-LTPNK-NS,PONCHA-CAB-XL-NAVY</t>
  </si>
  <si>
    <t>10363667-10415644</t>
  </si>
  <si>
    <t>Wendy</t>
  </si>
  <si>
    <t>Huurman-verdult</t>
  </si>
  <si>
    <t>EU-45022</t>
  </si>
  <si>
    <t>2026-06-30 11:29:18</t>
  </si>
  <si>
    <t>Smeyerspad 28, Essen, Essen</t>
  </si>
  <si>
    <t>TOWLB-DES-XL-TANTIDE,TOWLB-SUM-XL-OCEAN</t>
  </si>
  <si>
    <t>10334012-10385828</t>
  </si>
  <si>
    <t>Raymond</t>
  </si>
  <si>
    <t>EU-44561</t>
  </si>
  <si>
    <t>2026-06-30 11:30:09</t>
  </si>
  <si>
    <t>1 Rue Du Chateau Deau, Sorigny, Sorigny</t>
  </si>
  <si>
    <t>10363677-10415654</t>
  </si>
  <si>
    <t>Kuchenreuther</t>
  </si>
  <si>
    <t>305-1130309-0733901</t>
  </si>
  <si>
    <t>2026-06-30 11:31:00</t>
  </si>
  <si>
    <t>Coburger Straße 28, Lautertal, Lautertal</t>
  </si>
  <si>
    <t>10363973-10415955</t>
  </si>
  <si>
    <t>Marine</t>
  </si>
  <si>
    <t>Van laer</t>
  </si>
  <si>
    <t>EU-45029</t>
  </si>
  <si>
    <t>2026-06-30 12:00:00</t>
  </si>
  <si>
    <t>Rue Chapelle Valentin 11a, Sombreffe, Sombreffe</t>
  </si>
  <si>
    <t>HAIRW-SUE-IBZAGLW,PONCHA-DES-LG-WTRSUG,PONCHA-DES-MD-IBZAGLW,PONCHA-DES-MD-WTRSUG</t>
  </si>
  <si>
    <t>10363674-10415651</t>
  </si>
  <si>
    <t>Van Passel</t>
  </si>
  <si>
    <t>EU-45025</t>
  </si>
  <si>
    <t>2026-06-30 12:03:29</t>
  </si>
  <si>
    <t>Lange Heistraat 21, Mechelen, Mechelen</t>
  </si>
  <si>
    <t>BAGF-SUM-MD-CSTCANDY,HAIRW-SUE-MIAMI,PONCHA-SUM-LG-CSTCANDY</t>
  </si>
  <si>
    <t>10363981-10415963</t>
  </si>
  <si>
    <t>Dekanova</t>
  </si>
  <si>
    <t>EU-45031</t>
  </si>
  <si>
    <t>2026-06-30 12:04:35</t>
  </si>
  <si>
    <t>Vinetastraße 59, Berlin, Berlin</t>
  </si>
  <si>
    <t>TOWLB-DOB-LG-CALM,TOWLB-SUM-LG-OCEAN,TOWLB-SUM-XL-OCEAN</t>
  </si>
  <si>
    <t>10363673-10415650</t>
  </si>
  <si>
    <t>Wunderlich</t>
  </si>
  <si>
    <t>EU-45026</t>
  </si>
  <si>
    <t>2026-06-30 12:06:39</t>
  </si>
  <si>
    <t>Am Kleingewerbegebiet 26, Bad  Co Bredow GmbH  Co KG, Wildau, Wildau</t>
  </si>
  <si>
    <t>TOWLB-DES-XL-ALOHGLW,TOWLB-SUM-XL-OCEAN,TOWLB-SUM-XL-UNICN-R</t>
  </si>
  <si>
    <t>10363975-10415957</t>
  </si>
  <si>
    <t>Fleur</t>
  </si>
  <si>
    <t>Mariman</t>
  </si>
  <si>
    <t>EU-45033</t>
  </si>
  <si>
    <t>2026-06-30 12:20:09</t>
  </si>
  <si>
    <t>Essestraat 78, Lichtervelde, Lichtervelde</t>
  </si>
  <si>
    <t>10363676-10415653</t>
  </si>
  <si>
    <t>Jonathan</t>
  </si>
  <si>
    <t>Sieger</t>
  </si>
  <si>
    <t>305-2011834-7090733</t>
  </si>
  <si>
    <t>2026-06-30 12:21:04</t>
  </si>
  <si>
    <t>Alfred Schmidt Straße 2, München, München</t>
  </si>
  <si>
    <t>10363970-10415952</t>
  </si>
  <si>
    <t>EU-45030</t>
  </si>
  <si>
    <t>2026-06-30 12:21:55</t>
  </si>
  <si>
    <t>Josef-Scheidl-Straße 33, Dachau, Dachau</t>
  </si>
  <si>
    <t>10363989-10415971</t>
  </si>
  <si>
    <t>Roberts</t>
  </si>
  <si>
    <t>EU-45035</t>
  </si>
  <si>
    <t>2026-06-30 12:22:31</t>
  </si>
  <si>
    <t>42 The sweepstakes, Ballsbridge Park, Dublin, Dublin</t>
  </si>
  <si>
    <t>D04 YF86</t>
  </si>
  <si>
    <t>10363978-10415960</t>
  </si>
  <si>
    <t>Celine Fey</t>
  </si>
  <si>
    <t>EU-45032</t>
  </si>
  <si>
    <t>2026-06-30 12:23:27</t>
  </si>
  <si>
    <t>Breitenrathstraße  7, UG, Netphen, Netphen</t>
  </si>
  <si>
    <t>10363663-10415640</t>
  </si>
  <si>
    <t>Ferber</t>
  </si>
  <si>
    <t>EU-45020</t>
  </si>
  <si>
    <t>2026-06-30 12:23:56</t>
  </si>
  <si>
    <t>Pfarrer Flock Str 1, Buchdorf, Buchdorf</t>
  </si>
  <si>
    <t>10363670-10415647</t>
  </si>
  <si>
    <t>EU-45021</t>
  </si>
  <si>
    <t>2026-06-30 12:24:25</t>
  </si>
  <si>
    <t>10363678-10415655</t>
  </si>
  <si>
    <t>Hudziak</t>
  </si>
  <si>
    <t>Pascal</t>
  </si>
  <si>
    <t>EU-45028</t>
  </si>
  <si>
    <t>2026-06-30 12:25:01</t>
  </si>
  <si>
    <t>Rue de Beauval 36, Sprimont, Sprimont</t>
  </si>
  <si>
    <t>10364328-10416315</t>
  </si>
  <si>
    <t>Jan Gerrit</t>
  </si>
  <si>
    <t>Westerhof</t>
  </si>
  <si>
    <t>EU-45038</t>
  </si>
  <si>
    <t>2026-06-30 12:36:41</t>
  </si>
  <si>
    <t>Dreef 180, B, Overijse, Overijse</t>
  </si>
  <si>
    <t>10364336-10416323</t>
  </si>
  <si>
    <t>Ruth Gannon</t>
  </si>
  <si>
    <t>EU-45039</t>
  </si>
  <si>
    <t>2026-06-30 12:39:49</t>
  </si>
  <si>
    <t>36 Frascati Park, Blackrock, Blackrock, Dublin</t>
  </si>
  <si>
    <t>A94 WV07</t>
  </si>
  <si>
    <t>TOWLB-CAB-XL-LTBLU-R,TOWLB-DES-LG-SWTESC,TOWLB-DES-LG-TROPTRT,TOWLB-DES-XL-GRECSHR,TOWLB-SUM-XL-UNICN-R</t>
  </si>
  <si>
    <t>10364333-10416320</t>
  </si>
  <si>
    <t>Maartje</t>
  </si>
  <si>
    <t>Zwakenberg</t>
  </si>
  <si>
    <t>EU-45040</t>
  </si>
  <si>
    <t>2026-06-30 12:41:18</t>
  </si>
  <si>
    <t>Papenweg 43, Bunde, Bunde</t>
  </si>
  <si>
    <t>6241 BR</t>
  </si>
  <si>
    <t>TOWLB-SUM-LG-COLAGN,TOWLB-SUM-LG-MIAMI,TOWLH-DES-LG-TIGPALM</t>
  </si>
  <si>
    <t>10364338-10416325</t>
  </si>
  <si>
    <t>Weibert</t>
  </si>
  <si>
    <t>EU-45041</t>
  </si>
  <si>
    <t>2026-06-30 12:43:56</t>
  </si>
  <si>
    <t>Uhlandstraße 8, Kirchheim am Ries, Kirchheim am Ries</t>
  </si>
  <si>
    <t>TOWLB-CAB-LG-LTBGE-R,TOWLB-DES-LG-MELLOW</t>
  </si>
  <si>
    <t>10364330-10416317</t>
  </si>
  <si>
    <t>Sullivan</t>
  </si>
  <si>
    <t>EU-45037</t>
  </si>
  <si>
    <t>2026-06-30 12:44:44</t>
  </si>
  <si>
    <t>42 Cranmer Place, Cranmer Lane, Dublin 4, Dublin</t>
  </si>
  <si>
    <t>D04 EE36</t>
  </si>
  <si>
    <t>10364570-10416560</t>
  </si>
  <si>
    <t>MYPUP CSKTH</t>
  </si>
  <si>
    <t>VESHCN</t>
  </si>
  <si>
    <t>EU-45043</t>
  </si>
  <si>
    <t>2026-06-30 12:47:52</t>
  </si>
  <si>
    <t>Argus House  19 Blackpitts, Dublin 8, Dublin</t>
  </si>
  <si>
    <t>D08 CTX3</t>
  </si>
  <si>
    <t>10345866-10397790</t>
  </si>
  <si>
    <t>Rapp</t>
  </si>
  <si>
    <t>306-5169165-8237902</t>
  </si>
  <si>
    <t>Mies Van Der Rohe Haus, Oberseestraße 60, Berlin, Berlin</t>
  </si>
  <si>
    <t>10331557-10383355</t>
  </si>
  <si>
    <t>Kathöfer</t>
  </si>
  <si>
    <t>304-1469260-7873926</t>
  </si>
  <si>
    <t>Rote Erde 11a, Oelde, Oelde</t>
  </si>
  <si>
    <t xml:space="preserve">0   </t>
  </si>
  <si>
    <t>10247714-10298471</t>
  </si>
  <si>
    <t>Sili</t>
  </si>
  <si>
    <t>EU-43237</t>
  </si>
  <si>
    <t>John-F-Kennedy-Allee 9, Remseck am Neckar, Remseck am Neckar</t>
  </si>
  <si>
    <t>TOWLB-CAB-XL-BLUE-R,TOWLB-CAB-XL-KHAKI-R</t>
  </si>
  <si>
    <t>Supplier</t>
  </si>
  <si>
    <t>Product Name</t>
  </si>
  <si>
    <t>Completed</t>
  </si>
  <si>
    <t>Container</t>
  </si>
  <si>
    <t>Size</t>
  </si>
  <si>
    <t>Pallets</t>
  </si>
  <si>
    <t>Cartons</t>
  </si>
  <si>
    <t>SKUs</t>
  </si>
  <si>
    <t>Items</t>
  </si>
  <si>
    <t>Charge</t>
  </si>
  <si>
    <t>Non-Conformance</t>
  </si>
  <si>
    <t>Shipping</t>
  </si>
  <si>
    <t>Other</t>
  </si>
  <si>
    <t>Total</t>
  </si>
  <si>
    <t>112657-114368</t>
  </si>
  <si>
    <t>TRF-1733671A</t>
  </si>
  <si>
    <t>Euro</t>
  </si>
  <si>
    <t>2026-06-17 10:26:45</t>
  </si>
  <si>
    <t>NO</t>
  </si>
  <si>
    <t>112698-114411</t>
  </si>
  <si>
    <t>leftovers from POs</t>
  </si>
  <si>
    <t>Product Channel</t>
  </si>
  <si>
    <t>Received Date</t>
  </si>
  <si>
    <t>Return Charges</t>
  </si>
  <si>
    <t>Prepaid Label</t>
  </si>
  <si>
    <t>Creator</t>
  </si>
  <si>
    <t>10142829-10192575</t>
  </si>
  <si>
    <t>EU-41941</t>
  </si>
  <si>
    <t>Aida Zemtsovski, Fermanagh-Weg8, Bielefeld, Bielefeld, Germany</t>
  </si>
  <si>
    <t>2026-05-18 04:37:53</t>
  </si>
  <si>
    <t>2026-06-01 07:03:53</t>
  </si>
  <si>
    <t>nataliia zhuravel</t>
  </si>
  <si>
    <t>10119193-10168516</t>
  </si>
  <si>
    <t>EU-41710</t>
  </si>
  <si>
    <t>Vilde Reitan, Margrethes Fryd 17 AKristiansund, Kristiansund, Norway</t>
  </si>
  <si>
    <t>2026-05-11 05:36:19</t>
  </si>
  <si>
    <t>2026-06-01 07:12:00</t>
  </si>
  <si>
    <t>10148994-10198863</t>
  </si>
  <si>
    <t>EU-42014</t>
  </si>
  <si>
    <t>Kerstin Sauer, Hanauer Str 16Alzenau, Alzenau, Germany</t>
  </si>
  <si>
    <t>2026-05-18 10:52:36</t>
  </si>
  <si>
    <t>2026-06-01 07:22:58</t>
  </si>
  <si>
    <t>10061325-10109704</t>
  </si>
  <si>
    <t>EU-41231</t>
  </si>
  <si>
    <t>Carlo Semprebene, Via del Serafico 106Palazzina B interno 18, Roma, Roma, Italy</t>
  </si>
  <si>
    <t>2026-04-27 06:05:26</t>
  </si>
  <si>
    <t>2026-06-01 08:05:53</t>
  </si>
  <si>
    <t>10018835-10066715</t>
  </si>
  <si>
    <t>EU-40970</t>
  </si>
  <si>
    <t>2026-04-16 05:11:51</t>
  </si>
  <si>
    <t>2026-06-05 06:13:56</t>
  </si>
  <si>
    <t>10159275-10209247</t>
  </si>
  <si>
    <t>EU-42150</t>
  </si>
  <si>
    <t>Lonneke Sattelmeijer, Weegbreestraat163, Soest, Soest, Netherlands</t>
  </si>
  <si>
    <t>2026-05-19 07:17:59</t>
  </si>
  <si>
    <t>2026-06-05 06:18:07</t>
  </si>
  <si>
    <t>Inga Mülheims, Am Grün 1Zimmer 205, Marburg, Marburg, Germany</t>
  </si>
  <si>
    <t>2026-06-05 06:19:59</t>
  </si>
  <si>
    <t>10122302-10171638</t>
  </si>
  <si>
    <t>EU-41753</t>
  </si>
  <si>
    <t>Nathalie Sachs, Grimmstr22Düsseldorf, Düsseldorf, Germany</t>
  </si>
  <si>
    <t>2026-05-12 05:25:06</t>
  </si>
  <si>
    <t>2026-06-05 06:22:52</t>
  </si>
  <si>
    <t>Anika Pisalski, Kummerower Ring 15Berlin, Berlin, Germany</t>
  </si>
  <si>
    <t>2026-06-05 06:24:16</t>
  </si>
  <si>
    <t>10109887-10158843</t>
  </si>
  <si>
    <t>EU-41609</t>
  </si>
  <si>
    <t>Sabrina Baudrexl-Klomp, Frühlingstraße 38IBaldham, Baldham, Germany</t>
  </si>
  <si>
    <t>2026-05-06 11:48:26</t>
  </si>
  <si>
    <t>2026-06-05 06:29:52</t>
  </si>
  <si>
    <t>10097815-10146654</t>
  </si>
  <si>
    <t>EU-41507</t>
  </si>
  <si>
    <t>Pauline Dillon, CarheendooLoughrea, Co. Galway, Galway, Ireland</t>
  </si>
  <si>
    <t>2026-05-04 10:17:59</t>
  </si>
  <si>
    <t>2026-06-05 06:41:22</t>
  </si>
  <si>
    <t>10165239-10215270</t>
  </si>
  <si>
    <t>EU-42207</t>
  </si>
  <si>
    <t>Anna-Maria Schölderle, Gartenstraße 2aEgling, Egling, Germany</t>
  </si>
  <si>
    <t>2026-05-20 06:51:30</t>
  </si>
  <si>
    <t>2026-06-05 06:48:40</t>
  </si>
  <si>
    <t>Yvonne Brunotte, Rehmbrook 79 AHamburg, Hamburg, Germany</t>
  </si>
  <si>
    <t>2026-06-22 08:39:24</t>
  </si>
  <si>
    <t>Avry Eaddy Holmes</t>
  </si>
  <si>
    <t>10135451-10185037</t>
  </si>
  <si>
    <t>EU-41872</t>
  </si>
  <si>
    <t>Sabrina Meinel, Eichenweg 5Weischlitz/ Reuth, Weischlitz/ Reuth, Germany</t>
  </si>
  <si>
    <t>2026-05-13 06:10:03</t>
  </si>
  <si>
    <t>2026-06-09 07:54:47</t>
  </si>
  <si>
    <t>Sarah Haag, Reinsburgstraße 110Stuttgart, Stuttgart, Germany</t>
  </si>
  <si>
    <t>2026-06-09 07:56:42</t>
  </si>
  <si>
    <t>10175198-10225291</t>
  </si>
  <si>
    <t>EU-42263</t>
  </si>
  <si>
    <t>Karla Johannsen, Konrad-Adenauer-Straße 49 49Fachwerkhaus, Wachtberg, Wachtberg, Germany</t>
  </si>
  <si>
    <t>2026-05-21 05:46:34</t>
  </si>
  <si>
    <t>2026-06-09 08:01:20</t>
  </si>
  <si>
    <t>Artur Budnik, Sophienstraße 18Karlsruhe, Karlsruhe, Germany</t>
  </si>
  <si>
    <t>2026-06-09 08:04:11</t>
  </si>
  <si>
    <t>Claire Brady, Nassauische Straße 31Berlin, Berlin, Germany</t>
  </si>
  <si>
    <t>2026-06-09 08:10:56</t>
  </si>
  <si>
    <t>Virginie Muhl, Banker Feld Str 161Aachen, Nordrhein-Westfalen, Germany</t>
  </si>
  <si>
    <t>2026-06-09 08:13:05</t>
  </si>
  <si>
    <t>Natalie Höllig, Rondeel 39Hamburg, Hamburg, Germany</t>
  </si>
  <si>
    <t>2026-06-09 08:53:06</t>
  </si>
  <si>
    <t>Trudi Kay, Limburghof 11Amsterdam, Amsterdam, Netherlands</t>
  </si>
  <si>
    <t>2026-06-23 07:20:05</t>
  </si>
  <si>
    <t>Rose Spencer</t>
  </si>
  <si>
    <t>Vanessa da Cruz, Herrenbergstraße 22Bühl, Bühl, Germany</t>
  </si>
  <si>
    <t>2026-06-11 09:44:33</t>
  </si>
  <si>
    <t>Tora Heggvik, Amalie Skrams vei 255036 Bergen, BERGEN, BERGEN, Norway</t>
  </si>
  <si>
    <t>2026-06-11 09:46:23</t>
  </si>
  <si>
    <t>10160157-10210134</t>
  </si>
  <si>
    <t>EU-42160</t>
  </si>
  <si>
    <t>Birgit Keiser, Am Lusthaus 28Köln, Köln, Germany</t>
  </si>
  <si>
    <t>2026-05-19 07:15:01</t>
  </si>
  <si>
    <t>2026-06-11 09:49:04</t>
  </si>
  <si>
    <t>Holz und Plott Gbr, Oberviehmoos 9Oberviehmoos, Moosthenning, Moosthenning, Germany</t>
  </si>
  <si>
    <t>2026-06-11 09:51:01</t>
  </si>
  <si>
    <t>10181322-10231516</t>
  </si>
  <si>
    <t>EU-42318</t>
  </si>
  <si>
    <t>Anna Lisina, Kapellenstr29, Mainz, Mainz, Germany</t>
  </si>
  <si>
    <t>2026-05-22 08:19:12</t>
  </si>
  <si>
    <t>2026-06-11 10:08:22</t>
  </si>
  <si>
    <t>Jennifer Dedic, Oewerweg 15Bremen, Bremen, Germany</t>
  </si>
  <si>
    <t>2026-06-11 10:25:04</t>
  </si>
  <si>
    <t>Anke Seelig, Backhausstraße 5Kriftel, Kriftel, Germany</t>
  </si>
  <si>
    <t>2026-06-11 11:01:54</t>
  </si>
  <si>
    <t>Katharina Türke, Peters Gärten 5Bad Bentheim, Bad Bentheim, Germany</t>
  </si>
  <si>
    <t>2026-06-11 12:15:58</t>
  </si>
  <si>
    <t>Nathalie Nathalie, Ludwigkirchstr 10aBerlin, Berlin, Germany</t>
  </si>
  <si>
    <t>2026-06-12 06:54:46</t>
  </si>
  <si>
    <t>Marcia Demin, BoskouterstraatBoutersem, Boutersem, Belgium</t>
  </si>
  <si>
    <t>2026-06-12 08:01:38</t>
  </si>
  <si>
    <t>Margit van Hasselt, Jacobus BellamylaanBussum, Bussum, Netherlands</t>
  </si>
  <si>
    <t>2026-06-12 08:04:26</t>
  </si>
  <si>
    <t>10209403-10259553</t>
  </si>
  <si>
    <t>EU-42728</t>
  </si>
  <si>
    <t>Andrea Musumeci, Osona 71-1, Barcelona, Barcelona, Spain</t>
  </si>
  <si>
    <t>2026-05-28 09:27:19</t>
  </si>
  <si>
    <t>2026-06-12 09:25:14</t>
  </si>
  <si>
    <t>10163734-10213745</t>
  </si>
  <si>
    <t>EU-42193</t>
  </si>
  <si>
    <t>avril beaton, poulmaleencarrick on suir, carrick on suir, Tipperary, Ireland</t>
  </si>
  <si>
    <t>2026-05-20 04:25:47</t>
  </si>
  <si>
    <t>2026-06-12 09:38:30</t>
  </si>
  <si>
    <t>10162087-10212067</t>
  </si>
  <si>
    <t>EU-42174</t>
  </si>
  <si>
    <t>Lisa van Kevelaer, Tiggeskamp 25Beckum, Beckum, Germany</t>
  </si>
  <si>
    <t>2026-05-19 09:49:57</t>
  </si>
  <si>
    <t>2026-06-12 09:47:58</t>
  </si>
  <si>
    <t>Anna Vartanova, Kyriakou Matsi 53501, Nicosia, Nicosia, Cyprus</t>
  </si>
  <si>
    <t>2026-06-12 10:10:54</t>
  </si>
  <si>
    <t>Laura Ta, Am Rudolf-Widmann-Bogen 13DStarnberg, Starnberg, Germany</t>
  </si>
  <si>
    <t>2026-06-15 10:19:36</t>
  </si>
  <si>
    <t>Isabell Hofmann, Panoramastraße 4Neckarwestheim, Neckarwestheim, Germany</t>
  </si>
  <si>
    <t>2026-06-15 11:22:45</t>
  </si>
  <si>
    <t>Silje Jacobsen, Arnljot Gellines Vei 35Oslo, Oslo, Norway</t>
  </si>
  <si>
    <t>2026-06-15 11:33:22</t>
  </si>
  <si>
    <t>10183699-10233928</t>
  </si>
  <si>
    <t>EU-42336</t>
  </si>
  <si>
    <t>pamela feldmann, Speestrasse 3Gronau, Gronau, Germany</t>
  </si>
  <si>
    <t>2026-05-26 05:02:33</t>
  </si>
  <si>
    <t>2026-06-16 06:25:01</t>
  </si>
  <si>
    <t>AMAZON WRO5, Hamburger StrNuernberg, Bavaria, Germany</t>
  </si>
  <si>
    <t>2026-06-17 11:04:10</t>
  </si>
  <si>
    <t>Eva Strobel, Penzendorfer Straße 63b5Schwabach, Schwabach, Germany</t>
  </si>
  <si>
    <t>2026-06-29 09:15:06</t>
  </si>
  <si>
    <t>Andrea Ayasse, Steinachweg 2/1Sindelfingen, Sindelfingen, Germany</t>
  </si>
  <si>
    <t>2026-06-22 07:20:13</t>
  </si>
  <si>
    <t>Olga Downey, BallyknockanGlenfiled, Portlaoise, Laois, Ireland</t>
  </si>
  <si>
    <t>2026-06-22 07:23:56</t>
  </si>
  <si>
    <t>Clémentine Razaoarinelina-Hickl, Donato-Polli-Straße 46Erlangen, Erlangen, Germany</t>
  </si>
  <si>
    <t>2026-06-22 08:16:30</t>
  </si>
  <si>
    <t>Alexandra Zimmermann, Buchauerstraße 32Munich, Munich, Germany</t>
  </si>
  <si>
    <t>2026-06-22 09:26:16</t>
  </si>
  <si>
    <t>Georgina Unanue, Austrasse 54Zürich, Zürich, Switzerland</t>
  </si>
  <si>
    <t>2026-06-22 09:29:26</t>
  </si>
  <si>
    <t>10196046-10246301</t>
  </si>
  <si>
    <t>EU-42518</t>
  </si>
  <si>
    <t>Cherene Kruger, Ruizendaallaan 47Eemnes, Eemnes, Netherlands</t>
  </si>
  <si>
    <t>2026-05-26 09:49:35</t>
  </si>
  <si>
    <t>2026-06-22 09:38:33</t>
  </si>
  <si>
    <t>Yaron Toonen, BosschewegTilburg, Tilburg, Netherlands</t>
  </si>
  <si>
    <t>2026-06-22 09:43:47</t>
  </si>
  <si>
    <t>Sandra Lanz, Am Brauhaus 14Erdgeschoss, Erfurt, Erfurt, Germany</t>
  </si>
  <si>
    <t>2026-06-22 09:48:27</t>
  </si>
  <si>
    <t>10155124-10205018</t>
  </si>
  <si>
    <t>EU-42106</t>
  </si>
  <si>
    <t>Sophie Wehner, Tiergartenstraße 105Innsbruck, Innsbruck, Austria</t>
  </si>
  <si>
    <t>2026-05-20 09:50:12</t>
  </si>
  <si>
    <t>2026-06-22 10:01:06</t>
  </si>
  <si>
    <t>Stefanie Böhne, Johannesweg 3Leopoldshöhe, Leopoldshöhe, Germany</t>
  </si>
  <si>
    <t>2026-06-23 05:58:46</t>
  </si>
  <si>
    <t>Natalie Wetter, Am Stadtbach 8Zofingen, Zofingen, Switzerland</t>
  </si>
  <si>
    <t>2026-06-23 06:08:54</t>
  </si>
  <si>
    <t>Anja Troschau, Storchgasse 18Frankfurt Am Main, Frankfurt Am Main, Germany</t>
  </si>
  <si>
    <t>2026-06-23 06:16:54</t>
  </si>
  <si>
    <t>Mathea Schwangler, Raiffeisenstraße 13Petting, Petting, Germany</t>
  </si>
  <si>
    <t>2026-06-23 06:35:43</t>
  </si>
  <si>
    <t>Silke Juric, Graf-Arco-StraßeStein an der Traun, Stein an der Traun, Germany</t>
  </si>
  <si>
    <t>2026-06-23 12:12:31</t>
  </si>
  <si>
    <t>Tessa Van der starre, Noeneketouwhof 2Aalsmeer, Aalsmeer, Netherlands</t>
  </si>
  <si>
    <t>2026-06-24 07:24:03</t>
  </si>
  <si>
    <t>Neele -, Sodekamp BöckmannPropst Schrull Weg 8, Telgte, Telgte, Germany</t>
  </si>
  <si>
    <t>2026-06-24 07:52:29</t>
  </si>
  <si>
    <t>Vanessa Bier, Hirtenwiesenstraße 10Ebsdorfergrund, Ebsdorfergrund, Germany</t>
  </si>
  <si>
    <t>2026-06-24 07:59:07</t>
  </si>
  <si>
    <t>2026-06-24 09:50:17</t>
  </si>
  <si>
    <t>2026-06-24 10:05:15</t>
  </si>
  <si>
    <t>10040159-10088270</t>
  </si>
  <si>
    <t>EUWS-3005</t>
  </si>
  <si>
    <t>Lorenzo Osti, CFG Overseas SRLSP39 "della Cerca" , km 15,440, Liscante, MI, Italy</t>
  </si>
  <si>
    <t>2026-04-29 06:44:00</t>
  </si>
  <si>
    <t>2026-06-24 11:03:03</t>
  </si>
  <si>
    <t>2026-06-29 08:46:01</t>
  </si>
  <si>
    <t>10196915-10247178</t>
  </si>
  <si>
    <t>EU-42543</t>
  </si>
  <si>
    <t>Fabio Kilgenstein, Wenighösbacher Straße 34Hösbach, Hösbach, Germany</t>
  </si>
  <si>
    <t>2026-05-26 10:22:58</t>
  </si>
  <si>
    <t>2026-06-29 08:49:11</t>
  </si>
  <si>
    <t>Rebecca Schlechter, Prinzenstraße 20Göttingen, Göttingen, Germany</t>
  </si>
  <si>
    <t>2026-06-29 08:51:08</t>
  </si>
  <si>
    <t>Dora Rakovac, Iločka 4Split, Split, Split, Croatia</t>
  </si>
  <si>
    <t>2026-06-29 08:53:41</t>
  </si>
  <si>
    <t>Roupina Ioannou, Pavlou Valdaseride36 Ioannou Shoes, Larnaca, Larnaca, Cyprus</t>
  </si>
  <si>
    <t>2026-06-29 08:56:15</t>
  </si>
  <si>
    <t>Kaiser Celine, Firnhaberstraße 8Augsburg, Augsburg, Germany</t>
  </si>
  <si>
    <t>2026-06-29 09:02:21</t>
  </si>
  <si>
    <t>Nadine Stepanek, An der Schanz 2Wohnung 248, Köln, Köln, Germany</t>
  </si>
  <si>
    <t>2026-06-29 09:09:54</t>
  </si>
  <si>
    <t>Ursula Van Westendorp, Van BergenlaanWassenaar, Wassenaar, Netherlands</t>
  </si>
  <si>
    <t>2026-06-29 09:12:52</t>
  </si>
  <si>
    <t>Victoria Mellor, 23 rue du CrèsFrance, France, France</t>
  </si>
  <si>
    <t>2026-06-29 09:18:13</t>
  </si>
  <si>
    <t>Koen Hee, Van der Weeghensingel's-Hertogenbosch, 's-Hertogenbosch, Netherlands</t>
  </si>
  <si>
    <t>2026-06-29 09:20:50</t>
  </si>
  <si>
    <t>2026-06-29 09:31:27</t>
  </si>
  <si>
    <t>Anna Priovolos, Route de Lausanne 141Prangins, Prangins, Switzerland</t>
  </si>
  <si>
    <t>2026-06-29 09:36:19</t>
  </si>
  <si>
    <t>Karin Schönebeck, Carl-von-Noorden-Platz 16FRANKFURT, FRANKFURT, Germany</t>
  </si>
  <si>
    <t>2026-06-29 09:40:44</t>
  </si>
  <si>
    <t>2026-06-29 11:45:43</t>
  </si>
  <si>
    <t>Annika Will-Fuchs, Hintere Gasse 70Römhild, Römhild, Germany</t>
  </si>
  <si>
    <t>2026-06-30 06:49:52</t>
  </si>
  <si>
    <t>9856920-9902973</t>
  </si>
  <si>
    <t>FBA15LJCFZLB</t>
  </si>
  <si>
    <t>2026-03-11 12:56:18</t>
  </si>
  <si>
    <t>2026-06-30 08:54:13</t>
  </si>
  <si>
    <t>9832712-9878457</t>
  </si>
  <si>
    <t>FBA15LHPW8P6</t>
  </si>
  <si>
    <t>AMAZON DTM2, Kaltbandstraße 4Dortmund, Dortmund, Germany</t>
  </si>
  <si>
    <t>2026-03-06 12:48:15</t>
  </si>
  <si>
    <t>2026-06-30 09:17:18</t>
  </si>
  <si>
    <t>9845670-9891582</t>
  </si>
  <si>
    <t>FBA15LJ50LRJ</t>
  </si>
  <si>
    <t>2026-03-12 12:00:26</t>
  </si>
  <si>
    <t>2026-06-30 09:53:47</t>
  </si>
  <si>
    <t>9856917-9902970</t>
  </si>
  <si>
    <t>FBA15LJCRSNS</t>
  </si>
  <si>
    <t>AMAZON HAJ1, Zur Alten Molkerei 1Helmstedt, Germany</t>
  </si>
  <si>
    <t>2026-03-12 09:47:52</t>
  </si>
  <si>
    <t>2026-06-30 10:08:50</t>
  </si>
  <si>
    <t>2026-06-30 10:22:45</t>
  </si>
  <si>
    <t>9891785-9938200</t>
  </si>
  <si>
    <t>FBA15LKF23JW</t>
  </si>
  <si>
    <t>2026-03-23 13:04:48</t>
  </si>
  <si>
    <t>2026-06-30 11:55:43</t>
  </si>
  <si>
    <t>Xinyang Eulenbach, Nürberger Str 19Berlin, Berlin, Germany</t>
  </si>
  <si>
    <t>2026-06-30 12:19:16</t>
  </si>
  <si>
    <t>Name</t>
  </si>
  <si>
    <t>Date</t>
  </si>
  <si>
    <t>Product Pallets</t>
  </si>
  <si>
    <t>Product Tote Pallets</t>
  </si>
  <si>
    <t>Packaging Pallets</t>
  </si>
  <si>
    <t>Packaging Tote Pallets</t>
  </si>
  <si>
    <t>Extended Pallets</t>
  </si>
  <si>
    <t>Quarantine Pallets</t>
  </si>
  <si>
    <t>Quarantine Tote Pallets</t>
  </si>
  <si>
    <t>Pallet Storage (Bocholt)</t>
  </si>
  <si>
    <t>01-06/2026</t>
  </si>
  <si>
    <t>02-06/2026</t>
  </si>
  <si>
    <t>03-06/2026</t>
  </si>
  <si>
    <t>04-06/2026</t>
  </si>
  <si>
    <t>05-06/2026</t>
  </si>
  <si>
    <t>06-06/2026</t>
  </si>
  <si>
    <t>07-06/2026</t>
  </si>
  <si>
    <t>08-06/2026</t>
  </si>
  <si>
    <t>09-06/2026</t>
  </si>
  <si>
    <t>10-06/2026</t>
  </si>
  <si>
    <t>11-06/2026</t>
  </si>
  <si>
    <t>12-06/2026</t>
  </si>
  <si>
    <t>13-06/2026</t>
  </si>
  <si>
    <t>14-06/2026</t>
  </si>
  <si>
    <t>15-06/2026</t>
  </si>
  <si>
    <t>16-06/2026</t>
  </si>
  <si>
    <t>17-06/2026</t>
  </si>
  <si>
    <t>18-06/2026</t>
  </si>
  <si>
    <t>19-06/2026</t>
  </si>
  <si>
    <t>20-06/2026</t>
  </si>
  <si>
    <t>21-06/2026</t>
  </si>
  <si>
    <t>22-06/2026</t>
  </si>
  <si>
    <t>23-06/2026</t>
  </si>
  <si>
    <t>24-06/2026</t>
  </si>
  <si>
    <t>25-06/2026</t>
  </si>
  <si>
    <t>26-06/2026</t>
  </si>
  <si>
    <t>27-06/2026</t>
  </si>
  <si>
    <t>28-06/2026</t>
  </si>
  <si>
    <t>29-06/2026</t>
  </si>
  <si>
    <t>30-06/2026</t>
  </si>
  <si>
    <t>Group</t>
  </si>
  <si>
    <t>Type</t>
  </si>
  <si>
    <t>GBP Value</t>
  </si>
  <si>
    <t>Currency Code</t>
  </si>
  <si>
    <t>Currency id</t>
  </si>
  <si>
    <t>Organisation Charges</t>
  </si>
  <si>
    <t>product_channel</t>
  </si>
  <si>
    <t>Blade Licence Fee</t>
  </si>
  <si>
    <t>GBP</t>
  </si>
  <si>
    <t>BRITISH POUND</t>
  </si>
  <si>
    <t>Christchurch</t>
  </si>
  <si>
    <t>CHR</t>
  </si>
  <si>
    <t>3rd party intergration - IT Dev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</si>
</sst>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£-809]* #,##0.00_-;\-[$£-809]* #,##0.00_-;_-[$£-809]* &quot;-&quot;??_-;_-@_-"/>
    <numFmt numFmtId="167" formatCode="_-[$€-2]\ * #,##0.00_-;\-[$€-2]\ * #,##0.00_-;_-[$€-2]\ * &quot;-&quot;??_-;_-@_-"/>
  </numFmts>
  <fonts count="4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1" applyFont="1"/>
    <xf numFmtId="165" fontId="1" fillId="0" borderId="0" xfId="1" applyFont="1"/>
    <xf numFmtId="165" fontId="0" fillId="0" borderId="0" xfId="0" applyNumberFormat="1"/>
    <xf numFmtId="0" fontId="1" fillId="0" borderId="0" xfId="2" applyFont="1"/>
    <xf numFmtId="0" fontId="2" fillId="0" borderId="0" xfId="2"/>
    <xf numFmtId="166" fontId="2" fillId="0" borderId="0" xfId="2" applyNumberFormat="1"/>
    <xf numFmtId="167" fontId="1" fillId="0" borderId="1" xfId="1" applyNumberFormat="1" applyFont="1" applyBorder="1"/>
    <xf numFmtId="167" fontId="1" fillId="0" borderId="1" xfId="3" applyNumberFormat="1" applyFont="1" applyBorder="1"/>
    <xf numFmtId="167" fontId="1" fillId="0" borderId="0" xfId="1" applyNumberFormat="1" applyFont="1"/>
    <xf numFmtId="166" fontId="1" fillId="0" borderId="1" xfId="2" applyNumberFormat="1" applyFont="1" applyBorder="1"/>
    <xf numFmtId="167" fontId="2" fillId="0" borderId="0" xfId="2" applyNumberFormat="1"/>
  </cellXfs>
  <cellStyles count="4">
    <cellStyle name="Comma" xfId="1" builtinId="3"/>
    <cellStyle name="Currency" xfId="3" builtinId="4"/>
    <cellStyle name="Normal" xfId="0" builtinId="0"/>
    <cellStyle name="Normal 2" xfId="2" xr:uid="{23939099-AEF2-4F13-87C1-7D8014D143E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1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"/>
  <cols>
    <col min="2" max="2" width="20.5703125" customWidth="1"/>
    <col min="4" max="4" width="14.7109375" customWidth="1"/>
    <col min="20" max="20" width="11.28515625" customWidth="1"/>
    <col min="21" max="21" width="10" bestFit="1" customWidth="1"/>
    <col min="22" max="22" width="13.42578125" customWidth="1"/>
    <col min="24" max="24" width="35" customWidth="1"/>
    <col min="25" max="25" width="14.140625" customWidth="1"/>
    <col min="29" max="29" width="12.28515625" customWidth="1"/>
    <col min="30" max="35" width="9.28515625" bestFit="1" customWidth="1"/>
    <col min="36" max="37" width="12.855468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10155357</v>
      </c>
      <c r="B2" t="s">
        <v>37</v>
      </c>
      <c r="C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>
        <v>1197</v>
      </c>
      <c r="L2" t="s">
        <v>45</v>
      </c>
      <c r="M2" t="s">
        <v>46</v>
      </c>
      <c r="N2" t="s">
        <v>47</v>
      </c>
      <c r="O2">
        <v>2</v>
      </c>
      <c r="P2">
        <v>1</v>
      </c>
      <c r="Q2">
        <v>0</v>
      </c>
      <c r="R2" t="s">
        <v>48</v>
      </c>
      <c r="S2" t="s">
        <v>49</v>
      </c>
      <c r="T2" s="3">
        <v>0</v>
      </c>
      <c r="U2" s="3">
        <v>0</v>
      </c>
      <c r="V2" s="3">
        <v>0</v>
      </c>
      <c r="W2">
        <v>5.5</v>
      </c>
      <c r="X2" t="s">
        <v>50</v>
      </c>
      <c r="Y2" s="3">
        <v>48.53</v>
      </c>
      <c r="Z2" t="s">
        <v>51</v>
      </c>
      <c r="AA2" t="s">
        <v>52</v>
      </c>
      <c r="AB2" t="s">
        <v>53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f t="shared" ref="AJ2:AJ65" si="0">AI2+AH2+AG2+AF2+AE2+AD2+AC2+Y2+V2+U2+T2</f>
        <v>48.53</v>
      </c>
      <c r="AK2" s="3">
        <f t="shared" ref="AK2:AK65" si="1">AJ2-Y2</f>
        <v>0</v>
      </c>
    </row>
    <row r="3" spans="1:37">
      <c r="A3">
        <v>10139134</v>
      </c>
      <c r="B3" t="s">
        <v>37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42</v>
      </c>
      <c r="I3" t="s">
        <v>59</v>
      </c>
      <c r="J3" t="s">
        <v>60</v>
      </c>
      <c r="K3" t="s">
        <v>61</v>
      </c>
      <c r="L3" t="s">
        <v>62</v>
      </c>
      <c r="M3" t="s">
        <v>46</v>
      </c>
      <c r="N3" t="s">
        <v>47</v>
      </c>
      <c r="O3">
        <v>91</v>
      </c>
      <c r="P3">
        <v>2</v>
      </c>
      <c r="Q3">
        <v>0</v>
      </c>
      <c r="R3" t="s">
        <v>48</v>
      </c>
      <c r="S3" t="s">
        <v>49</v>
      </c>
      <c r="T3" s="3">
        <v>0</v>
      </c>
      <c r="U3" s="3">
        <v>0</v>
      </c>
      <c r="V3" s="3">
        <v>0</v>
      </c>
      <c r="W3">
        <v>27.84</v>
      </c>
      <c r="X3" t="s">
        <v>50</v>
      </c>
      <c r="Y3" s="3">
        <v>38.630000000000003</v>
      </c>
      <c r="Z3" t="s">
        <v>63</v>
      </c>
      <c r="AA3" t="s">
        <v>64</v>
      </c>
      <c r="AB3" t="s">
        <v>53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f t="shared" si="0"/>
        <v>38.630000000000003</v>
      </c>
      <c r="AK3" s="3">
        <f t="shared" si="1"/>
        <v>0</v>
      </c>
    </row>
    <row r="4" spans="1:37">
      <c r="A4">
        <v>10179479</v>
      </c>
      <c r="B4" t="s">
        <v>37</v>
      </c>
      <c r="C4" t="s">
        <v>65</v>
      </c>
      <c r="E4" t="s">
        <v>66</v>
      </c>
      <c r="F4" t="s">
        <v>67</v>
      </c>
      <c r="G4" t="s">
        <v>68</v>
      </c>
      <c r="H4" t="s">
        <v>42</v>
      </c>
      <c r="I4" t="s">
        <v>69</v>
      </c>
      <c r="J4" t="s">
        <v>70</v>
      </c>
      <c r="K4">
        <v>35037</v>
      </c>
      <c r="L4" t="s">
        <v>71</v>
      </c>
      <c r="M4" t="s">
        <v>46</v>
      </c>
      <c r="N4" t="s">
        <v>47</v>
      </c>
      <c r="O4">
        <v>1</v>
      </c>
      <c r="P4">
        <v>1</v>
      </c>
      <c r="Q4">
        <v>0</v>
      </c>
      <c r="R4" t="s">
        <v>48</v>
      </c>
      <c r="S4" t="s">
        <v>49</v>
      </c>
      <c r="T4" s="3">
        <v>0</v>
      </c>
      <c r="U4" s="3">
        <v>0</v>
      </c>
      <c r="V4" s="3">
        <v>0</v>
      </c>
      <c r="W4">
        <v>1.5</v>
      </c>
      <c r="X4" t="s">
        <v>72</v>
      </c>
      <c r="Y4" s="3">
        <v>9.66</v>
      </c>
      <c r="Z4" t="s">
        <v>73</v>
      </c>
      <c r="AA4" t="s">
        <v>74</v>
      </c>
      <c r="AB4" t="s">
        <v>53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f t="shared" si="0"/>
        <v>9.66</v>
      </c>
      <c r="AK4" s="3">
        <f t="shared" si="1"/>
        <v>0</v>
      </c>
    </row>
    <row r="5" spans="1:37">
      <c r="A5">
        <v>10185792</v>
      </c>
      <c r="B5" t="s">
        <v>37</v>
      </c>
      <c r="C5" t="s">
        <v>75</v>
      </c>
      <c r="E5" t="s">
        <v>76</v>
      </c>
      <c r="F5" t="s">
        <v>77</v>
      </c>
      <c r="G5" t="s">
        <v>78</v>
      </c>
      <c r="H5" t="s">
        <v>42</v>
      </c>
      <c r="I5" t="s">
        <v>79</v>
      </c>
      <c r="J5" t="s">
        <v>80</v>
      </c>
      <c r="K5" t="s">
        <v>81</v>
      </c>
      <c r="L5" t="s">
        <v>82</v>
      </c>
      <c r="M5" t="s">
        <v>46</v>
      </c>
      <c r="N5" t="s">
        <v>47</v>
      </c>
      <c r="O5">
        <v>4</v>
      </c>
      <c r="P5">
        <v>1</v>
      </c>
      <c r="Q5">
        <v>0</v>
      </c>
      <c r="R5" t="s">
        <v>48</v>
      </c>
      <c r="S5" t="s">
        <v>49</v>
      </c>
      <c r="T5" s="3">
        <v>0</v>
      </c>
      <c r="U5" s="3">
        <v>0</v>
      </c>
      <c r="V5" s="3">
        <v>0</v>
      </c>
      <c r="W5">
        <v>2.06</v>
      </c>
      <c r="X5" t="s">
        <v>50</v>
      </c>
      <c r="Y5" s="3">
        <v>19.309999999999999</v>
      </c>
      <c r="Z5" t="s">
        <v>83</v>
      </c>
      <c r="AA5" t="s">
        <v>84</v>
      </c>
      <c r="AB5" t="s">
        <v>53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f t="shared" si="0"/>
        <v>19.309999999999999</v>
      </c>
      <c r="AK5" s="3">
        <f t="shared" si="1"/>
        <v>0</v>
      </c>
    </row>
    <row r="6" spans="1:37">
      <c r="A6">
        <v>10210479</v>
      </c>
      <c r="B6" t="s">
        <v>37</v>
      </c>
      <c r="C6" t="s">
        <v>85</v>
      </c>
      <c r="E6" t="s">
        <v>86</v>
      </c>
      <c r="F6" t="s">
        <v>87</v>
      </c>
      <c r="G6" t="s">
        <v>88</v>
      </c>
      <c r="H6" t="s">
        <v>42</v>
      </c>
      <c r="I6" t="s">
        <v>89</v>
      </c>
      <c r="J6" t="s">
        <v>90</v>
      </c>
      <c r="K6">
        <v>28055</v>
      </c>
      <c r="L6" t="s">
        <v>91</v>
      </c>
      <c r="M6" t="s">
        <v>46</v>
      </c>
      <c r="N6" t="s">
        <v>47</v>
      </c>
      <c r="O6">
        <v>3</v>
      </c>
      <c r="P6">
        <v>1</v>
      </c>
      <c r="Q6">
        <v>0</v>
      </c>
      <c r="R6" t="s">
        <v>48</v>
      </c>
      <c r="S6" t="s">
        <v>49</v>
      </c>
      <c r="T6" s="3">
        <v>0</v>
      </c>
      <c r="U6" s="3">
        <v>0</v>
      </c>
      <c r="V6" s="3">
        <v>0</v>
      </c>
      <c r="W6">
        <v>1.45</v>
      </c>
      <c r="X6" t="s">
        <v>50</v>
      </c>
      <c r="Y6" s="3">
        <v>19.309999999999999</v>
      </c>
      <c r="Z6" t="s">
        <v>73</v>
      </c>
      <c r="AA6" t="s">
        <v>92</v>
      </c>
      <c r="AB6" t="s">
        <v>53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f t="shared" si="0"/>
        <v>19.309999999999999</v>
      </c>
      <c r="AK6" s="3">
        <f t="shared" si="1"/>
        <v>0</v>
      </c>
    </row>
    <row r="7" spans="1:37">
      <c r="A7">
        <v>10212455</v>
      </c>
      <c r="B7" t="s">
        <v>37</v>
      </c>
      <c r="C7" t="s">
        <v>93</v>
      </c>
      <c r="E7" t="s">
        <v>94</v>
      </c>
      <c r="F7" t="s">
        <v>95</v>
      </c>
      <c r="G7" t="s">
        <v>96</v>
      </c>
      <c r="H7" t="s">
        <v>42</v>
      </c>
      <c r="I7" t="s">
        <v>97</v>
      </c>
      <c r="J7" t="s">
        <v>98</v>
      </c>
      <c r="K7" t="s">
        <v>99</v>
      </c>
      <c r="L7" t="s">
        <v>62</v>
      </c>
      <c r="M7" t="s">
        <v>46</v>
      </c>
      <c r="N7" t="s">
        <v>47</v>
      </c>
      <c r="O7">
        <v>4</v>
      </c>
      <c r="P7">
        <v>1</v>
      </c>
      <c r="Q7">
        <v>0</v>
      </c>
      <c r="R7" t="s">
        <v>48</v>
      </c>
      <c r="S7" t="s">
        <v>49</v>
      </c>
      <c r="T7" s="3">
        <v>0</v>
      </c>
      <c r="U7" s="3">
        <v>0</v>
      </c>
      <c r="V7" s="3">
        <v>0</v>
      </c>
      <c r="W7">
        <v>2.06</v>
      </c>
      <c r="X7" t="s">
        <v>100</v>
      </c>
      <c r="Y7" s="3">
        <v>16.079999999999998</v>
      </c>
      <c r="Z7" t="s">
        <v>73</v>
      </c>
      <c r="AA7" t="s">
        <v>101</v>
      </c>
      <c r="AB7" t="s">
        <v>53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f t="shared" si="0"/>
        <v>16.079999999999998</v>
      </c>
      <c r="AK7" s="3">
        <f t="shared" si="1"/>
        <v>0</v>
      </c>
    </row>
    <row r="8" spans="1:37">
      <c r="A8">
        <v>10213182</v>
      </c>
      <c r="B8" t="s">
        <v>37</v>
      </c>
      <c r="C8" t="s">
        <v>102</v>
      </c>
      <c r="E8" t="s">
        <v>103</v>
      </c>
      <c r="F8" t="s">
        <v>104</v>
      </c>
      <c r="G8" t="s">
        <v>105</v>
      </c>
      <c r="H8" t="s">
        <v>42</v>
      </c>
      <c r="I8" t="s">
        <v>106</v>
      </c>
      <c r="J8" t="s">
        <v>107</v>
      </c>
      <c r="K8">
        <v>12619</v>
      </c>
      <c r="L8" t="s">
        <v>71</v>
      </c>
      <c r="M8" t="s">
        <v>46</v>
      </c>
      <c r="N8" t="s">
        <v>47</v>
      </c>
      <c r="O8">
        <v>1</v>
      </c>
      <c r="P8">
        <v>1</v>
      </c>
      <c r="Q8">
        <v>0</v>
      </c>
      <c r="R8" t="s">
        <v>48</v>
      </c>
      <c r="S8" t="s">
        <v>49</v>
      </c>
      <c r="T8" s="3">
        <v>0</v>
      </c>
      <c r="U8" s="3">
        <v>0</v>
      </c>
      <c r="V8" s="3">
        <v>0</v>
      </c>
      <c r="W8">
        <v>0.49</v>
      </c>
      <c r="X8" t="s">
        <v>108</v>
      </c>
      <c r="Y8" s="3">
        <v>9.7100000000000009</v>
      </c>
      <c r="Z8" t="s">
        <v>109</v>
      </c>
      <c r="AA8" t="s">
        <v>110</v>
      </c>
      <c r="AB8" t="s">
        <v>53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f t="shared" si="0"/>
        <v>9.7100000000000009</v>
      </c>
      <c r="AK8" s="3">
        <f t="shared" si="1"/>
        <v>0</v>
      </c>
    </row>
    <row r="9" spans="1:37">
      <c r="A9">
        <v>10191352</v>
      </c>
      <c r="B9" t="s">
        <v>111</v>
      </c>
      <c r="C9" t="s">
        <v>112</v>
      </c>
      <c r="D9" t="s">
        <v>113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>
        <v>33818</v>
      </c>
      <c r="L9" t="s">
        <v>71</v>
      </c>
      <c r="M9" t="s">
        <v>46</v>
      </c>
      <c r="N9" t="s">
        <v>47</v>
      </c>
      <c r="O9">
        <v>71</v>
      </c>
      <c r="P9">
        <v>3</v>
      </c>
      <c r="Q9">
        <v>0</v>
      </c>
      <c r="R9" t="s">
        <v>48</v>
      </c>
      <c r="S9" t="s">
        <v>49</v>
      </c>
      <c r="T9" s="3">
        <v>0</v>
      </c>
      <c r="U9" s="3">
        <v>0</v>
      </c>
      <c r="V9" s="3">
        <v>0</v>
      </c>
      <c r="W9">
        <v>27</v>
      </c>
      <c r="X9" t="s">
        <v>120</v>
      </c>
      <c r="Y9" s="3">
        <v>1.33</v>
      </c>
      <c r="Z9" t="s">
        <v>121</v>
      </c>
      <c r="AA9" t="s">
        <v>122</v>
      </c>
      <c r="AB9" t="s">
        <v>53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f t="shared" si="0"/>
        <v>1.33</v>
      </c>
      <c r="AK9" s="3">
        <f t="shared" si="1"/>
        <v>0</v>
      </c>
    </row>
    <row r="10" spans="1:37">
      <c r="A10">
        <v>10192573</v>
      </c>
      <c r="B10" t="s">
        <v>111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H10" t="s">
        <v>117</v>
      </c>
      <c r="I10" t="s">
        <v>128</v>
      </c>
      <c r="J10" t="s">
        <v>129</v>
      </c>
      <c r="K10">
        <v>35400</v>
      </c>
      <c r="L10" t="s">
        <v>130</v>
      </c>
      <c r="M10" t="s">
        <v>46</v>
      </c>
      <c r="N10" t="s">
        <v>47</v>
      </c>
      <c r="O10">
        <v>85</v>
      </c>
      <c r="P10">
        <v>3</v>
      </c>
      <c r="Q10">
        <v>0</v>
      </c>
      <c r="R10" t="s">
        <v>48</v>
      </c>
      <c r="S10" t="s">
        <v>49</v>
      </c>
      <c r="T10" s="3">
        <v>0</v>
      </c>
      <c r="U10" s="3">
        <v>0</v>
      </c>
      <c r="V10" s="3">
        <v>0</v>
      </c>
      <c r="W10">
        <v>50</v>
      </c>
      <c r="X10" t="s">
        <v>131</v>
      </c>
      <c r="Y10" s="3">
        <v>6.23</v>
      </c>
      <c r="Z10" t="s">
        <v>132</v>
      </c>
      <c r="AA10" t="s">
        <v>133</v>
      </c>
      <c r="AB10" t="s">
        <v>53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f t="shared" si="0"/>
        <v>6.23</v>
      </c>
      <c r="AK10" s="3">
        <f t="shared" si="1"/>
        <v>0</v>
      </c>
    </row>
    <row r="11" spans="1:37">
      <c r="A11">
        <v>10208876</v>
      </c>
      <c r="B11" t="s">
        <v>111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117</v>
      </c>
      <c r="I11" t="s">
        <v>139</v>
      </c>
      <c r="J11" t="s">
        <v>140</v>
      </c>
      <c r="K11" t="s">
        <v>141</v>
      </c>
      <c r="L11" t="s">
        <v>142</v>
      </c>
      <c r="M11" t="s">
        <v>46</v>
      </c>
      <c r="N11" t="s">
        <v>47</v>
      </c>
      <c r="O11">
        <v>60</v>
      </c>
      <c r="P11">
        <v>3</v>
      </c>
      <c r="Q11">
        <v>0</v>
      </c>
      <c r="R11" t="s">
        <v>48</v>
      </c>
      <c r="S11" t="s">
        <v>49</v>
      </c>
      <c r="T11" s="3">
        <v>0</v>
      </c>
      <c r="U11" s="3">
        <v>0</v>
      </c>
      <c r="V11" s="3">
        <v>0</v>
      </c>
      <c r="W11">
        <v>41.5</v>
      </c>
      <c r="X11" t="s">
        <v>131</v>
      </c>
      <c r="Y11" s="3">
        <v>4.75</v>
      </c>
      <c r="Z11" t="s">
        <v>143</v>
      </c>
      <c r="AA11" t="s">
        <v>144</v>
      </c>
      <c r="AB11" t="s">
        <v>53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f t="shared" si="0"/>
        <v>4.75</v>
      </c>
      <c r="AK11" s="3">
        <f t="shared" si="1"/>
        <v>0</v>
      </c>
    </row>
    <row r="12" spans="1:37">
      <c r="A12">
        <v>10212831</v>
      </c>
      <c r="B12" t="s">
        <v>111</v>
      </c>
      <c r="C12" t="s">
        <v>145</v>
      </c>
      <c r="E12" t="s">
        <v>146</v>
      </c>
      <c r="F12" t="s">
        <v>147</v>
      </c>
      <c r="G12" t="s">
        <v>148</v>
      </c>
      <c r="H12" t="s">
        <v>117</v>
      </c>
      <c r="I12" t="s">
        <v>149</v>
      </c>
      <c r="J12" t="s">
        <v>150</v>
      </c>
      <c r="K12" t="s">
        <v>151</v>
      </c>
      <c r="L12" t="s">
        <v>152</v>
      </c>
      <c r="M12" t="s">
        <v>46</v>
      </c>
      <c r="N12" t="s">
        <v>47</v>
      </c>
      <c r="O12">
        <v>47</v>
      </c>
      <c r="P12">
        <v>3</v>
      </c>
      <c r="Q12">
        <v>0</v>
      </c>
      <c r="R12" t="s">
        <v>48</v>
      </c>
      <c r="S12" t="s">
        <v>49</v>
      </c>
      <c r="T12" s="3">
        <v>0</v>
      </c>
      <c r="U12" s="3">
        <v>0</v>
      </c>
      <c r="V12" s="3">
        <v>0</v>
      </c>
      <c r="W12">
        <v>26.3</v>
      </c>
      <c r="X12" t="s">
        <v>153</v>
      </c>
      <c r="Y12" s="3">
        <v>6.07</v>
      </c>
      <c r="Z12" t="s">
        <v>154</v>
      </c>
      <c r="AA12" t="s">
        <v>155</v>
      </c>
      <c r="AB12" t="s">
        <v>53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f t="shared" si="0"/>
        <v>6.07</v>
      </c>
      <c r="AK12" s="3">
        <f t="shared" si="1"/>
        <v>0</v>
      </c>
    </row>
    <row r="13" spans="1:37">
      <c r="A13">
        <v>10232125</v>
      </c>
      <c r="B13" t="s">
        <v>37</v>
      </c>
      <c r="C13" t="s">
        <v>156</v>
      </c>
      <c r="E13" t="s">
        <v>157</v>
      </c>
      <c r="F13" t="s">
        <v>158</v>
      </c>
      <c r="G13" t="s">
        <v>159</v>
      </c>
      <c r="H13" t="s">
        <v>42</v>
      </c>
      <c r="I13" t="s">
        <v>160</v>
      </c>
      <c r="J13" t="s">
        <v>161</v>
      </c>
      <c r="K13">
        <v>75011</v>
      </c>
      <c r="L13" t="s">
        <v>130</v>
      </c>
      <c r="M13" t="s">
        <v>46</v>
      </c>
      <c r="N13" t="s">
        <v>47</v>
      </c>
      <c r="O13">
        <v>3</v>
      </c>
      <c r="P13">
        <v>1</v>
      </c>
      <c r="Q13">
        <v>0</v>
      </c>
      <c r="R13" t="s">
        <v>48</v>
      </c>
      <c r="S13" t="s">
        <v>49</v>
      </c>
      <c r="T13" s="3">
        <v>0</v>
      </c>
      <c r="U13" s="3">
        <v>0</v>
      </c>
      <c r="V13" s="3">
        <v>0</v>
      </c>
      <c r="W13">
        <v>1.57</v>
      </c>
      <c r="X13" t="s">
        <v>50</v>
      </c>
      <c r="Y13" s="3">
        <v>0.72</v>
      </c>
      <c r="Z13" t="s">
        <v>73</v>
      </c>
      <c r="AA13" t="s">
        <v>162</v>
      </c>
      <c r="AB13" t="s">
        <v>53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f t="shared" si="0"/>
        <v>0.72</v>
      </c>
      <c r="AK13" s="3">
        <f t="shared" si="1"/>
        <v>0</v>
      </c>
    </row>
    <row r="14" spans="1:37">
      <c r="A14">
        <v>10223623</v>
      </c>
      <c r="B14" t="s">
        <v>111</v>
      </c>
      <c r="C14" t="s">
        <v>163</v>
      </c>
      <c r="D14" t="s">
        <v>164</v>
      </c>
      <c r="E14" t="s">
        <v>165</v>
      </c>
      <c r="F14" t="s">
        <v>166</v>
      </c>
      <c r="G14" t="s">
        <v>167</v>
      </c>
      <c r="H14" t="s">
        <v>117</v>
      </c>
      <c r="I14" t="s">
        <v>168</v>
      </c>
      <c r="J14" t="s">
        <v>169</v>
      </c>
      <c r="K14">
        <v>37000</v>
      </c>
      <c r="L14" t="s">
        <v>130</v>
      </c>
      <c r="M14" t="s">
        <v>46</v>
      </c>
      <c r="N14" t="s">
        <v>47</v>
      </c>
      <c r="O14">
        <v>60</v>
      </c>
      <c r="P14">
        <v>2</v>
      </c>
      <c r="Q14">
        <v>0</v>
      </c>
      <c r="R14" t="s">
        <v>48</v>
      </c>
      <c r="S14" t="s">
        <v>49</v>
      </c>
      <c r="T14" s="3">
        <v>0</v>
      </c>
      <c r="U14" s="3">
        <v>0</v>
      </c>
      <c r="V14" s="3">
        <v>0</v>
      </c>
      <c r="W14">
        <v>22</v>
      </c>
      <c r="X14" t="s">
        <v>131</v>
      </c>
      <c r="Y14" s="3">
        <v>2.63</v>
      </c>
      <c r="Z14" t="s">
        <v>170</v>
      </c>
      <c r="AA14" t="s">
        <v>171</v>
      </c>
      <c r="AB14" t="s">
        <v>53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f t="shared" si="0"/>
        <v>2.63</v>
      </c>
      <c r="AK14" s="3">
        <f t="shared" si="1"/>
        <v>0</v>
      </c>
    </row>
    <row r="15" spans="1:37">
      <c r="A15">
        <v>10233621</v>
      </c>
      <c r="B15" t="s">
        <v>37</v>
      </c>
      <c r="C15" t="s">
        <v>172</v>
      </c>
      <c r="E15" t="s">
        <v>173</v>
      </c>
      <c r="F15" t="s">
        <v>174</v>
      </c>
      <c r="G15" t="s">
        <v>175</v>
      </c>
      <c r="H15" t="s">
        <v>42</v>
      </c>
      <c r="I15" t="s">
        <v>176</v>
      </c>
      <c r="J15" t="s">
        <v>177</v>
      </c>
      <c r="K15">
        <v>74930</v>
      </c>
      <c r="L15" t="s">
        <v>130</v>
      </c>
      <c r="M15" t="s">
        <v>46</v>
      </c>
      <c r="N15" t="s">
        <v>47</v>
      </c>
      <c r="O15">
        <v>1</v>
      </c>
      <c r="P15">
        <v>1</v>
      </c>
      <c r="Q15">
        <v>0</v>
      </c>
      <c r="R15" t="s">
        <v>48</v>
      </c>
      <c r="S15" t="s">
        <v>49</v>
      </c>
      <c r="T15" s="3">
        <v>0</v>
      </c>
      <c r="U15" s="3">
        <v>0</v>
      </c>
      <c r="V15" s="3">
        <v>0</v>
      </c>
      <c r="W15">
        <v>1.5</v>
      </c>
      <c r="X15" t="s">
        <v>50</v>
      </c>
      <c r="Y15" s="3">
        <v>0.72</v>
      </c>
      <c r="Z15" t="s">
        <v>73</v>
      </c>
      <c r="AA15" t="s">
        <v>178</v>
      </c>
      <c r="AB15" t="s">
        <v>53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f t="shared" si="0"/>
        <v>0.72</v>
      </c>
      <c r="AK15" s="3">
        <f t="shared" si="1"/>
        <v>0</v>
      </c>
    </row>
    <row r="16" spans="1:37">
      <c r="A16">
        <v>10238376</v>
      </c>
      <c r="B16" t="s">
        <v>37</v>
      </c>
      <c r="C16" t="s">
        <v>179</v>
      </c>
      <c r="E16" t="s">
        <v>86</v>
      </c>
      <c r="F16" t="s">
        <v>180</v>
      </c>
      <c r="G16" t="s">
        <v>181</v>
      </c>
      <c r="H16" t="s">
        <v>42</v>
      </c>
      <c r="I16" t="s">
        <v>182</v>
      </c>
      <c r="J16" t="s">
        <v>183</v>
      </c>
      <c r="K16">
        <v>22301</v>
      </c>
      <c r="L16" t="s">
        <v>71</v>
      </c>
      <c r="M16" t="s">
        <v>46</v>
      </c>
      <c r="N16" t="s">
        <v>47</v>
      </c>
      <c r="O16">
        <v>1</v>
      </c>
      <c r="P16">
        <v>1</v>
      </c>
      <c r="Q16">
        <v>0</v>
      </c>
      <c r="R16" t="s">
        <v>48</v>
      </c>
      <c r="S16" t="s">
        <v>49</v>
      </c>
      <c r="T16" s="3">
        <v>0</v>
      </c>
      <c r="U16" s="3">
        <v>0</v>
      </c>
      <c r="V16" s="3">
        <v>0</v>
      </c>
      <c r="W16">
        <v>0.59</v>
      </c>
      <c r="X16" t="s">
        <v>108</v>
      </c>
      <c r="Y16" s="3">
        <v>4.1399999999999997</v>
      </c>
      <c r="Z16" t="s">
        <v>109</v>
      </c>
      <c r="AA16" t="s">
        <v>184</v>
      </c>
      <c r="AB16" t="s">
        <v>53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f t="shared" si="0"/>
        <v>4.1399999999999997</v>
      </c>
      <c r="AK16" s="3">
        <f t="shared" si="1"/>
        <v>0</v>
      </c>
    </row>
    <row r="17" spans="1:37">
      <c r="A17">
        <v>10236774</v>
      </c>
      <c r="B17" t="s">
        <v>37</v>
      </c>
      <c r="C17" t="s">
        <v>185</v>
      </c>
      <c r="E17" t="s">
        <v>186</v>
      </c>
      <c r="F17" t="s">
        <v>187</v>
      </c>
      <c r="G17" t="s">
        <v>188</v>
      </c>
      <c r="H17" t="s">
        <v>42</v>
      </c>
      <c r="I17" t="s">
        <v>189</v>
      </c>
      <c r="J17" t="s">
        <v>190</v>
      </c>
      <c r="K17">
        <v>85757</v>
      </c>
      <c r="L17" t="s">
        <v>71</v>
      </c>
      <c r="M17" t="s">
        <v>46</v>
      </c>
      <c r="N17" t="s">
        <v>47</v>
      </c>
      <c r="O17">
        <v>4</v>
      </c>
      <c r="P17">
        <v>1</v>
      </c>
      <c r="Q17">
        <v>0</v>
      </c>
      <c r="R17" t="s">
        <v>48</v>
      </c>
      <c r="S17" t="s">
        <v>49</v>
      </c>
      <c r="T17" s="3">
        <v>0</v>
      </c>
      <c r="U17" s="3">
        <v>0</v>
      </c>
      <c r="V17" s="3">
        <v>0</v>
      </c>
      <c r="W17">
        <v>2.83</v>
      </c>
      <c r="X17" t="s">
        <v>72</v>
      </c>
      <c r="Y17" s="3">
        <v>1.1599999999999999</v>
      </c>
      <c r="Z17" t="s">
        <v>73</v>
      </c>
      <c r="AA17" t="s">
        <v>191</v>
      </c>
      <c r="AB17" t="s">
        <v>53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f t="shared" si="0"/>
        <v>1.1599999999999999</v>
      </c>
      <c r="AK17" s="3">
        <f t="shared" si="1"/>
        <v>0</v>
      </c>
    </row>
    <row r="18" spans="1:37">
      <c r="A18">
        <v>10246637</v>
      </c>
      <c r="B18" t="s">
        <v>37</v>
      </c>
      <c r="C18" t="s">
        <v>192</v>
      </c>
      <c r="E18" t="s">
        <v>193</v>
      </c>
      <c r="F18" t="s">
        <v>194</v>
      </c>
      <c r="G18" t="s">
        <v>195</v>
      </c>
      <c r="H18" t="s">
        <v>42</v>
      </c>
      <c r="I18" t="s">
        <v>196</v>
      </c>
      <c r="J18" t="s">
        <v>197</v>
      </c>
      <c r="K18">
        <v>56100</v>
      </c>
      <c r="L18" t="s">
        <v>130</v>
      </c>
      <c r="M18" t="s">
        <v>46</v>
      </c>
      <c r="N18" t="s">
        <v>47</v>
      </c>
      <c r="O18">
        <v>1</v>
      </c>
      <c r="P18">
        <v>1</v>
      </c>
      <c r="Q18">
        <v>0</v>
      </c>
      <c r="R18" t="s">
        <v>48</v>
      </c>
      <c r="S18" t="s">
        <v>49</v>
      </c>
      <c r="T18" s="3">
        <v>0</v>
      </c>
      <c r="U18" s="3">
        <v>0</v>
      </c>
      <c r="V18" s="3">
        <v>0</v>
      </c>
      <c r="W18">
        <v>1.5</v>
      </c>
      <c r="X18" t="s">
        <v>50</v>
      </c>
      <c r="Y18" s="3">
        <v>2.1</v>
      </c>
      <c r="Z18" t="s">
        <v>73</v>
      </c>
      <c r="AA18" t="s">
        <v>198</v>
      </c>
      <c r="AB18" t="s">
        <v>53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f t="shared" si="0"/>
        <v>2.1</v>
      </c>
      <c r="AK18" s="3">
        <f t="shared" si="1"/>
        <v>0</v>
      </c>
    </row>
    <row r="19" spans="1:37">
      <c r="A19">
        <v>10236557</v>
      </c>
      <c r="B19" t="s">
        <v>37</v>
      </c>
      <c r="C19" t="s">
        <v>199</v>
      </c>
      <c r="E19" t="s">
        <v>200</v>
      </c>
      <c r="F19" t="s">
        <v>201</v>
      </c>
      <c r="G19" t="s">
        <v>202</v>
      </c>
      <c r="H19" t="s">
        <v>42</v>
      </c>
      <c r="I19" t="s">
        <v>203</v>
      </c>
      <c r="J19" t="s">
        <v>204</v>
      </c>
      <c r="K19" t="s">
        <v>205</v>
      </c>
      <c r="L19" t="s">
        <v>82</v>
      </c>
      <c r="M19" t="s">
        <v>46</v>
      </c>
      <c r="N19" t="s">
        <v>47</v>
      </c>
      <c r="O19">
        <v>5</v>
      </c>
      <c r="P19">
        <v>1</v>
      </c>
      <c r="Q19">
        <v>0</v>
      </c>
      <c r="R19" t="s">
        <v>48</v>
      </c>
      <c r="S19" t="s">
        <v>49</v>
      </c>
      <c r="T19" s="3">
        <v>0</v>
      </c>
      <c r="U19" s="3">
        <v>0</v>
      </c>
      <c r="V19" s="3">
        <v>0</v>
      </c>
      <c r="W19">
        <v>2.5499999999999998</v>
      </c>
      <c r="X19" t="s">
        <v>50</v>
      </c>
      <c r="Y19" s="3">
        <v>19.309999999999999</v>
      </c>
      <c r="Z19" t="s">
        <v>73</v>
      </c>
      <c r="AA19" t="s">
        <v>206</v>
      </c>
      <c r="AB19" t="s">
        <v>53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f t="shared" si="0"/>
        <v>19.309999999999999</v>
      </c>
      <c r="AK19" s="3">
        <f t="shared" si="1"/>
        <v>0</v>
      </c>
    </row>
    <row r="20" spans="1:37">
      <c r="A20">
        <v>10244840</v>
      </c>
      <c r="B20" t="s">
        <v>37</v>
      </c>
      <c r="C20" t="s">
        <v>207</v>
      </c>
      <c r="E20" t="s">
        <v>208</v>
      </c>
      <c r="F20" t="s">
        <v>209</v>
      </c>
      <c r="G20" t="s">
        <v>210</v>
      </c>
      <c r="H20" t="s">
        <v>42</v>
      </c>
      <c r="I20" t="s">
        <v>211</v>
      </c>
      <c r="J20" t="s">
        <v>212</v>
      </c>
      <c r="K20">
        <v>52072</v>
      </c>
      <c r="L20" t="s">
        <v>71</v>
      </c>
      <c r="M20" t="s">
        <v>46</v>
      </c>
      <c r="N20" t="s">
        <v>47</v>
      </c>
      <c r="O20">
        <v>1</v>
      </c>
      <c r="P20">
        <v>1</v>
      </c>
      <c r="Q20">
        <v>0</v>
      </c>
      <c r="R20" t="s">
        <v>48</v>
      </c>
      <c r="S20" t="s">
        <v>49</v>
      </c>
      <c r="T20" s="3">
        <v>0</v>
      </c>
      <c r="U20" s="3">
        <v>0</v>
      </c>
      <c r="V20" s="3">
        <v>0</v>
      </c>
      <c r="W20">
        <v>0.24</v>
      </c>
      <c r="X20" t="s">
        <v>108</v>
      </c>
      <c r="Y20" s="3">
        <v>13.87</v>
      </c>
      <c r="Z20" t="s">
        <v>109</v>
      </c>
      <c r="AA20" t="s">
        <v>213</v>
      </c>
      <c r="AB20" t="s">
        <v>53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f t="shared" si="0"/>
        <v>13.87</v>
      </c>
      <c r="AK20" s="3">
        <f t="shared" si="1"/>
        <v>0</v>
      </c>
    </row>
    <row r="21" spans="1:37">
      <c r="A21">
        <v>10247174</v>
      </c>
      <c r="B21" t="s">
        <v>37</v>
      </c>
      <c r="C21" t="s">
        <v>214</v>
      </c>
      <c r="E21" t="s">
        <v>215</v>
      </c>
      <c r="F21" t="s">
        <v>216</v>
      </c>
      <c r="G21" t="s">
        <v>217</v>
      </c>
      <c r="H21" t="s">
        <v>42</v>
      </c>
      <c r="I21" t="s">
        <v>218</v>
      </c>
      <c r="J21" t="s">
        <v>219</v>
      </c>
      <c r="K21" t="s">
        <v>220</v>
      </c>
      <c r="L21" t="s">
        <v>142</v>
      </c>
      <c r="M21" t="s">
        <v>46</v>
      </c>
      <c r="N21" t="s">
        <v>47</v>
      </c>
      <c r="O21">
        <v>1</v>
      </c>
      <c r="P21">
        <v>1</v>
      </c>
      <c r="Q21">
        <v>0</v>
      </c>
      <c r="R21" t="s">
        <v>48</v>
      </c>
      <c r="S21" t="s">
        <v>49</v>
      </c>
      <c r="T21" s="3">
        <v>0</v>
      </c>
      <c r="U21" s="3">
        <v>0</v>
      </c>
      <c r="V21" s="3">
        <v>0</v>
      </c>
      <c r="W21">
        <v>0.25</v>
      </c>
      <c r="X21" t="s">
        <v>50</v>
      </c>
      <c r="Y21" s="3">
        <v>1.38</v>
      </c>
      <c r="Z21" t="s">
        <v>109</v>
      </c>
      <c r="AA21" t="s">
        <v>221</v>
      </c>
      <c r="AB21" t="s">
        <v>53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f t="shared" si="0"/>
        <v>1.38</v>
      </c>
      <c r="AK21" s="3">
        <f t="shared" si="1"/>
        <v>0</v>
      </c>
    </row>
    <row r="22" spans="1:37">
      <c r="A22">
        <v>10237479</v>
      </c>
      <c r="B22" t="s">
        <v>37</v>
      </c>
      <c r="C22" t="s">
        <v>222</v>
      </c>
      <c r="E22" t="s">
        <v>223</v>
      </c>
      <c r="F22" t="s">
        <v>224</v>
      </c>
      <c r="G22" t="s">
        <v>225</v>
      </c>
      <c r="H22" t="s">
        <v>42</v>
      </c>
      <c r="I22" t="s">
        <v>226</v>
      </c>
      <c r="J22" t="s">
        <v>227</v>
      </c>
      <c r="K22" t="s">
        <v>228</v>
      </c>
      <c r="L22" t="s">
        <v>229</v>
      </c>
      <c r="M22" t="s">
        <v>46</v>
      </c>
      <c r="N22" t="s">
        <v>47</v>
      </c>
      <c r="O22">
        <v>3</v>
      </c>
      <c r="P22">
        <v>1</v>
      </c>
      <c r="Q22">
        <v>0</v>
      </c>
      <c r="R22" t="s">
        <v>48</v>
      </c>
      <c r="S22" t="s">
        <v>49</v>
      </c>
      <c r="T22" s="3">
        <v>0</v>
      </c>
      <c r="U22" s="3">
        <v>0</v>
      </c>
      <c r="V22" s="3">
        <v>0</v>
      </c>
      <c r="W22">
        <v>1.95</v>
      </c>
      <c r="X22" t="s">
        <v>50</v>
      </c>
      <c r="Y22" s="3">
        <v>2.16</v>
      </c>
      <c r="Z22" t="s">
        <v>83</v>
      </c>
      <c r="AA22" t="s">
        <v>230</v>
      </c>
      <c r="AB22" t="s">
        <v>53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f t="shared" si="0"/>
        <v>2.16</v>
      </c>
      <c r="AK22" s="3">
        <f t="shared" si="1"/>
        <v>0</v>
      </c>
    </row>
    <row r="23" spans="1:37">
      <c r="A23">
        <v>10246903</v>
      </c>
      <c r="B23" t="s">
        <v>37</v>
      </c>
      <c r="C23" t="s">
        <v>231</v>
      </c>
      <c r="E23" t="s">
        <v>232</v>
      </c>
      <c r="F23" t="s">
        <v>233</v>
      </c>
      <c r="G23" t="s">
        <v>234</v>
      </c>
      <c r="H23" t="s">
        <v>42</v>
      </c>
      <c r="I23" t="s">
        <v>235</v>
      </c>
      <c r="J23" t="s">
        <v>236</v>
      </c>
      <c r="K23" t="s">
        <v>237</v>
      </c>
      <c r="L23" t="s">
        <v>82</v>
      </c>
      <c r="M23" t="s">
        <v>46</v>
      </c>
      <c r="N23" t="s">
        <v>47</v>
      </c>
      <c r="O23">
        <v>1</v>
      </c>
      <c r="P23">
        <v>1</v>
      </c>
      <c r="Q23">
        <v>0</v>
      </c>
      <c r="R23" t="s">
        <v>48</v>
      </c>
      <c r="S23" t="s">
        <v>49</v>
      </c>
      <c r="T23" s="3">
        <v>0</v>
      </c>
      <c r="U23" s="3">
        <v>0</v>
      </c>
      <c r="V23" s="3">
        <v>0</v>
      </c>
      <c r="W23">
        <v>0.55000000000000004</v>
      </c>
      <c r="X23" t="s">
        <v>50</v>
      </c>
      <c r="Y23" s="3">
        <v>1.38</v>
      </c>
      <c r="Z23" t="s">
        <v>109</v>
      </c>
      <c r="AA23" t="s">
        <v>238</v>
      </c>
      <c r="AB23" t="s">
        <v>53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f t="shared" si="0"/>
        <v>1.38</v>
      </c>
      <c r="AK23" s="3">
        <f t="shared" si="1"/>
        <v>0</v>
      </c>
    </row>
    <row r="24" spans="1:37">
      <c r="A24">
        <v>10246899</v>
      </c>
      <c r="B24" t="s">
        <v>37</v>
      </c>
      <c r="C24" t="s">
        <v>239</v>
      </c>
      <c r="E24" t="s">
        <v>240</v>
      </c>
      <c r="F24" t="s">
        <v>241</v>
      </c>
      <c r="G24" t="s">
        <v>242</v>
      </c>
      <c r="H24" t="s">
        <v>42</v>
      </c>
      <c r="I24" t="s">
        <v>243</v>
      </c>
      <c r="J24" t="s">
        <v>244</v>
      </c>
      <c r="K24">
        <v>59269</v>
      </c>
      <c r="L24" t="s">
        <v>71</v>
      </c>
      <c r="M24" t="s">
        <v>46</v>
      </c>
      <c r="N24" t="s">
        <v>47</v>
      </c>
      <c r="O24">
        <v>1</v>
      </c>
      <c r="P24">
        <v>1</v>
      </c>
      <c r="Q24">
        <v>0</v>
      </c>
      <c r="R24" t="s">
        <v>48</v>
      </c>
      <c r="S24" t="s">
        <v>49</v>
      </c>
      <c r="T24" s="3">
        <v>0</v>
      </c>
      <c r="U24" s="3">
        <v>0</v>
      </c>
      <c r="V24" s="3">
        <v>0</v>
      </c>
      <c r="W24">
        <v>0.59</v>
      </c>
      <c r="X24" t="s">
        <v>108</v>
      </c>
      <c r="Y24" s="3">
        <v>1.38</v>
      </c>
      <c r="Z24" t="s">
        <v>109</v>
      </c>
      <c r="AA24" t="s">
        <v>245</v>
      </c>
      <c r="AB24" t="s">
        <v>53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f t="shared" si="0"/>
        <v>1.38</v>
      </c>
      <c r="AK24" s="3">
        <f t="shared" si="1"/>
        <v>0</v>
      </c>
    </row>
    <row r="25" spans="1:37">
      <c r="A25">
        <v>10237241</v>
      </c>
      <c r="B25" t="s">
        <v>37</v>
      </c>
      <c r="C25" t="s">
        <v>246</v>
      </c>
      <c r="E25" t="s">
        <v>247</v>
      </c>
      <c r="F25" t="s">
        <v>248</v>
      </c>
      <c r="G25" t="s">
        <v>249</v>
      </c>
      <c r="H25" t="s">
        <v>42</v>
      </c>
      <c r="I25" t="s">
        <v>250</v>
      </c>
      <c r="J25" t="s">
        <v>251</v>
      </c>
      <c r="K25">
        <v>81479</v>
      </c>
      <c r="L25" t="s">
        <v>71</v>
      </c>
      <c r="M25" t="s">
        <v>46</v>
      </c>
      <c r="N25" t="s">
        <v>47</v>
      </c>
      <c r="O25">
        <v>7</v>
      </c>
      <c r="P25">
        <v>1</v>
      </c>
      <c r="Q25">
        <v>0</v>
      </c>
      <c r="R25" t="s">
        <v>48</v>
      </c>
      <c r="S25" t="s">
        <v>49</v>
      </c>
      <c r="T25" s="3">
        <v>0</v>
      </c>
      <c r="U25" s="3">
        <v>0</v>
      </c>
      <c r="V25" s="3">
        <v>0</v>
      </c>
      <c r="W25">
        <v>2.57</v>
      </c>
      <c r="X25" t="s">
        <v>72</v>
      </c>
      <c r="Y25" s="3">
        <v>1.1599999999999999</v>
      </c>
      <c r="Z25" t="s">
        <v>73</v>
      </c>
      <c r="AA25" t="s">
        <v>252</v>
      </c>
      <c r="AB25" t="s">
        <v>53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f t="shared" si="0"/>
        <v>1.1599999999999999</v>
      </c>
      <c r="AK25" s="3">
        <f t="shared" si="1"/>
        <v>0</v>
      </c>
    </row>
    <row r="26" spans="1:37">
      <c r="A26">
        <v>10248686</v>
      </c>
      <c r="B26" t="s">
        <v>37</v>
      </c>
      <c r="C26" t="s">
        <v>253</v>
      </c>
      <c r="E26" t="s">
        <v>254</v>
      </c>
      <c r="F26" t="s">
        <v>255</v>
      </c>
      <c r="G26" t="s">
        <v>256</v>
      </c>
      <c r="H26" t="s">
        <v>42</v>
      </c>
      <c r="I26" t="s">
        <v>257</v>
      </c>
      <c r="J26" t="s">
        <v>258</v>
      </c>
      <c r="K26">
        <v>74081</v>
      </c>
      <c r="L26" t="s">
        <v>71</v>
      </c>
      <c r="M26" t="s">
        <v>46</v>
      </c>
      <c r="N26" t="s">
        <v>47</v>
      </c>
      <c r="O26">
        <v>1</v>
      </c>
      <c r="P26">
        <v>1</v>
      </c>
      <c r="Q26">
        <v>0</v>
      </c>
      <c r="R26" t="s">
        <v>48</v>
      </c>
      <c r="S26" t="s">
        <v>49</v>
      </c>
      <c r="T26" s="3">
        <v>0</v>
      </c>
      <c r="U26" s="3">
        <v>0</v>
      </c>
      <c r="V26" s="3">
        <v>0</v>
      </c>
      <c r="W26">
        <v>1.5</v>
      </c>
      <c r="X26" t="s">
        <v>72</v>
      </c>
      <c r="Y26" s="3">
        <v>4.16</v>
      </c>
      <c r="Z26" t="s">
        <v>73</v>
      </c>
      <c r="AA26" t="s">
        <v>259</v>
      </c>
      <c r="AB26" t="s">
        <v>53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f t="shared" si="0"/>
        <v>4.16</v>
      </c>
      <c r="AK26" s="3">
        <f t="shared" si="1"/>
        <v>0</v>
      </c>
    </row>
    <row r="27" spans="1:37">
      <c r="A27">
        <v>10247474</v>
      </c>
      <c r="B27" t="s">
        <v>37</v>
      </c>
      <c r="C27" t="s">
        <v>260</v>
      </c>
      <c r="E27" t="s">
        <v>261</v>
      </c>
      <c r="F27" t="s">
        <v>262</v>
      </c>
      <c r="G27" t="s">
        <v>263</v>
      </c>
      <c r="H27" t="s">
        <v>42</v>
      </c>
      <c r="I27" t="s">
        <v>264</v>
      </c>
      <c r="J27" t="s">
        <v>265</v>
      </c>
      <c r="K27" t="s">
        <v>266</v>
      </c>
      <c r="L27" t="s">
        <v>142</v>
      </c>
      <c r="M27" t="s">
        <v>46</v>
      </c>
      <c r="N27" t="s">
        <v>47</v>
      </c>
      <c r="O27">
        <v>1</v>
      </c>
      <c r="P27">
        <v>1</v>
      </c>
      <c r="Q27">
        <v>0</v>
      </c>
      <c r="R27" t="s">
        <v>48</v>
      </c>
      <c r="S27" t="s">
        <v>49</v>
      </c>
      <c r="T27" s="3">
        <v>0</v>
      </c>
      <c r="U27" s="3">
        <v>0</v>
      </c>
      <c r="V27" s="3">
        <v>0</v>
      </c>
      <c r="W27">
        <v>0.59</v>
      </c>
      <c r="X27" t="s">
        <v>50</v>
      </c>
      <c r="Y27" s="3">
        <v>19.41</v>
      </c>
      <c r="Z27" t="s">
        <v>109</v>
      </c>
      <c r="AA27" t="s">
        <v>267</v>
      </c>
      <c r="AB27" t="s">
        <v>53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f t="shared" si="0"/>
        <v>19.41</v>
      </c>
      <c r="AK27" s="3">
        <f t="shared" si="1"/>
        <v>0</v>
      </c>
    </row>
    <row r="28" spans="1:37">
      <c r="A28">
        <v>10242706</v>
      </c>
      <c r="B28" t="s">
        <v>37</v>
      </c>
      <c r="C28" t="s">
        <v>268</v>
      </c>
      <c r="E28" t="s">
        <v>269</v>
      </c>
      <c r="F28" t="s">
        <v>270</v>
      </c>
      <c r="G28" t="s">
        <v>271</v>
      </c>
      <c r="H28" t="s">
        <v>42</v>
      </c>
      <c r="I28" t="s">
        <v>272</v>
      </c>
      <c r="J28" t="s">
        <v>273</v>
      </c>
      <c r="K28" t="s">
        <v>274</v>
      </c>
      <c r="L28" t="s">
        <v>275</v>
      </c>
      <c r="M28" t="s">
        <v>46</v>
      </c>
      <c r="N28" t="s">
        <v>47</v>
      </c>
      <c r="O28">
        <v>5</v>
      </c>
      <c r="P28">
        <v>1</v>
      </c>
      <c r="Q28">
        <v>0</v>
      </c>
      <c r="R28" t="s">
        <v>48</v>
      </c>
      <c r="S28" t="s">
        <v>49</v>
      </c>
      <c r="T28" s="3">
        <v>0</v>
      </c>
      <c r="U28" s="3">
        <v>0</v>
      </c>
      <c r="V28" s="3">
        <v>0</v>
      </c>
      <c r="W28">
        <v>2.5499999999999998</v>
      </c>
      <c r="X28" t="s">
        <v>50</v>
      </c>
      <c r="Y28" s="3">
        <v>1.38</v>
      </c>
      <c r="Z28" t="s">
        <v>73</v>
      </c>
      <c r="AA28" t="s">
        <v>276</v>
      </c>
      <c r="AB28" t="s">
        <v>53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f t="shared" si="0"/>
        <v>1.38</v>
      </c>
      <c r="AK28" s="3">
        <f t="shared" si="1"/>
        <v>0</v>
      </c>
    </row>
    <row r="29" spans="1:37">
      <c r="A29">
        <v>10242233</v>
      </c>
      <c r="B29" t="s">
        <v>37</v>
      </c>
      <c r="C29" t="s">
        <v>277</v>
      </c>
      <c r="E29" t="s">
        <v>278</v>
      </c>
      <c r="F29" t="s">
        <v>279</v>
      </c>
      <c r="G29" t="s">
        <v>280</v>
      </c>
      <c r="H29" t="s">
        <v>42</v>
      </c>
      <c r="I29" t="s">
        <v>281</v>
      </c>
      <c r="J29" t="s">
        <v>282</v>
      </c>
      <c r="K29">
        <v>35026</v>
      </c>
      <c r="L29" t="s">
        <v>283</v>
      </c>
      <c r="M29" t="s">
        <v>46</v>
      </c>
      <c r="N29" t="s">
        <v>47</v>
      </c>
      <c r="O29">
        <v>3</v>
      </c>
      <c r="P29">
        <v>1</v>
      </c>
      <c r="Q29">
        <v>0</v>
      </c>
      <c r="R29" t="s">
        <v>48</v>
      </c>
      <c r="S29" t="s">
        <v>49</v>
      </c>
      <c r="T29" s="3">
        <v>0</v>
      </c>
      <c r="U29" s="3">
        <v>0</v>
      </c>
      <c r="V29" s="3">
        <v>0</v>
      </c>
      <c r="W29">
        <v>1.5</v>
      </c>
      <c r="X29" t="s">
        <v>50</v>
      </c>
      <c r="Y29" s="3">
        <v>1.38</v>
      </c>
      <c r="Z29" t="s">
        <v>73</v>
      </c>
      <c r="AA29" t="s">
        <v>284</v>
      </c>
      <c r="AB29" t="s">
        <v>53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f t="shared" si="0"/>
        <v>1.38</v>
      </c>
      <c r="AK29" s="3">
        <f t="shared" si="1"/>
        <v>0</v>
      </c>
    </row>
    <row r="30" spans="1:37">
      <c r="A30">
        <v>10248441</v>
      </c>
      <c r="B30" t="s">
        <v>37</v>
      </c>
      <c r="C30" t="s">
        <v>285</v>
      </c>
      <c r="E30" t="s">
        <v>286</v>
      </c>
      <c r="F30" t="s">
        <v>287</v>
      </c>
      <c r="G30" t="s">
        <v>288</v>
      </c>
      <c r="H30" t="s">
        <v>42</v>
      </c>
      <c r="I30" t="s">
        <v>289</v>
      </c>
      <c r="J30" t="s">
        <v>290</v>
      </c>
      <c r="K30">
        <v>69001</v>
      </c>
      <c r="L30" t="s">
        <v>130</v>
      </c>
      <c r="M30" t="s">
        <v>46</v>
      </c>
      <c r="N30" t="s">
        <v>47</v>
      </c>
      <c r="O30">
        <v>1</v>
      </c>
      <c r="P30">
        <v>1</v>
      </c>
      <c r="Q30">
        <v>0</v>
      </c>
      <c r="R30" t="s">
        <v>48</v>
      </c>
      <c r="S30" t="s">
        <v>49</v>
      </c>
      <c r="T30" s="3">
        <v>0</v>
      </c>
      <c r="U30" s="3">
        <v>0</v>
      </c>
      <c r="V30" s="3">
        <v>0</v>
      </c>
      <c r="W30">
        <v>1.5</v>
      </c>
      <c r="X30" t="s">
        <v>50</v>
      </c>
      <c r="Y30" s="3">
        <v>0.72</v>
      </c>
      <c r="Z30" t="s">
        <v>73</v>
      </c>
      <c r="AA30" t="s">
        <v>198</v>
      </c>
      <c r="AB30" t="s">
        <v>53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f t="shared" si="0"/>
        <v>0.72</v>
      </c>
      <c r="AK30" s="3">
        <f t="shared" si="1"/>
        <v>0</v>
      </c>
    </row>
    <row r="31" spans="1:37">
      <c r="A31">
        <v>10249221</v>
      </c>
      <c r="B31" t="s">
        <v>37</v>
      </c>
      <c r="C31" t="s">
        <v>291</v>
      </c>
      <c r="E31" t="s">
        <v>292</v>
      </c>
      <c r="F31" t="s">
        <v>293</v>
      </c>
      <c r="G31" t="s">
        <v>294</v>
      </c>
      <c r="H31" t="s">
        <v>42</v>
      </c>
      <c r="I31" t="s">
        <v>295</v>
      </c>
      <c r="J31" t="s">
        <v>296</v>
      </c>
      <c r="K31">
        <v>69003</v>
      </c>
      <c r="L31" t="s">
        <v>130</v>
      </c>
      <c r="M31" t="s">
        <v>46</v>
      </c>
      <c r="N31" t="s">
        <v>47</v>
      </c>
      <c r="O31">
        <v>1</v>
      </c>
      <c r="P31">
        <v>1</v>
      </c>
      <c r="Q31">
        <v>0</v>
      </c>
      <c r="R31" t="s">
        <v>48</v>
      </c>
      <c r="S31" t="s">
        <v>49</v>
      </c>
      <c r="T31" s="3">
        <v>0</v>
      </c>
      <c r="U31" s="3">
        <v>0</v>
      </c>
      <c r="V31" s="3">
        <v>0</v>
      </c>
      <c r="W31">
        <v>1.5</v>
      </c>
      <c r="X31" t="s">
        <v>50</v>
      </c>
      <c r="Y31" s="3">
        <v>0.72</v>
      </c>
      <c r="Z31" t="s">
        <v>73</v>
      </c>
      <c r="AA31" t="s">
        <v>297</v>
      </c>
      <c r="AB31" t="s">
        <v>53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f t="shared" si="0"/>
        <v>0.72</v>
      </c>
      <c r="AK31" s="3">
        <f t="shared" si="1"/>
        <v>0</v>
      </c>
    </row>
    <row r="32" spans="1:37">
      <c r="A32">
        <v>10240956</v>
      </c>
      <c r="B32" t="s">
        <v>37</v>
      </c>
      <c r="C32" t="s">
        <v>298</v>
      </c>
      <c r="E32" t="s">
        <v>299</v>
      </c>
      <c r="F32" t="s">
        <v>300</v>
      </c>
      <c r="G32" t="s">
        <v>301</v>
      </c>
      <c r="H32" t="s">
        <v>42</v>
      </c>
      <c r="I32" t="s">
        <v>302</v>
      </c>
      <c r="J32" t="s">
        <v>303</v>
      </c>
      <c r="K32" t="s">
        <v>304</v>
      </c>
      <c r="L32" t="s">
        <v>142</v>
      </c>
      <c r="M32" t="s">
        <v>46</v>
      </c>
      <c r="N32" t="s">
        <v>47</v>
      </c>
      <c r="O32">
        <v>4</v>
      </c>
      <c r="P32">
        <v>1</v>
      </c>
      <c r="Q32">
        <v>0</v>
      </c>
      <c r="R32" t="s">
        <v>48</v>
      </c>
      <c r="S32" t="s">
        <v>49</v>
      </c>
      <c r="T32" s="3">
        <v>0</v>
      </c>
      <c r="U32" s="3">
        <v>0</v>
      </c>
      <c r="V32" s="3">
        <v>0</v>
      </c>
      <c r="W32">
        <v>2.06</v>
      </c>
      <c r="X32" t="s">
        <v>50</v>
      </c>
      <c r="Y32" s="3">
        <v>1.38</v>
      </c>
      <c r="Z32" t="s">
        <v>73</v>
      </c>
      <c r="AA32" t="s">
        <v>305</v>
      </c>
      <c r="AB32" t="s">
        <v>53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f t="shared" si="0"/>
        <v>1.38</v>
      </c>
      <c r="AK32" s="3">
        <f t="shared" si="1"/>
        <v>0</v>
      </c>
    </row>
    <row r="33" spans="1:37">
      <c r="A33">
        <v>10241447</v>
      </c>
      <c r="B33" t="s">
        <v>37</v>
      </c>
      <c r="C33" t="s">
        <v>306</v>
      </c>
      <c r="E33" t="s">
        <v>307</v>
      </c>
      <c r="F33" t="s">
        <v>308</v>
      </c>
      <c r="G33" t="s">
        <v>309</v>
      </c>
      <c r="H33" t="s">
        <v>42</v>
      </c>
      <c r="I33" t="s">
        <v>310</v>
      </c>
      <c r="J33" t="s">
        <v>311</v>
      </c>
      <c r="K33">
        <v>28521</v>
      </c>
      <c r="L33" t="s">
        <v>91</v>
      </c>
      <c r="M33" t="s">
        <v>46</v>
      </c>
      <c r="N33" t="s">
        <v>47</v>
      </c>
      <c r="O33">
        <v>3</v>
      </c>
      <c r="P33">
        <v>1</v>
      </c>
      <c r="Q33">
        <v>0</v>
      </c>
      <c r="R33" t="s">
        <v>48</v>
      </c>
      <c r="S33" t="s">
        <v>49</v>
      </c>
      <c r="T33" s="3">
        <v>0</v>
      </c>
      <c r="U33" s="3">
        <v>0</v>
      </c>
      <c r="V33" s="3">
        <v>0</v>
      </c>
      <c r="W33">
        <v>1.27</v>
      </c>
      <c r="X33" t="s">
        <v>50</v>
      </c>
      <c r="Y33" s="3">
        <v>1.38</v>
      </c>
      <c r="Z33" t="s">
        <v>73</v>
      </c>
      <c r="AA33" t="s">
        <v>312</v>
      </c>
      <c r="AB33" t="s">
        <v>53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f t="shared" si="0"/>
        <v>1.38</v>
      </c>
      <c r="AK33" s="3">
        <f t="shared" si="1"/>
        <v>0</v>
      </c>
    </row>
    <row r="34" spans="1:37">
      <c r="A34">
        <v>10241724</v>
      </c>
      <c r="B34" t="s">
        <v>37</v>
      </c>
      <c r="C34" t="s">
        <v>313</v>
      </c>
      <c r="E34" t="s">
        <v>314</v>
      </c>
      <c r="F34" t="s">
        <v>315</v>
      </c>
      <c r="G34" t="s">
        <v>316</v>
      </c>
      <c r="H34" t="s">
        <v>42</v>
      </c>
      <c r="I34" t="s">
        <v>317</v>
      </c>
      <c r="J34" t="s">
        <v>318</v>
      </c>
      <c r="K34">
        <v>92200</v>
      </c>
      <c r="L34" t="s">
        <v>130</v>
      </c>
      <c r="M34" t="s">
        <v>46</v>
      </c>
      <c r="N34" t="s">
        <v>47</v>
      </c>
      <c r="O34">
        <v>2</v>
      </c>
      <c r="P34">
        <v>1</v>
      </c>
      <c r="Q34">
        <v>0</v>
      </c>
      <c r="R34" t="s">
        <v>48</v>
      </c>
      <c r="S34" t="s">
        <v>49</v>
      </c>
      <c r="T34" s="3">
        <v>0</v>
      </c>
      <c r="U34" s="3">
        <v>0</v>
      </c>
      <c r="V34" s="3">
        <v>0</v>
      </c>
      <c r="W34">
        <v>1.39</v>
      </c>
      <c r="X34" t="s">
        <v>50</v>
      </c>
      <c r="Y34" s="3">
        <v>0.72</v>
      </c>
      <c r="Z34" t="s">
        <v>73</v>
      </c>
      <c r="AA34" t="s">
        <v>319</v>
      </c>
      <c r="AB34" t="s">
        <v>53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f t="shared" si="0"/>
        <v>0.72</v>
      </c>
      <c r="AK34" s="3">
        <f t="shared" si="1"/>
        <v>0</v>
      </c>
    </row>
    <row r="35" spans="1:37">
      <c r="A35">
        <v>10245821</v>
      </c>
      <c r="B35" t="s">
        <v>37</v>
      </c>
      <c r="C35" t="s">
        <v>320</v>
      </c>
      <c r="E35" t="s">
        <v>321</v>
      </c>
      <c r="F35" t="s">
        <v>322</v>
      </c>
      <c r="G35" t="s">
        <v>323</v>
      </c>
      <c r="H35" t="s">
        <v>42</v>
      </c>
      <c r="I35" t="s">
        <v>324</v>
      </c>
      <c r="J35" t="s">
        <v>325</v>
      </c>
      <c r="K35" t="s">
        <v>326</v>
      </c>
      <c r="L35" t="s">
        <v>142</v>
      </c>
      <c r="M35" t="s">
        <v>46</v>
      </c>
      <c r="N35" t="s">
        <v>47</v>
      </c>
      <c r="O35">
        <v>4</v>
      </c>
      <c r="P35">
        <v>1</v>
      </c>
      <c r="Q35">
        <v>0</v>
      </c>
      <c r="R35" t="s">
        <v>48</v>
      </c>
      <c r="S35" t="s">
        <v>49</v>
      </c>
      <c r="T35" s="3">
        <v>0</v>
      </c>
      <c r="U35" s="3">
        <v>0</v>
      </c>
      <c r="V35" s="3">
        <v>0</v>
      </c>
      <c r="W35">
        <v>2.06</v>
      </c>
      <c r="X35" t="s">
        <v>50</v>
      </c>
      <c r="Y35" s="3">
        <v>1.38</v>
      </c>
      <c r="Z35" t="s">
        <v>73</v>
      </c>
      <c r="AA35" t="s">
        <v>327</v>
      </c>
      <c r="AB35" t="s">
        <v>53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f t="shared" si="0"/>
        <v>1.38</v>
      </c>
      <c r="AK35" s="3">
        <f t="shared" si="1"/>
        <v>0</v>
      </c>
    </row>
    <row r="36" spans="1:37">
      <c r="A36">
        <v>10242232</v>
      </c>
      <c r="B36" t="s">
        <v>37</v>
      </c>
      <c r="C36" t="s">
        <v>328</v>
      </c>
      <c r="E36" t="s">
        <v>329</v>
      </c>
      <c r="F36" t="s">
        <v>330</v>
      </c>
      <c r="G36" t="s">
        <v>331</v>
      </c>
      <c r="H36" t="s">
        <v>42</v>
      </c>
      <c r="I36" t="s">
        <v>332</v>
      </c>
      <c r="J36" t="s">
        <v>333</v>
      </c>
      <c r="K36">
        <v>63739</v>
      </c>
      <c r="L36" t="s">
        <v>71</v>
      </c>
      <c r="M36" t="s">
        <v>46</v>
      </c>
      <c r="N36" t="s">
        <v>47</v>
      </c>
      <c r="O36">
        <v>4</v>
      </c>
      <c r="P36">
        <v>1</v>
      </c>
      <c r="Q36">
        <v>0</v>
      </c>
      <c r="R36" t="s">
        <v>48</v>
      </c>
      <c r="S36" t="s">
        <v>49</v>
      </c>
      <c r="T36" s="3">
        <v>0</v>
      </c>
      <c r="U36" s="3">
        <v>0</v>
      </c>
      <c r="V36" s="3">
        <v>0</v>
      </c>
      <c r="W36">
        <v>1.92</v>
      </c>
      <c r="X36" t="s">
        <v>72</v>
      </c>
      <c r="Y36" s="3">
        <v>4.16</v>
      </c>
      <c r="Z36" t="s">
        <v>73</v>
      </c>
      <c r="AA36" t="s">
        <v>334</v>
      </c>
      <c r="AB36" t="s">
        <v>53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f t="shared" si="0"/>
        <v>4.16</v>
      </c>
      <c r="AK36" s="3">
        <f t="shared" si="1"/>
        <v>0</v>
      </c>
    </row>
    <row r="37" spans="1:37">
      <c r="A37">
        <v>10243174</v>
      </c>
      <c r="B37" t="s">
        <v>37</v>
      </c>
      <c r="C37" t="s">
        <v>335</v>
      </c>
      <c r="E37" t="s">
        <v>336</v>
      </c>
      <c r="F37" t="s">
        <v>337</v>
      </c>
      <c r="G37" t="s">
        <v>338</v>
      </c>
      <c r="H37" t="s">
        <v>42</v>
      </c>
      <c r="I37" t="s">
        <v>339</v>
      </c>
      <c r="J37" t="s">
        <v>340</v>
      </c>
      <c r="K37" t="s">
        <v>341</v>
      </c>
      <c r="L37" t="s">
        <v>142</v>
      </c>
      <c r="M37" t="s">
        <v>46</v>
      </c>
      <c r="N37" t="s">
        <v>47</v>
      </c>
      <c r="O37">
        <v>4</v>
      </c>
      <c r="P37">
        <v>1</v>
      </c>
      <c r="Q37">
        <v>0</v>
      </c>
      <c r="R37" t="s">
        <v>48</v>
      </c>
      <c r="S37" t="s">
        <v>49</v>
      </c>
      <c r="T37" s="3">
        <v>0</v>
      </c>
      <c r="U37" s="3">
        <v>0</v>
      </c>
      <c r="V37" s="3">
        <v>0</v>
      </c>
      <c r="W37">
        <v>2.97</v>
      </c>
      <c r="X37" t="s">
        <v>50</v>
      </c>
      <c r="Y37" s="3">
        <v>1.38</v>
      </c>
      <c r="Z37" t="s">
        <v>73</v>
      </c>
      <c r="AA37" t="s">
        <v>342</v>
      </c>
      <c r="AB37" t="s">
        <v>53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f t="shared" si="0"/>
        <v>1.38</v>
      </c>
      <c r="AK37" s="3">
        <f t="shared" si="1"/>
        <v>0</v>
      </c>
    </row>
    <row r="38" spans="1:37">
      <c r="A38">
        <v>10245232</v>
      </c>
      <c r="B38" t="s">
        <v>37</v>
      </c>
      <c r="C38" t="s">
        <v>343</v>
      </c>
      <c r="E38" t="s">
        <v>344</v>
      </c>
      <c r="F38" t="s">
        <v>345</v>
      </c>
      <c r="G38" t="s">
        <v>346</v>
      </c>
      <c r="H38" t="s">
        <v>42</v>
      </c>
      <c r="I38" t="s">
        <v>347</v>
      </c>
      <c r="J38" t="s">
        <v>348</v>
      </c>
      <c r="K38">
        <v>69530</v>
      </c>
      <c r="L38" t="s">
        <v>130</v>
      </c>
      <c r="M38" t="s">
        <v>46</v>
      </c>
      <c r="N38" t="s">
        <v>47</v>
      </c>
      <c r="O38">
        <v>2</v>
      </c>
      <c r="P38">
        <v>1</v>
      </c>
      <c r="Q38">
        <v>0</v>
      </c>
      <c r="R38" t="s">
        <v>48</v>
      </c>
      <c r="S38" t="s">
        <v>49</v>
      </c>
      <c r="T38" s="3">
        <v>0</v>
      </c>
      <c r="U38" s="3">
        <v>0</v>
      </c>
      <c r="V38" s="3">
        <v>0</v>
      </c>
      <c r="W38">
        <v>1.1499999999999999</v>
      </c>
      <c r="X38" t="s">
        <v>50</v>
      </c>
      <c r="Y38" s="3">
        <v>0.72</v>
      </c>
      <c r="Z38" t="s">
        <v>73</v>
      </c>
      <c r="AA38" t="s">
        <v>349</v>
      </c>
      <c r="AB38" t="s">
        <v>53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f t="shared" si="0"/>
        <v>0.72</v>
      </c>
      <c r="AK38" s="3">
        <f t="shared" si="1"/>
        <v>0</v>
      </c>
    </row>
    <row r="39" spans="1:37">
      <c r="A39">
        <v>10246037</v>
      </c>
      <c r="B39" t="s">
        <v>37</v>
      </c>
      <c r="C39" t="s">
        <v>350</v>
      </c>
      <c r="E39" t="s">
        <v>351</v>
      </c>
      <c r="F39" t="s">
        <v>352</v>
      </c>
      <c r="G39" t="s">
        <v>353</v>
      </c>
      <c r="H39" t="s">
        <v>42</v>
      </c>
      <c r="I39" t="s">
        <v>354</v>
      </c>
      <c r="J39" t="s">
        <v>355</v>
      </c>
      <c r="K39">
        <v>35410</v>
      </c>
      <c r="L39" t="s">
        <v>130</v>
      </c>
      <c r="M39" t="s">
        <v>46</v>
      </c>
      <c r="N39" t="s">
        <v>47</v>
      </c>
      <c r="O39">
        <v>4</v>
      </c>
      <c r="P39">
        <v>1</v>
      </c>
      <c r="Q39">
        <v>0</v>
      </c>
      <c r="R39" t="s">
        <v>48</v>
      </c>
      <c r="S39" t="s">
        <v>49</v>
      </c>
      <c r="T39" s="3">
        <v>0</v>
      </c>
      <c r="U39" s="3">
        <v>0</v>
      </c>
      <c r="V39" s="3">
        <v>0</v>
      </c>
      <c r="W39">
        <v>1.37</v>
      </c>
      <c r="X39" t="s">
        <v>50</v>
      </c>
      <c r="Y39" s="3">
        <v>2.1</v>
      </c>
      <c r="Z39" t="s">
        <v>73</v>
      </c>
      <c r="AA39" t="s">
        <v>356</v>
      </c>
      <c r="AB39" t="s">
        <v>53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f t="shared" si="0"/>
        <v>2.1</v>
      </c>
      <c r="AK39" s="3">
        <f t="shared" si="1"/>
        <v>0</v>
      </c>
    </row>
    <row r="40" spans="1:37">
      <c r="A40">
        <v>10247467</v>
      </c>
      <c r="B40" t="s">
        <v>37</v>
      </c>
      <c r="C40" t="s">
        <v>357</v>
      </c>
      <c r="E40" t="s">
        <v>358</v>
      </c>
      <c r="F40" t="s">
        <v>359</v>
      </c>
      <c r="G40" t="s">
        <v>360</v>
      </c>
      <c r="H40" t="s">
        <v>42</v>
      </c>
      <c r="I40" t="s">
        <v>361</v>
      </c>
      <c r="J40" t="s">
        <v>362</v>
      </c>
      <c r="K40">
        <v>75017</v>
      </c>
      <c r="L40" t="s">
        <v>130</v>
      </c>
      <c r="M40" t="s">
        <v>46</v>
      </c>
      <c r="N40" t="s">
        <v>47</v>
      </c>
      <c r="O40">
        <v>2</v>
      </c>
      <c r="P40">
        <v>1</v>
      </c>
      <c r="Q40">
        <v>0</v>
      </c>
      <c r="R40" t="s">
        <v>48</v>
      </c>
      <c r="S40" t="s">
        <v>49</v>
      </c>
      <c r="T40" s="3">
        <v>0</v>
      </c>
      <c r="U40" s="3">
        <v>0</v>
      </c>
      <c r="V40" s="3">
        <v>0</v>
      </c>
      <c r="W40">
        <v>0.69</v>
      </c>
      <c r="X40" t="s">
        <v>50</v>
      </c>
      <c r="Y40" s="3">
        <v>2.1</v>
      </c>
      <c r="Z40" t="s">
        <v>109</v>
      </c>
      <c r="AA40" t="s">
        <v>363</v>
      </c>
      <c r="AB40" t="s">
        <v>53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f t="shared" si="0"/>
        <v>2.1</v>
      </c>
      <c r="AK40" s="3">
        <f t="shared" si="1"/>
        <v>0</v>
      </c>
    </row>
    <row r="41" spans="1:37">
      <c r="A41">
        <v>10245823</v>
      </c>
      <c r="B41" t="s">
        <v>37</v>
      </c>
      <c r="C41" t="s">
        <v>364</v>
      </c>
      <c r="E41" t="s">
        <v>292</v>
      </c>
      <c r="F41" t="s">
        <v>365</v>
      </c>
      <c r="G41" t="s">
        <v>366</v>
      </c>
      <c r="H41" t="s">
        <v>42</v>
      </c>
      <c r="I41" t="s">
        <v>367</v>
      </c>
      <c r="J41" t="s">
        <v>368</v>
      </c>
      <c r="K41">
        <v>6712</v>
      </c>
      <c r="L41" t="s">
        <v>369</v>
      </c>
      <c r="M41" t="s">
        <v>46</v>
      </c>
      <c r="N41" t="s">
        <v>47</v>
      </c>
      <c r="O41">
        <v>6</v>
      </c>
      <c r="P41">
        <v>1</v>
      </c>
      <c r="Q41">
        <v>0</v>
      </c>
      <c r="R41" t="s">
        <v>48</v>
      </c>
      <c r="S41" t="s">
        <v>49</v>
      </c>
      <c r="T41" s="3">
        <v>0</v>
      </c>
      <c r="U41" s="3">
        <v>0</v>
      </c>
      <c r="V41" s="3">
        <v>0</v>
      </c>
      <c r="W41">
        <v>2.16</v>
      </c>
      <c r="X41" t="s">
        <v>50</v>
      </c>
      <c r="Y41" s="3">
        <v>1.38</v>
      </c>
      <c r="Z41" t="s">
        <v>73</v>
      </c>
      <c r="AA41" t="s">
        <v>370</v>
      </c>
      <c r="AB41" t="s">
        <v>53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f t="shared" si="0"/>
        <v>1.38</v>
      </c>
      <c r="AK41" s="3">
        <f t="shared" si="1"/>
        <v>0</v>
      </c>
    </row>
    <row r="42" spans="1:37">
      <c r="A42">
        <v>10246043</v>
      </c>
      <c r="B42" t="s">
        <v>37</v>
      </c>
      <c r="C42" t="s">
        <v>371</v>
      </c>
      <c r="E42" t="s">
        <v>372</v>
      </c>
      <c r="F42" t="s">
        <v>373</v>
      </c>
      <c r="G42" t="s">
        <v>374</v>
      </c>
      <c r="H42" t="s">
        <v>42</v>
      </c>
      <c r="I42" t="s">
        <v>375</v>
      </c>
      <c r="J42" t="s">
        <v>376</v>
      </c>
      <c r="K42">
        <v>86199</v>
      </c>
      <c r="L42" t="s">
        <v>71</v>
      </c>
      <c r="M42" t="s">
        <v>46</v>
      </c>
      <c r="N42" t="s">
        <v>47</v>
      </c>
      <c r="O42">
        <v>4</v>
      </c>
      <c r="P42">
        <v>1</v>
      </c>
      <c r="Q42">
        <v>0</v>
      </c>
      <c r="R42" t="s">
        <v>48</v>
      </c>
      <c r="S42" t="s">
        <v>49</v>
      </c>
      <c r="T42" s="3">
        <v>0</v>
      </c>
      <c r="U42" s="3">
        <v>0</v>
      </c>
      <c r="V42" s="3">
        <v>0</v>
      </c>
      <c r="W42">
        <v>0.65</v>
      </c>
      <c r="X42" t="s">
        <v>108</v>
      </c>
      <c r="Y42" s="3">
        <v>1.38</v>
      </c>
      <c r="Z42" t="s">
        <v>109</v>
      </c>
      <c r="AA42" t="s">
        <v>377</v>
      </c>
      <c r="AB42" t="s">
        <v>53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f t="shared" si="0"/>
        <v>1.38</v>
      </c>
      <c r="AK42" s="3">
        <f t="shared" si="1"/>
        <v>0</v>
      </c>
    </row>
    <row r="43" spans="1:37">
      <c r="A43">
        <v>10240166</v>
      </c>
      <c r="B43" t="s">
        <v>37</v>
      </c>
      <c r="C43" t="s">
        <v>378</v>
      </c>
      <c r="E43" t="s">
        <v>379</v>
      </c>
      <c r="F43" t="s">
        <v>380</v>
      </c>
      <c r="G43" t="s">
        <v>381</v>
      </c>
      <c r="H43" t="s">
        <v>42</v>
      </c>
      <c r="I43" t="s">
        <v>382</v>
      </c>
      <c r="J43" t="s">
        <v>383</v>
      </c>
      <c r="K43">
        <v>20355</v>
      </c>
      <c r="L43" t="s">
        <v>71</v>
      </c>
      <c r="M43" t="s">
        <v>46</v>
      </c>
      <c r="N43" t="s">
        <v>47</v>
      </c>
      <c r="O43">
        <v>4</v>
      </c>
      <c r="P43">
        <v>1</v>
      </c>
      <c r="Q43">
        <v>0</v>
      </c>
      <c r="R43" t="s">
        <v>48</v>
      </c>
      <c r="S43" t="s">
        <v>49</v>
      </c>
      <c r="T43" s="3">
        <v>0</v>
      </c>
      <c r="U43" s="3">
        <v>0</v>
      </c>
      <c r="V43" s="3">
        <v>0</v>
      </c>
      <c r="W43">
        <v>2.63</v>
      </c>
      <c r="X43" t="s">
        <v>72</v>
      </c>
      <c r="Y43" s="3">
        <v>1.38</v>
      </c>
      <c r="Z43" t="s">
        <v>73</v>
      </c>
      <c r="AA43" t="s">
        <v>384</v>
      </c>
      <c r="AB43" t="s">
        <v>53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f t="shared" si="0"/>
        <v>1.38</v>
      </c>
      <c r="AK43" s="3">
        <f t="shared" si="1"/>
        <v>0</v>
      </c>
    </row>
    <row r="44" spans="1:37">
      <c r="A44">
        <v>10248684</v>
      </c>
      <c r="B44" t="s">
        <v>37</v>
      </c>
      <c r="C44" t="s">
        <v>385</v>
      </c>
      <c r="E44" t="s">
        <v>358</v>
      </c>
      <c r="F44" t="s">
        <v>359</v>
      </c>
      <c r="G44" t="s">
        <v>386</v>
      </c>
      <c r="H44" t="s">
        <v>42</v>
      </c>
      <c r="I44" t="s">
        <v>387</v>
      </c>
      <c r="J44" t="s">
        <v>388</v>
      </c>
      <c r="K44">
        <v>75017</v>
      </c>
      <c r="L44" t="s">
        <v>130</v>
      </c>
      <c r="M44" t="s">
        <v>46</v>
      </c>
      <c r="N44" t="s">
        <v>47</v>
      </c>
      <c r="O44">
        <v>2</v>
      </c>
      <c r="P44">
        <v>1</v>
      </c>
      <c r="Q44">
        <v>0</v>
      </c>
      <c r="R44" t="s">
        <v>48</v>
      </c>
      <c r="S44" t="s">
        <v>49</v>
      </c>
      <c r="T44" s="3">
        <v>0</v>
      </c>
      <c r="U44" s="3">
        <v>0</v>
      </c>
      <c r="V44" s="3">
        <v>0</v>
      </c>
      <c r="W44">
        <v>0.38</v>
      </c>
      <c r="X44" t="s">
        <v>50</v>
      </c>
      <c r="Y44" s="3">
        <v>0.72</v>
      </c>
      <c r="Z44" t="s">
        <v>109</v>
      </c>
      <c r="AA44" t="s">
        <v>389</v>
      </c>
      <c r="AB44" t="s">
        <v>53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f t="shared" si="0"/>
        <v>0.72</v>
      </c>
      <c r="AK44" s="3">
        <f t="shared" si="1"/>
        <v>0</v>
      </c>
    </row>
    <row r="45" spans="1:37">
      <c r="A45">
        <v>10247172</v>
      </c>
      <c r="B45" t="s">
        <v>37</v>
      </c>
      <c r="C45" t="s">
        <v>390</v>
      </c>
      <c r="E45" t="s">
        <v>391</v>
      </c>
      <c r="F45" t="s">
        <v>392</v>
      </c>
      <c r="G45" t="s">
        <v>393</v>
      </c>
      <c r="H45" t="s">
        <v>42</v>
      </c>
      <c r="I45" t="s">
        <v>394</v>
      </c>
      <c r="J45" t="s">
        <v>395</v>
      </c>
      <c r="K45">
        <v>76133</v>
      </c>
      <c r="L45" t="s">
        <v>71</v>
      </c>
      <c r="M45" t="s">
        <v>46</v>
      </c>
      <c r="N45" t="s">
        <v>47</v>
      </c>
      <c r="O45">
        <v>2</v>
      </c>
      <c r="P45">
        <v>1</v>
      </c>
      <c r="Q45">
        <v>0</v>
      </c>
      <c r="R45" t="s">
        <v>48</v>
      </c>
      <c r="S45" t="s">
        <v>49</v>
      </c>
      <c r="T45" s="3">
        <v>0</v>
      </c>
      <c r="U45" s="3">
        <v>0</v>
      </c>
      <c r="V45" s="3">
        <v>0</v>
      </c>
      <c r="W45">
        <v>0.99</v>
      </c>
      <c r="X45" t="s">
        <v>72</v>
      </c>
      <c r="Y45" s="3">
        <v>9.7100000000000009</v>
      </c>
      <c r="Z45" t="s">
        <v>73</v>
      </c>
      <c r="AA45" t="s">
        <v>396</v>
      </c>
      <c r="AB45" t="s">
        <v>53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f t="shared" si="0"/>
        <v>9.7100000000000009</v>
      </c>
      <c r="AK45" s="3">
        <f t="shared" si="1"/>
        <v>0</v>
      </c>
    </row>
    <row r="46" spans="1:37">
      <c r="A46">
        <v>10246892</v>
      </c>
      <c r="B46" t="s">
        <v>37</v>
      </c>
      <c r="C46" t="s">
        <v>397</v>
      </c>
      <c r="E46" t="s">
        <v>398</v>
      </c>
      <c r="F46" t="s">
        <v>399</v>
      </c>
      <c r="G46" t="s">
        <v>400</v>
      </c>
      <c r="H46" t="s">
        <v>42</v>
      </c>
      <c r="I46" t="s">
        <v>401</v>
      </c>
      <c r="J46" t="s">
        <v>402</v>
      </c>
      <c r="K46">
        <v>3140</v>
      </c>
      <c r="L46" t="s">
        <v>403</v>
      </c>
      <c r="M46" t="s">
        <v>46</v>
      </c>
      <c r="N46" t="s">
        <v>47</v>
      </c>
      <c r="O46">
        <v>4</v>
      </c>
      <c r="P46">
        <v>1</v>
      </c>
      <c r="Q46">
        <v>0</v>
      </c>
      <c r="R46" t="s">
        <v>48</v>
      </c>
      <c r="S46" t="s">
        <v>49</v>
      </c>
      <c r="T46" s="3">
        <v>0</v>
      </c>
      <c r="U46" s="3">
        <v>0</v>
      </c>
      <c r="V46" s="3">
        <v>0</v>
      </c>
      <c r="W46">
        <v>2.06</v>
      </c>
      <c r="X46" t="s">
        <v>50</v>
      </c>
      <c r="Y46" s="3">
        <v>2.16</v>
      </c>
      <c r="Z46" t="s">
        <v>73</v>
      </c>
      <c r="AA46" t="s">
        <v>404</v>
      </c>
      <c r="AB46" t="s">
        <v>53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f t="shared" si="0"/>
        <v>2.16</v>
      </c>
      <c r="AK46" s="3">
        <f t="shared" si="1"/>
        <v>0</v>
      </c>
    </row>
    <row r="47" spans="1:37">
      <c r="A47">
        <v>10238775</v>
      </c>
      <c r="B47" t="s">
        <v>37</v>
      </c>
      <c r="C47" t="s">
        <v>405</v>
      </c>
      <c r="D47" t="s">
        <v>406</v>
      </c>
      <c r="E47" t="s">
        <v>407</v>
      </c>
      <c r="F47" t="s">
        <v>408</v>
      </c>
      <c r="G47" t="s">
        <v>409</v>
      </c>
      <c r="H47" t="s">
        <v>42</v>
      </c>
      <c r="I47" t="s">
        <v>410</v>
      </c>
      <c r="J47" t="s">
        <v>411</v>
      </c>
      <c r="K47" t="s">
        <v>412</v>
      </c>
      <c r="L47" t="s">
        <v>82</v>
      </c>
      <c r="M47" t="s">
        <v>46</v>
      </c>
      <c r="N47" t="s">
        <v>47</v>
      </c>
      <c r="O47">
        <v>2</v>
      </c>
      <c r="P47">
        <v>1</v>
      </c>
      <c r="Q47">
        <v>0</v>
      </c>
      <c r="R47" t="s">
        <v>48</v>
      </c>
      <c r="S47" t="s">
        <v>49</v>
      </c>
      <c r="T47" s="3">
        <v>0</v>
      </c>
      <c r="U47" s="3">
        <v>0</v>
      </c>
      <c r="V47" s="3">
        <v>0</v>
      </c>
      <c r="W47">
        <v>0.88</v>
      </c>
      <c r="X47" t="s">
        <v>50</v>
      </c>
      <c r="Y47" s="3">
        <v>8.15</v>
      </c>
      <c r="Z47" t="s">
        <v>109</v>
      </c>
      <c r="AA47" t="s">
        <v>413</v>
      </c>
      <c r="AB47" t="s">
        <v>53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f t="shared" si="0"/>
        <v>8.15</v>
      </c>
      <c r="AK47" s="3">
        <f t="shared" si="1"/>
        <v>0</v>
      </c>
    </row>
    <row r="48" spans="1:37">
      <c r="A48">
        <v>10247470</v>
      </c>
      <c r="B48" t="s">
        <v>37</v>
      </c>
      <c r="C48" t="s">
        <v>414</v>
      </c>
      <c r="D48" t="s">
        <v>415</v>
      </c>
      <c r="E48" t="s">
        <v>416</v>
      </c>
      <c r="F48" t="s">
        <v>417</v>
      </c>
      <c r="G48" t="s">
        <v>418</v>
      </c>
      <c r="H48" t="s">
        <v>42</v>
      </c>
      <c r="I48" t="s">
        <v>419</v>
      </c>
      <c r="J48" t="s">
        <v>420</v>
      </c>
      <c r="K48">
        <v>5036</v>
      </c>
      <c r="L48" t="s">
        <v>421</v>
      </c>
      <c r="M48" t="s">
        <v>46</v>
      </c>
      <c r="N48" t="s">
        <v>47</v>
      </c>
      <c r="O48">
        <v>3</v>
      </c>
      <c r="P48">
        <v>1</v>
      </c>
      <c r="Q48">
        <v>0</v>
      </c>
      <c r="R48" t="s">
        <v>48</v>
      </c>
      <c r="S48" t="s">
        <v>49</v>
      </c>
      <c r="T48" s="3">
        <v>0</v>
      </c>
      <c r="U48" s="3">
        <v>0</v>
      </c>
      <c r="V48" s="3">
        <v>0</v>
      </c>
      <c r="W48">
        <v>2.82</v>
      </c>
      <c r="X48" t="s">
        <v>50</v>
      </c>
      <c r="Y48" s="3">
        <v>9.66</v>
      </c>
      <c r="Z48" t="s">
        <v>83</v>
      </c>
      <c r="AA48" t="s">
        <v>422</v>
      </c>
      <c r="AB48" t="s">
        <v>53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f t="shared" si="0"/>
        <v>9.66</v>
      </c>
      <c r="AK48" s="3">
        <f t="shared" si="1"/>
        <v>0</v>
      </c>
    </row>
    <row r="49" spans="1:37">
      <c r="A49">
        <v>10247794</v>
      </c>
      <c r="B49" t="s">
        <v>37</v>
      </c>
      <c r="C49" t="s">
        <v>423</v>
      </c>
      <c r="E49" t="s">
        <v>424</v>
      </c>
      <c r="F49" t="s">
        <v>425</v>
      </c>
      <c r="G49" t="s">
        <v>426</v>
      </c>
      <c r="H49" t="s">
        <v>42</v>
      </c>
      <c r="I49" t="s">
        <v>427</v>
      </c>
      <c r="J49" t="s">
        <v>428</v>
      </c>
      <c r="K49">
        <v>81543</v>
      </c>
      <c r="L49" t="s">
        <v>71</v>
      </c>
      <c r="M49" t="s">
        <v>46</v>
      </c>
      <c r="N49" t="s">
        <v>47</v>
      </c>
      <c r="O49">
        <v>4</v>
      </c>
      <c r="P49">
        <v>1</v>
      </c>
      <c r="Q49">
        <v>0</v>
      </c>
      <c r="R49" t="s">
        <v>48</v>
      </c>
      <c r="S49" t="s">
        <v>49</v>
      </c>
      <c r="T49" s="3">
        <v>0</v>
      </c>
      <c r="U49" s="3">
        <v>0</v>
      </c>
      <c r="V49" s="3">
        <v>0</v>
      </c>
      <c r="W49">
        <v>1.66</v>
      </c>
      <c r="X49" t="s">
        <v>72</v>
      </c>
      <c r="Y49" s="3">
        <v>1.38</v>
      </c>
      <c r="Z49" t="s">
        <v>73</v>
      </c>
      <c r="AA49" t="s">
        <v>429</v>
      </c>
      <c r="AB49" t="s">
        <v>53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f t="shared" si="0"/>
        <v>1.38</v>
      </c>
      <c r="AK49" s="3">
        <f t="shared" si="1"/>
        <v>0</v>
      </c>
    </row>
    <row r="50" spans="1:37">
      <c r="A50">
        <v>10248444</v>
      </c>
      <c r="B50" t="s">
        <v>37</v>
      </c>
      <c r="C50" t="s">
        <v>430</v>
      </c>
      <c r="E50" t="s">
        <v>215</v>
      </c>
      <c r="F50" t="s">
        <v>431</v>
      </c>
      <c r="G50" t="s">
        <v>432</v>
      </c>
      <c r="H50" t="s">
        <v>42</v>
      </c>
      <c r="I50" t="s">
        <v>433</v>
      </c>
      <c r="J50" t="s">
        <v>434</v>
      </c>
      <c r="K50">
        <v>20255</v>
      </c>
      <c r="L50" t="s">
        <v>71</v>
      </c>
      <c r="M50" t="s">
        <v>46</v>
      </c>
      <c r="N50" t="s">
        <v>47</v>
      </c>
      <c r="O50">
        <v>7</v>
      </c>
      <c r="P50">
        <v>1</v>
      </c>
      <c r="Q50">
        <v>0</v>
      </c>
      <c r="R50" t="s">
        <v>48</v>
      </c>
      <c r="S50" t="s">
        <v>49</v>
      </c>
      <c r="T50" s="3">
        <v>0</v>
      </c>
      <c r="U50" s="3">
        <v>0</v>
      </c>
      <c r="V50" s="3">
        <v>0</v>
      </c>
      <c r="W50">
        <v>2.94</v>
      </c>
      <c r="X50" t="s">
        <v>72</v>
      </c>
      <c r="Y50" s="3">
        <v>2.54</v>
      </c>
      <c r="Z50" t="s">
        <v>83</v>
      </c>
      <c r="AA50" t="s">
        <v>435</v>
      </c>
      <c r="AB50" t="s">
        <v>53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f t="shared" si="0"/>
        <v>2.54</v>
      </c>
      <c r="AK50" s="3">
        <f t="shared" si="1"/>
        <v>0</v>
      </c>
    </row>
    <row r="51" spans="1:37">
      <c r="A51">
        <v>10248439</v>
      </c>
      <c r="B51" t="s">
        <v>37</v>
      </c>
      <c r="C51" t="s">
        <v>436</v>
      </c>
      <c r="E51" t="s">
        <v>437</v>
      </c>
      <c r="F51" t="s">
        <v>438</v>
      </c>
      <c r="G51" t="s">
        <v>439</v>
      </c>
      <c r="H51" t="s">
        <v>42</v>
      </c>
      <c r="I51" t="s">
        <v>440</v>
      </c>
      <c r="J51" t="s">
        <v>441</v>
      </c>
      <c r="K51">
        <v>44388</v>
      </c>
      <c r="L51" t="s">
        <v>71</v>
      </c>
      <c r="M51" t="s">
        <v>46</v>
      </c>
      <c r="N51" t="s">
        <v>47</v>
      </c>
      <c r="O51">
        <v>3</v>
      </c>
      <c r="P51">
        <v>1</v>
      </c>
      <c r="Q51">
        <v>0</v>
      </c>
      <c r="R51" t="s">
        <v>48</v>
      </c>
      <c r="S51" t="s">
        <v>49</v>
      </c>
      <c r="T51" s="3">
        <v>0</v>
      </c>
      <c r="U51" s="3">
        <v>0</v>
      </c>
      <c r="V51" s="3">
        <v>0</v>
      </c>
      <c r="W51">
        <v>1.18</v>
      </c>
      <c r="X51" t="s">
        <v>72</v>
      </c>
      <c r="Y51" s="3">
        <v>1.38</v>
      </c>
      <c r="Z51" t="s">
        <v>73</v>
      </c>
      <c r="AA51" t="s">
        <v>442</v>
      </c>
      <c r="AB51" t="s">
        <v>53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f t="shared" si="0"/>
        <v>1.38</v>
      </c>
      <c r="AK51" s="3">
        <f t="shared" si="1"/>
        <v>0</v>
      </c>
    </row>
    <row r="52" spans="1:37">
      <c r="A52">
        <v>10252425</v>
      </c>
      <c r="B52" t="s">
        <v>37</v>
      </c>
      <c r="C52" t="s">
        <v>443</v>
      </c>
      <c r="D52" t="s">
        <v>444</v>
      </c>
      <c r="E52" t="s">
        <v>445</v>
      </c>
      <c r="F52" t="s">
        <v>446</v>
      </c>
      <c r="G52" t="s">
        <v>447</v>
      </c>
      <c r="H52" t="s">
        <v>42</v>
      </c>
      <c r="I52" t="s">
        <v>448</v>
      </c>
      <c r="J52" t="s">
        <v>449</v>
      </c>
      <c r="K52" t="s">
        <v>450</v>
      </c>
      <c r="L52" t="s">
        <v>275</v>
      </c>
      <c r="M52" t="s">
        <v>46</v>
      </c>
      <c r="N52" t="s">
        <v>47</v>
      </c>
      <c r="O52">
        <v>3</v>
      </c>
      <c r="P52">
        <v>1</v>
      </c>
      <c r="Q52">
        <v>0</v>
      </c>
      <c r="R52" t="s">
        <v>48</v>
      </c>
      <c r="S52" t="s">
        <v>49</v>
      </c>
      <c r="T52" s="3">
        <v>0</v>
      </c>
      <c r="U52" s="3">
        <v>0</v>
      </c>
      <c r="V52" s="3">
        <v>0</v>
      </c>
      <c r="W52">
        <v>1.57</v>
      </c>
      <c r="X52" t="s">
        <v>50</v>
      </c>
      <c r="Y52" s="3">
        <v>1.38</v>
      </c>
      <c r="Z52" t="s">
        <v>73</v>
      </c>
      <c r="AA52" t="s">
        <v>451</v>
      </c>
      <c r="AB52" t="s">
        <v>53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f t="shared" si="0"/>
        <v>1.38</v>
      </c>
      <c r="AK52" s="3">
        <f t="shared" si="1"/>
        <v>0</v>
      </c>
    </row>
    <row r="53" spans="1:37">
      <c r="A53">
        <v>10251989</v>
      </c>
      <c r="B53" t="s">
        <v>37</v>
      </c>
      <c r="C53" t="s">
        <v>452</v>
      </c>
      <c r="E53" t="s">
        <v>453</v>
      </c>
      <c r="F53" t="s">
        <v>454</v>
      </c>
      <c r="G53" t="s">
        <v>455</v>
      </c>
      <c r="H53" t="s">
        <v>42</v>
      </c>
      <c r="I53" t="s">
        <v>456</v>
      </c>
      <c r="J53" t="s">
        <v>457</v>
      </c>
      <c r="K53" t="s">
        <v>458</v>
      </c>
      <c r="L53" t="s">
        <v>142</v>
      </c>
      <c r="M53" t="s">
        <v>46</v>
      </c>
      <c r="N53" t="s">
        <v>47</v>
      </c>
      <c r="O53">
        <v>4</v>
      </c>
      <c r="P53">
        <v>1</v>
      </c>
      <c r="Q53">
        <v>0</v>
      </c>
      <c r="R53" t="s">
        <v>48</v>
      </c>
      <c r="S53" t="s">
        <v>49</v>
      </c>
      <c r="T53" s="3">
        <v>0</v>
      </c>
      <c r="U53" s="3">
        <v>0</v>
      </c>
      <c r="V53" s="3">
        <v>0</v>
      </c>
      <c r="W53">
        <v>1.66</v>
      </c>
      <c r="X53" t="s">
        <v>50</v>
      </c>
      <c r="Y53" s="3">
        <v>1.38</v>
      </c>
      <c r="Z53" t="s">
        <v>73</v>
      </c>
      <c r="AA53" t="s">
        <v>459</v>
      </c>
      <c r="AB53" t="s">
        <v>53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f t="shared" si="0"/>
        <v>1.38</v>
      </c>
      <c r="AK53" s="3">
        <f t="shared" si="1"/>
        <v>0</v>
      </c>
    </row>
    <row r="54" spans="1:37">
      <c r="A54">
        <v>10253067</v>
      </c>
      <c r="B54" t="s">
        <v>37</v>
      </c>
      <c r="C54" t="s">
        <v>460</v>
      </c>
      <c r="E54" t="s">
        <v>461</v>
      </c>
      <c r="F54" t="s">
        <v>462</v>
      </c>
      <c r="G54" t="s">
        <v>463</v>
      </c>
      <c r="H54" t="s">
        <v>42</v>
      </c>
      <c r="I54" t="s">
        <v>464</v>
      </c>
      <c r="J54" t="s">
        <v>465</v>
      </c>
      <c r="K54">
        <v>22147</v>
      </c>
      <c r="L54" t="s">
        <v>71</v>
      </c>
      <c r="M54" t="s">
        <v>46</v>
      </c>
      <c r="N54" t="s">
        <v>47</v>
      </c>
      <c r="O54">
        <v>2</v>
      </c>
      <c r="P54">
        <v>1</v>
      </c>
      <c r="Q54">
        <v>0</v>
      </c>
      <c r="R54" t="s">
        <v>48</v>
      </c>
      <c r="S54" t="s">
        <v>49</v>
      </c>
      <c r="T54" s="3">
        <v>0</v>
      </c>
      <c r="U54" s="3">
        <v>0</v>
      </c>
      <c r="V54" s="3">
        <v>0</v>
      </c>
      <c r="W54">
        <v>1.64</v>
      </c>
      <c r="X54" t="s">
        <v>72</v>
      </c>
      <c r="Y54" s="3">
        <v>1.38</v>
      </c>
      <c r="Z54" t="s">
        <v>73</v>
      </c>
      <c r="AA54" t="s">
        <v>466</v>
      </c>
      <c r="AB54" t="s">
        <v>53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f t="shared" si="0"/>
        <v>1.38</v>
      </c>
      <c r="AK54" s="3">
        <f t="shared" si="1"/>
        <v>0</v>
      </c>
    </row>
    <row r="55" spans="1:37">
      <c r="A55">
        <v>10251448</v>
      </c>
      <c r="B55" t="s">
        <v>37</v>
      </c>
      <c r="C55" t="s">
        <v>467</v>
      </c>
      <c r="E55" t="s">
        <v>468</v>
      </c>
      <c r="F55" t="s">
        <v>469</v>
      </c>
      <c r="G55" t="s">
        <v>470</v>
      </c>
      <c r="H55" t="s">
        <v>42</v>
      </c>
      <c r="I55" t="s">
        <v>471</v>
      </c>
      <c r="J55" t="s">
        <v>472</v>
      </c>
      <c r="K55" t="s">
        <v>473</v>
      </c>
      <c r="L55" t="s">
        <v>142</v>
      </c>
      <c r="M55" t="s">
        <v>46</v>
      </c>
      <c r="N55" t="s">
        <v>47</v>
      </c>
      <c r="O55">
        <v>2</v>
      </c>
      <c r="P55">
        <v>1</v>
      </c>
      <c r="Q55">
        <v>0</v>
      </c>
      <c r="R55" t="s">
        <v>48</v>
      </c>
      <c r="S55" t="s">
        <v>49</v>
      </c>
      <c r="T55" s="3">
        <v>0</v>
      </c>
      <c r="U55" s="3">
        <v>0</v>
      </c>
      <c r="V55" s="3">
        <v>0</v>
      </c>
      <c r="W55">
        <v>0.69</v>
      </c>
      <c r="X55" t="s">
        <v>50</v>
      </c>
      <c r="Y55" s="3">
        <v>1.38</v>
      </c>
      <c r="Z55" t="s">
        <v>109</v>
      </c>
      <c r="AA55" t="s">
        <v>474</v>
      </c>
      <c r="AB55" t="s">
        <v>53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f t="shared" si="0"/>
        <v>1.38</v>
      </c>
      <c r="AK55" s="3">
        <f t="shared" si="1"/>
        <v>0</v>
      </c>
    </row>
    <row r="56" spans="1:37">
      <c r="A56">
        <v>10253077</v>
      </c>
      <c r="B56" t="s">
        <v>37</v>
      </c>
      <c r="C56" t="s">
        <v>475</v>
      </c>
      <c r="E56" t="s">
        <v>476</v>
      </c>
      <c r="F56" t="s">
        <v>477</v>
      </c>
      <c r="G56" t="s">
        <v>478</v>
      </c>
      <c r="H56" t="s">
        <v>42</v>
      </c>
      <c r="I56" t="s">
        <v>479</v>
      </c>
      <c r="J56" t="s">
        <v>480</v>
      </c>
      <c r="K56" t="s">
        <v>481</v>
      </c>
      <c r="L56" t="s">
        <v>82</v>
      </c>
      <c r="M56" t="s">
        <v>46</v>
      </c>
      <c r="N56" t="s">
        <v>47</v>
      </c>
      <c r="O56">
        <v>2</v>
      </c>
      <c r="P56">
        <v>1</v>
      </c>
      <c r="Q56">
        <v>0</v>
      </c>
      <c r="R56" t="s">
        <v>48</v>
      </c>
      <c r="S56" t="s">
        <v>49</v>
      </c>
      <c r="T56" s="3">
        <v>0</v>
      </c>
      <c r="U56" s="3">
        <v>0</v>
      </c>
      <c r="V56" s="3">
        <v>0</v>
      </c>
      <c r="W56">
        <v>1.08</v>
      </c>
      <c r="X56" t="s">
        <v>50</v>
      </c>
      <c r="Y56" s="3">
        <v>1.44</v>
      </c>
      <c r="Z56" t="s">
        <v>109</v>
      </c>
      <c r="AA56" t="s">
        <v>482</v>
      </c>
      <c r="AB56" t="s">
        <v>53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f t="shared" si="0"/>
        <v>1.44</v>
      </c>
      <c r="AK56" s="3">
        <f t="shared" si="1"/>
        <v>0</v>
      </c>
    </row>
    <row r="57" spans="1:37">
      <c r="A57">
        <v>10253076</v>
      </c>
      <c r="B57" t="s">
        <v>37</v>
      </c>
      <c r="C57" t="s">
        <v>483</v>
      </c>
      <c r="E57" t="s">
        <v>484</v>
      </c>
      <c r="F57" t="s">
        <v>485</v>
      </c>
      <c r="G57" t="s">
        <v>486</v>
      </c>
      <c r="H57" t="s">
        <v>42</v>
      </c>
      <c r="I57" t="s">
        <v>487</v>
      </c>
      <c r="J57" t="s">
        <v>488</v>
      </c>
      <c r="K57" t="s">
        <v>489</v>
      </c>
      <c r="L57" t="s">
        <v>142</v>
      </c>
      <c r="M57" t="s">
        <v>46</v>
      </c>
      <c r="N57" t="s">
        <v>47</v>
      </c>
      <c r="O57">
        <v>1</v>
      </c>
      <c r="P57">
        <v>1</v>
      </c>
      <c r="Q57">
        <v>0</v>
      </c>
      <c r="R57" t="s">
        <v>48</v>
      </c>
      <c r="S57" t="s">
        <v>49</v>
      </c>
      <c r="T57" s="3">
        <v>0</v>
      </c>
      <c r="U57" s="3">
        <v>0</v>
      </c>
      <c r="V57" s="3">
        <v>0</v>
      </c>
      <c r="W57">
        <v>1.7</v>
      </c>
      <c r="X57" t="s">
        <v>50</v>
      </c>
      <c r="Y57" s="3">
        <v>1.48</v>
      </c>
      <c r="Z57" t="s">
        <v>73</v>
      </c>
      <c r="AA57" t="s">
        <v>490</v>
      </c>
      <c r="AB57" t="s">
        <v>53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f t="shared" si="0"/>
        <v>1.48</v>
      </c>
      <c r="AK57" s="3">
        <f t="shared" si="1"/>
        <v>0</v>
      </c>
    </row>
    <row r="58" spans="1:37">
      <c r="A58">
        <v>10253070</v>
      </c>
      <c r="B58" t="s">
        <v>37</v>
      </c>
      <c r="C58" t="s">
        <v>491</v>
      </c>
      <c r="E58" t="s">
        <v>492</v>
      </c>
      <c r="F58" t="s">
        <v>493</v>
      </c>
      <c r="G58" t="s">
        <v>494</v>
      </c>
      <c r="H58" t="s">
        <v>42</v>
      </c>
      <c r="I58" t="s">
        <v>495</v>
      </c>
      <c r="J58" t="s">
        <v>496</v>
      </c>
      <c r="K58" t="s">
        <v>497</v>
      </c>
      <c r="L58" t="s">
        <v>82</v>
      </c>
      <c r="M58" t="s">
        <v>46</v>
      </c>
      <c r="N58" t="s">
        <v>47</v>
      </c>
      <c r="O58">
        <v>1</v>
      </c>
      <c r="P58">
        <v>1</v>
      </c>
      <c r="Q58">
        <v>0</v>
      </c>
      <c r="R58" t="s">
        <v>48</v>
      </c>
      <c r="S58" t="s">
        <v>49</v>
      </c>
      <c r="T58" s="3">
        <v>0</v>
      </c>
      <c r="U58" s="3">
        <v>0</v>
      </c>
      <c r="V58" s="3">
        <v>0</v>
      </c>
      <c r="W58">
        <v>0.59</v>
      </c>
      <c r="X58" t="s">
        <v>50</v>
      </c>
      <c r="Y58" s="3">
        <v>0.05</v>
      </c>
      <c r="Z58" t="s">
        <v>109</v>
      </c>
      <c r="AA58" t="s">
        <v>498</v>
      </c>
      <c r="AB58" t="s">
        <v>53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f t="shared" si="0"/>
        <v>0.05</v>
      </c>
      <c r="AK58" s="3">
        <f t="shared" si="1"/>
        <v>0</v>
      </c>
    </row>
    <row r="59" spans="1:37">
      <c r="A59">
        <v>10253073</v>
      </c>
      <c r="B59" t="s">
        <v>37</v>
      </c>
      <c r="C59" t="s">
        <v>499</v>
      </c>
      <c r="E59" t="s">
        <v>500</v>
      </c>
      <c r="F59" t="s">
        <v>501</v>
      </c>
      <c r="G59" t="s">
        <v>502</v>
      </c>
      <c r="H59" t="s">
        <v>42</v>
      </c>
      <c r="I59" t="s">
        <v>503</v>
      </c>
      <c r="J59" t="s">
        <v>504</v>
      </c>
      <c r="K59">
        <v>2360</v>
      </c>
      <c r="L59" t="s">
        <v>505</v>
      </c>
      <c r="M59" t="s">
        <v>46</v>
      </c>
      <c r="N59" t="s">
        <v>47</v>
      </c>
      <c r="O59">
        <v>7</v>
      </c>
      <c r="P59">
        <v>1</v>
      </c>
      <c r="Q59">
        <v>0</v>
      </c>
      <c r="R59" t="s">
        <v>48</v>
      </c>
      <c r="S59" t="s">
        <v>49</v>
      </c>
      <c r="T59" s="3">
        <v>0</v>
      </c>
      <c r="U59" s="3">
        <v>0</v>
      </c>
      <c r="V59" s="3">
        <v>0</v>
      </c>
      <c r="W59">
        <v>3.18</v>
      </c>
      <c r="X59" t="s">
        <v>50</v>
      </c>
      <c r="Y59" s="3">
        <v>0.05</v>
      </c>
      <c r="Z59" t="s">
        <v>73</v>
      </c>
      <c r="AA59" t="s">
        <v>506</v>
      </c>
      <c r="AB59" t="s">
        <v>53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f t="shared" si="0"/>
        <v>0.05</v>
      </c>
      <c r="AK59" s="3">
        <f t="shared" si="1"/>
        <v>0</v>
      </c>
    </row>
    <row r="60" spans="1:37">
      <c r="A60">
        <v>10238964</v>
      </c>
      <c r="B60" t="s">
        <v>37</v>
      </c>
      <c r="C60" t="s">
        <v>507</v>
      </c>
      <c r="D60" t="s">
        <v>508</v>
      </c>
      <c r="E60" t="s">
        <v>509</v>
      </c>
      <c r="F60" t="s">
        <v>510</v>
      </c>
      <c r="G60" t="s">
        <v>511</v>
      </c>
      <c r="H60" t="s">
        <v>42</v>
      </c>
      <c r="I60" t="s">
        <v>512</v>
      </c>
      <c r="J60" t="s">
        <v>513</v>
      </c>
      <c r="K60">
        <v>84164</v>
      </c>
      <c r="L60" t="s">
        <v>71</v>
      </c>
      <c r="M60" t="s">
        <v>46</v>
      </c>
      <c r="N60" t="s">
        <v>47</v>
      </c>
      <c r="O60">
        <v>4</v>
      </c>
      <c r="P60">
        <v>1</v>
      </c>
      <c r="Q60">
        <v>0</v>
      </c>
      <c r="R60" t="s">
        <v>48</v>
      </c>
      <c r="S60" t="s">
        <v>49</v>
      </c>
      <c r="T60" s="3">
        <v>0</v>
      </c>
      <c r="U60" s="3">
        <v>0</v>
      </c>
      <c r="V60" s="3">
        <v>0</v>
      </c>
      <c r="W60">
        <v>2.06</v>
      </c>
      <c r="X60" t="s">
        <v>72</v>
      </c>
      <c r="Y60" s="3">
        <v>0.03</v>
      </c>
      <c r="Z60" t="s">
        <v>73</v>
      </c>
      <c r="AA60" t="s">
        <v>327</v>
      </c>
      <c r="AB60" t="s">
        <v>53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f t="shared" si="0"/>
        <v>0.03</v>
      </c>
      <c r="AK60" s="3">
        <f t="shared" si="1"/>
        <v>0</v>
      </c>
    </row>
    <row r="61" spans="1:37">
      <c r="A61">
        <v>10254056</v>
      </c>
      <c r="B61" t="s">
        <v>37</v>
      </c>
      <c r="C61" t="s">
        <v>514</v>
      </c>
      <c r="E61" t="s">
        <v>515</v>
      </c>
      <c r="F61" t="s">
        <v>516</v>
      </c>
      <c r="G61" t="s">
        <v>517</v>
      </c>
      <c r="H61" t="s">
        <v>42</v>
      </c>
      <c r="I61" t="s">
        <v>518</v>
      </c>
      <c r="J61" t="s">
        <v>519</v>
      </c>
      <c r="K61" t="s">
        <v>520</v>
      </c>
      <c r="L61" t="s">
        <v>82</v>
      </c>
      <c r="M61" t="s">
        <v>46</v>
      </c>
      <c r="N61" t="s">
        <v>47</v>
      </c>
      <c r="O61">
        <v>4</v>
      </c>
      <c r="P61">
        <v>1</v>
      </c>
      <c r="Q61">
        <v>0</v>
      </c>
      <c r="R61" t="s">
        <v>48</v>
      </c>
      <c r="S61" t="s">
        <v>49</v>
      </c>
      <c r="T61" s="3">
        <v>0</v>
      </c>
      <c r="U61" s="3">
        <v>0</v>
      </c>
      <c r="V61" s="3">
        <v>0</v>
      </c>
      <c r="W61">
        <v>2.06</v>
      </c>
      <c r="X61" t="s">
        <v>50</v>
      </c>
      <c r="Y61" s="3">
        <v>1.44</v>
      </c>
      <c r="Z61" t="s">
        <v>73</v>
      </c>
      <c r="AA61" t="s">
        <v>521</v>
      </c>
      <c r="AB61" t="s">
        <v>53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f t="shared" si="0"/>
        <v>1.44</v>
      </c>
      <c r="AK61" s="3">
        <f t="shared" si="1"/>
        <v>0</v>
      </c>
    </row>
    <row r="62" spans="1:37">
      <c r="A62">
        <v>10254058</v>
      </c>
      <c r="B62" t="s">
        <v>37</v>
      </c>
      <c r="C62" t="s">
        <v>522</v>
      </c>
      <c r="D62" t="s">
        <v>523</v>
      </c>
      <c r="E62" t="s">
        <v>524</v>
      </c>
      <c r="F62" t="s">
        <v>525</v>
      </c>
      <c r="G62" t="s">
        <v>526</v>
      </c>
      <c r="H62" t="s">
        <v>42</v>
      </c>
      <c r="I62" t="s">
        <v>527</v>
      </c>
      <c r="J62" t="s">
        <v>528</v>
      </c>
      <c r="K62" t="s">
        <v>529</v>
      </c>
      <c r="L62" t="s">
        <v>130</v>
      </c>
      <c r="M62" t="s">
        <v>46</v>
      </c>
      <c r="N62" t="s">
        <v>47</v>
      </c>
      <c r="O62">
        <v>6</v>
      </c>
      <c r="P62">
        <v>1</v>
      </c>
      <c r="Q62">
        <v>0</v>
      </c>
      <c r="R62" t="s">
        <v>48</v>
      </c>
      <c r="S62" t="s">
        <v>49</v>
      </c>
      <c r="T62" s="3">
        <v>0</v>
      </c>
      <c r="U62" s="3">
        <v>0</v>
      </c>
      <c r="V62" s="3">
        <v>0</v>
      </c>
      <c r="W62">
        <v>2.12</v>
      </c>
      <c r="X62" t="s">
        <v>50</v>
      </c>
      <c r="Y62" s="3">
        <v>0.08</v>
      </c>
      <c r="Z62" t="s">
        <v>73</v>
      </c>
      <c r="AA62" t="s">
        <v>530</v>
      </c>
      <c r="AB62" t="s">
        <v>53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f t="shared" si="0"/>
        <v>0.08</v>
      </c>
      <c r="AK62" s="3">
        <f t="shared" si="1"/>
        <v>0</v>
      </c>
    </row>
    <row r="63" spans="1:37">
      <c r="A63">
        <v>10254060</v>
      </c>
      <c r="B63" t="s">
        <v>37</v>
      </c>
      <c r="C63" t="s">
        <v>531</v>
      </c>
      <c r="E63" t="s">
        <v>532</v>
      </c>
      <c r="F63" t="s">
        <v>533</v>
      </c>
      <c r="G63" t="s">
        <v>534</v>
      </c>
      <c r="H63" t="s">
        <v>42</v>
      </c>
      <c r="I63" t="s">
        <v>535</v>
      </c>
      <c r="J63" t="s">
        <v>536</v>
      </c>
      <c r="K63" t="s">
        <v>537</v>
      </c>
      <c r="L63" t="s">
        <v>142</v>
      </c>
      <c r="M63" t="s">
        <v>46</v>
      </c>
      <c r="N63" t="s">
        <v>47</v>
      </c>
      <c r="O63">
        <v>4</v>
      </c>
      <c r="P63">
        <v>1</v>
      </c>
      <c r="Q63">
        <v>0</v>
      </c>
      <c r="R63" t="s">
        <v>48</v>
      </c>
      <c r="S63" t="s">
        <v>49</v>
      </c>
      <c r="T63" s="3">
        <v>0</v>
      </c>
      <c r="U63" s="3">
        <v>0</v>
      </c>
      <c r="V63" s="3">
        <v>0</v>
      </c>
      <c r="W63">
        <v>1.66</v>
      </c>
      <c r="X63" t="s">
        <v>50</v>
      </c>
      <c r="Y63" s="3">
        <v>0.09</v>
      </c>
      <c r="Z63" t="s">
        <v>73</v>
      </c>
      <c r="AA63" t="s">
        <v>538</v>
      </c>
      <c r="AB63" t="s">
        <v>53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f t="shared" si="0"/>
        <v>0.09</v>
      </c>
      <c r="AK63" s="3">
        <f t="shared" si="1"/>
        <v>0</v>
      </c>
    </row>
    <row r="64" spans="1:37">
      <c r="A64">
        <v>10252002</v>
      </c>
      <c r="B64" t="s">
        <v>37</v>
      </c>
      <c r="C64" t="s">
        <v>539</v>
      </c>
      <c r="E64" t="s">
        <v>540</v>
      </c>
      <c r="F64" t="s">
        <v>541</v>
      </c>
      <c r="G64" t="s">
        <v>542</v>
      </c>
      <c r="H64" t="s">
        <v>42</v>
      </c>
      <c r="I64" t="s">
        <v>543</v>
      </c>
      <c r="J64" t="s">
        <v>544</v>
      </c>
      <c r="K64">
        <v>74861</v>
      </c>
      <c r="L64" t="s">
        <v>71</v>
      </c>
      <c r="M64" t="s">
        <v>46</v>
      </c>
      <c r="N64" t="s">
        <v>47</v>
      </c>
      <c r="O64">
        <v>5</v>
      </c>
      <c r="P64">
        <v>1</v>
      </c>
      <c r="Q64">
        <v>0</v>
      </c>
      <c r="R64" t="s">
        <v>48</v>
      </c>
      <c r="S64" t="s">
        <v>49</v>
      </c>
      <c r="T64" s="3">
        <v>0</v>
      </c>
      <c r="U64" s="3">
        <v>0</v>
      </c>
      <c r="V64" s="3">
        <v>0</v>
      </c>
      <c r="W64">
        <v>3.46</v>
      </c>
      <c r="X64" t="s">
        <v>72</v>
      </c>
      <c r="Y64" s="3">
        <v>0.04</v>
      </c>
      <c r="Z64" t="s">
        <v>73</v>
      </c>
      <c r="AA64" t="s">
        <v>545</v>
      </c>
      <c r="AB64" t="s">
        <v>53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f t="shared" si="0"/>
        <v>0.04</v>
      </c>
      <c r="AK64" s="3">
        <f t="shared" si="1"/>
        <v>0</v>
      </c>
    </row>
    <row r="65" spans="1:37">
      <c r="A65">
        <v>10255110</v>
      </c>
      <c r="B65" t="s">
        <v>37</v>
      </c>
      <c r="C65" t="s">
        <v>546</v>
      </c>
      <c r="E65" t="s">
        <v>547</v>
      </c>
      <c r="F65" t="s">
        <v>548</v>
      </c>
      <c r="G65" t="s">
        <v>549</v>
      </c>
      <c r="H65" t="s">
        <v>42</v>
      </c>
      <c r="I65" t="s">
        <v>550</v>
      </c>
      <c r="J65" t="s">
        <v>551</v>
      </c>
      <c r="K65">
        <v>10717</v>
      </c>
      <c r="L65" t="s">
        <v>71</v>
      </c>
      <c r="M65" t="s">
        <v>46</v>
      </c>
      <c r="N65" t="s">
        <v>47</v>
      </c>
      <c r="O65">
        <v>2</v>
      </c>
      <c r="P65">
        <v>1</v>
      </c>
      <c r="Q65">
        <v>0</v>
      </c>
      <c r="R65" t="s">
        <v>48</v>
      </c>
      <c r="S65" t="s">
        <v>49</v>
      </c>
      <c r="T65" s="3">
        <v>0</v>
      </c>
      <c r="U65" s="3">
        <v>0</v>
      </c>
      <c r="V65" s="3">
        <v>0</v>
      </c>
      <c r="W65">
        <v>1.08</v>
      </c>
      <c r="X65" t="s">
        <v>108</v>
      </c>
      <c r="Y65" s="3">
        <v>13.87</v>
      </c>
      <c r="Z65" t="s">
        <v>109</v>
      </c>
      <c r="AA65" t="s">
        <v>552</v>
      </c>
      <c r="AB65" t="s">
        <v>53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f t="shared" si="0"/>
        <v>13.87</v>
      </c>
      <c r="AK65" s="3">
        <f t="shared" si="1"/>
        <v>0</v>
      </c>
    </row>
    <row r="66" spans="1:37">
      <c r="A66">
        <v>10257375</v>
      </c>
      <c r="B66" t="s">
        <v>37</v>
      </c>
      <c r="C66" t="s">
        <v>553</v>
      </c>
      <c r="E66" t="s">
        <v>554</v>
      </c>
      <c r="F66" t="s">
        <v>555</v>
      </c>
      <c r="G66" t="s">
        <v>556</v>
      </c>
      <c r="H66" t="s">
        <v>42</v>
      </c>
      <c r="I66" t="s">
        <v>557</v>
      </c>
      <c r="J66" t="s">
        <v>558</v>
      </c>
      <c r="K66">
        <v>13090</v>
      </c>
      <c r="L66" t="s">
        <v>130</v>
      </c>
      <c r="M66" t="s">
        <v>46</v>
      </c>
      <c r="N66" t="s">
        <v>47</v>
      </c>
      <c r="O66">
        <v>1</v>
      </c>
      <c r="P66">
        <v>1</v>
      </c>
      <c r="Q66">
        <v>0</v>
      </c>
      <c r="R66" t="s">
        <v>48</v>
      </c>
      <c r="S66" t="s">
        <v>49</v>
      </c>
      <c r="T66" s="3">
        <v>0</v>
      </c>
      <c r="U66" s="3">
        <v>0</v>
      </c>
      <c r="V66" s="3">
        <v>0</v>
      </c>
      <c r="W66">
        <v>0.49</v>
      </c>
      <c r="X66" t="s">
        <v>50</v>
      </c>
      <c r="Y66" s="3">
        <v>0.72</v>
      </c>
      <c r="Z66" t="s">
        <v>109</v>
      </c>
      <c r="AA66" t="s">
        <v>559</v>
      </c>
      <c r="AB66" t="s">
        <v>53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f t="shared" ref="AJ66:AJ129" si="2">AI66+AH66+AG66+AF66+AE66+AD66+AC66+Y66+V66+U66+T66</f>
        <v>0.72</v>
      </c>
      <c r="AK66" s="3">
        <f t="shared" ref="AK66:AK129" si="3">AJ66-Y66</f>
        <v>0</v>
      </c>
    </row>
    <row r="67" spans="1:37">
      <c r="A67">
        <v>10254067</v>
      </c>
      <c r="B67" t="s">
        <v>37</v>
      </c>
      <c r="C67" t="s">
        <v>560</v>
      </c>
      <c r="E67" t="s">
        <v>561</v>
      </c>
      <c r="F67" t="s">
        <v>562</v>
      </c>
      <c r="G67" t="s">
        <v>563</v>
      </c>
      <c r="H67" t="s">
        <v>42</v>
      </c>
      <c r="I67" t="s">
        <v>564</v>
      </c>
      <c r="J67" t="s">
        <v>565</v>
      </c>
      <c r="K67">
        <v>80129</v>
      </c>
      <c r="L67" t="s">
        <v>283</v>
      </c>
      <c r="M67" t="s">
        <v>46</v>
      </c>
      <c r="N67" t="s">
        <v>47</v>
      </c>
      <c r="O67">
        <v>4</v>
      </c>
      <c r="P67">
        <v>1</v>
      </c>
      <c r="Q67">
        <v>0</v>
      </c>
      <c r="R67" t="s">
        <v>48</v>
      </c>
      <c r="S67" t="s">
        <v>49</v>
      </c>
      <c r="T67" s="3">
        <v>0</v>
      </c>
      <c r="U67" s="3">
        <v>0</v>
      </c>
      <c r="V67" s="3">
        <v>0</v>
      </c>
      <c r="W67">
        <v>1.38</v>
      </c>
      <c r="X67" t="s">
        <v>50</v>
      </c>
      <c r="Y67" s="3">
        <v>0.08</v>
      </c>
      <c r="Z67" t="s">
        <v>73</v>
      </c>
      <c r="AA67" t="s">
        <v>566</v>
      </c>
      <c r="AB67" t="s">
        <v>53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f t="shared" si="2"/>
        <v>0.08</v>
      </c>
      <c r="AK67" s="3">
        <f t="shared" si="3"/>
        <v>0</v>
      </c>
    </row>
    <row r="68" spans="1:37">
      <c r="A68">
        <v>10254066</v>
      </c>
      <c r="B68" t="s">
        <v>37</v>
      </c>
      <c r="C68" t="s">
        <v>567</v>
      </c>
      <c r="E68" t="s">
        <v>568</v>
      </c>
      <c r="F68" t="s">
        <v>569</v>
      </c>
      <c r="G68" t="s">
        <v>570</v>
      </c>
      <c r="H68" t="s">
        <v>42</v>
      </c>
      <c r="I68" t="s">
        <v>571</v>
      </c>
      <c r="J68" t="s">
        <v>572</v>
      </c>
      <c r="K68" t="s">
        <v>573</v>
      </c>
      <c r="L68" t="s">
        <v>82</v>
      </c>
      <c r="M68" t="s">
        <v>46</v>
      </c>
      <c r="N68" t="s">
        <v>47</v>
      </c>
      <c r="O68">
        <v>4</v>
      </c>
      <c r="P68">
        <v>1</v>
      </c>
      <c r="Q68">
        <v>0</v>
      </c>
      <c r="R68" t="s">
        <v>48</v>
      </c>
      <c r="S68" t="s">
        <v>49</v>
      </c>
      <c r="T68" s="3">
        <v>0</v>
      </c>
      <c r="U68" s="3">
        <v>0</v>
      </c>
      <c r="V68" s="3">
        <v>0</v>
      </c>
      <c r="W68">
        <v>2.06</v>
      </c>
      <c r="X68" t="s">
        <v>50</v>
      </c>
      <c r="Y68" s="3">
        <v>0.05</v>
      </c>
      <c r="Z68" t="s">
        <v>73</v>
      </c>
      <c r="AA68" t="s">
        <v>574</v>
      </c>
      <c r="AB68" t="s">
        <v>53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f t="shared" si="2"/>
        <v>0.05</v>
      </c>
      <c r="AK68" s="3">
        <f t="shared" si="3"/>
        <v>0</v>
      </c>
    </row>
    <row r="69" spans="1:37">
      <c r="A69">
        <v>10254424</v>
      </c>
      <c r="B69" t="s">
        <v>37</v>
      </c>
      <c r="C69" t="s">
        <v>575</v>
      </c>
      <c r="D69" t="s">
        <v>576</v>
      </c>
      <c r="E69" t="s">
        <v>577</v>
      </c>
      <c r="F69" t="s">
        <v>578</v>
      </c>
      <c r="G69" t="s">
        <v>579</v>
      </c>
      <c r="H69" t="s">
        <v>42</v>
      </c>
      <c r="I69" t="s">
        <v>580</v>
      </c>
      <c r="J69" t="s">
        <v>581</v>
      </c>
      <c r="K69" t="s">
        <v>582</v>
      </c>
      <c r="L69" t="s">
        <v>142</v>
      </c>
      <c r="M69" t="s">
        <v>46</v>
      </c>
      <c r="N69" t="s">
        <v>47</v>
      </c>
      <c r="O69">
        <v>4</v>
      </c>
      <c r="P69">
        <v>1</v>
      </c>
      <c r="Q69">
        <v>0</v>
      </c>
      <c r="R69" t="s">
        <v>48</v>
      </c>
      <c r="S69" t="s">
        <v>49</v>
      </c>
      <c r="T69" s="3">
        <v>0</v>
      </c>
      <c r="U69" s="3">
        <v>0</v>
      </c>
      <c r="V69" s="3">
        <v>0</v>
      </c>
      <c r="W69">
        <v>1.66</v>
      </c>
      <c r="X69" t="s">
        <v>50</v>
      </c>
      <c r="Y69" s="3">
        <v>0.09</v>
      </c>
      <c r="Z69" t="s">
        <v>73</v>
      </c>
      <c r="AA69" t="s">
        <v>583</v>
      </c>
      <c r="AB69" t="s">
        <v>53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f t="shared" si="2"/>
        <v>0.09</v>
      </c>
      <c r="AK69" s="3">
        <f t="shared" si="3"/>
        <v>0</v>
      </c>
    </row>
    <row r="70" spans="1:37">
      <c r="A70">
        <v>10254065</v>
      </c>
      <c r="B70" t="s">
        <v>37</v>
      </c>
      <c r="C70" t="s">
        <v>584</v>
      </c>
      <c r="E70" t="s">
        <v>585</v>
      </c>
      <c r="F70" t="s">
        <v>586</v>
      </c>
      <c r="G70" t="s">
        <v>587</v>
      </c>
      <c r="H70" t="s">
        <v>42</v>
      </c>
      <c r="I70" t="s">
        <v>588</v>
      </c>
      <c r="J70" t="s">
        <v>589</v>
      </c>
      <c r="K70" t="s">
        <v>590</v>
      </c>
      <c r="L70" t="s">
        <v>142</v>
      </c>
      <c r="M70" t="s">
        <v>46</v>
      </c>
      <c r="N70" t="s">
        <v>47</v>
      </c>
      <c r="O70">
        <v>8</v>
      </c>
      <c r="P70">
        <v>1</v>
      </c>
      <c r="Q70">
        <v>0</v>
      </c>
      <c r="R70" t="s">
        <v>48</v>
      </c>
      <c r="S70" t="s">
        <v>49</v>
      </c>
      <c r="T70" s="3">
        <v>0</v>
      </c>
      <c r="U70" s="3">
        <v>0</v>
      </c>
      <c r="V70" s="3">
        <v>0</v>
      </c>
      <c r="W70">
        <v>2.39</v>
      </c>
      <c r="X70" t="s">
        <v>50</v>
      </c>
      <c r="Y70" s="3">
        <v>0.09</v>
      </c>
      <c r="Z70" t="s">
        <v>83</v>
      </c>
      <c r="AA70" t="s">
        <v>591</v>
      </c>
      <c r="AB70" t="s">
        <v>53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f t="shared" si="2"/>
        <v>0.09</v>
      </c>
      <c r="AK70" s="3">
        <f t="shared" si="3"/>
        <v>0</v>
      </c>
    </row>
    <row r="71" spans="1:37">
      <c r="A71">
        <v>10254788</v>
      </c>
      <c r="B71" t="s">
        <v>37</v>
      </c>
      <c r="C71" t="s">
        <v>592</v>
      </c>
      <c r="E71" t="s">
        <v>593</v>
      </c>
      <c r="F71" t="s">
        <v>594</v>
      </c>
      <c r="G71" t="s">
        <v>595</v>
      </c>
      <c r="H71" t="s">
        <v>42</v>
      </c>
      <c r="I71" t="s">
        <v>596</v>
      </c>
      <c r="J71" t="s">
        <v>597</v>
      </c>
      <c r="K71">
        <v>37355</v>
      </c>
      <c r="L71" t="s">
        <v>71</v>
      </c>
      <c r="M71" t="s">
        <v>46</v>
      </c>
      <c r="N71" t="s">
        <v>47</v>
      </c>
      <c r="O71">
        <v>4</v>
      </c>
      <c r="P71">
        <v>1</v>
      </c>
      <c r="Q71">
        <v>0</v>
      </c>
      <c r="R71" t="s">
        <v>48</v>
      </c>
      <c r="S71" t="s">
        <v>49</v>
      </c>
      <c r="T71" s="3">
        <v>0</v>
      </c>
      <c r="U71" s="3">
        <v>0</v>
      </c>
      <c r="V71" s="3">
        <v>0</v>
      </c>
      <c r="W71">
        <v>1.66</v>
      </c>
      <c r="X71" t="s">
        <v>72</v>
      </c>
      <c r="Y71" s="3">
        <v>0.03</v>
      </c>
      <c r="Z71" t="s">
        <v>73</v>
      </c>
      <c r="AA71" t="s">
        <v>583</v>
      </c>
      <c r="AB71" t="s">
        <v>53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f t="shared" si="2"/>
        <v>0.03</v>
      </c>
      <c r="AK71" s="3">
        <f t="shared" si="3"/>
        <v>0</v>
      </c>
    </row>
    <row r="72" spans="1:37">
      <c r="A72">
        <v>10254431</v>
      </c>
      <c r="B72" t="s">
        <v>37</v>
      </c>
      <c r="C72" t="s">
        <v>598</v>
      </c>
      <c r="E72" t="s">
        <v>599</v>
      </c>
      <c r="F72" t="s">
        <v>600</v>
      </c>
      <c r="G72" t="s">
        <v>601</v>
      </c>
      <c r="H72" t="s">
        <v>42</v>
      </c>
      <c r="I72" t="s">
        <v>602</v>
      </c>
      <c r="J72" t="s">
        <v>603</v>
      </c>
      <c r="K72" t="s">
        <v>604</v>
      </c>
      <c r="L72" t="s">
        <v>82</v>
      </c>
      <c r="M72" t="s">
        <v>46</v>
      </c>
      <c r="N72" t="s">
        <v>47</v>
      </c>
      <c r="O72">
        <v>4</v>
      </c>
      <c r="P72">
        <v>1</v>
      </c>
      <c r="Q72">
        <v>0</v>
      </c>
      <c r="R72" t="s">
        <v>48</v>
      </c>
      <c r="S72" t="s">
        <v>49</v>
      </c>
      <c r="T72" s="3">
        <v>0</v>
      </c>
      <c r="U72" s="3">
        <v>0</v>
      </c>
      <c r="V72" s="3">
        <v>0</v>
      </c>
      <c r="W72">
        <v>2.06</v>
      </c>
      <c r="X72" t="s">
        <v>50</v>
      </c>
      <c r="Y72" s="3">
        <v>0.05</v>
      </c>
      <c r="Z72" t="s">
        <v>73</v>
      </c>
      <c r="AA72" t="s">
        <v>101</v>
      </c>
      <c r="AB72" t="s">
        <v>53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f t="shared" si="2"/>
        <v>0.05</v>
      </c>
      <c r="AK72" s="3">
        <f t="shared" si="3"/>
        <v>0</v>
      </c>
    </row>
    <row r="73" spans="1:37">
      <c r="A73">
        <v>10254781</v>
      </c>
      <c r="B73" t="s">
        <v>37</v>
      </c>
      <c r="C73" t="s">
        <v>605</v>
      </c>
      <c r="E73" t="s">
        <v>606</v>
      </c>
      <c r="F73" t="s">
        <v>607</v>
      </c>
      <c r="G73" t="s">
        <v>608</v>
      </c>
      <c r="H73" t="s">
        <v>42</v>
      </c>
      <c r="I73" t="s">
        <v>609</v>
      </c>
      <c r="J73" t="s">
        <v>610</v>
      </c>
      <c r="K73" t="s">
        <v>611</v>
      </c>
      <c r="L73" t="s">
        <v>142</v>
      </c>
      <c r="M73" t="s">
        <v>46</v>
      </c>
      <c r="N73" t="s">
        <v>47</v>
      </c>
      <c r="O73">
        <v>4</v>
      </c>
      <c r="P73">
        <v>1</v>
      </c>
      <c r="Q73">
        <v>0</v>
      </c>
      <c r="R73" t="s">
        <v>48</v>
      </c>
      <c r="S73" t="s">
        <v>49</v>
      </c>
      <c r="T73" s="3">
        <v>0</v>
      </c>
      <c r="U73" s="3">
        <v>0</v>
      </c>
      <c r="V73" s="3">
        <v>0</v>
      </c>
      <c r="W73">
        <v>1.66</v>
      </c>
      <c r="X73" t="s">
        <v>50</v>
      </c>
      <c r="Y73" s="3">
        <v>0.09</v>
      </c>
      <c r="Z73" t="s">
        <v>73</v>
      </c>
      <c r="AA73" t="s">
        <v>429</v>
      </c>
      <c r="AB73" t="s">
        <v>53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f t="shared" si="2"/>
        <v>0.09</v>
      </c>
      <c r="AK73" s="3">
        <f t="shared" si="3"/>
        <v>0</v>
      </c>
    </row>
    <row r="74" spans="1:37">
      <c r="A74">
        <v>10254414</v>
      </c>
      <c r="B74" t="s">
        <v>37</v>
      </c>
      <c r="C74" t="s">
        <v>612</v>
      </c>
      <c r="E74" t="s">
        <v>613</v>
      </c>
      <c r="F74" t="s">
        <v>614</v>
      </c>
      <c r="G74" t="s">
        <v>615</v>
      </c>
      <c r="H74" t="s">
        <v>42</v>
      </c>
      <c r="I74" t="s">
        <v>616</v>
      </c>
      <c r="J74" t="s">
        <v>617</v>
      </c>
      <c r="K74">
        <v>1030</v>
      </c>
      <c r="L74" t="s">
        <v>618</v>
      </c>
      <c r="M74" t="s">
        <v>46</v>
      </c>
      <c r="N74" t="s">
        <v>47</v>
      </c>
      <c r="O74">
        <v>9</v>
      </c>
      <c r="P74">
        <v>1</v>
      </c>
      <c r="Q74">
        <v>0</v>
      </c>
      <c r="R74" t="s">
        <v>48</v>
      </c>
      <c r="S74" t="s">
        <v>49</v>
      </c>
      <c r="T74" s="3">
        <v>0</v>
      </c>
      <c r="U74" s="3">
        <v>0</v>
      </c>
      <c r="V74" s="3">
        <v>0</v>
      </c>
      <c r="W74">
        <v>3.88</v>
      </c>
      <c r="X74" t="s">
        <v>50</v>
      </c>
      <c r="Y74" s="3">
        <v>0.05</v>
      </c>
      <c r="Z74" t="s">
        <v>73</v>
      </c>
      <c r="AA74" t="s">
        <v>619</v>
      </c>
      <c r="AB74" t="s">
        <v>53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f t="shared" si="2"/>
        <v>0.05</v>
      </c>
      <c r="AK74" s="3">
        <f t="shared" si="3"/>
        <v>0</v>
      </c>
    </row>
    <row r="75" spans="1:37">
      <c r="A75">
        <v>10254793</v>
      </c>
      <c r="B75" t="s">
        <v>37</v>
      </c>
      <c r="C75" t="s">
        <v>620</v>
      </c>
      <c r="E75" t="s">
        <v>621</v>
      </c>
      <c r="F75" t="s">
        <v>622</v>
      </c>
      <c r="G75" t="s">
        <v>623</v>
      </c>
      <c r="H75" t="s">
        <v>42</v>
      </c>
      <c r="I75" t="s">
        <v>624</v>
      </c>
      <c r="J75" t="s">
        <v>625</v>
      </c>
      <c r="K75">
        <v>6721</v>
      </c>
      <c r="L75" t="s">
        <v>505</v>
      </c>
      <c r="M75" t="s">
        <v>46</v>
      </c>
      <c r="N75" t="s">
        <v>47</v>
      </c>
      <c r="O75">
        <v>4</v>
      </c>
      <c r="P75">
        <v>1</v>
      </c>
      <c r="Q75">
        <v>0</v>
      </c>
      <c r="R75" t="s">
        <v>48</v>
      </c>
      <c r="S75" t="s">
        <v>49</v>
      </c>
      <c r="T75" s="3">
        <v>0</v>
      </c>
      <c r="U75" s="3">
        <v>0</v>
      </c>
      <c r="V75" s="3">
        <v>0</v>
      </c>
      <c r="W75">
        <v>4.4000000000000004</v>
      </c>
      <c r="X75" t="s">
        <v>50</v>
      </c>
      <c r="Y75" s="3">
        <v>0.05</v>
      </c>
      <c r="Z75" t="s">
        <v>83</v>
      </c>
      <c r="AA75" t="s">
        <v>626</v>
      </c>
      <c r="AB75" t="s">
        <v>53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f t="shared" si="2"/>
        <v>0.05</v>
      </c>
      <c r="AK75" s="3">
        <f t="shared" si="3"/>
        <v>0</v>
      </c>
    </row>
    <row r="76" spans="1:37">
      <c r="A76">
        <v>10254794</v>
      </c>
      <c r="B76" t="s">
        <v>37</v>
      </c>
      <c r="C76" t="s">
        <v>627</v>
      </c>
      <c r="E76" t="s">
        <v>628</v>
      </c>
      <c r="F76" t="s">
        <v>629</v>
      </c>
      <c r="G76" t="s">
        <v>630</v>
      </c>
      <c r="H76" t="s">
        <v>42</v>
      </c>
      <c r="I76" t="s">
        <v>631</v>
      </c>
      <c r="J76" t="s">
        <v>632</v>
      </c>
      <c r="K76">
        <v>60598</v>
      </c>
      <c r="L76" t="s">
        <v>71</v>
      </c>
      <c r="M76" t="s">
        <v>46</v>
      </c>
      <c r="N76" t="s">
        <v>47</v>
      </c>
      <c r="O76">
        <v>4</v>
      </c>
      <c r="P76">
        <v>1</v>
      </c>
      <c r="Q76">
        <v>0</v>
      </c>
      <c r="R76" t="s">
        <v>48</v>
      </c>
      <c r="S76" t="s">
        <v>49</v>
      </c>
      <c r="T76" s="3">
        <v>0</v>
      </c>
      <c r="U76" s="3">
        <v>0</v>
      </c>
      <c r="V76" s="3">
        <v>0</v>
      </c>
      <c r="W76">
        <v>1.54</v>
      </c>
      <c r="X76" t="s">
        <v>72</v>
      </c>
      <c r="Y76" s="3">
        <v>0.03</v>
      </c>
      <c r="Z76" t="s">
        <v>73</v>
      </c>
      <c r="AA76" t="s">
        <v>633</v>
      </c>
      <c r="AB76" t="s">
        <v>53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f t="shared" si="2"/>
        <v>0.03</v>
      </c>
      <c r="AK76" s="3">
        <f t="shared" si="3"/>
        <v>0</v>
      </c>
    </row>
    <row r="77" spans="1:37">
      <c r="A77">
        <v>10233927</v>
      </c>
      <c r="B77" t="s">
        <v>111</v>
      </c>
      <c r="C77" t="s">
        <v>634</v>
      </c>
      <c r="D77" t="s">
        <v>635</v>
      </c>
      <c r="E77" t="s">
        <v>636</v>
      </c>
      <c r="F77" t="s">
        <v>637</v>
      </c>
      <c r="G77" t="s">
        <v>638</v>
      </c>
      <c r="H77" t="s">
        <v>117</v>
      </c>
      <c r="I77" t="s">
        <v>639</v>
      </c>
      <c r="J77" t="s">
        <v>640</v>
      </c>
      <c r="K77">
        <v>76240</v>
      </c>
      <c r="L77" t="s">
        <v>130</v>
      </c>
      <c r="M77" t="s">
        <v>46</v>
      </c>
      <c r="N77" t="s">
        <v>47</v>
      </c>
      <c r="O77">
        <v>36</v>
      </c>
      <c r="P77">
        <v>1</v>
      </c>
      <c r="Q77">
        <v>0</v>
      </c>
      <c r="R77" t="s">
        <v>48</v>
      </c>
      <c r="S77" t="s">
        <v>49</v>
      </c>
      <c r="T77" s="3">
        <v>0</v>
      </c>
      <c r="U77" s="3">
        <v>0</v>
      </c>
      <c r="V77" s="3">
        <v>0</v>
      </c>
      <c r="W77">
        <v>6.5</v>
      </c>
      <c r="X77" t="s">
        <v>50</v>
      </c>
      <c r="Y77" s="3">
        <v>0.08</v>
      </c>
      <c r="Z77" t="s">
        <v>51</v>
      </c>
      <c r="AA77" t="s">
        <v>641</v>
      </c>
      <c r="AB77" t="s">
        <v>53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f t="shared" si="2"/>
        <v>0.08</v>
      </c>
      <c r="AK77" s="3">
        <f t="shared" si="3"/>
        <v>0</v>
      </c>
    </row>
    <row r="78" spans="1:37">
      <c r="A78">
        <v>10255104</v>
      </c>
      <c r="B78" t="s">
        <v>37</v>
      </c>
      <c r="C78" t="s">
        <v>642</v>
      </c>
      <c r="E78" t="s">
        <v>643</v>
      </c>
      <c r="F78" t="s">
        <v>644</v>
      </c>
      <c r="G78" t="s">
        <v>645</v>
      </c>
      <c r="H78" t="s">
        <v>42</v>
      </c>
      <c r="I78" t="s">
        <v>646</v>
      </c>
      <c r="J78" t="s">
        <v>647</v>
      </c>
      <c r="K78">
        <v>10625</v>
      </c>
      <c r="L78" t="s">
        <v>71</v>
      </c>
      <c r="M78" t="s">
        <v>46</v>
      </c>
      <c r="N78" t="s">
        <v>47</v>
      </c>
      <c r="O78">
        <v>3</v>
      </c>
      <c r="P78">
        <v>1</v>
      </c>
      <c r="Q78">
        <v>0</v>
      </c>
      <c r="R78" t="s">
        <v>48</v>
      </c>
      <c r="S78" t="s">
        <v>49</v>
      </c>
      <c r="T78" s="3">
        <v>0</v>
      </c>
      <c r="U78" s="3">
        <v>0</v>
      </c>
      <c r="V78" s="3">
        <v>0</v>
      </c>
      <c r="W78">
        <v>1.27</v>
      </c>
      <c r="X78" t="s">
        <v>72</v>
      </c>
      <c r="Y78" s="3">
        <v>1.38</v>
      </c>
      <c r="Z78" t="s">
        <v>73</v>
      </c>
      <c r="AA78" t="s">
        <v>648</v>
      </c>
      <c r="AB78" t="s">
        <v>53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f t="shared" si="2"/>
        <v>1.38</v>
      </c>
      <c r="AK78" s="3">
        <f t="shared" si="3"/>
        <v>0</v>
      </c>
    </row>
    <row r="79" spans="1:37">
      <c r="A79">
        <v>10254427</v>
      </c>
      <c r="B79" t="s">
        <v>37</v>
      </c>
      <c r="C79" t="s">
        <v>649</v>
      </c>
      <c r="E79" t="s">
        <v>650</v>
      </c>
      <c r="F79" t="s">
        <v>651</v>
      </c>
      <c r="G79" t="s">
        <v>652</v>
      </c>
      <c r="H79" t="s">
        <v>42</v>
      </c>
      <c r="I79" t="s">
        <v>653</v>
      </c>
      <c r="J79" t="s">
        <v>654</v>
      </c>
      <c r="K79">
        <v>37057</v>
      </c>
      <c r="L79" t="s">
        <v>283</v>
      </c>
      <c r="M79" t="s">
        <v>46</v>
      </c>
      <c r="N79" t="s">
        <v>47</v>
      </c>
      <c r="O79">
        <v>2</v>
      </c>
      <c r="P79">
        <v>1</v>
      </c>
      <c r="Q79">
        <v>0</v>
      </c>
      <c r="R79" t="s">
        <v>48</v>
      </c>
      <c r="S79" t="s">
        <v>49</v>
      </c>
      <c r="T79" s="3">
        <v>0</v>
      </c>
      <c r="U79" s="3">
        <v>0</v>
      </c>
      <c r="V79" s="3">
        <v>0</v>
      </c>
      <c r="W79">
        <v>1.08</v>
      </c>
      <c r="X79" t="s">
        <v>50</v>
      </c>
      <c r="Y79" s="3">
        <v>0.08</v>
      </c>
      <c r="Z79" t="s">
        <v>73</v>
      </c>
      <c r="AA79" t="s">
        <v>655</v>
      </c>
      <c r="AB79" t="s">
        <v>53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f t="shared" si="2"/>
        <v>0.08</v>
      </c>
      <c r="AK79" s="3">
        <f t="shared" si="3"/>
        <v>0</v>
      </c>
    </row>
    <row r="80" spans="1:37">
      <c r="A80">
        <v>10255593</v>
      </c>
      <c r="B80" t="s">
        <v>37</v>
      </c>
      <c r="C80" t="s">
        <v>656</v>
      </c>
      <c r="E80" t="s">
        <v>657</v>
      </c>
      <c r="F80" t="s">
        <v>658</v>
      </c>
      <c r="G80" t="s">
        <v>659</v>
      </c>
      <c r="H80" t="s">
        <v>42</v>
      </c>
      <c r="I80" t="s">
        <v>660</v>
      </c>
      <c r="J80" t="s">
        <v>661</v>
      </c>
      <c r="K80">
        <v>9800</v>
      </c>
      <c r="L80" t="s">
        <v>505</v>
      </c>
      <c r="M80" t="s">
        <v>46</v>
      </c>
      <c r="N80" t="s">
        <v>47</v>
      </c>
      <c r="O80">
        <v>2</v>
      </c>
      <c r="P80">
        <v>1</v>
      </c>
      <c r="Q80">
        <v>0</v>
      </c>
      <c r="R80" t="s">
        <v>48</v>
      </c>
      <c r="S80" t="s">
        <v>49</v>
      </c>
      <c r="T80" s="3">
        <v>0</v>
      </c>
      <c r="U80" s="3">
        <v>0</v>
      </c>
      <c r="V80" s="3">
        <v>0</v>
      </c>
      <c r="W80">
        <v>1.08</v>
      </c>
      <c r="X80" t="s">
        <v>50</v>
      </c>
      <c r="Y80" s="3">
        <v>0.05</v>
      </c>
      <c r="Z80" t="s">
        <v>73</v>
      </c>
      <c r="AA80" t="s">
        <v>662</v>
      </c>
      <c r="AB80" t="s">
        <v>53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f t="shared" si="2"/>
        <v>0.05</v>
      </c>
      <c r="AK80" s="3">
        <f t="shared" si="3"/>
        <v>0</v>
      </c>
    </row>
    <row r="81" spans="1:37">
      <c r="A81">
        <v>10256834</v>
      </c>
      <c r="B81" t="s">
        <v>37</v>
      </c>
      <c r="C81" t="s">
        <v>663</v>
      </c>
      <c r="E81" t="s">
        <v>664</v>
      </c>
      <c r="F81" t="s">
        <v>665</v>
      </c>
      <c r="G81" t="s">
        <v>666</v>
      </c>
      <c r="H81" t="s">
        <v>42</v>
      </c>
      <c r="I81" t="s">
        <v>667</v>
      </c>
      <c r="J81" t="s">
        <v>668</v>
      </c>
      <c r="K81" t="s">
        <v>669</v>
      </c>
      <c r="L81" t="s">
        <v>142</v>
      </c>
      <c r="M81" t="s">
        <v>46</v>
      </c>
      <c r="N81" t="s">
        <v>47</v>
      </c>
      <c r="O81">
        <v>3</v>
      </c>
      <c r="P81">
        <v>1</v>
      </c>
      <c r="Q81">
        <v>0</v>
      </c>
      <c r="R81" t="s">
        <v>48</v>
      </c>
      <c r="S81" t="s">
        <v>49</v>
      </c>
      <c r="T81" s="3">
        <v>0</v>
      </c>
      <c r="U81" s="3">
        <v>0</v>
      </c>
      <c r="V81" s="3">
        <v>0</v>
      </c>
      <c r="W81">
        <v>0.84</v>
      </c>
      <c r="X81" t="s">
        <v>50</v>
      </c>
      <c r="Y81" s="3">
        <v>1.38</v>
      </c>
      <c r="Z81" t="s">
        <v>73</v>
      </c>
      <c r="AA81" t="s">
        <v>670</v>
      </c>
      <c r="AB81" t="s">
        <v>53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f t="shared" si="2"/>
        <v>1.38</v>
      </c>
      <c r="AK81" s="3">
        <f t="shared" si="3"/>
        <v>0</v>
      </c>
    </row>
    <row r="82" spans="1:37">
      <c r="A82">
        <v>10257573</v>
      </c>
      <c r="B82" t="s">
        <v>37</v>
      </c>
      <c r="C82" t="s">
        <v>671</v>
      </c>
      <c r="E82" t="s">
        <v>672</v>
      </c>
      <c r="F82" t="s">
        <v>673</v>
      </c>
      <c r="G82" t="s">
        <v>674</v>
      </c>
      <c r="H82" t="s">
        <v>42</v>
      </c>
      <c r="I82" t="s">
        <v>675</v>
      </c>
      <c r="J82" t="s">
        <v>676</v>
      </c>
      <c r="K82">
        <v>94474</v>
      </c>
      <c r="L82" t="s">
        <v>71</v>
      </c>
      <c r="M82" t="s">
        <v>46</v>
      </c>
      <c r="N82" t="s">
        <v>47</v>
      </c>
      <c r="O82">
        <v>2</v>
      </c>
      <c r="P82">
        <v>1</v>
      </c>
      <c r="Q82">
        <v>0</v>
      </c>
      <c r="R82" t="s">
        <v>48</v>
      </c>
      <c r="S82" t="s">
        <v>49</v>
      </c>
      <c r="T82" s="3">
        <v>0</v>
      </c>
      <c r="U82" s="3">
        <v>0</v>
      </c>
      <c r="V82" s="3">
        <v>0</v>
      </c>
      <c r="W82">
        <v>1.04</v>
      </c>
      <c r="X82" t="s">
        <v>72</v>
      </c>
      <c r="Y82" s="3">
        <v>0.03</v>
      </c>
      <c r="Z82" t="s">
        <v>73</v>
      </c>
      <c r="AA82" t="s">
        <v>677</v>
      </c>
      <c r="AB82" t="s">
        <v>53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f t="shared" si="2"/>
        <v>0.03</v>
      </c>
      <c r="AK82" s="3">
        <f t="shared" si="3"/>
        <v>0</v>
      </c>
    </row>
    <row r="83" spans="1:37">
      <c r="A83">
        <v>10255862</v>
      </c>
      <c r="B83" t="s">
        <v>37</v>
      </c>
      <c r="C83" t="s">
        <v>678</v>
      </c>
      <c r="E83" t="s">
        <v>679</v>
      </c>
      <c r="F83" t="s">
        <v>680</v>
      </c>
      <c r="G83" t="s">
        <v>681</v>
      </c>
      <c r="H83" t="s">
        <v>42</v>
      </c>
      <c r="I83" t="s">
        <v>682</v>
      </c>
      <c r="J83" t="s">
        <v>683</v>
      </c>
      <c r="K83" t="s">
        <v>684</v>
      </c>
      <c r="L83" t="s">
        <v>82</v>
      </c>
      <c r="M83" t="s">
        <v>46</v>
      </c>
      <c r="N83" t="s">
        <v>47</v>
      </c>
      <c r="O83">
        <v>5</v>
      </c>
      <c r="P83">
        <v>1</v>
      </c>
      <c r="Q83">
        <v>0</v>
      </c>
      <c r="R83" t="s">
        <v>48</v>
      </c>
      <c r="S83" t="s">
        <v>49</v>
      </c>
      <c r="T83" s="3">
        <v>0</v>
      </c>
      <c r="U83" s="3">
        <v>0</v>
      </c>
      <c r="V83" s="3">
        <v>0</v>
      </c>
      <c r="W83">
        <v>1.8</v>
      </c>
      <c r="X83" t="s">
        <v>50</v>
      </c>
      <c r="Y83" s="3">
        <v>1.38</v>
      </c>
      <c r="Z83" t="s">
        <v>73</v>
      </c>
      <c r="AA83" t="s">
        <v>685</v>
      </c>
      <c r="AB83" t="s">
        <v>53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f t="shared" si="2"/>
        <v>1.38</v>
      </c>
      <c r="AK83" s="3">
        <f t="shared" si="3"/>
        <v>0</v>
      </c>
    </row>
    <row r="84" spans="1:37">
      <c r="A84">
        <v>10256294</v>
      </c>
      <c r="B84" t="s">
        <v>37</v>
      </c>
      <c r="C84" t="s">
        <v>686</v>
      </c>
      <c r="E84" t="s">
        <v>687</v>
      </c>
      <c r="F84" t="s">
        <v>688</v>
      </c>
      <c r="G84" t="s">
        <v>689</v>
      </c>
      <c r="H84" t="s">
        <v>42</v>
      </c>
      <c r="I84" t="s">
        <v>690</v>
      </c>
      <c r="J84" t="s">
        <v>691</v>
      </c>
      <c r="K84">
        <v>49090</v>
      </c>
      <c r="L84" t="s">
        <v>71</v>
      </c>
      <c r="M84" t="s">
        <v>46</v>
      </c>
      <c r="N84" t="s">
        <v>47</v>
      </c>
      <c r="O84">
        <v>2</v>
      </c>
      <c r="P84">
        <v>1</v>
      </c>
      <c r="Q84">
        <v>0</v>
      </c>
      <c r="R84" t="s">
        <v>48</v>
      </c>
      <c r="S84" t="s">
        <v>49</v>
      </c>
      <c r="T84" s="3">
        <v>0</v>
      </c>
      <c r="U84" s="3">
        <v>0</v>
      </c>
      <c r="V84" s="3">
        <v>0</v>
      </c>
      <c r="W84">
        <v>1.08</v>
      </c>
      <c r="X84" t="s">
        <v>72</v>
      </c>
      <c r="Y84" s="3">
        <v>0.03</v>
      </c>
      <c r="Z84" t="s">
        <v>73</v>
      </c>
      <c r="AA84" t="s">
        <v>692</v>
      </c>
      <c r="AB84" t="s">
        <v>53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f t="shared" si="2"/>
        <v>0.03</v>
      </c>
      <c r="AK84" s="3">
        <f t="shared" si="3"/>
        <v>0</v>
      </c>
    </row>
    <row r="85" spans="1:37">
      <c r="A85">
        <v>10256833</v>
      </c>
      <c r="B85" t="s">
        <v>37</v>
      </c>
      <c r="C85" t="s">
        <v>693</v>
      </c>
      <c r="E85" t="s">
        <v>694</v>
      </c>
      <c r="F85" t="s">
        <v>695</v>
      </c>
      <c r="G85" t="s">
        <v>696</v>
      </c>
      <c r="H85" t="s">
        <v>42</v>
      </c>
      <c r="I85" t="s">
        <v>697</v>
      </c>
      <c r="J85" t="s">
        <v>698</v>
      </c>
      <c r="K85">
        <v>59821</v>
      </c>
      <c r="L85" t="s">
        <v>71</v>
      </c>
      <c r="M85" t="s">
        <v>46</v>
      </c>
      <c r="N85" t="s">
        <v>47</v>
      </c>
      <c r="O85">
        <v>2</v>
      </c>
      <c r="P85">
        <v>1</v>
      </c>
      <c r="Q85">
        <v>0</v>
      </c>
      <c r="R85" t="s">
        <v>48</v>
      </c>
      <c r="S85" t="s">
        <v>49</v>
      </c>
      <c r="T85" s="3">
        <v>0</v>
      </c>
      <c r="U85" s="3">
        <v>0</v>
      </c>
      <c r="V85" s="3">
        <v>0</v>
      </c>
      <c r="W85">
        <v>1.08</v>
      </c>
      <c r="X85" t="s">
        <v>72</v>
      </c>
      <c r="Y85" s="3">
        <v>1.42</v>
      </c>
      <c r="Z85" t="s">
        <v>73</v>
      </c>
      <c r="AA85" t="s">
        <v>692</v>
      </c>
      <c r="AB85" t="s">
        <v>53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f t="shared" si="2"/>
        <v>1.42</v>
      </c>
      <c r="AK85" s="3">
        <f t="shared" si="3"/>
        <v>0</v>
      </c>
    </row>
    <row r="86" spans="1:37">
      <c r="A86">
        <v>10256594</v>
      </c>
      <c r="B86" t="s">
        <v>37</v>
      </c>
      <c r="C86" t="s">
        <v>699</v>
      </c>
      <c r="E86" t="s">
        <v>700</v>
      </c>
      <c r="F86" t="s">
        <v>701</v>
      </c>
      <c r="G86" t="s">
        <v>702</v>
      </c>
      <c r="H86" t="s">
        <v>42</v>
      </c>
      <c r="I86" t="s">
        <v>703</v>
      </c>
      <c r="J86" t="s">
        <v>704</v>
      </c>
      <c r="K86" t="s">
        <v>705</v>
      </c>
      <c r="L86" t="s">
        <v>82</v>
      </c>
      <c r="M86" t="s">
        <v>46</v>
      </c>
      <c r="N86" t="s">
        <v>47</v>
      </c>
      <c r="O86">
        <v>2</v>
      </c>
      <c r="P86">
        <v>1</v>
      </c>
      <c r="Q86">
        <v>0</v>
      </c>
      <c r="R86" t="s">
        <v>48</v>
      </c>
      <c r="S86" t="s">
        <v>49</v>
      </c>
      <c r="T86" s="3">
        <v>0</v>
      </c>
      <c r="U86" s="3">
        <v>0</v>
      </c>
      <c r="V86" s="3">
        <v>0</v>
      </c>
      <c r="W86">
        <v>0.79</v>
      </c>
      <c r="X86" t="s">
        <v>50</v>
      </c>
      <c r="Y86" s="3">
        <v>0.05</v>
      </c>
      <c r="Z86" t="s">
        <v>73</v>
      </c>
      <c r="AA86" t="s">
        <v>706</v>
      </c>
      <c r="AB86" t="s">
        <v>53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f t="shared" si="2"/>
        <v>0.05</v>
      </c>
      <c r="AK86" s="3">
        <f t="shared" si="3"/>
        <v>0</v>
      </c>
    </row>
    <row r="87" spans="1:37">
      <c r="A87">
        <v>10255106</v>
      </c>
      <c r="B87" t="s">
        <v>37</v>
      </c>
      <c r="C87" t="s">
        <v>707</v>
      </c>
      <c r="E87" t="s">
        <v>708</v>
      </c>
      <c r="F87" t="s">
        <v>709</v>
      </c>
      <c r="G87" t="s">
        <v>710</v>
      </c>
      <c r="H87" t="s">
        <v>42</v>
      </c>
      <c r="I87" t="s">
        <v>711</v>
      </c>
      <c r="J87" t="s">
        <v>712</v>
      </c>
      <c r="K87" t="s">
        <v>713</v>
      </c>
      <c r="L87" t="s">
        <v>82</v>
      </c>
      <c r="M87" t="s">
        <v>46</v>
      </c>
      <c r="N87" t="s">
        <v>47</v>
      </c>
      <c r="O87">
        <v>2</v>
      </c>
      <c r="P87">
        <v>1</v>
      </c>
      <c r="Q87">
        <v>0</v>
      </c>
      <c r="R87" t="s">
        <v>48</v>
      </c>
      <c r="S87" t="s">
        <v>49</v>
      </c>
      <c r="T87" s="3">
        <v>0</v>
      </c>
      <c r="U87" s="3">
        <v>0</v>
      </c>
      <c r="V87" s="3">
        <v>0</v>
      </c>
      <c r="W87">
        <v>0.88</v>
      </c>
      <c r="X87" t="s">
        <v>50</v>
      </c>
      <c r="Y87" s="3">
        <v>0.05</v>
      </c>
      <c r="Z87" t="s">
        <v>73</v>
      </c>
      <c r="AA87" t="s">
        <v>714</v>
      </c>
      <c r="AB87" t="s">
        <v>53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f t="shared" si="2"/>
        <v>0.05</v>
      </c>
      <c r="AK87" s="3">
        <f t="shared" si="3"/>
        <v>0</v>
      </c>
    </row>
    <row r="88" spans="1:37">
      <c r="A88">
        <v>10257574</v>
      </c>
      <c r="B88" t="s">
        <v>37</v>
      </c>
      <c r="C88" t="s">
        <v>715</v>
      </c>
      <c r="E88" t="s">
        <v>716</v>
      </c>
      <c r="F88" t="s">
        <v>717</v>
      </c>
      <c r="G88" t="s">
        <v>718</v>
      </c>
      <c r="H88" t="s">
        <v>42</v>
      </c>
      <c r="I88" t="s">
        <v>719</v>
      </c>
      <c r="J88" t="s">
        <v>720</v>
      </c>
      <c r="K88">
        <v>88214</v>
      </c>
      <c r="L88" t="s">
        <v>71</v>
      </c>
      <c r="M88" t="s">
        <v>46</v>
      </c>
      <c r="N88" t="s">
        <v>47</v>
      </c>
      <c r="O88">
        <v>2</v>
      </c>
      <c r="P88">
        <v>1</v>
      </c>
      <c r="Q88">
        <v>0</v>
      </c>
      <c r="R88" t="s">
        <v>48</v>
      </c>
      <c r="S88" t="s">
        <v>49</v>
      </c>
      <c r="T88" s="3">
        <v>0</v>
      </c>
      <c r="U88" s="3">
        <v>0</v>
      </c>
      <c r="V88" s="3">
        <v>0</v>
      </c>
      <c r="W88">
        <v>0.94</v>
      </c>
      <c r="X88" t="s">
        <v>72</v>
      </c>
      <c r="Y88" s="3">
        <v>0.03</v>
      </c>
      <c r="Z88" t="s">
        <v>73</v>
      </c>
      <c r="AA88" t="s">
        <v>721</v>
      </c>
      <c r="AB88" t="s">
        <v>53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f t="shared" si="2"/>
        <v>0.03</v>
      </c>
      <c r="AK88" s="3">
        <f t="shared" si="3"/>
        <v>0</v>
      </c>
    </row>
    <row r="89" spans="1:37">
      <c r="A89">
        <v>10256988</v>
      </c>
      <c r="B89" t="s">
        <v>37</v>
      </c>
      <c r="C89" t="s">
        <v>722</v>
      </c>
      <c r="E89" t="s">
        <v>723</v>
      </c>
      <c r="F89" t="s">
        <v>724</v>
      </c>
      <c r="G89" t="s">
        <v>725</v>
      </c>
      <c r="H89" t="s">
        <v>42</v>
      </c>
      <c r="I89" t="s">
        <v>726</v>
      </c>
      <c r="J89" t="s">
        <v>727</v>
      </c>
      <c r="K89" t="s">
        <v>728</v>
      </c>
      <c r="L89" t="s">
        <v>82</v>
      </c>
      <c r="M89" t="s">
        <v>46</v>
      </c>
      <c r="N89" t="s">
        <v>47</v>
      </c>
      <c r="O89">
        <v>2</v>
      </c>
      <c r="P89">
        <v>1</v>
      </c>
      <c r="Q89">
        <v>0</v>
      </c>
      <c r="R89" t="s">
        <v>48</v>
      </c>
      <c r="S89" t="s">
        <v>49</v>
      </c>
      <c r="T89" s="3">
        <v>0</v>
      </c>
      <c r="U89" s="3">
        <v>0</v>
      </c>
      <c r="V89" s="3">
        <v>0</v>
      </c>
      <c r="W89">
        <v>0.73</v>
      </c>
      <c r="X89" t="s">
        <v>50</v>
      </c>
      <c r="Y89" s="3">
        <v>0.05</v>
      </c>
      <c r="Z89" t="s">
        <v>109</v>
      </c>
      <c r="AA89" t="s">
        <v>729</v>
      </c>
      <c r="AB89" t="s">
        <v>53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f t="shared" si="2"/>
        <v>0.05</v>
      </c>
      <c r="AK89" s="3">
        <f t="shared" si="3"/>
        <v>0</v>
      </c>
    </row>
    <row r="90" spans="1:37">
      <c r="A90">
        <v>10240031</v>
      </c>
      <c r="B90" t="s">
        <v>37</v>
      </c>
      <c r="C90" t="s">
        <v>730</v>
      </c>
      <c r="E90" t="s">
        <v>731</v>
      </c>
      <c r="F90" t="s">
        <v>732</v>
      </c>
      <c r="G90" t="s">
        <v>733</v>
      </c>
      <c r="H90" t="s">
        <v>42</v>
      </c>
      <c r="I90" t="s">
        <v>734</v>
      </c>
      <c r="J90" t="s">
        <v>735</v>
      </c>
      <c r="K90">
        <v>16928</v>
      </c>
      <c r="L90" t="s">
        <v>71</v>
      </c>
      <c r="M90" t="s">
        <v>46</v>
      </c>
      <c r="N90" t="s">
        <v>47</v>
      </c>
      <c r="O90">
        <v>10</v>
      </c>
      <c r="P90">
        <v>1</v>
      </c>
      <c r="Q90">
        <v>0</v>
      </c>
      <c r="R90" t="s">
        <v>48</v>
      </c>
      <c r="S90" t="s">
        <v>49</v>
      </c>
      <c r="T90" s="3">
        <v>0</v>
      </c>
      <c r="U90" s="3">
        <v>0</v>
      </c>
      <c r="V90" s="3">
        <v>0</v>
      </c>
      <c r="W90">
        <v>1.5</v>
      </c>
      <c r="X90" t="s">
        <v>72</v>
      </c>
      <c r="Y90" s="3">
        <v>1.38</v>
      </c>
      <c r="Z90" t="s">
        <v>73</v>
      </c>
      <c r="AA90" t="s">
        <v>736</v>
      </c>
      <c r="AB90" t="s">
        <v>53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f t="shared" si="2"/>
        <v>1.38</v>
      </c>
      <c r="AK90" s="3">
        <f t="shared" si="3"/>
        <v>0</v>
      </c>
    </row>
    <row r="91" spans="1:37">
      <c r="A91">
        <v>10223371</v>
      </c>
      <c r="B91" t="s">
        <v>111</v>
      </c>
      <c r="C91" t="s">
        <v>737</v>
      </c>
      <c r="D91" t="s">
        <v>738</v>
      </c>
      <c r="E91" t="s">
        <v>739</v>
      </c>
      <c r="F91" t="s">
        <v>740</v>
      </c>
      <c r="G91" t="s">
        <v>741</v>
      </c>
      <c r="H91" t="s">
        <v>117</v>
      </c>
      <c r="I91" t="s">
        <v>742</v>
      </c>
      <c r="J91" t="s">
        <v>743</v>
      </c>
      <c r="K91">
        <v>2230</v>
      </c>
      <c r="L91" t="s">
        <v>618</v>
      </c>
      <c r="M91" t="s">
        <v>46</v>
      </c>
      <c r="N91" t="s">
        <v>47</v>
      </c>
      <c r="O91">
        <v>42</v>
      </c>
      <c r="P91">
        <v>2</v>
      </c>
      <c r="Q91">
        <v>0</v>
      </c>
      <c r="R91" t="s">
        <v>48</v>
      </c>
      <c r="S91" t="s">
        <v>49</v>
      </c>
      <c r="T91" s="3">
        <v>0</v>
      </c>
      <c r="U91" s="3">
        <v>0</v>
      </c>
      <c r="V91" s="3">
        <v>0</v>
      </c>
      <c r="W91">
        <v>30</v>
      </c>
      <c r="X91" t="s">
        <v>131</v>
      </c>
      <c r="Y91" s="3">
        <v>0.68</v>
      </c>
      <c r="Z91" t="s">
        <v>744</v>
      </c>
      <c r="AA91" t="s">
        <v>745</v>
      </c>
      <c r="AB91" t="s">
        <v>53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f t="shared" si="2"/>
        <v>0.68</v>
      </c>
      <c r="AK91" s="3">
        <f t="shared" si="3"/>
        <v>0</v>
      </c>
    </row>
    <row r="92" spans="1:37">
      <c r="A92">
        <v>10247477</v>
      </c>
      <c r="B92" t="s">
        <v>37</v>
      </c>
      <c r="C92" t="s">
        <v>746</v>
      </c>
      <c r="D92" t="s">
        <v>747</v>
      </c>
      <c r="E92" t="s">
        <v>748</v>
      </c>
      <c r="F92" t="s">
        <v>749</v>
      </c>
      <c r="G92" t="s">
        <v>750</v>
      </c>
      <c r="H92" t="s">
        <v>42</v>
      </c>
      <c r="I92" t="s">
        <v>751</v>
      </c>
      <c r="J92" t="s">
        <v>752</v>
      </c>
      <c r="K92">
        <v>64625</v>
      </c>
      <c r="L92" t="s">
        <v>71</v>
      </c>
      <c r="M92" t="s">
        <v>46</v>
      </c>
      <c r="N92" t="s">
        <v>47</v>
      </c>
      <c r="O92">
        <v>10</v>
      </c>
      <c r="P92">
        <v>1</v>
      </c>
      <c r="Q92">
        <v>0</v>
      </c>
      <c r="R92" t="s">
        <v>48</v>
      </c>
      <c r="S92" t="s">
        <v>49</v>
      </c>
      <c r="T92" s="3">
        <v>0</v>
      </c>
      <c r="U92" s="3">
        <v>0</v>
      </c>
      <c r="V92" s="3">
        <v>0</v>
      </c>
      <c r="W92">
        <v>5</v>
      </c>
      <c r="X92" t="s">
        <v>72</v>
      </c>
      <c r="Y92" s="3">
        <v>0.84</v>
      </c>
      <c r="Z92" t="s">
        <v>83</v>
      </c>
      <c r="AA92" t="s">
        <v>753</v>
      </c>
      <c r="AB92" t="s">
        <v>53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f t="shared" si="2"/>
        <v>0.84</v>
      </c>
      <c r="AK92" s="3">
        <f t="shared" si="3"/>
        <v>0</v>
      </c>
    </row>
    <row r="93" spans="1:37">
      <c r="A93">
        <v>10247164</v>
      </c>
      <c r="B93" t="s">
        <v>37</v>
      </c>
      <c r="C93" t="s">
        <v>754</v>
      </c>
      <c r="D93" t="s">
        <v>755</v>
      </c>
      <c r="E93" t="s">
        <v>756</v>
      </c>
      <c r="F93" t="s">
        <v>757</v>
      </c>
      <c r="G93" t="s">
        <v>758</v>
      </c>
      <c r="H93" t="s">
        <v>42</v>
      </c>
      <c r="I93" t="s">
        <v>759</v>
      </c>
      <c r="J93" t="s">
        <v>760</v>
      </c>
      <c r="K93" t="s">
        <v>761</v>
      </c>
      <c r="L93" t="s">
        <v>82</v>
      </c>
      <c r="M93" t="s">
        <v>46</v>
      </c>
      <c r="N93" t="s">
        <v>47</v>
      </c>
      <c r="O93">
        <v>12</v>
      </c>
      <c r="P93">
        <v>1</v>
      </c>
      <c r="Q93">
        <v>0</v>
      </c>
      <c r="R93" t="s">
        <v>48</v>
      </c>
      <c r="S93" t="s">
        <v>49</v>
      </c>
      <c r="T93" s="3">
        <v>0</v>
      </c>
      <c r="U93" s="3">
        <v>0</v>
      </c>
      <c r="V93" s="3">
        <v>0</v>
      </c>
      <c r="W93">
        <v>5.3</v>
      </c>
      <c r="X93" t="s">
        <v>50</v>
      </c>
      <c r="Y93" s="3">
        <v>0.05</v>
      </c>
      <c r="Z93" t="s">
        <v>83</v>
      </c>
      <c r="AA93" t="s">
        <v>762</v>
      </c>
      <c r="AB93" t="s">
        <v>53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f t="shared" si="2"/>
        <v>0.05</v>
      </c>
      <c r="AK93" s="3">
        <f t="shared" si="3"/>
        <v>0</v>
      </c>
    </row>
    <row r="94" spans="1:37">
      <c r="A94">
        <v>10247177</v>
      </c>
      <c r="B94" t="s">
        <v>37</v>
      </c>
      <c r="C94" t="s">
        <v>763</v>
      </c>
      <c r="E94" t="s">
        <v>764</v>
      </c>
      <c r="F94" t="s">
        <v>765</v>
      </c>
      <c r="G94" t="s">
        <v>766</v>
      </c>
      <c r="H94" t="s">
        <v>42</v>
      </c>
      <c r="I94" t="s">
        <v>767</v>
      </c>
      <c r="J94" t="s">
        <v>768</v>
      </c>
      <c r="K94" t="s">
        <v>769</v>
      </c>
      <c r="L94" t="s">
        <v>82</v>
      </c>
      <c r="M94" t="s">
        <v>46</v>
      </c>
      <c r="N94" t="s">
        <v>47</v>
      </c>
      <c r="O94">
        <v>15</v>
      </c>
      <c r="P94">
        <v>1</v>
      </c>
      <c r="Q94">
        <v>0</v>
      </c>
      <c r="R94" t="s">
        <v>48</v>
      </c>
      <c r="S94" t="s">
        <v>49</v>
      </c>
      <c r="T94" s="3">
        <v>0</v>
      </c>
      <c r="U94" s="3">
        <v>0</v>
      </c>
      <c r="V94" s="3">
        <v>0</v>
      </c>
      <c r="W94">
        <v>5.83</v>
      </c>
      <c r="X94" t="s">
        <v>50</v>
      </c>
      <c r="Y94" s="3">
        <v>20.69</v>
      </c>
      <c r="Z94" t="s">
        <v>83</v>
      </c>
      <c r="AA94" t="s">
        <v>770</v>
      </c>
      <c r="AB94" t="s">
        <v>53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f t="shared" si="2"/>
        <v>20.69</v>
      </c>
      <c r="AK94" s="3">
        <f t="shared" si="3"/>
        <v>0</v>
      </c>
    </row>
    <row r="95" spans="1:37">
      <c r="A95">
        <v>10258443</v>
      </c>
      <c r="B95" t="s">
        <v>37</v>
      </c>
      <c r="C95" t="s">
        <v>771</v>
      </c>
      <c r="E95" t="s">
        <v>772</v>
      </c>
      <c r="F95" t="s">
        <v>773</v>
      </c>
      <c r="G95" t="s">
        <v>774</v>
      </c>
      <c r="H95" t="s">
        <v>42</v>
      </c>
      <c r="I95" t="s">
        <v>775</v>
      </c>
      <c r="J95" t="s">
        <v>776</v>
      </c>
      <c r="K95" t="s">
        <v>777</v>
      </c>
      <c r="L95" t="s">
        <v>142</v>
      </c>
      <c r="M95" t="s">
        <v>46</v>
      </c>
      <c r="N95" t="s">
        <v>47</v>
      </c>
      <c r="O95">
        <v>3</v>
      </c>
      <c r="P95">
        <v>1</v>
      </c>
      <c r="Q95">
        <v>0</v>
      </c>
      <c r="R95" t="s">
        <v>48</v>
      </c>
      <c r="S95" t="s">
        <v>49</v>
      </c>
      <c r="T95" s="3">
        <v>0</v>
      </c>
      <c r="U95" s="3">
        <v>0</v>
      </c>
      <c r="V95" s="3">
        <v>0</v>
      </c>
      <c r="W95">
        <v>1.33</v>
      </c>
      <c r="X95" t="s">
        <v>50</v>
      </c>
      <c r="Y95" s="3">
        <v>0.09</v>
      </c>
      <c r="Z95" t="s">
        <v>73</v>
      </c>
      <c r="AA95" t="s">
        <v>778</v>
      </c>
      <c r="AB95" t="s">
        <v>53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f t="shared" si="2"/>
        <v>0.09</v>
      </c>
      <c r="AK95" s="3">
        <f t="shared" si="3"/>
        <v>0</v>
      </c>
    </row>
    <row r="96" spans="1:37">
      <c r="A96">
        <v>10258106</v>
      </c>
      <c r="B96" t="s">
        <v>37</v>
      </c>
      <c r="C96" t="s">
        <v>779</v>
      </c>
      <c r="E96" t="s">
        <v>780</v>
      </c>
      <c r="F96" t="s">
        <v>781</v>
      </c>
      <c r="G96" t="s">
        <v>782</v>
      </c>
      <c r="H96" t="s">
        <v>42</v>
      </c>
      <c r="I96" t="s">
        <v>783</v>
      </c>
      <c r="J96" t="s">
        <v>784</v>
      </c>
      <c r="K96">
        <v>18055</v>
      </c>
      <c r="L96" t="s">
        <v>71</v>
      </c>
      <c r="M96" t="s">
        <v>46</v>
      </c>
      <c r="N96" t="s">
        <v>47</v>
      </c>
      <c r="O96">
        <v>1</v>
      </c>
      <c r="P96">
        <v>1</v>
      </c>
      <c r="Q96">
        <v>0</v>
      </c>
      <c r="R96" t="s">
        <v>48</v>
      </c>
      <c r="S96" t="s">
        <v>49</v>
      </c>
      <c r="T96" s="3">
        <v>0</v>
      </c>
      <c r="U96" s="3">
        <v>0</v>
      </c>
      <c r="V96" s="3">
        <v>0</v>
      </c>
      <c r="W96">
        <v>0.49</v>
      </c>
      <c r="X96" t="s">
        <v>108</v>
      </c>
      <c r="Y96" s="3">
        <v>0.03</v>
      </c>
      <c r="Z96" t="s">
        <v>109</v>
      </c>
      <c r="AA96" t="s">
        <v>785</v>
      </c>
      <c r="AB96" t="s">
        <v>53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f t="shared" si="2"/>
        <v>0.03</v>
      </c>
      <c r="AK96" s="3">
        <f t="shared" si="3"/>
        <v>0</v>
      </c>
    </row>
    <row r="97" spans="1:37">
      <c r="A97">
        <v>10257671</v>
      </c>
      <c r="B97" t="s">
        <v>37</v>
      </c>
      <c r="C97" t="s">
        <v>786</v>
      </c>
      <c r="E97" t="s">
        <v>787</v>
      </c>
      <c r="F97" t="s">
        <v>788</v>
      </c>
      <c r="G97" t="s">
        <v>789</v>
      </c>
      <c r="H97" t="s">
        <v>42</v>
      </c>
      <c r="I97" t="s">
        <v>790</v>
      </c>
      <c r="J97" t="s">
        <v>791</v>
      </c>
      <c r="K97" t="s">
        <v>792</v>
      </c>
      <c r="L97" t="s">
        <v>142</v>
      </c>
      <c r="M97" t="s">
        <v>46</v>
      </c>
      <c r="N97" t="s">
        <v>47</v>
      </c>
      <c r="O97">
        <v>1</v>
      </c>
      <c r="P97">
        <v>1</v>
      </c>
      <c r="Q97">
        <v>0</v>
      </c>
      <c r="R97" t="s">
        <v>48</v>
      </c>
      <c r="S97" t="s">
        <v>49</v>
      </c>
      <c r="T97" s="3">
        <v>0</v>
      </c>
      <c r="U97" s="3">
        <v>0</v>
      </c>
      <c r="V97" s="3">
        <v>0</v>
      </c>
      <c r="W97">
        <v>0.49</v>
      </c>
      <c r="X97" t="s">
        <v>50</v>
      </c>
      <c r="Y97" s="3">
        <v>1.48</v>
      </c>
      <c r="Z97" t="s">
        <v>109</v>
      </c>
      <c r="AA97" t="s">
        <v>793</v>
      </c>
      <c r="AB97" t="s">
        <v>53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f t="shared" si="2"/>
        <v>1.48</v>
      </c>
      <c r="AK97" s="3">
        <f t="shared" si="3"/>
        <v>0</v>
      </c>
    </row>
    <row r="98" spans="1:37">
      <c r="A98">
        <v>10254426</v>
      </c>
      <c r="B98" t="s">
        <v>37</v>
      </c>
      <c r="C98" t="s">
        <v>794</v>
      </c>
      <c r="E98" t="s">
        <v>795</v>
      </c>
      <c r="F98" t="s">
        <v>796</v>
      </c>
      <c r="G98" t="s">
        <v>797</v>
      </c>
      <c r="H98" t="s">
        <v>42</v>
      </c>
      <c r="I98" t="s">
        <v>798</v>
      </c>
      <c r="J98" t="s">
        <v>799</v>
      </c>
      <c r="K98" t="s">
        <v>800</v>
      </c>
      <c r="L98" t="s">
        <v>82</v>
      </c>
      <c r="M98" t="s">
        <v>46</v>
      </c>
      <c r="N98" t="s">
        <v>47</v>
      </c>
      <c r="O98">
        <v>7</v>
      </c>
      <c r="P98">
        <v>1</v>
      </c>
      <c r="Q98">
        <v>0</v>
      </c>
      <c r="R98" t="s">
        <v>48</v>
      </c>
      <c r="S98" t="s">
        <v>49</v>
      </c>
      <c r="T98" s="3">
        <v>0</v>
      </c>
      <c r="U98" s="3">
        <v>0</v>
      </c>
      <c r="V98" s="3">
        <v>0</v>
      </c>
      <c r="W98">
        <v>2.0699999999999998</v>
      </c>
      <c r="X98" t="s">
        <v>50</v>
      </c>
      <c r="Y98" s="3">
        <v>0.05</v>
      </c>
      <c r="Z98" t="s">
        <v>51</v>
      </c>
      <c r="AA98" t="s">
        <v>801</v>
      </c>
      <c r="AB98" t="s">
        <v>53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f t="shared" si="2"/>
        <v>0.05</v>
      </c>
      <c r="AK98" s="3">
        <f t="shared" si="3"/>
        <v>0</v>
      </c>
    </row>
    <row r="99" spans="1:37">
      <c r="A99">
        <v>10258111</v>
      </c>
      <c r="B99" t="s">
        <v>37</v>
      </c>
      <c r="C99" t="s">
        <v>802</v>
      </c>
      <c r="E99" t="s">
        <v>215</v>
      </c>
      <c r="F99" t="s">
        <v>803</v>
      </c>
      <c r="G99" t="s">
        <v>804</v>
      </c>
      <c r="H99" t="s">
        <v>42</v>
      </c>
      <c r="I99" t="s">
        <v>805</v>
      </c>
      <c r="J99" t="s">
        <v>806</v>
      </c>
      <c r="K99">
        <v>82538</v>
      </c>
      <c r="L99" t="s">
        <v>71</v>
      </c>
      <c r="M99" t="s">
        <v>46</v>
      </c>
      <c r="N99" t="s">
        <v>47</v>
      </c>
      <c r="O99">
        <v>3</v>
      </c>
      <c r="P99">
        <v>1</v>
      </c>
      <c r="Q99">
        <v>0</v>
      </c>
      <c r="R99" t="s">
        <v>48</v>
      </c>
      <c r="S99" t="s">
        <v>49</v>
      </c>
      <c r="T99" s="3">
        <v>0</v>
      </c>
      <c r="U99" s="3">
        <v>0</v>
      </c>
      <c r="V99" s="3">
        <v>0</v>
      </c>
      <c r="W99">
        <v>1.78</v>
      </c>
      <c r="X99" t="s">
        <v>72</v>
      </c>
      <c r="Y99" s="3">
        <v>0.03</v>
      </c>
      <c r="Z99" t="s">
        <v>73</v>
      </c>
      <c r="AA99" t="s">
        <v>807</v>
      </c>
      <c r="AB99" t="s">
        <v>53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f t="shared" si="2"/>
        <v>0.03</v>
      </c>
      <c r="AK99" s="3">
        <f t="shared" si="3"/>
        <v>0</v>
      </c>
    </row>
    <row r="100" spans="1:37">
      <c r="A100">
        <v>10250023</v>
      </c>
      <c r="B100" t="s">
        <v>37</v>
      </c>
      <c r="C100" t="s">
        <v>808</v>
      </c>
      <c r="E100" t="s">
        <v>809</v>
      </c>
      <c r="F100" t="s">
        <v>810</v>
      </c>
      <c r="G100" t="s">
        <v>811</v>
      </c>
      <c r="H100" t="s">
        <v>42</v>
      </c>
      <c r="I100" t="s">
        <v>812</v>
      </c>
      <c r="J100" t="s">
        <v>813</v>
      </c>
      <c r="K100">
        <v>70197</v>
      </c>
      <c r="L100" t="s">
        <v>71</v>
      </c>
      <c r="M100" t="s">
        <v>46</v>
      </c>
      <c r="N100" t="s">
        <v>47</v>
      </c>
      <c r="O100">
        <v>4</v>
      </c>
      <c r="P100">
        <v>1</v>
      </c>
      <c r="Q100">
        <v>0</v>
      </c>
      <c r="R100" t="s">
        <v>48</v>
      </c>
      <c r="S100" t="s">
        <v>49</v>
      </c>
      <c r="T100" s="3">
        <v>0</v>
      </c>
      <c r="U100" s="3">
        <v>0</v>
      </c>
      <c r="V100" s="3">
        <v>0</v>
      </c>
      <c r="W100">
        <v>0.68</v>
      </c>
      <c r="X100" t="s">
        <v>72</v>
      </c>
      <c r="Y100" s="3">
        <v>13.9</v>
      </c>
      <c r="Z100" t="s">
        <v>73</v>
      </c>
      <c r="AA100" t="s">
        <v>814</v>
      </c>
      <c r="AB100" t="s">
        <v>53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f t="shared" si="2"/>
        <v>13.9</v>
      </c>
      <c r="AK100" s="3">
        <f t="shared" si="3"/>
        <v>0</v>
      </c>
    </row>
    <row r="101" spans="1:37">
      <c r="A101">
        <v>10258756</v>
      </c>
      <c r="B101" t="s">
        <v>37</v>
      </c>
      <c r="C101" t="s">
        <v>815</v>
      </c>
      <c r="E101" t="s">
        <v>816</v>
      </c>
      <c r="F101" t="s">
        <v>817</v>
      </c>
      <c r="G101" t="s">
        <v>818</v>
      </c>
      <c r="H101" t="s">
        <v>42</v>
      </c>
      <c r="I101" t="s">
        <v>819</v>
      </c>
      <c r="J101" t="s">
        <v>820</v>
      </c>
      <c r="K101">
        <v>3540</v>
      </c>
      <c r="L101" t="s">
        <v>505</v>
      </c>
      <c r="M101" t="s">
        <v>46</v>
      </c>
      <c r="N101" t="s">
        <v>47</v>
      </c>
      <c r="O101">
        <v>1</v>
      </c>
      <c r="P101">
        <v>1</v>
      </c>
      <c r="Q101">
        <v>0</v>
      </c>
      <c r="R101" t="s">
        <v>48</v>
      </c>
      <c r="S101" t="s">
        <v>49</v>
      </c>
      <c r="T101" s="3">
        <v>0</v>
      </c>
      <c r="U101" s="3">
        <v>0</v>
      </c>
      <c r="V101" s="3">
        <v>0</v>
      </c>
      <c r="W101">
        <v>2.5</v>
      </c>
      <c r="X101" t="s">
        <v>50</v>
      </c>
      <c r="Y101" s="3">
        <v>1.38</v>
      </c>
      <c r="Z101" t="s">
        <v>83</v>
      </c>
      <c r="AA101" t="s">
        <v>821</v>
      </c>
      <c r="AB101" t="s">
        <v>53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f t="shared" si="2"/>
        <v>1.38</v>
      </c>
      <c r="AK101" s="3">
        <f t="shared" si="3"/>
        <v>0</v>
      </c>
    </row>
    <row r="102" spans="1:37">
      <c r="A102">
        <v>10258444</v>
      </c>
      <c r="B102" t="s">
        <v>37</v>
      </c>
      <c r="C102" t="s">
        <v>822</v>
      </c>
      <c r="E102" t="s">
        <v>823</v>
      </c>
      <c r="F102" t="s">
        <v>824</v>
      </c>
      <c r="G102" t="s">
        <v>825</v>
      </c>
      <c r="H102" t="s">
        <v>42</v>
      </c>
      <c r="I102" t="s">
        <v>826</v>
      </c>
      <c r="J102" t="s">
        <v>827</v>
      </c>
      <c r="K102">
        <v>3370</v>
      </c>
      <c r="L102" t="s">
        <v>505</v>
      </c>
      <c r="M102" t="s">
        <v>46</v>
      </c>
      <c r="N102" t="s">
        <v>47</v>
      </c>
      <c r="O102">
        <v>2</v>
      </c>
      <c r="P102">
        <v>1</v>
      </c>
      <c r="Q102">
        <v>0</v>
      </c>
      <c r="R102" t="s">
        <v>48</v>
      </c>
      <c r="S102" t="s">
        <v>49</v>
      </c>
      <c r="T102" s="3">
        <v>0</v>
      </c>
      <c r="U102" s="3">
        <v>0</v>
      </c>
      <c r="V102" s="3">
        <v>0</v>
      </c>
      <c r="W102">
        <v>0.88</v>
      </c>
      <c r="X102" t="s">
        <v>50</v>
      </c>
      <c r="Y102" s="3">
        <v>19.309999999999999</v>
      </c>
      <c r="Z102" t="s">
        <v>109</v>
      </c>
      <c r="AA102" t="s">
        <v>828</v>
      </c>
      <c r="AB102" t="s">
        <v>53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f t="shared" si="2"/>
        <v>19.309999999999999</v>
      </c>
      <c r="AK102" s="3">
        <f t="shared" si="3"/>
        <v>0</v>
      </c>
    </row>
    <row r="103" spans="1:37">
      <c r="A103">
        <v>10227654</v>
      </c>
      <c r="B103" t="s">
        <v>37</v>
      </c>
      <c r="C103" t="s">
        <v>829</v>
      </c>
      <c r="E103" t="s">
        <v>500</v>
      </c>
      <c r="F103" t="s">
        <v>830</v>
      </c>
      <c r="G103" t="s">
        <v>831</v>
      </c>
      <c r="H103" t="s">
        <v>42</v>
      </c>
      <c r="I103" t="s">
        <v>832</v>
      </c>
      <c r="J103" t="s">
        <v>833</v>
      </c>
      <c r="K103">
        <v>22851</v>
      </c>
      <c r="L103" t="s">
        <v>71</v>
      </c>
      <c r="M103" t="s">
        <v>46</v>
      </c>
      <c r="N103" t="s">
        <v>47</v>
      </c>
      <c r="O103">
        <v>3</v>
      </c>
      <c r="P103">
        <v>1</v>
      </c>
      <c r="Q103">
        <v>0</v>
      </c>
      <c r="R103" t="s">
        <v>48</v>
      </c>
      <c r="S103" t="s">
        <v>49</v>
      </c>
      <c r="T103" s="3">
        <v>0</v>
      </c>
      <c r="U103" s="3">
        <v>0</v>
      </c>
      <c r="V103" s="3">
        <v>0</v>
      </c>
      <c r="W103">
        <v>0.57999999999999996</v>
      </c>
      <c r="X103" t="s">
        <v>72</v>
      </c>
      <c r="Y103" s="3">
        <v>1.38</v>
      </c>
      <c r="Z103" t="s">
        <v>73</v>
      </c>
      <c r="AA103" t="s">
        <v>834</v>
      </c>
      <c r="AB103" t="s">
        <v>53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f t="shared" si="2"/>
        <v>1.38</v>
      </c>
      <c r="AK103" s="3">
        <f t="shared" si="3"/>
        <v>0</v>
      </c>
    </row>
    <row r="104" spans="1:37">
      <c r="A104">
        <v>10259253</v>
      </c>
      <c r="B104" t="s">
        <v>37</v>
      </c>
      <c r="C104" t="s">
        <v>835</v>
      </c>
      <c r="E104" t="s">
        <v>836</v>
      </c>
      <c r="F104" t="s">
        <v>837</v>
      </c>
      <c r="G104" t="s">
        <v>838</v>
      </c>
      <c r="H104" t="s">
        <v>42</v>
      </c>
      <c r="I104" t="s">
        <v>839</v>
      </c>
      <c r="J104" t="s">
        <v>840</v>
      </c>
      <c r="K104">
        <v>66882</v>
      </c>
      <c r="L104" t="s">
        <v>71</v>
      </c>
      <c r="M104" t="s">
        <v>46</v>
      </c>
      <c r="N104" t="s">
        <v>47</v>
      </c>
      <c r="O104">
        <v>4</v>
      </c>
      <c r="P104">
        <v>1</v>
      </c>
      <c r="Q104">
        <v>0</v>
      </c>
      <c r="R104" t="s">
        <v>48</v>
      </c>
      <c r="S104" t="s">
        <v>49</v>
      </c>
      <c r="T104" s="3">
        <v>0</v>
      </c>
      <c r="U104" s="3">
        <v>0</v>
      </c>
      <c r="V104" s="3">
        <v>0</v>
      </c>
      <c r="W104">
        <v>2.97</v>
      </c>
      <c r="X104" t="s">
        <v>72</v>
      </c>
      <c r="Y104" s="3">
        <v>1.1599999999999999</v>
      </c>
      <c r="Z104" t="s">
        <v>73</v>
      </c>
      <c r="AA104" t="s">
        <v>841</v>
      </c>
      <c r="AB104" t="s">
        <v>53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f t="shared" si="2"/>
        <v>1.1599999999999999</v>
      </c>
      <c r="AK104" s="3">
        <f t="shared" si="3"/>
        <v>0</v>
      </c>
    </row>
    <row r="105" spans="1:37">
      <c r="A105">
        <v>10261759</v>
      </c>
      <c r="B105" t="s">
        <v>37</v>
      </c>
      <c r="C105" t="s">
        <v>842</v>
      </c>
      <c r="E105" t="s">
        <v>843</v>
      </c>
      <c r="F105" t="s">
        <v>844</v>
      </c>
      <c r="G105" t="s">
        <v>845</v>
      </c>
      <c r="H105" t="s">
        <v>42</v>
      </c>
      <c r="I105" t="s">
        <v>846</v>
      </c>
      <c r="J105" t="s">
        <v>847</v>
      </c>
      <c r="K105">
        <v>76137</v>
      </c>
      <c r="L105" t="s">
        <v>71</v>
      </c>
      <c r="M105" t="s">
        <v>46</v>
      </c>
      <c r="N105" t="s">
        <v>47</v>
      </c>
      <c r="O105">
        <v>1</v>
      </c>
      <c r="P105">
        <v>1</v>
      </c>
      <c r="Q105">
        <v>0</v>
      </c>
      <c r="R105" t="s">
        <v>48</v>
      </c>
      <c r="S105" t="s">
        <v>49</v>
      </c>
      <c r="T105" s="3">
        <v>0</v>
      </c>
      <c r="U105" s="3">
        <v>0</v>
      </c>
      <c r="V105" s="3">
        <v>0</v>
      </c>
      <c r="W105">
        <v>1.5</v>
      </c>
      <c r="X105" t="s">
        <v>72</v>
      </c>
      <c r="Y105" s="3">
        <v>1.38</v>
      </c>
      <c r="Z105" t="s">
        <v>73</v>
      </c>
      <c r="AA105" t="s">
        <v>848</v>
      </c>
      <c r="AB105" t="s">
        <v>53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f t="shared" si="2"/>
        <v>1.38</v>
      </c>
      <c r="AK105" s="3">
        <f t="shared" si="3"/>
        <v>0</v>
      </c>
    </row>
    <row r="106" spans="1:37">
      <c r="A106">
        <v>10259807</v>
      </c>
      <c r="B106" t="s">
        <v>37</v>
      </c>
      <c r="C106" t="s">
        <v>849</v>
      </c>
      <c r="E106" t="s">
        <v>850</v>
      </c>
      <c r="F106" t="s">
        <v>851</v>
      </c>
      <c r="G106" t="s">
        <v>852</v>
      </c>
      <c r="H106" t="s">
        <v>42</v>
      </c>
      <c r="I106" t="s">
        <v>853</v>
      </c>
      <c r="J106" t="s">
        <v>854</v>
      </c>
      <c r="K106">
        <v>83190</v>
      </c>
      <c r="L106" t="s">
        <v>130</v>
      </c>
      <c r="M106" t="s">
        <v>46</v>
      </c>
      <c r="N106" t="s">
        <v>47</v>
      </c>
      <c r="O106">
        <v>2</v>
      </c>
      <c r="P106">
        <v>1</v>
      </c>
      <c r="Q106">
        <v>0</v>
      </c>
      <c r="R106" t="s">
        <v>48</v>
      </c>
      <c r="S106" t="s">
        <v>49</v>
      </c>
      <c r="T106" s="3">
        <v>0</v>
      </c>
      <c r="U106" s="3">
        <v>0</v>
      </c>
      <c r="V106" s="3">
        <v>0</v>
      </c>
      <c r="W106">
        <v>0.4</v>
      </c>
      <c r="X106" t="s">
        <v>50</v>
      </c>
      <c r="Y106" s="3">
        <v>0.72</v>
      </c>
      <c r="Z106" t="s">
        <v>109</v>
      </c>
      <c r="AA106" t="s">
        <v>855</v>
      </c>
      <c r="AB106" t="s">
        <v>53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f t="shared" si="2"/>
        <v>0.72</v>
      </c>
      <c r="AK106" s="3">
        <f t="shared" si="3"/>
        <v>0</v>
      </c>
    </row>
    <row r="107" spans="1:37">
      <c r="A107">
        <v>10260084</v>
      </c>
      <c r="B107" t="s">
        <v>37</v>
      </c>
      <c r="C107" t="s">
        <v>856</v>
      </c>
      <c r="E107" t="s">
        <v>857</v>
      </c>
      <c r="F107" t="s">
        <v>858</v>
      </c>
      <c r="G107" t="s">
        <v>859</v>
      </c>
      <c r="H107" t="s">
        <v>42</v>
      </c>
      <c r="I107" t="s">
        <v>860</v>
      </c>
      <c r="J107" t="s">
        <v>861</v>
      </c>
      <c r="K107">
        <v>90607</v>
      </c>
      <c r="L107" t="s">
        <v>71</v>
      </c>
      <c r="M107" t="s">
        <v>46</v>
      </c>
      <c r="N107" t="s">
        <v>47</v>
      </c>
      <c r="O107">
        <v>1</v>
      </c>
      <c r="P107">
        <v>1</v>
      </c>
      <c r="Q107">
        <v>0</v>
      </c>
      <c r="R107" t="s">
        <v>48</v>
      </c>
      <c r="S107" t="s">
        <v>49</v>
      </c>
      <c r="T107" s="3">
        <v>0</v>
      </c>
      <c r="U107" s="3">
        <v>0</v>
      </c>
      <c r="V107" s="3">
        <v>0</v>
      </c>
      <c r="W107">
        <v>0.59</v>
      </c>
      <c r="X107" t="s">
        <v>108</v>
      </c>
      <c r="Y107" s="3">
        <v>1.38</v>
      </c>
      <c r="Z107" t="s">
        <v>109</v>
      </c>
      <c r="AA107" t="s">
        <v>862</v>
      </c>
      <c r="AB107" t="s">
        <v>53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f t="shared" si="2"/>
        <v>1.38</v>
      </c>
      <c r="AK107" s="3">
        <f t="shared" si="3"/>
        <v>0</v>
      </c>
    </row>
    <row r="108" spans="1:37">
      <c r="A108">
        <v>10260962</v>
      </c>
      <c r="B108" t="s">
        <v>37</v>
      </c>
      <c r="C108" t="s">
        <v>863</v>
      </c>
      <c r="E108" t="s">
        <v>864</v>
      </c>
      <c r="F108" t="s">
        <v>865</v>
      </c>
      <c r="G108" t="s">
        <v>866</v>
      </c>
      <c r="H108" t="s">
        <v>42</v>
      </c>
      <c r="I108" t="s">
        <v>867</v>
      </c>
      <c r="J108" t="s">
        <v>868</v>
      </c>
      <c r="K108" t="s">
        <v>869</v>
      </c>
      <c r="L108" t="s">
        <v>71</v>
      </c>
      <c r="M108" t="s">
        <v>46</v>
      </c>
      <c r="N108" t="s">
        <v>47</v>
      </c>
      <c r="O108">
        <v>1</v>
      </c>
      <c r="P108">
        <v>1</v>
      </c>
      <c r="Q108">
        <v>0</v>
      </c>
      <c r="R108" t="s">
        <v>48</v>
      </c>
      <c r="S108" t="s">
        <v>49</v>
      </c>
      <c r="T108" s="3">
        <v>0</v>
      </c>
      <c r="U108" s="3">
        <v>0</v>
      </c>
      <c r="V108" s="3">
        <v>0</v>
      </c>
      <c r="W108">
        <v>0.49</v>
      </c>
      <c r="X108" t="s">
        <v>108</v>
      </c>
      <c r="Y108" s="3">
        <v>1.38</v>
      </c>
      <c r="Z108" t="s">
        <v>109</v>
      </c>
      <c r="AA108" t="s">
        <v>870</v>
      </c>
      <c r="AB108" t="s">
        <v>53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f t="shared" si="2"/>
        <v>1.38</v>
      </c>
      <c r="AK108" s="3">
        <f t="shared" si="3"/>
        <v>0</v>
      </c>
    </row>
    <row r="109" spans="1:37">
      <c r="A109">
        <v>10259252</v>
      </c>
      <c r="B109" t="s">
        <v>37</v>
      </c>
      <c r="C109" t="s">
        <v>871</v>
      </c>
      <c r="E109" t="s">
        <v>872</v>
      </c>
      <c r="F109" t="s">
        <v>873</v>
      </c>
      <c r="G109" t="s">
        <v>874</v>
      </c>
      <c r="H109" t="s">
        <v>42</v>
      </c>
      <c r="I109" t="s">
        <v>875</v>
      </c>
      <c r="J109" t="s">
        <v>876</v>
      </c>
      <c r="K109" t="s">
        <v>877</v>
      </c>
      <c r="L109" t="s">
        <v>142</v>
      </c>
      <c r="M109" t="s">
        <v>46</v>
      </c>
      <c r="N109" t="s">
        <v>47</v>
      </c>
      <c r="O109">
        <v>1</v>
      </c>
      <c r="P109">
        <v>1</v>
      </c>
      <c r="Q109">
        <v>0</v>
      </c>
      <c r="R109" t="s">
        <v>48</v>
      </c>
      <c r="S109" t="s">
        <v>49</v>
      </c>
      <c r="T109" s="3">
        <v>0</v>
      </c>
      <c r="U109" s="3">
        <v>0</v>
      </c>
      <c r="V109" s="3">
        <v>0</v>
      </c>
      <c r="W109">
        <v>0.49</v>
      </c>
      <c r="X109" t="s">
        <v>50</v>
      </c>
      <c r="Y109" s="3">
        <v>1.38</v>
      </c>
      <c r="Z109" t="s">
        <v>109</v>
      </c>
      <c r="AA109" t="s">
        <v>878</v>
      </c>
      <c r="AB109" t="s">
        <v>53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f t="shared" si="2"/>
        <v>1.38</v>
      </c>
      <c r="AK109" s="3">
        <f t="shared" si="3"/>
        <v>0</v>
      </c>
    </row>
    <row r="110" spans="1:37">
      <c r="A110">
        <v>10259254</v>
      </c>
      <c r="B110" t="s">
        <v>37</v>
      </c>
      <c r="C110" t="s">
        <v>879</v>
      </c>
      <c r="E110" t="s">
        <v>880</v>
      </c>
      <c r="F110" t="s">
        <v>881</v>
      </c>
      <c r="G110" t="s">
        <v>882</v>
      </c>
      <c r="H110" t="s">
        <v>42</v>
      </c>
      <c r="I110" t="s">
        <v>883</v>
      </c>
      <c r="J110" t="s">
        <v>884</v>
      </c>
      <c r="K110" t="s">
        <v>885</v>
      </c>
      <c r="L110" t="s">
        <v>886</v>
      </c>
      <c r="M110" t="s">
        <v>46</v>
      </c>
      <c r="N110" t="s">
        <v>47</v>
      </c>
      <c r="O110">
        <v>1</v>
      </c>
      <c r="P110">
        <v>1</v>
      </c>
      <c r="Q110">
        <v>0</v>
      </c>
      <c r="R110" t="s">
        <v>48</v>
      </c>
      <c r="S110" t="s">
        <v>49</v>
      </c>
      <c r="T110" s="3">
        <v>0</v>
      </c>
      <c r="U110" s="3">
        <v>0</v>
      </c>
      <c r="V110" s="3">
        <v>0</v>
      </c>
      <c r="W110">
        <v>0.59</v>
      </c>
      <c r="X110" t="s">
        <v>50</v>
      </c>
      <c r="Y110" s="3">
        <v>1.44</v>
      </c>
      <c r="Z110" t="s">
        <v>109</v>
      </c>
      <c r="AA110" t="s">
        <v>887</v>
      </c>
      <c r="AB110" t="s">
        <v>53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f t="shared" si="2"/>
        <v>1.44</v>
      </c>
      <c r="AK110" s="3">
        <f t="shared" si="3"/>
        <v>0</v>
      </c>
    </row>
    <row r="111" spans="1:37">
      <c r="A111">
        <v>10259258</v>
      </c>
      <c r="B111" t="s">
        <v>37</v>
      </c>
      <c r="C111" t="s">
        <v>888</v>
      </c>
      <c r="E111" t="s">
        <v>889</v>
      </c>
      <c r="F111" t="s">
        <v>890</v>
      </c>
      <c r="G111" t="s">
        <v>891</v>
      </c>
      <c r="H111" t="s">
        <v>42</v>
      </c>
      <c r="I111" t="s">
        <v>892</v>
      </c>
      <c r="J111" t="s">
        <v>893</v>
      </c>
      <c r="K111">
        <v>33300</v>
      </c>
      <c r="L111" t="s">
        <v>130</v>
      </c>
      <c r="M111" t="s">
        <v>46</v>
      </c>
      <c r="N111" t="s">
        <v>47</v>
      </c>
      <c r="O111">
        <v>1</v>
      </c>
      <c r="P111">
        <v>1</v>
      </c>
      <c r="Q111">
        <v>0</v>
      </c>
      <c r="R111" t="s">
        <v>48</v>
      </c>
      <c r="S111" t="s">
        <v>49</v>
      </c>
      <c r="T111" s="3">
        <v>0</v>
      </c>
      <c r="U111" s="3">
        <v>0</v>
      </c>
      <c r="V111" s="3">
        <v>0</v>
      </c>
      <c r="W111">
        <v>3.1</v>
      </c>
      <c r="X111" t="s">
        <v>50</v>
      </c>
      <c r="Y111" s="3">
        <v>0.72</v>
      </c>
      <c r="Z111" t="s">
        <v>83</v>
      </c>
      <c r="AA111" t="s">
        <v>894</v>
      </c>
      <c r="AB111" t="s">
        <v>53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f t="shared" si="2"/>
        <v>0.72</v>
      </c>
      <c r="AK111" s="3">
        <f t="shared" si="3"/>
        <v>0</v>
      </c>
    </row>
    <row r="112" spans="1:37">
      <c r="A112">
        <v>10261908</v>
      </c>
      <c r="B112" t="s">
        <v>37</v>
      </c>
      <c r="C112" t="s">
        <v>895</v>
      </c>
      <c r="E112" t="s">
        <v>896</v>
      </c>
      <c r="F112" t="s">
        <v>897</v>
      </c>
      <c r="G112" t="s">
        <v>898</v>
      </c>
      <c r="H112" t="s">
        <v>42</v>
      </c>
      <c r="I112" t="s">
        <v>899</v>
      </c>
      <c r="J112" t="s">
        <v>900</v>
      </c>
      <c r="K112" t="s">
        <v>901</v>
      </c>
      <c r="L112" t="s">
        <v>142</v>
      </c>
      <c r="M112" t="s">
        <v>46</v>
      </c>
      <c r="N112" t="s">
        <v>47</v>
      </c>
      <c r="O112">
        <v>3</v>
      </c>
      <c r="P112">
        <v>1</v>
      </c>
      <c r="Q112">
        <v>0</v>
      </c>
      <c r="R112" t="s">
        <v>48</v>
      </c>
      <c r="S112" t="s">
        <v>49</v>
      </c>
      <c r="T112" s="3">
        <v>0</v>
      </c>
      <c r="U112" s="3">
        <v>0</v>
      </c>
      <c r="V112" s="3">
        <v>0</v>
      </c>
      <c r="W112">
        <v>3.9</v>
      </c>
      <c r="X112" t="s">
        <v>50</v>
      </c>
      <c r="Y112" s="3">
        <v>19.41</v>
      </c>
      <c r="Z112" t="s">
        <v>83</v>
      </c>
      <c r="AA112" t="s">
        <v>902</v>
      </c>
      <c r="AB112" t="s">
        <v>53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f t="shared" si="2"/>
        <v>19.41</v>
      </c>
      <c r="AK112" s="3">
        <f t="shared" si="3"/>
        <v>0</v>
      </c>
    </row>
    <row r="113" spans="1:37">
      <c r="A113">
        <v>10260706</v>
      </c>
      <c r="B113" t="s">
        <v>37</v>
      </c>
      <c r="C113" t="s">
        <v>903</v>
      </c>
      <c r="E113" t="s">
        <v>103</v>
      </c>
      <c r="F113" t="s">
        <v>904</v>
      </c>
      <c r="G113" t="s">
        <v>905</v>
      </c>
      <c r="H113" t="s">
        <v>42</v>
      </c>
      <c r="I113" t="s">
        <v>906</v>
      </c>
      <c r="J113" t="s">
        <v>907</v>
      </c>
      <c r="K113">
        <v>66903</v>
      </c>
      <c r="L113" t="s">
        <v>71</v>
      </c>
      <c r="M113" t="s">
        <v>46</v>
      </c>
      <c r="N113" t="s">
        <v>47</v>
      </c>
      <c r="O113">
        <v>4</v>
      </c>
      <c r="P113">
        <v>1</v>
      </c>
      <c r="Q113">
        <v>0</v>
      </c>
      <c r="R113" t="s">
        <v>48</v>
      </c>
      <c r="S113" t="s">
        <v>49</v>
      </c>
      <c r="T113" s="3">
        <v>0</v>
      </c>
      <c r="U113" s="3">
        <v>0</v>
      </c>
      <c r="V113" s="3">
        <v>0</v>
      </c>
      <c r="W113">
        <v>1.72</v>
      </c>
      <c r="X113" t="s">
        <v>72</v>
      </c>
      <c r="Y113" s="3">
        <v>4.16</v>
      </c>
      <c r="Z113" t="s">
        <v>73</v>
      </c>
      <c r="AA113" t="s">
        <v>908</v>
      </c>
      <c r="AB113" t="s">
        <v>53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f t="shared" si="2"/>
        <v>4.16</v>
      </c>
      <c r="AK113" s="3">
        <f t="shared" si="3"/>
        <v>0</v>
      </c>
    </row>
    <row r="114" spans="1:37">
      <c r="A114">
        <v>10259250</v>
      </c>
      <c r="B114" t="s">
        <v>37</v>
      </c>
      <c r="C114" t="s">
        <v>909</v>
      </c>
      <c r="D114" t="s">
        <v>910</v>
      </c>
      <c r="E114" t="s">
        <v>321</v>
      </c>
      <c r="F114" t="s">
        <v>911</v>
      </c>
      <c r="G114" t="s">
        <v>912</v>
      </c>
      <c r="H114" t="s">
        <v>42</v>
      </c>
      <c r="I114" t="s">
        <v>913</v>
      </c>
      <c r="J114" t="s">
        <v>914</v>
      </c>
      <c r="K114" t="s">
        <v>915</v>
      </c>
      <c r="L114" t="s">
        <v>142</v>
      </c>
      <c r="M114" t="s">
        <v>46</v>
      </c>
      <c r="N114" t="s">
        <v>47</v>
      </c>
      <c r="O114">
        <v>6</v>
      </c>
      <c r="P114">
        <v>1</v>
      </c>
      <c r="Q114">
        <v>0</v>
      </c>
      <c r="R114" t="s">
        <v>48</v>
      </c>
      <c r="S114" t="s">
        <v>49</v>
      </c>
      <c r="T114" s="3">
        <v>0</v>
      </c>
      <c r="U114" s="3">
        <v>0</v>
      </c>
      <c r="V114" s="3">
        <v>0</v>
      </c>
      <c r="W114">
        <v>2.5</v>
      </c>
      <c r="X114" t="s">
        <v>50</v>
      </c>
      <c r="Y114" s="3">
        <v>1.38</v>
      </c>
      <c r="Z114" t="s">
        <v>83</v>
      </c>
      <c r="AA114" t="s">
        <v>916</v>
      </c>
      <c r="AB114" t="s">
        <v>53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f t="shared" si="2"/>
        <v>1.38</v>
      </c>
      <c r="AK114" s="3">
        <f t="shared" si="3"/>
        <v>0</v>
      </c>
    </row>
    <row r="115" spans="1:37">
      <c r="A115">
        <v>10262354</v>
      </c>
      <c r="B115" t="s">
        <v>37</v>
      </c>
      <c r="C115" t="s">
        <v>917</v>
      </c>
      <c r="E115" t="s">
        <v>918</v>
      </c>
      <c r="F115" t="s">
        <v>919</v>
      </c>
      <c r="G115" t="s">
        <v>920</v>
      </c>
      <c r="H115" t="s">
        <v>42</v>
      </c>
      <c r="I115" t="s">
        <v>921</v>
      </c>
      <c r="J115" t="s">
        <v>922</v>
      </c>
      <c r="K115">
        <v>60594</v>
      </c>
      <c r="L115" t="s">
        <v>71</v>
      </c>
      <c r="M115" t="s">
        <v>46</v>
      </c>
      <c r="N115" t="s">
        <v>47</v>
      </c>
      <c r="O115">
        <v>3</v>
      </c>
      <c r="P115">
        <v>1</v>
      </c>
      <c r="Q115">
        <v>0</v>
      </c>
      <c r="R115" t="s">
        <v>48</v>
      </c>
      <c r="S115" t="s">
        <v>49</v>
      </c>
      <c r="T115" s="3">
        <v>0</v>
      </c>
      <c r="U115" s="3">
        <v>0</v>
      </c>
      <c r="V115" s="3">
        <v>0</v>
      </c>
      <c r="W115">
        <v>1.0900000000000001</v>
      </c>
      <c r="X115" t="s">
        <v>72</v>
      </c>
      <c r="Y115" s="3">
        <v>1.38</v>
      </c>
      <c r="Z115" t="s">
        <v>83</v>
      </c>
      <c r="AA115" t="s">
        <v>923</v>
      </c>
      <c r="AB115" t="s">
        <v>53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f t="shared" si="2"/>
        <v>1.38</v>
      </c>
      <c r="AK115" s="3">
        <f t="shared" si="3"/>
        <v>0</v>
      </c>
    </row>
    <row r="116" spans="1:37">
      <c r="A116">
        <v>10260320</v>
      </c>
      <c r="B116" t="s">
        <v>37</v>
      </c>
      <c r="C116" t="s">
        <v>924</v>
      </c>
      <c r="E116" t="s">
        <v>925</v>
      </c>
      <c r="F116" t="s">
        <v>926</v>
      </c>
      <c r="G116" t="s">
        <v>927</v>
      </c>
      <c r="H116" t="s">
        <v>42</v>
      </c>
      <c r="I116" t="s">
        <v>928</v>
      </c>
      <c r="J116" t="s">
        <v>929</v>
      </c>
      <c r="K116" t="s">
        <v>930</v>
      </c>
      <c r="L116" t="s">
        <v>91</v>
      </c>
      <c r="M116" t="s">
        <v>46</v>
      </c>
      <c r="N116" t="s">
        <v>47</v>
      </c>
      <c r="O116">
        <v>4</v>
      </c>
      <c r="P116">
        <v>1</v>
      </c>
      <c r="Q116">
        <v>0</v>
      </c>
      <c r="R116" t="s">
        <v>48</v>
      </c>
      <c r="S116" t="s">
        <v>49</v>
      </c>
      <c r="T116" s="3">
        <v>0</v>
      </c>
      <c r="U116" s="3">
        <v>0</v>
      </c>
      <c r="V116" s="3">
        <v>0</v>
      </c>
      <c r="W116">
        <v>2.06</v>
      </c>
      <c r="X116" t="s">
        <v>50</v>
      </c>
      <c r="Y116" s="3">
        <v>1.38</v>
      </c>
      <c r="Z116" t="s">
        <v>73</v>
      </c>
      <c r="AA116" t="s">
        <v>931</v>
      </c>
      <c r="AB116" t="s">
        <v>53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f t="shared" si="2"/>
        <v>1.38</v>
      </c>
      <c r="AK116" s="3">
        <f t="shared" si="3"/>
        <v>0</v>
      </c>
    </row>
    <row r="117" spans="1:37">
      <c r="A117">
        <v>10260322</v>
      </c>
      <c r="B117" t="s">
        <v>37</v>
      </c>
      <c r="C117" t="s">
        <v>932</v>
      </c>
      <c r="E117" t="s">
        <v>933</v>
      </c>
      <c r="F117" t="s">
        <v>934</v>
      </c>
      <c r="G117" t="s">
        <v>935</v>
      </c>
      <c r="H117" t="s">
        <v>42</v>
      </c>
      <c r="I117" t="s">
        <v>936</v>
      </c>
      <c r="J117" t="s">
        <v>937</v>
      </c>
      <c r="K117">
        <v>85356</v>
      </c>
      <c r="L117" t="s">
        <v>71</v>
      </c>
      <c r="M117" t="s">
        <v>46</v>
      </c>
      <c r="N117" t="s">
        <v>47</v>
      </c>
      <c r="O117">
        <v>4</v>
      </c>
      <c r="P117">
        <v>1</v>
      </c>
      <c r="Q117">
        <v>0</v>
      </c>
      <c r="R117" t="s">
        <v>48</v>
      </c>
      <c r="S117" t="s">
        <v>49</v>
      </c>
      <c r="T117" s="3">
        <v>0</v>
      </c>
      <c r="U117" s="3">
        <v>0</v>
      </c>
      <c r="V117" s="3">
        <v>0</v>
      </c>
      <c r="W117">
        <v>2.06</v>
      </c>
      <c r="X117" t="s">
        <v>72</v>
      </c>
      <c r="Y117" s="3">
        <v>1.38</v>
      </c>
      <c r="Z117" t="s">
        <v>73</v>
      </c>
      <c r="AA117" t="s">
        <v>327</v>
      </c>
      <c r="AB117" t="s">
        <v>53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f t="shared" si="2"/>
        <v>1.38</v>
      </c>
      <c r="AK117" s="3">
        <f t="shared" si="3"/>
        <v>0</v>
      </c>
    </row>
    <row r="118" spans="1:37">
      <c r="A118">
        <v>10254430</v>
      </c>
      <c r="B118" t="s">
        <v>111</v>
      </c>
      <c r="C118" t="s">
        <v>938</v>
      </c>
      <c r="D118" t="s">
        <v>939</v>
      </c>
      <c r="E118" t="s">
        <v>940</v>
      </c>
      <c r="F118" t="s">
        <v>941</v>
      </c>
      <c r="G118" t="s">
        <v>942</v>
      </c>
      <c r="H118" t="s">
        <v>117</v>
      </c>
      <c r="I118" t="s">
        <v>943</v>
      </c>
      <c r="J118" t="s">
        <v>944</v>
      </c>
      <c r="K118">
        <v>22500</v>
      </c>
      <c r="L118" t="s">
        <v>130</v>
      </c>
      <c r="M118" t="s">
        <v>46</v>
      </c>
      <c r="N118" t="s">
        <v>47</v>
      </c>
      <c r="O118">
        <v>20</v>
      </c>
      <c r="P118">
        <v>1</v>
      </c>
      <c r="Q118">
        <v>0</v>
      </c>
      <c r="R118" t="s">
        <v>48</v>
      </c>
      <c r="S118" t="s">
        <v>49</v>
      </c>
      <c r="T118" s="3">
        <v>0</v>
      </c>
      <c r="U118" s="3">
        <v>0</v>
      </c>
      <c r="V118" s="3">
        <v>0</v>
      </c>
      <c r="W118">
        <v>2</v>
      </c>
      <c r="X118" t="s">
        <v>50</v>
      </c>
      <c r="Y118" s="3">
        <v>0.72</v>
      </c>
      <c r="Z118" t="s">
        <v>83</v>
      </c>
      <c r="AA118" t="s">
        <v>945</v>
      </c>
      <c r="AB118" t="s">
        <v>53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f t="shared" si="2"/>
        <v>0.72</v>
      </c>
      <c r="AK118" s="3">
        <f t="shared" si="3"/>
        <v>0</v>
      </c>
    </row>
    <row r="119" spans="1:37">
      <c r="A119">
        <v>10258108</v>
      </c>
      <c r="B119" t="s">
        <v>37</v>
      </c>
      <c r="C119" t="s">
        <v>946</v>
      </c>
      <c r="E119" t="s">
        <v>947</v>
      </c>
      <c r="F119" t="s">
        <v>948</v>
      </c>
      <c r="G119" t="s">
        <v>949</v>
      </c>
      <c r="H119" t="s">
        <v>42</v>
      </c>
      <c r="I119" t="s">
        <v>950</v>
      </c>
      <c r="J119" t="s">
        <v>951</v>
      </c>
      <c r="K119">
        <v>81735</v>
      </c>
      <c r="L119" t="s">
        <v>71</v>
      </c>
      <c r="M119" t="s">
        <v>46</v>
      </c>
      <c r="N119" t="s">
        <v>47</v>
      </c>
      <c r="O119">
        <v>2</v>
      </c>
      <c r="P119">
        <v>1</v>
      </c>
      <c r="Q119">
        <v>0</v>
      </c>
      <c r="R119" t="s">
        <v>48</v>
      </c>
      <c r="S119" t="s">
        <v>49</v>
      </c>
      <c r="T119" s="3">
        <v>0</v>
      </c>
      <c r="U119" s="3">
        <v>0</v>
      </c>
      <c r="V119" s="3">
        <v>0</v>
      </c>
      <c r="W119">
        <v>0.98</v>
      </c>
      <c r="X119" t="s">
        <v>108</v>
      </c>
      <c r="Y119" s="3">
        <v>0.03</v>
      </c>
      <c r="Z119" t="s">
        <v>109</v>
      </c>
      <c r="AA119" t="s">
        <v>952</v>
      </c>
      <c r="AB119" t="s">
        <v>53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f t="shared" si="2"/>
        <v>0.03</v>
      </c>
      <c r="AK119" s="3">
        <f t="shared" si="3"/>
        <v>0</v>
      </c>
    </row>
    <row r="120" spans="1:37">
      <c r="A120">
        <v>10263368</v>
      </c>
      <c r="B120" t="s">
        <v>37</v>
      </c>
      <c r="C120" t="s">
        <v>953</v>
      </c>
      <c r="E120" t="s">
        <v>954</v>
      </c>
      <c r="F120" t="s">
        <v>955</v>
      </c>
      <c r="G120" t="s">
        <v>956</v>
      </c>
      <c r="H120" t="s">
        <v>42</v>
      </c>
      <c r="I120" t="s">
        <v>957</v>
      </c>
      <c r="J120" t="s">
        <v>958</v>
      </c>
      <c r="K120">
        <v>33700</v>
      </c>
      <c r="L120" t="s">
        <v>130</v>
      </c>
      <c r="M120" t="s">
        <v>46</v>
      </c>
      <c r="N120" t="s">
        <v>47</v>
      </c>
      <c r="O120">
        <v>9</v>
      </c>
      <c r="P120">
        <v>1</v>
      </c>
      <c r="Q120">
        <v>0</v>
      </c>
      <c r="R120" t="s">
        <v>48</v>
      </c>
      <c r="S120" t="s">
        <v>49</v>
      </c>
      <c r="T120" s="3">
        <v>0</v>
      </c>
      <c r="U120" s="3">
        <v>0</v>
      </c>
      <c r="V120" s="3">
        <v>0</v>
      </c>
      <c r="W120">
        <v>4.25</v>
      </c>
      <c r="X120" t="s">
        <v>50</v>
      </c>
      <c r="Y120" s="3">
        <v>0.72</v>
      </c>
      <c r="Z120" t="s">
        <v>83</v>
      </c>
      <c r="AA120" t="s">
        <v>959</v>
      </c>
      <c r="AB120" t="s">
        <v>53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f t="shared" si="2"/>
        <v>0.72</v>
      </c>
      <c r="AK120" s="3">
        <f t="shared" si="3"/>
        <v>0</v>
      </c>
    </row>
    <row r="121" spans="1:37">
      <c r="A121">
        <v>10258442</v>
      </c>
      <c r="B121" t="s">
        <v>111</v>
      </c>
      <c r="C121" t="s">
        <v>960</v>
      </c>
      <c r="E121" t="s">
        <v>961</v>
      </c>
      <c r="F121" t="s">
        <v>962</v>
      </c>
      <c r="G121" t="s">
        <v>963</v>
      </c>
      <c r="H121" t="s">
        <v>117</v>
      </c>
      <c r="I121" t="s">
        <v>964</v>
      </c>
      <c r="J121" t="s">
        <v>965</v>
      </c>
      <c r="K121">
        <v>33440</v>
      </c>
      <c r="L121" t="s">
        <v>130</v>
      </c>
      <c r="M121" t="s">
        <v>46</v>
      </c>
      <c r="N121" t="s">
        <v>47</v>
      </c>
      <c r="O121">
        <v>12</v>
      </c>
      <c r="P121">
        <v>1</v>
      </c>
      <c r="Q121">
        <v>0</v>
      </c>
      <c r="R121" t="s">
        <v>48</v>
      </c>
      <c r="S121" t="s">
        <v>49</v>
      </c>
      <c r="T121" s="3">
        <v>0</v>
      </c>
      <c r="U121" s="3">
        <v>0</v>
      </c>
      <c r="V121" s="3">
        <v>0</v>
      </c>
      <c r="W121">
        <v>6.25</v>
      </c>
      <c r="X121" t="s">
        <v>50</v>
      </c>
      <c r="Y121" s="3">
        <v>0.08</v>
      </c>
      <c r="Z121" t="s">
        <v>83</v>
      </c>
      <c r="AA121" t="s">
        <v>966</v>
      </c>
      <c r="AB121" t="s">
        <v>53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f t="shared" si="2"/>
        <v>0.08</v>
      </c>
      <c r="AK121" s="3">
        <f t="shared" si="3"/>
        <v>0</v>
      </c>
    </row>
    <row r="122" spans="1:37">
      <c r="A122">
        <v>10251985</v>
      </c>
      <c r="B122" t="s">
        <v>111</v>
      </c>
      <c r="C122" t="s">
        <v>967</v>
      </c>
      <c r="D122" t="s">
        <v>968</v>
      </c>
      <c r="E122" t="s">
        <v>969</v>
      </c>
      <c r="F122" t="s">
        <v>970</v>
      </c>
      <c r="G122" t="s">
        <v>971</v>
      </c>
      <c r="H122" t="s">
        <v>117</v>
      </c>
      <c r="I122" t="s">
        <v>972</v>
      </c>
      <c r="J122" t="s">
        <v>973</v>
      </c>
      <c r="K122">
        <v>29200</v>
      </c>
      <c r="L122" t="s">
        <v>130</v>
      </c>
      <c r="M122" t="s">
        <v>46</v>
      </c>
      <c r="N122" t="s">
        <v>47</v>
      </c>
      <c r="O122">
        <v>73</v>
      </c>
      <c r="P122">
        <v>4</v>
      </c>
      <c r="Q122">
        <v>0</v>
      </c>
      <c r="R122" t="s">
        <v>48</v>
      </c>
      <c r="S122" t="s">
        <v>49</v>
      </c>
      <c r="T122" s="3">
        <v>0</v>
      </c>
      <c r="U122" s="3">
        <v>0</v>
      </c>
      <c r="V122" s="3">
        <v>0</v>
      </c>
      <c r="W122">
        <v>30.6</v>
      </c>
      <c r="X122" t="s">
        <v>131</v>
      </c>
      <c r="Y122" s="3">
        <v>1.42</v>
      </c>
      <c r="Z122" t="s">
        <v>974</v>
      </c>
      <c r="AA122" t="s">
        <v>975</v>
      </c>
      <c r="AB122" t="s">
        <v>53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f t="shared" si="2"/>
        <v>1.42</v>
      </c>
      <c r="AK122" s="3">
        <f t="shared" si="3"/>
        <v>0</v>
      </c>
    </row>
    <row r="123" spans="1:37">
      <c r="A123">
        <v>10251996</v>
      </c>
      <c r="B123" t="s">
        <v>111</v>
      </c>
      <c r="C123" t="s">
        <v>976</v>
      </c>
      <c r="D123" t="s">
        <v>977</v>
      </c>
      <c r="E123" t="s">
        <v>978</v>
      </c>
      <c r="F123" t="s">
        <v>979</v>
      </c>
      <c r="G123" t="s">
        <v>980</v>
      </c>
      <c r="H123" t="s">
        <v>117</v>
      </c>
      <c r="I123" t="s">
        <v>981</v>
      </c>
      <c r="J123" t="s">
        <v>982</v>
      </c>
      <c r="K123">
        <v>91370</v>
      </c>
      <c r="L123" t="s">
        <v>130</v>
      </c>
      <c r="M123" t="s">
        <v>46</v>
      </c>
      <c r="N123" t="s">
        <v>47</v>
      </c>
      <c r="O123">
        <v>134</v>
      </c>
      <c r="P123">
        <v>2</v>
      </c>
      <c r="Q123">
        <v>0</v>
      </c>
      <c r="R123" t="s">
        <v>48</v>
      </c>
      <c r="S123" t="s">
        <v>49</v>
      </c>
      <c r="T123" s="3">
        <v>0</v>
      </c>
      <c r="U123" s="3">
        <v>0</v>
      </c>
      <c r="V123" s="3">
        <v>0</v>
      </c>
      <c r="W123">
        <v>40</v>
      </c>
      <c r="X123" t="s">
        <v>131</v>
      </c>
      <c r="Y123" s="3">
        <v>1.6</v>
      </c>
      <c r="Z123" t="s">
        <v>744</v>
      </c>
      <c r="AA123" t="s">
        <v>983</v>
      </c>
      <c r="AB123" t="s">
        <v>53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f t="shared" si="2"/>
        <v>1.6</v>
      </c>
      <c r="AK123" s="3">
        <f t="shared" si="3"/>
        <v>0</v>
      </c>
    </row>
    <row r="124" spans="1:37">
      <c r="A124">
        <v>10263944</v>
      </c>
      <c r="B124" t="s">
        <v>37</v>
      </c>
      <c r="C124" t="s">
        <v>984</v>
      </c>
      <c r="E124" t="s">
        <v>985</v>
      </c>
      <c r="F124" t="s">
        <v>986</v>
      </c>
      <c r="G124" t="s">
        <v>987</v>
      </c>
      <c r="H124" t="s">
        <v>42</v>
      </c>
      <c r="I124" t="s">
        <v>988</v>
      </c>
      <c r="J124" t="s">
        <v>989</v>
      </c>
      <c r="K124">
        <v>1316</v>
      </c>
      <c r="L124" t="s">
        <v>369</v>
      </c>
      <c r="M124" t="s">
        <v>46</v>
      </c>
      <c r="N124" t="s">
        <v>47</v>
      </c>
      <c r="O124">
        <v>4</v>
      </c>
      <c r="P124">
        <v>1</v>
      </c>
      <c r="Q124">
        <v>0</v>
      </c>
      <c r="R124" t="s">
        <v>48</v>
      </c>
      <c r="S124" t="s">
        <v>49</v>
      </c>
      <c r="T124" s="3">
        <v>0</v>
      </c>
      <c r="U124" s="3">
        <v>0</v>
      </c>
      <c r="V124" s="3">
        <v>0</v>
      </c>
      <c r="W124">
        <v>2.06</v>
      </c>
      <c r="X124" t="s">
        <v>50</v>
      </c>
      <c r="Y124" s="3">
        <v>0.05</v>
      </c>
      <c r="Z124" t="s">
        <v>73</v>
      </c>
      <c r="AA124" t="s">
        <v>990</v>
      </c>
      <c r="AB124" t="s">
        <v>53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f t="shared" si="2"/>
        <v>0.05</v>
      </c>
      <c r="AK124" s="3">
        <f t="shared" si="3"/>
        <v>0</v>
      </c>
    </row>
    <row r="125" spans="1:37">
      <c r="A125">
        <v>10263943</v>
      </c>
      <c r="B125" t="s">
        <v>37</v>
      </c>
      <c r="C125" t="s">
        <v>991</v>
      </c>
      <c r="E125" t="s">
        <v>992</v>
      </c>
      <c r="F125" t="s">
        <v>788</v>
      </c>
      <c r="G125" t="s">
        <v>993</v>
      </c>
      <c r="H125" t="s">
        <v>42</v>
      </c>
      <c r="I125" t="s">
        <v>994</v>
      </c>
      <c r="J125" t="s">
        <v>995</v>
      </c>
      <c r="K125">
        <v>61381</v>
      </c>
      <c r="L125" t="s">
        <v>71</v>
      </c>
      <c r="M125" t="s">
        <v>46</v>
      </c>
      <c r="N125" t="s">
        <v>47</v>
      </c>
      <c r="O125">
        <v>1</v>
      </c>
      <c r="P125">
        <v>1</v>
      </c>
      <c r="Q125">
        <v>0</v>
      </c>
      <c r="R125" t="s">
        <v>48</v>
      </c>
      <c r="S125" t="s">
        <v>49</v>
      </c>
      <c r="T125" s="3">
        <v>0</v>
      </c>
      <c r="U125" s="3">
        <v>0</v>
      </c>
      <c r="V125" s="3">
        <v>0</v>
      </c>
      <c r="W125">
        <v>0.59</v>
      </c>
      <c r="X125" t="s">
        <v>108</v>
      </c>
      <c r="Y125" s="3">
        <v>0.03</v>
      </c>
      <c r="Z125" t="s">
        <v>109</v>
      </c>
      <c r="AA125" t="s">
        <v>996</v>
      </c>
      <c r="AB125" t="s">
        <v>53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f t="shared" si="2"/>
        <v>0.03</v>
      </c>
      <c r="AK125" s="3">
        <f t="shared" si="3"/>
        <v>0</v>
      </c>
    </row>
    <row r="126" spans="1:37">
      <c r="A126">
        <v>10263664</v>
      </c>
      <c r="B126" t="s">
        <v>37</v>
      </c>
      <c r="C126" t="s">
        <v>997</v>
      </c>
      <c r="D126" t="s">
        <v>998</v>
      </c>
      <c r="E126" t="s">
        <v>999</v>
      </c>
      <c r="F126" t="s">
        <v>1000</v>
      </c>
      <c r="G126" t="s">
        <v>1001</v>
      </c>
      <c r="H126" t="s">
        <v>42</v>
      </c>
      <c r="I126" t="s">
        <v>1002</v>
      </c>
      <c r="J126" t="s">
        <v>1003</v>
      </c>
      <c r="K126">
        <v>17244</v>
      </c>
      <c r="L126" t="s">
        <v>91</v>
      </c>
      <c r="M126" t="s">
        <v>46</v>
      </c>
      <c r="N126" t="s">
        <v>47</v>
      </c>
      <c r="O126">
        <v>2</v>
      </c>
      <c r="P126">
        <v>1</v>
      </c>
      <c r="Q126">
        <v>0</v>
      </c>
      <c r="R126" t="s">
        <v>48</v>
      </c>
      <c r="S126" t="s">
        <v>49</v>
      </c>
      <c r="T126" s="3">
        <v>0</v>
      </c>
      <c r="U126" s="3">
        <v>0</v>
      </c>
      <c r="V126" s="3">
        <v>0</v>
      </c>
      <c r="W126">
        <v>0.88</v>
      </c>
      <c r="X126" t="s">
        <v>50</v>
      </c>
      <c r="Y126" s="3">
        <v>1.48</v>
      </c>
      <c r="Z126" t="s">
        <v>109</v>
      </c>
      <c r="AA126" t="s">
        <v>1004</v>
      </c>
      <c r="AB126" t="s">
        <v>53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f t="shared" si="2"/>
        <v>1.48</v>
      </c>
      <c r="AK126" s="3">
        <f t="shared" si="3"/>
        <v>0</v>
      </c>
    </row>
    <row r="127" spans="1:37">
      <c r="A127">
        <v>10263653</v>
      </c>
      <c r="B127" t="s">
        <v>37</v>
      </c>
      <c r="C127" t="s">
        <v>1005</v>
      </c>
      <c r="E127" t="s">
        <v>1006</v>
      </c>
      <c r="F127" t="s">
        <v>1007</v>
      </c>
      <c r="G127" t="s">
        <v>1008</v>
      </c>
      <c r="H127" t="s">
        <v>42</v>
      </c>
      <c r="I127" t="s">
        <v>1009</v>
      </c>
      <c r="J127" t="s">
        <v>1010</v>
      </c>
      <c r="K127">
        <v>81549</v>
      </c>
      <c r="L127" t="s">
        <v>71</v>
      </c>
      <c r="M127" t="s">
        <v>46</v>
      </c>
      <c r="N127" t="s">
        <v>47</v>
      </c>
      <c r="O127">
        <v>2</v>
      </c>
      <c r="P127">
        <v>1</v>
      </c>
      <c r="Q127">
        <v>0</v>
      </c>
      <c r="R127" t="s">
        <v>48</v>
      </c>
      <c r="S127" t="s">
        <v>49</v>
      </c>
      <c r="T127" s="3">
        <v>0</v>
      </c>
      <c r="U127" s="3">
        <v>0</v>
      </c>
      <c r="V127" s="3">
        <v>0</v>
      </c>
      <c r="W127">
        <v>1.08</v>
      </c>
      <c r="X127" t="s">
        <v>108</v>
      </c>
      <c r="Y127" s="3">
        <v>0.03</v>
      </c>
      <c r="Z127" t="s">
        <v>109</v>
      </c>
      <c r="AA127" t="s">
        <v>1011</v>
      </c>
      <c r="AB127" t="s">
        <v>53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f t="shared" si="2"/>
        <v>0.03</v>
      </c>
      <c r="AK127" s="3">
        <f t="shared" si="3"/>
        <v>0</v>
      </c>
    </row>
    <row r="128" spans="1:37">
      <c r="A128">
        <v>10263661</v>
      </c>
      <c r="B128" t="s">
        <v>37</v>
      </c>
      <c r="C128" t="s">
        <v>1012</v>
      </c>
      <c r="E128" t="s">
        <v>261</v>
      </c>
      <c r="F128" t="s">
        <v>1013</v>
      </c>
      <c r="G128" t="s">
        <v>1014</v>
      </c>
      <c r="H128" t="s">
        <v>42</v>
      </c>
      <c r="I128" t="s">
        <v>1015</v>
      </c>
      <c r="J128" t="s">
        <v>1016</v>
      </c>
      <c r="K128" t="s">
        <v>1017</v>
      </c>
      <c r="L128" t="s">
        <v>142</v>
      </c>
      <c r="M128" t="s">
        <v>46</v>
      </c>
      <c r="N128" t="s">
        <v>47</v>
      </c>
      <c r="O128">
        <v>2</v>
      </c>
      <c r="P128">
        <v>1</v>
      </c>
      <c r="Q128">
        <v>0</v>
      </c>
      <c r="R128" t="s">
        <v>48</v>
      </c>
      <c r="S128" t="s">
        <v>49</v>
      </c>
      <c r="T128" s="3">
        <v>0</v>
      </c>
      <c r="U128" s="3">
        <v>0</v>
      </c>
      <c r="V128" s="3">
        <v>0</v>
      </c>
      <c r="W128">
        <v>0.74</v>
      </c>
      <c r="X128" t="s">
        <v>50</v>
      </c>
      <c r="Y128" s="3">
        <v>0.09</v>
      </c>
      <c r="Z128" t="s">
        <v>109</v>
      </c>
      <c r="AA128" t="s">
        <v>1018</v>
      </c>
      <c r="AB128" t="s">
        <v>53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f t="shared" si="2"/>
        <v>0.09</v>
      </c>
      <c r="AK128" s="3">
        <f t="shared" si="3"/>
        <v>0</v>
      </c>
    </row>
    <row r="129" spans="1:37">
      <c r="A129">
        <v>10263665</v>
      </c>
      <c r="B129" t="s">
        <v>37</v>
      </c>
      <c r="C129" t="s">
        <v>1019</v>
      </c>
      <c r="E129" t="s">
        <v>1020</v>
      </c>
      <c r="F129" t="s">
        <v>1021</v>
      </c>
      <c r="G129" t="s">
        <v>1022</v>
      </c>
      <c r="H129" t="s">
        <v>42</v>
      </c>
      <c r="I129" t="s">
        <v>1023</v>
      </c>
      <c r="J129" t="s">
        <v>1024</v>
      </c>
      <c r="K129" t="s">
        <v>1025</v>
      </c>
      <c r="L129" t="s">
        <v>142</v>
      </c>
      <c r="M129" t="s">
        <v>46</v>
      </c>
      <c r="N129" t="s">
        <v>47</v>
      </c>
      <c r="O129">
        <v>2</v>
      </c>
      <c r="P129">
        <v>1</v>
      </c>
      <c r="Q129">
        <v>0</v>
      </c>
      <c r="R129" t="s">
        <v>48</v>
      </c>
      <c r="S129" t="s">
        <v>49</v>
      </c>
      <c r="T129" s="3">
        <v>0</v>
      </c>
      <c r="U129" s="3">
        <v>0</v>
      </c>
      <c r="V129" s="3">
        <v>0</v>
      </c>
      <c r="W129">
        <v>0.73</v>
      </c>
      <c r="X129" t="s">
        <v>50</v>
      </c>
      <c r="Y129" s="3">
        <v>0.09</v>
      </c>
      <c r="Z129" t="s">
        <v>109</v>
      </c>
      <c r="AA129" t="s">
        <v>1026</v>
      </c>
      <c r="AB129" t="s">
        <v>53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f t="shared" si="2"/>
        <v>0.09</v>
      </c>
      <c r="AK129" s="3">
        <f t="shared" si="3"/>
        <v>0</v>
      </c>
    </row>
    <row r="130" spans="1:37">
      <c r="A130">
        <v>10133046</v>
      </c>
      <c r="B130" t="s">
        <v>111</v>
      </c>
      <c r="C130" t="s">
        <v>1027</v>
      </c>
      <c r="D130" t="s">
        <v>1028</v>
      </c>
      <c r="E130" t="s">
        <v>1029</v>
      </c>
      <c r="F130" t="s">
        <v>1030</v>
      </c>
      <c r="G130" t="s">
        <v>1031</v>
      </c>
      <c r="H130" t="s">
        <v>117</v>
      </c>
      <c r="I130" t="s">
        <v>1032</v>
      </c>
      <c r="J130" t="s">
        <v>1033</v>
      </c>
      <c r="K130">
        <v>29300</v>
      </c>
      <c r="L130" t="s">
        <v>130</v>
      </c>
      <c r="M130" t="s">
        <v>46</v>
      </c>
      <c r="N130" t="s">
        <v>47</v>
      </c>
      <c r="O130">
        <v>131</v>
      </c>
      <c r="P130">
        <v>4</v>
      </c>
      <c r="Q130">
        <v>0</v>
      </c>
      <c r="R130" t="s">
        <v>48</v>
      </c>
      <c r="S130" t="s">
        <v>49</v>
      </c>
      <c r="T130" s="3">
        <v>0</v>
      </c>
      <c r="U130" s="3">
        <v>0</v>
      </c>
      <c r="V130" s="3">
        <v>0</v>
      </c>
      <c r="W130">
        <v>36</v>
      </c>
      <c r="X130" t="s">
        <v>131</v>
      </c>
      <c r="Y130" s="3">
        <v>3.33</v>
      </c>
      <c r="Z130" t="s">
        <v>1034</v>
      </c>
      <c r="AA130" t="s">
        <v>1035</v>
      </c>
      <c r="AB130" t="s">
        <v>53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f t="shared" ref="AJ130:AJ193" si="4">AI130+AH130+AG130+AF130+AE130+AD130+AC130+Y130+V130+U130+T130</f>
        <v>3.33</v>
      </c>
      <c r="AK130" s="3">
        <f t="shared" ref="AK130:AK193" si="5">AJ130-Y130</f>
        <v>0</v>
      </c>
    </row>
    <row r="131" spans="1:37">
      <c r="A131">
        <v>10195591</v>
      </c>
      <c r="B131" t="s">
        <v>111</v>
      </c>
      <c r="C131" t="s">
        <v>1036</v>
      </c>
      <c r="D131" t="s">
        <v>1037</v>
      </c>
      <c r="E131" t="s">
        <v>1038</v>
      </c>
      <c r="F131" t="s">
        <v>1039</v>
      </c>
      <c r="G131" t="s">
        <v>1040</v>
      </c>
      <c r="H131" t="s">
        <v>117</v>
      </c>
      <c r="I131" t="s">
        <v>1041</v>
      </c>
      <c r="J131" t="s">
        <v>1042</v>
      </c>
      <c r="K131" t="s">
        <v>1043</v>
      </c>
      <c r="L131" t="s">
        <v>142</v>
      </c>
      <c r="M131" t="s">
        <v>46</v>
      </c>
      <c r="N131" t="s">
        <v>47</v>
      </c>
      <c r="O131">
        <v>104</v>
      </c>
      <c r="P131">
        <v>3</v>
      </c>
      <c r="Q131">
        <v>0</v>
      </c>
      <c r="R131" t="s">
        <v>48</v>
      </c>
      <c r="S131" t="s">
        <v>49</v>
      </c>
      <c r="T131" s="3">
        <v>0</v>
      </c>
      <c r="U131" s="3">
        <v>0</v>
      </c>
      <c r="V131" s="3">
        <v>0</v>
      </c>
      <c r="W131">
        <v>43</v>
      </c>
      <c r="X131" t="s">
        <v>131</v>
      </c>
      <c r="Y131" s="3">
        <v>2.38</v>
      </c>
      <c r="Z131" t="s">
        <v>132</v>
      </c>
      <c r="AA131" t="s">
        <v>1044</v>
      </c>
      <c r="AB131" t="s">
        <v>53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f t="shared" si="4"/>
        <v>2.38</v>
      </c>
      <c r="AK131" s="3">
        <f t="shared" si="5"/>
        <v>0</v>
      </c>
    </row>
    <row r="132" spans="1:37">
      <c r="A132">
        <v>10254503</v>
      </c>
      <c r="B132" t="s">
        <v>111</v>
      </c>
      <c r="C132" t="s">
        <v>1045</v>
      </c>
      <c r="D132" t="s">
        <v>1046</v>
      </c>
      <c r="E132" t="s">
        <v>1047</v>
      </c>
      <c r="F132" t="s">
        <v>1046</v>
      </c>
      <c r="G132" t="s">
        <v>1048</v>
      </c>
      <c r="H132" t="s">
        <v>117</v>
      </c>
      <c r="I132" t="s">
        <v>1049</v>
      </c>
      <c r="J132" t="s">
        <v>1050</v>
      </c>
      <c r="K132">
        <v>38350</v>
      </c>
      <c r="L132" t="s">
        <v>71</v>
      </c>
      <c r="M132" t="s">
        <v>46</v>
      </c>
      <c r="N132" t="s">
        <v>47</v>
      </c>
      <c r="O132">
        <v>320</v>
      </c>
      <c r="P132">
        <v>9</v>
      </c>
      <c r="Q132">
        <v>0</v>
      </c>
      <c r="R132" t="s">
        <v>48</v>
      </c>
      <c r="S132" t="s">
        <v>49</v>
      </c>
      <c r="T132" s="3">
        <v>0</v>
      </c>
      <c r="U132" s="3">
        <v>0</v>
      </c>
      <c r="V132" s="3">
        <v>0</v>
      </c>
      <c r="W132">
        <v>108</v>
      </c>
      <c r="X132" t="s">
        <v>120</v>
      </c>
      <c r="Y132" s="3">
        <v>5.98</v>
      </c>
      <c r="Z132" t="s">
        <v>1051</v>
      </c>
      <c r="AA132" t="s">
        <v>1052</v>
      </c>
      <c r="AB132" t="s">
        <v>53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f t="shared" si="4"/>
        <v>5.98</v>
      </c>
      <c r="AK132" s="3">
        <f t="shared" si="5"/>
        <v>0</v>
      </c>
    </row>
    <row r="133" spans="1:37">
      <c r="A133">
        <v>10263369</v>
      </c>
      <c r="B133" t="s">
        <v>37</v>
      </c>
      <c r="C133" t="s">
        <v>1053</v>
      </c>
      <c r="E133" t="s">
        <v>1054</v>
      </c>
      <c r="F133" t="s">
        <v>1055</v>
      </c>
      <c r="G133" t="s">
        <v>1056</v>
      </c>
      <c r="H133" t="s">
        <v>42</v>
      </c>
      <c r="I133" t="s">
        <v>1057</v>
      </c>
      <c r="J133" t="s">
        <v>1058</v>
      </c>
      <c r="K133">
        <v>81379</v>
      </c>
      <c r="L133" t="s">
        <v>71</v>
      </c>
      <c r="M133" t="s">
        <v>46</v>
      </c>
      <c r="N133" t="s">
        <v>47</v>
      </c>
      <c r="O133">
        <v>1</v>
      </c>
      <c r="P133">
        <v>1</v>
      </c>
      <c r="Q133">
        <v>0</v>
      </c>
      <c r="R133" t="s">
        <v>48</v>
      </c>
      <c r="S133" t="s">
        <v>49</v>
      </c>
      <c r="T133" s="3">
        <v>0</v>
      </c>
      <c r="U133" s="3">
        <v>0</v>
      </c>
      <c r="V133" s="3">
        <v>0</v>
      </c>
      <c r="W133">
        <v>0.59</v>
      </c>
      <c r="X133" t="s">
        <v>108</v>
      </c>
      <c r="Y133" s="3">
        <v>1.38</v>
      </c>
      <c r="Z133" t="s">
        <v>109</v>
      </c>
      <c r="AA133" t="s">
        <v>1059</v>
      </c>
      <c r="AB133" t="s">
        <v>53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f t="shared" si="4"/>
        <v>1.38</v>
      </c>
      <c r="AK133" s="3">
        <f t="shared" si="5"/>
        <v>0</v>
      </c>
    </row>
    <row r="134" spans="1:37">
      <c r="A134">
        <v>10267529</v>
      </c>
      <c r="B134" t="s">
        <v>37</v>
      </c>
      <c r="C134" t="s">
        <v>1060</v>
      </c>
      <c r="E134" t="s">
        <v>1061</v>
      </c>
      <c r="F134" t="s">
        <v>1062</v>
      </c>
      <c r="G134" t="s">
        <v>1063</v>
      </c>
      <c r="H134" t="s">
        <v>42</v>
      </c>
      <c r="I134" t="s">
        <v>1064</v>
      </c>
      <c r="J134" t="s">
        <v>1065</v>
      </c>
      <c r="K134">
        <v>41100</v>
      </c>
      <c r="L134" t="s">
        <v>130</v>
      </c>
      <c r="M134" t="s">
        <v>46</v>
      </c>
      <c r="N134" t="s">
        <v>47</v>
      </c>
      <c r="O134">
        <v>1</v>
      </c>
      <c r="P134">
        <v>1</v>
      </c>
      <c r="Q134">
        <v>0</v>
      </c>
      <c r="R134" t="s">
        <v>48</v>
      </c>
      <c r="S134" t="s">
        <v>49</v>
      </c>
      <c r="T134" s="3">
        <v>0</v>
      </c>
      <c r="U134" s="3">
        <v>0</v>
      </c>
      <c r="V134" s="3">
        <v>0</v>
      </c>
      <c r="W134">
        <v>0.59</v>
      </c>
      <c r="X134" t="s">
        <v>50</v>
      </c>
      <c r="Y134" s="3">
        <v>0.72</v>
      </c>
      <c r="Z134" t="s">
        <v>109</v>
      </c>
      <c r="AA134" t="s">
        <v>1066</v>
      </c>
      <c r="AB134" t="s">
        <v>53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f t="shared" si="4"/>
        <v>0.72</v>
      </c>
      <c r="AK134" s="3">
        <f t="shared" si="5"/>
        <v>0</v>
      </c>
    </row>
    <row r="135" spans="1:37">
      <c r="A135">
        <v>10264758</v>
      </c>
      <c r="B135" t="s">
        <v>37</v>
      </c>
      <c r="C135" t="s">
        <v>1067</v>
      </c>
      <c r="E135" t="s">
        <v>500</v>
      </c>
      <c r="F135" t="s">
        <v>1068</v>
      </c>
      <c r="G135" t="s">
        <v>1069</v>
      </c>
      <c r="H135" t="s">
        <v>42</v>
      </c>
      <c r="I135" t="s">
        <v>1070</v>
      </c>
      <c r="J135" t="s">
        <v>1071</v>
      </c>
      <c r="K135">
        <v>39112</v>
      </c>
      <c r="L135" t="s">
        <v>71</v>
      </c>
      <c r="M135" t="s">
        <v>46</v>
      </c>
      <c r="N135" t="s">
        <v>47</v>
      </c>
      <c r="O135">
        <v>2</v>
      </c>
      <c r="P135">
        <v>1</v>
      </c>
      <c r="Q135">
        <v>0</v>
      </c>
      <c r="R135" t="s">
        <v>48</v>
      </c>
      <c r="S135" t="s">
        <v>49</v>
      </c>
      <c r="T135" s="3">
        <v>0</v>
      </c>
      <c r="U135" s="3">
        <v>0</v>
      </c>
      <c r="V135" s="3">
        <v>0</v>
      </c>
      <c r="W135">
        <v>0.69</v>
      </c>
      <c r="X135" t="s">
        <v>108</v>
      </c>
      <c r="Y135" s="3">
        <v>4.16</v>
      </c>
      <c r="Z135" t="s">
        <v>109</v>
      </c>
      <c r="AA135" t="s">
        <v>1072</v>
      </c>
      <c r="AB135" t="s">
        <v>53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f t="shared" si="4"/>
        <v>4.16</v>
      </c>
      <c r="AK135" s="3">
        <f t="shared" si="5"/>
        <v>0</v>
      </c>
    </row>
    <row r="136" spans="1:37">
      <c r="A136">
        <v>10266789</v>
      </c>
      <c r="B136" t="s">
        <v>37</v>
      </c>
      <c r="C136" t="s">
        <v>1073</v>
      </c>
      <c r="E136" t="s">
        <v>1074</v>
      </c>
      <c r="F136" t="s">
        <v>1075</v>
      </c>
      <c r="G136" t="s">
        <v>1076</v>
      </c>
      <c r="H136" t="s">
        <v>42</v>
      </c>
      <c r="I136" t="s">
        <v>1077</v>
      </c>
      <c r="J136" t="s">
        <v>1078</v>
      </c>
      <c r="K136">
        <v>8300</v>
      </c>
      <c r="L136" t="s">
        <v>403</v>
      </c>
      <c r="M136" t="s">
        <v>46</v>
      </c>
      <c r="N136" t="s">
        <v>47</v>
      </c>
      <c r="O136">
        <v>1</v>
      </c>
      <c r="P136">
        <v>1</v>
      </c>
      <c r="Q136">
        <v>0</v>
      </c>
      <c r="R136" t="s">
        <v>48</v>
      </c>
      <c r="S136" t="s">
        <v>49</v>
      </c>
      <c r="T136" s="3">
        <v>0</v>
      </c>
      <c r="U136" s="3">
        <v>0</v>
      </c>
      <c r="V136" s="3">
        <v>0</v>
      </c>
      <c r="W136">
        <v>2.1</v>
      </c>
      <c r="X136" t="s">
        <v>50</v>
      </c>
      <c r="Y136" s="3">
        <v>2.16</v>
      </c>
      <c r="Z136" t="s">
        <v>73</v>
      </c>
      <c r="AA136" t="s">
        <v>1079</v>
      </c>
      <c r="AB136" t="s">
        <v>53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f t="shared" si="4"/>
        <v>2.16</v>
      </c>
      <c r="AK136" s="3">
        <f t="shared" si="5"/>
        <v>0</v>
      </c>
    </row>
    <row r="137" spans="1:37">
      <c r="A137">
        <v>10265723</v>
      </c>
      <c r="B137" t="s">
        <v>37</v>
      </c>
      <c r="C137" t="s">
        <v>1080</v>
      </c>
      <c r="E137" t="s">
        <v>1081</v>
      </c>
      <c r="F137" t="s">
        <v>1082</v>
      </c>
      <c r="G137" t="s">
        <v>1083</v>
      </c>
      <c r="H137" t="s">
        <v>42</v>
      </c>
      <c r="I137" t="s">
        <v>1084</v>
      </c>
      <c r="J137" t="s">
        <v>1085</v>
      </c>
      <c r="K137">
        <v>74310</v>
      </c>
      <c r="L137" t="s">
        <v>130</v>
      </c>
      <c r="M137" t="s">
        <v>46</v>
      </c>
      <c r="N137" t="s">
        <v>47</v>
      </c>
      <c r="O137">
        <v>4</v>
      </c>
      <c r="P137">
        <v>1</v>
      </c>
      <c r="Q137">
        <v>0</v>
      </c>
      <c r="R137" t="s">
        <v>48</v>
      </c>
      <c r="S137" t="s">
        <v>49</v>
      </c>
      <c r="T137" s="3">
        <v>0</v>
      </c>
      <c r="U137" s="3">
        <v>0</v>
      </c>
      <c r="V137" s="3">
        <v>0</v>
      </c>
      <c r="W137">
        <v>4.4800000000000004</v>
      </c>
      <c r="X137" t="s">
        <v>50</v>
      </c>
      <c r="Y137" s="3">
        <v>0.72</v>
      </c>
      <c r="Z137" t="s">
        <v>83</v>
      </c>
      <c r="AA137" t="s">
        <v>1086</v>
      </c>
      <c r="AB137" t="s">
        <v>53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f t="shared" si="4"/>
        <v>0.72</v>
      </c>
      <c r="AK137" s="3">
        <f t="shared" si="5"/>
        <v>0</v>
      </c>
    </row>
    <row r="138" spans="1:37">
      <c r="A138">
        <v>10265724</v>
      </c>
      <c r="B138" t="s">
        <v>37</v>
      </c>
      <c r="C138" t="s">
        <v>1087</v>
      </c>
      <c r="E138" t="s">
        <v>1088</v>
      </c>
      <c r="F138" t="s">
        <v>708</v>
      </c>
      <c r="G138" t="s">
        <v>1089</v>
      </c>
      <c r="H138" t="s">
        <v>42</v>
      </c>
      <c r="I138" t="s">
        <v>1090</v>
      </c>
      <c r="J138" t="s">
        <v>1091</v>
      </c>
      <c r="K138">
        <v>14470</v>
      </c>
      <c r="L138" t="s">
        <v>130</v>
      </c>
      <c r="M138" t="s">
        <v>46</v>
      </c>
      <c r="N138" t="s">
        <v>47</v>
      </c>
      <c r="O138">
        <v>3</v>
      </c>
      <c r="P138">
        <v>1</v>
      </c>
      <c r="Q138">
        <v>0</v>
      </c>
      <c r="R138" t="s">
        <v>48</v>
      </c>
      <c r="S138" t="s">
        <v>49</v>
      </c>
      <c r="T138" s="3">
        <v>0</v>
      </c>
      <c r="U138" s="3">
        <v>0</v>
      </c>
      <c r="V138" s="3">
        <v>0</v>
      </c>
      <c r="W138">
        <v>0.93</v>
      </c>
      <c r="X138" t="s">
        <v>50</v>
      </c>
      <c r="Y138" s="3">
        <v>0.72</v>
      </c>
      <c r="Z138" t="s">
        <v>109</v>
      </c>
      <c r="AA138" t="s">
        <v>1092</v>
      </c>
      <c r="AB138" t="s">
        <v>53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f t="shared" si="4"/>
        <v>0.72</v>
      </c>
      <c r="AK138" s="3">
        <f t="shared" si="5"/>
        <v>0</v>
      </c>
    </row>
    <row r="139" spans="1:37">
      <c r="A139">
        <v>10266281</v>
      </c>
      <c r="B139" t="s">
        <v>37</v>
      </c>
      <c r="C139" t="s">
        <v>1093</v>
      </c>
      <c r="E139" t="s">
        <v>1094</v>
      </c>
      <c r="F139" t="s">
        <v>1095</v>
      </c>
      <c r="G139" t="s">
        <v>1096</v>
      </c>
      <c r="H139" t="s">
        <v>42</v>
      </c>
      <c r="I139" t="s">
        <v>1097</v>
      </c>
      <c r="J139" t="s">
        <v>1098</v>
      </c>
      <c r="K139">
        <v>80803</v>
      </c>
      <c r="L139" t="s">
        <v>71</v>
      </c>
      <c r="M139" t="s">
        <v>46</v>
      </c>
      <c r="N139" t="s">
        <v>47</v>
      </c>
      <c r="O139">
        <v>4</v>
      </c>
      <c r="P139">
        <v>1</v>
      </c>
      <c r="Q139">
        <v>0</v>
      </c>
      <c r="R139" t="s">
        <v>48</v>
      </c>
      <c r="S139" t="s">
        <v>49</v>
      </c>
      <c r="T139" s="3">
        <v>0</v>
      </c>
      <c r="U139" s="3">
        <v>0</v>
      </c>
      <c r="V139" s="3">
        <v>0</v>
      </c>
      <c r="W139">
        <v>1.48</v>
      </c>
      <c r="X139" t="s">
        <v>108</v>
      </c>
      <c r="Y139" s="3">
        <v>1.38</v>
      </c>
      <c r="Z139" t="s">
        <v>109</v>
      </c>
      <c r="AA139" t="s">
        <v>1099</v>
      </c>
      <c r="AB139" t="s">
        <v>53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f t="shared" si="4"/>
        <v>1.38</v>
      </c>
      <c r="AK139" s="3">
        <f t="shared" si="5"/>
        <v>0</v>
      </c>
    </row>
    <row r="140" spans="1:37">
      <c r="A140">
        <v>10266790</v>
      </c>
      <c r="B140" t="s">
        <v>37</v>
      </c>
      <c r="C140" t="s">
        <v>1100</v>
      </c>
      <c r="E140" t="s">
        <v>1101</v>
      </c>
      <c r="F140" t="s">
        <v>1102</v>
      </c>
      <c r="G140" t="s">
        <v>1103</v>
      </c>
      <c r="H140" t="s">
        <v>42</v>
      </c>
      <c r="I140" t="s">
        <v>1104</v>
      </c>
      <c r="J140" t="s">
        <v>1105</v>
      </c>
      <c r="K140">
        <v>4660</v>
      </c>
      <c r="L140" t="s">
        <v>403</v>
      </c>
      <c r="M140" t="s">
        <v>46</v>
      </c>
      <c r="N140" t="s">
        <v>47</v>
      </c>
      <c r="O140">
        <v>2</v>
      </c>
      <c r="P140">
        <v>1</v>
      </c>
      <c r="Q140">
        <v>0</v>
      </c>
      <c r="R140" t="s">
        <v>48</v>
      </c>
      <c r="S140" t="s">
        <v>49</v>
      </c>
      <c r="T140" s="3">
        <v>0</v>
      </c>
      <c r="U140" s="3">
        <v>0</v>
      </c>
      <c r="V140" s="3">
        <v>0</v>
      </c>
      <c r="W140">
        <v>1.08</v>
      </c>
      <c r="X140" t="s">
        <v>50</v>
      </c>
      <c r="Y140" s="3">
        <v>2.16</v>
      </c>
      <c r="Z140" t="s">
        <v>109</v>
      </c>
      <c r="AA140" t="s">
        <v>692</v>
      </c>
      <c r="AB140" t="s">
        <v>53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f t="shared" si="4"/>
        <v>2.16</v>
      </c>
      <c r="AK140" s="3">
        <f t="shared" si="5"/>
        <v>0</v>
      </c>
    </row>
    <row r="141" spans="1:37">
      <c r="A141">
        <v>10214211</v>
      </c>
      <c r="B141" t="s">
        <v>111</v>
      </c>
      <c r="C141" t="s">
        <v>1106</v>
      </c>
      <c r="D141" t="s">
        <v>1107</v>
      </c>
      <c r="E141" t="s">
        <v>1108</v>
      </c>
      <c r="F141" t="s">
        <v>1109</v>
      </c>
      <c r="G141" t="s">
        <v>1110</v>
      </c>
      <c r="H141" t="s">
        <v>117</v>
      </c>
      <c r="I141" t="s">
        <v>1111</v>
      </c>
      <c r="J141" t="s">
        <v>1112</v>
      </c>
      <c r="K141">
        <v>92100</v>
      </c>
      <c r="L141" t="s">
        <v>130</v>
      </c>
      <c r="M141" t="s">
        <v>46</v>
      </c>
      <c r="N141" t="s">
        <v>47</v>
      </c>
      <c r="O141">
        <v>54</v>
      </c>
      <c r="P141">
        <v>2</v>
      </c>
      <c r="Q141">
        <v>0</v>
      </c>
      <c r="R141" t="s">
        <v>48</v>
      </c>
      <c r="S141" t="s">
        <v>49</v>
      </c>
      <c r="T141" s="3">
        <v>0</v>
      </c>
      <c r="U141" s="3">
        <v>0</v>
      </c>
      <c r="V141" s="3">
        <v>0</v>
      </c>
      <c r="W141">
        <v>21.7</v>
      </c>
      <c r="X141" t="s">
        <v>131</v>
      </c>
      <c r="Y141" s="3">
        <v>1.6</v>
      </c>
      <c r="Z141" t="s">
        <v>1113</v>
      </c>
      <c r="AA141" t="s">
        <v>1114</v>
      </c>
      <c r="AB141" t="s">
        <v>53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f t="shared" si="4"/>
        <v>1.6</v>
      </c>
      <c r="AK141" s="3">
        <f t="shared" si="5"/>
        <v>0</v>
      </c>
    </row>
    <row r="142" spans="1:37">
      <c r="A142">
        <v>10267787</v>
      </c>
      <c r="B142" t="s">
        <v>37</v>
      </c>
      <c r="C142" t="s">
        <v>1115</v>
      </c>
      <c r="E142" t="s">
        <v>166</v>
      </c>
      <c r="F142" t="s">
        <v>166</v>
      </c>
      <c r="G142" t="s">
        <v>1116</v>
      </c>
      <c r="H142" t="s">
        <v>42</v>
      </c>
      <c r="I142" t="s">
        <v>1117</v>
      </c>
      <c r="J142" t="s">
        <v>1118</v>
      </c>
      <c r="K142">
        <v>10719</v>
      </c>
      <c r="L142" t="s">
        <v>71</v>
      </c>
      <c r="M142" t="s">
        <v>46</v>
      </c>
      <c r="N142" t="s">
        <v>47</v>
      </c>
      <c r="O142">
        <v>1</v>
      </c>
      <c r="P142">
        <v>1</v>
      </c>
      <c r="Q142">
        <v>0</v>
      </c>
      <c r="R142" t="s">
        <v>48</v>
      </c>
      <c r="S142" t="s">
        <v>49</v>
      </c>
      <c r="T142" s="3">
        <v>0</v>
      </c>
      <c r="U142" s="3">
        <v>0</v>
      </c>
      <c r="V142" s="3">
        <v>0</v>
      </c>
      <c r="W142">
        <v>0.59</v>
      </c>
      <c r="X142" t="s">
        <v>108</v>
      </c>
      <c r="Y142" s="3">
        <v>9.66</v>
      </c>
      <c r="Z142" t="s">
        <v>109</v>
      </c>
      <c r="AA142" t="s">
        <v>1119</v>
      </c>
      <c r="AB142" t="s">
        <v>53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f t="shared" si="4"/>
        <v>9.66</v>
      </c>
      <c r="AK142" s="3">
        <f t="shared" si="5"/>
        <v>0</v>
      </c>
    </row>
    <row r="143" spans="1:37">
      <c r="A143">
        <v>10268237</v>
      </c>
      <c r="B143" t="s">
        <v>37</v>
      </c>
      <c r="C143" t="s">
        <v>1120</v>
      </c>
      <c r="E143" t="s">
        <v>1121</v>
      </c>
      <c r="F143" t="s">
        <v>1122</v>
      </c>
      <c r="G143" t="s">
        <v>1123</v>
      </c>
      <c r="H143" t="s">
        <v>42</v>
      </c>
      <c r="I143" t="s">
        <v>1124</v>
      </c>
      <c r="J143" t="s">
        <v>1125</v>
      </c>
      <c r="K143">
        <v>83000</v>
      </c>
      <c r="L143" t="s">
        <v>130</v>
      </c>
      <c r="M143" t="s">
        <v>46</v>
      </c>
      <c r="N143" t="s">
        <v>47</v>
      </c>
      <c r="O143">
        <v>1</v>
      </c>
      <c r="P143">
        <v>1</v>
      </c>
      <c r="Q143">
        <v>0</v>
      </c>
      <c r="R143" t="s">
        <v>48</v>
      </c>
      <c r="S143" t="s">
        <v>49</v>
      </c>
      <c r="T143" s="3">
        <v>0</v>
      </c>
      <c r="U143" s="3">
        <v>0</v>
      </c>
      <c r="V143" s="3">
        <v>0</v>
      </c>
      <c r="W143">
        <v>2.5</v>
      </c>
      <c r="X143" t="s">
        <v>50</v>
      </c>
      <c r="Y143" s="3">
        <v>0.72</v>
      </c>
      <c r="Z143" t="s">
        <v>83</v>
      </c>
      <c r="AA143" t="s">
        <v>821</v>
      </c>
      <c r="AB143" t="s">
        <v>53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f t="shared" si="4"/>
        <v>0.72</v>
      </c>
      <c r="AK143" s="3">
        <f t="shared" si="5"/>
        <v>0</v>
      </c>
    </row>
    <row r="144" spans="1:37">
      <c r="A144">
        <v>10254410</v>
      </c>
      <c r="B144" t="s">
        <v>111</v>
      </c>
      <c r="C144" t="s">
        <v>1126</v>
      </c>
      <c r="D144" t="s">
        <v>1127</v>
      </c>
      <c r="E144" t="s">
        <v>1128</v>
      </c>
      <c r="F144" t="s">
        <v>1129</v>
      </c>
      <c r="G144" t="s">
        <v>1130</v>
      </c>
      <c r="H144" t="s">
        <v>117</v>
      </c>
      <c r="I144" t="s">
        <v>1131</v>
      </c>
      <c r="J144" t="s">
        <v>1132</v>
      </c>
      <c r="K144">
        <v>71636</v>
      </c>
      <c r="L144" t="s">
        <v>71</v>
      </c>
      <c r="M144" t="s">
        <v>46</v>
      </c>
      <c r="N144" t="s">
        <v>47</v>
      </c>
      <c r="O144">
        <v>69</v>
      </c>
      <c r="P144">
        <v>2</v>
      </c>
      <c r="Q144">
        <v>0</v>
      </c>
      <c r="R144" t="s">
        <v>48</v>
      </c>
      <c r="S144" t="s">
        <v>49</v>
      </c>
      <c r="T144" s="3">
        <v>0</v>
      </c>
      <c r="U144" s="3">
        <v>0</v>
      </c>
      <c r="V144" s="3">
        <v>0</v>
      </c>
      <c r="W144">
        <v>28.5</v>
      </c>
      <c r="X144" t="s">
        <v>120</v>
      </c>
      <c r="Y144" s="3">
        <v>0.31</v>
      </c>
      <c r="Z144" t="s">
        <v>744</v>
      </c>
      <c r="AA144" t="s">
        <v>1133</v>
      </c>
      <c r="AB144" t="s">
        <v>53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f t="shared" si="4"/>
        <v>0.31</v>
      </c>
      <c r="AK144" s="3">
        <f t="shared" si="5"/>
        <v>0</v>
      </c>
    </row>
    <row r="145" spans="1:37">
      <c r="A145">
        <v>10268891</v>
      </c>
      <c r="B145" t="s">
        <v>37</v>
      </c>
      <c r="C145" t="s">
        <v>1134</v>
      </c>
      <c r="E145" t="s">
        <v>1135</v>
      </c>
      <c r="F145" t="s">
        <v>934</v>
      </c>
      <c r="G145" t="s">
        <v>1136</v>
      </c>
      <c r="H145" t="s">
        <v>42</v>
      </c>
      <c r="I145" t="s">
        <v>1137</v>
      </c>
      <c r="J145" t="s">
        <v>1138</v>
      </c>
      <c r="K145">
        <v>51109</v>
      </c>
      <c r="L145" t="s">
        <v>71</v>
      </c>
      <c r="M145" t="s">
        <v>46</v>
      </c>
      <c r="N145" t="s">
        <v>47</v>
      </c>
      <c r="O145">
        <v>1</v>
      </c>
      <c r="P145">
        <v>1</v>
      </c>
      <c r="Q145">
        <v>0</v>
      </c>
      <c r="R145" t="s">
        <v>48</v>
      </c>
      <c r="S145" t="s">
        <v>49</v>
      </c>
      <c r="T145" s="3">
        <v>0</v>
      </c>
      <c r="U145" s="3">
        <v>0</v>
      </c>
      <c r="V145" s="3">
        <v>0</v>
      </c>
      <c r="W145">
        <v>0.49</v>
      </c>
      <c r="X145" t="s">
        <v>108</v>
      </c>
      <c r="Y145" s="3">
        <v>1.38</v>
      </c>
      <c r="Z145" t="s">
        <v>109</v>
      </c>
      <c r="AA145" t="s">
        <v>1139</v>
      </c>
      <c r="AB145" t="s">
        <v>53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f t="shared" si="4"/>
        <v>1.38</v>
      </c>
      <c r="AK145" s="3">
        <f t="shared" si="5"/>
        <v>0</v>
      </c>
    </row>
    <row r="146" spans="1:37">
      <c r="A146">
        <v>10268534</v>
      </c>
      <c r="B146" t="s">
        <v>37</v>
      </c>
      <c r="C146" t="s">
        <v>1140</v>
      </c>
      <c r="E146" t="s">
        <v>1141</v>
      </c>
      <c r="F146" t="s">
        <v>1142</v>
      </c>
      <c r="G146" t="s">
        <v>1143</v>
      </c>
      <c r="H146" t="s">
        <v>42</v>
      </c>
      <c r="I146" t="s">
        <v>1144</v>
      </c>
      <c r="J146" t="s">
        <v>1145</v>
      </c>
      <c r="K146">
        <v>7880</v>
      </c>
      <c r="L146" t="s">
        <v>505</v>
      </c>
      <c r="M146" t="s">
        <v>46</v>
      </c>
      <c r="N146" t="s">
        <v>47</v>
      </c>
      <c r="O146">
        <v>2</v>
      </c>
      <c r="P146">
        <v>1</v>
      </c>
      <c r="Q146">
        <v>0</v>
      </c>
      <c r="R146" t="s">
        <v>48</v>
      </c>
      <c r="S146" t="s">
        <v>49</v>
      </c>
      <c r="T146" s="3">
        <v>0</v>
      </c>
      <c r="U146" s="3">
        <v>0</v>
      </c>
      <c r="V146" s="3">
        <v>0</v>
      </c>
      <c r="W146">
        <v>0.98</v>
      </c>
      <c r="X146" t="s">
        <v>50</v>
      </c>
      <c r="Y146" s="3">
        <v>19.41</v>
      </c>
      <c r="Z146" t="s">
        <v>109</v>
      </c>
      <c r="AA146" t="s">
        <v>1146</v>
      </c>
      <c r="AB146" t="s">
        <v>53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f t="shared" si="4"/>
        <v>19.41</v>
      </c>
      <c r="AK146" s="3">
        <f t="shared" si="5"/>
        <v>0</v>
      </c>
    </row>
    <row r="147" spans="1:37">
      <c r="A147">
        <v>10264896</v>
      </c>
      <c r="B147" t="s">
        <v>111</v>
      </c>
      <c r="C147" t="s">
        <v>1147</v>
      </c>
      <c r="D147" t="s">
        <v>1148</v>
      </c>
      <c r="E147" t="s">
        <v>1149</v>
      </c>
      <c r="F147" t="s">
        <v>1150</v>
      </c>
      <c r="G147" t="s">
        <v>1151</v>
      </c>
      <c r="H147" t="s">
        <v>117</v>
      </c>
      <c r="I147" t="s">
        <v>1152</v>
      </c>
      <c r="J147" t="s">
        <v>1153</v>
      </c>
      <c r="K147" t="s">
        <v>1154</v>
      </c>
      <c r="L147" t="s">
        <v>130</v>
      </c>
      <c r="M147" t="s">
        <v>46</v>
      </c>
      <c r="N147" t="s">
        <v>47</v>
      </c>
      <c r="O147">
        <v>66</v>
      </c>
      <c r="P147">
        <v>2</v>
      </c>
      <c r="Q147">
        <v>66</v>
      </c>
      <c r="R147" t="s">
        <v>48</v>
      </c>
      <c r="S147" t="s">
        <v>49</v>
      </c>
      <c r="T147" s="3">
        <v>7</v>
      </c>
      <c r="U147" s="3">
        <v>0.23</v>
      </c>
      <c r="V147" s="3">
        <v>59.29</v>
      </c>
      <c r="W147">
        <v>35</v>
      </c>
      <c r="X147" t="s">
        <v>131</v>
      </c>
      <c r="Y147" s="3">
        <v>31.63</v>
      </c>
      <c r="Z147" t="s">
        <v>744</v>
      </c>
      <c r="AA147" t="s">
        <v>1155</v>
      </c>
      <c r="AB147" t="s">
        <v>53</v>
      </c>
      <c r="AC147" s="3">
        <v>3.74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f t="shared" si="4"/>
        <v>101.89</v>
      </c>
      <c r="AK147" s="3">
        <f t="shared" si="5"/>
        <v>70.260000000000005</v>
      </c>
    </row>
    <row r="148" spans="1:37">
      <c r="A148">
        <v>10269985</v>
      </c>
      <c r="B148" t="s">
        <v>37</v>
      </c>
      <c r="C148" t="s">
        <v>1156</v>
      </c>
      <c r="E148" t="s">
        <v>1157</v>
      </c>
      <c r="F148" t="s">
        <v>1158</v>
      </c>
      <c r="G148" t="s">
        <v>1159</v>
      </c>
      <c r="H148" t="s">
        <v>42</v>
      </c>
      <c r="I148" t="s">
        <v>1160</v>
      </c>
      <c r="J148" t="s">
        <v>1161</v>
      </c>
      <c r="K148">
        <v>90480</v>
      </c>
      <c r="L148" t="s">
        <v>71</v>
      </c>
      <c r="M148" t="s">
        <v>46</v>
      </c>
      <c r="N148" t="s">
        <v>47</v>
      </c>
      <c r="O148">
        <v>4</v>
      </c>
      <c r="P148">
        <v>1</v>
      </c>
      <c r="Q148">
        <v>4</v>
      </c>
      <c r="R148" t="s">
        <v>48</v>
      </c>
      <c r="S148" t="s">
        <v>49</v>
      </c>
      <c r="T148" s="3">
        <v>0.84</v>
      </c>
      <c r="U148" s="3">
        <v>0.23</v>
      </c>
      <c r="V148" s="3">
        <v>3.55</v>
      </c>
      <c r="W148">
        <v>2.06</v>
      </c>
      <c r="X148" t="s">
        <v>72</v>
      </c>
      <c r="Y148" s="3">
        <v>5.44</v>
      </c>
      <c r="Z148" t="s">
        <v>73</v>
      </c>
      <c r="AA148" t="s">
        <v>1162</v>
      </c>
      <c r="AB148" t="s">
        <v>53</v>
      </c>
      <c r="AC148" s="3">
        <v>1.29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f t="shared" si="4"/>
        <v>11.350000000000001</v>
      </c>
      <c r="AK148" s="3">
        <f t="shared" si="5"/>
        <v>5.910000000000001</v>
      </c>
    </row>
    <row r="149" spans="1:37">
      <c r="A149">
        <v>10269424</v>
      </c>
      <c r="B149" t="s">
        <v>37</v>
      </c>
      <c r="C149" t="s">
        <v>1163</v>
      </c>
      <c r="E149" t="s">
        <v>1164</v>
      </c>
      <c r="F149" t="s">
        <v>1165</v>
      </c>
      <c r="G149" t="s">
        <v>1166</v>
      </c>
      <c r="H149" t="s">
        <v>42</v>
      </c>
      <c r="I149" t="s">
        <v>1167</v>
      </c>
      <c r="J149" t="s">
        <v>1168</v>
      </c>
      <c r="K149">
        <v>68000</v>
      </c>
      <c r="L149" t="s">
        <v>130</v>
      </c>
      <c r="M149" t="s">
        <v>46</v>
      </c>
      <c r="N149" t="s">
        <v>47</v>
      </c>
      <c r="O149">
        <v>5</v>
      </c>
      <c r="P149">
        <v>1</v>
      </c>
      <c r="Q149">
        <v>5</v>
      </c>
      <c r="R149" t="s">
        <v>48</v>
      </c>
      <c r="S149" t="s">
        <v>49</v>
      </c>
      <c r="T149" s="3">
        <v>0.84</v>
      </c>
      <c r="U149" s="3">
        <v>0.23</v>
      </c>
      <c r="V149" s="3">
        <v>4.42</v>
      </c>
      <c r="W149">
        <v>0.68</v>
      </c>
      <c r="X149" t="s">
        <v>50</v>
      </c>
      <c r="Y149" s="3">
        <v>14.26</v>
      </c>
      <c r="Z149" t="s">
        <v>109</v>
      </c>
      <c r="AA149" t="s">
        <v>1169</v>
      </c>
      <c r="AB149" t="s">
        <v>53</v>
      </c>
      <c r="AC149" s="3">
        <v>1.06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f t="shared" si="4"/>
        <v>20.810000000000002</v>
      </c>
      <c r="AK149" s="3">
        <f t="shared" si="5"/>
        <v>6.5500000000000025</v>
      </c>
    </row>
    <row r="150" spans="1:37">
      <c r="A150">
        <v>10269701</v>
      </c>
      <c r="B150" t="s">
        <v>37</v>
      </c>
      <c r="C150" t="s">
        <v>1170</v>
      </c>
      <c r="E150" t="s">
        <v>240</v>
      </c>
      <c r="F150" t="s">
        <v>1171</v>
      </c>
      <c r="G150" t="s">
        <v>1172</v>
      </c>
      <c r="H150" t="s">
        <v>42</v>
      </c>
      <c r="I150" t="s">
        <v>1173</v>
      </c>
      <c r="J150" t="s">
        <v>1174</v>
      </c>
      <c r="K150" t="s">
        <v>1175</v>
      </c>
      <c r="L150" t="s">
        <v>142</v>
      </c>
      <c r="M150" t="s">
        <v>46</v>
      </c>
      <c r="N150" t="s">
        <v>47</v>
      </c>
      <c r="O150">
        <v>3</v>
      </c>
      <c r="P150">
        <v>1</v>
      </c>
      <c r="Q150">
        <v>3</v>
      </c>
      <c r="R150" t="s">
        <v>48</v>
      </c>
      <c r="S150" t="s">
        <v>49</v>
      </c>
      <c r="T150" s="3">
        <v>0.84</v>
      </c>
      <c r="U150" s="3">
        <v>0.23</v>
      </c>
      <c r="V150" s="3">
        <v>2.68</v>
      </c>
      <c r="W150">
        <v>0.83</v>
      </c>
      <c r="X150" t="s">
        <v>50</v>
      </c>
      <c r="Y150" s="3">
        <v>16.43</v>
      </c>
      <c r="Z150" t="s">
        <v>109</v>
      </c>
      <c r="AA150" t="s">
        <v>1176</v>
      </c>
      <c r="AB150" t="s">
        <v>53</v>
      </c>
      <c r="AC150" s="3">
        <v>1.06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f t="shared" si="4"/>
        <v>21.24</v>
      </c>
      <c r="AK150" s="3">
        <f t="shared" si="5"/>
        <v>4.8099999999999987</v>
      </c>
    </row>
    <row r="151" spans="1:37">
      <c r="A151">
        <v>10270234</v>
      </c>
      <c r="B151" t="s">
        <v>37</v>
      </c>
      <c r="C151" t="s">
        <v>1177</v>
      </c>
      <c r="E151" t="s">
        <v>1178</v>
      </c>
      <c r="F151" t="s">
        <v>1179</v>
      </c>
      <c r="G151" t="s">
        <v>1180</v>
      </c>
      <c r="H151" t="s">
        <v>42</v>
      </c>
      <c r="I151" t="s">
        <v>1181</v>
      </c>
      <c r="J151" t="s">
        <v>1182</v>
      </c>
      <c r="K151">
        <v>47004</v>
      </c>
      <c r="L151" t="s">
        <v>91</v>
      </c>
      <c r="M151" t="s">
        <v>46</v>
      </c>
      <c r="N151" t="s">
        <v>47</v>
      </c>
      <c r="O151">
        <v>3</v>
      </c>
      <c r="P151">
        <v>1</v>
      </c>
      <c r="Q151">
        <v>3</v>
      </c>
      <c r="R151" t="s">
        <v>48</v>
      </c>
      <c r="S151" t="s">
        <v>49</v>
      </c>
      <c r="T151" s="3">
        <v>0.84</v>
      </c>
      <c r="U151" s="3">
        <v>0.23</v>
      </c>
      <c r="V151" s="3">
        <v>2.68</v>
      </c>
      <c r="W151">
        <v>0.93</v>
      </c>
      <c r="X151" t="s">
        <v>50</v>
      </c>
      <c r="Y151" s="3">
        <v>16.43</v>
      </c>
      <c r="Z151" t="s">
        <v>73</v>
      </c>
      <c r="AA151" t="s">
        <v>1183</v>
      </c>
      <c r="AB151" t="s">
        <v>53</v>
      </c>
      <c r="AC151" s="3">
        <v>1.29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f t="shared" si="4"/>
        <v>21.47</v>
      </c>
      <c r="AK151" s="3">
        <f t="shared" si="5"/>
        <v>5.0399999999999991</v>
      </c>
    </row>
    <row r="152" spans="1:37">
      <c r="A152">
        <v>10269698</v>
      </c>
      <c r="B152" t="s">
        <v>37</v>
      </c>
      <c r="C152" t="s">
        <v>1184</v>
      </c>
      <c r="E152" t="s">
        <v>1185</v>
      </c>
      <c r="F152" t="s">
        <v>1186</v>
      </c>
      <c r="G152" t="s">
        <v>1187</v>
      </c>
      <c r="H152" t="s">
        <v>42</v>
      </c>
      <c r="I152" t="s">
        <v>1188</v>
      </c>
      <c r="J152" t="s">
        <v>1189</v>
      </c>
      <c r="K152">
        <v>57392</v>
      </c>
      <c r="L152" t="s">
        <v>71</v>
      </c>
      <c r="M152" t="s">
        <v>46</v>
      </c>
      <c r="N152" t="s">
        <v>47</v>
      </c>
      <c r="O152">
        <v>8</v>
      </c>
      <c r="P152">
        <v>1</v>
      </c>
      <c r="Q152">
        <v>8</v>
      </c>
      <c r="R152" t="s">
        <v>48</v>
      </c>
      <c r="S152" t="s">
        <v>49</v>
      </c>
      <c r="T152" s="3">
        <v>0.84</v>
      </c>
      <c r="U152" s="3">
        <v>0.23</v>
      </c>
      <c r="V152" s="3">
        <v>7.03</v>
      </c>
      <c r="W152">
        <v>3.34</v>
      </c>
      <c r="X152" t="s">
        <v>72</v>
      </c>
      <c r="Y152" s="3">
        <v>8</v>
      </c>
      <c r="Z152" t="s">
        <v>73</v>
      </c>
      <c r="AA152" t="s">
        <v>1190</v>
      </c>
      <c r="AB152" t="s">
        <v>53</v>
      </c>
      <c r="AC152" s="3">
        <v>1.29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f t="shared" si="4"/>
        <v>17.39</v>
      </c>
      <c r="AK152" s="3">
        <f t="shared" si="5"/>
        <v>9.39</v>
      </c>
    </row>
    <row r="153" spans="1:37">
      <c r="A153">
        <v>10270233</v>
      </c>
      <c r="B153" t="s">
        <v>37</v>
      </c>
      <c r="C153" t="s">
        <v>1191</v>
      </c>
      <c r="E153" t="s">
        <v>1192</v>
      </c>
      <c r="F153" t="s">
        <v>1193</v>
      </c>
      <c r="G153" t="s">
        <v>1194</v>
      </c>
      <c r="H153" t="s">
        <v>42</v>
      </c>
      <c r="I153" t="s">
        <v>1195</v>
      </c>
      <c r="J153" t="s">
        <v>1196</v>
      </c>
      <c r="K153">
        <v>82069</v>
      </c>
      <c r="L153" t="s">
        <v>71</v>
      </c>
      <c r="M153" t="s">
        <v>46</v>
      </c>
      <c r="N153" t="s">
        <v>47</v>
      </c>
      <c r="O153">
        <v>3</v>
      </c>
      <c r="P153">
        <v>1</v>
      </c>
      <c r="Q153">
        <v>3</v>
      </c>
      <c r="R153" t="s">
        <v>48</v>
      </c>
      <c r="S153" t="s">
        <v>49</v>
      </c>
      <c r="T153" s="3">
        <v>0.84</v>
      </c>
      <c r="U153" s="3">
        <v>0.23</v>
      </c>
      <c r="V153" s="3">
        <v>2.68</v>
      </c>
      <c r="W153">
        <v>1.57</v>
      </c>
      <c r="X153" t="s">
        <v>72</v>
      </c>
      <c r="Y153" s="3">
        <v>5.44</v>
      </c>
      <c r="Z153" t="s">
        <v>73</v>
      </c>
      <c r="AA153" t="s">
        <v>1197</v>
      </c>
      <c r="AB153" t="s">
        <v>53</v>
      </c>
      <c r="AC153" s="3">
        <v>1.29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f t="shared" si="4"/>
        <v>10.48</v>
      </c>
      <c r="AK153" s="3">
        <f t="shared" si="5"/>
        <v>5.04</v>
      </c>
    </row>
    <row r="154" spans="1:37">
      <c r="A154">
        <v>10271354</v>
      </c>
      <c r="B154" t="s">
        <v>37</v>
      </c>
      <c r="C154" t="s">
        <v>1198</v>
      </c>
      <c r="E154" t="s">
        <v>1199</v>
      </c>
      <c r="F154" t="s">
        <v>1200</v>
      </c>
      <c r="G154" t="s">
        <v>1201</v>
      </c>
      <c r="H154" t="s">
        <v>42</v>
      </c>
      <c r="I154" t="s">
        <v>1202</v>
      </c>
      <c r="J154" t="s">
        <v>1203</v>
      </c>
      <c r="K154">
        <v>14440</v>
      </c>
      <c r="L154" t="s">
        <v>130</v>
      </c>
      <c r="M154" t="s">
        <v>46</v>
      </c>
      <c r="N154" t="s">
        <v>47</v>
      </c>
      <c r="O154">
        <v>3</v>
      </c>
      <c r="P154">
        <v>1</v>
      </c>
      <c r="Q154">
        <v>3</v>
      </c>
      <c r="R154" t="s">
        <v>48</v>
      </c>
      <c r="S154" t="s">
        <v>49</v>
      </c>
      <c r="T154" s="3">
        <v>0.84</v>
      </c>
      <c r="U154" s="3">
        <v>0.23</v>
      </c>
      <c r="V154" s="3">
        <v>2.68</v>
      </c>
      <c r="W154">
        <v>1.5</v>
      </c>
      <c r="X154" t="s">
        <v>50</v>
      </c>
      <c r="Y154" s="3">
        <v>14.26</v>
      </c>
      <c r="Z154" t="s">
        <v>73</v>
      </c>
      <c r="AA154" t="s">
        <v>1204</v>
      </c>
      <c r="AB154" t="s">
        <v>53</v>
      </c>
      <c r="AC154" s="3">
        <v>1.29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f t="shared" si="4"/>
        <v>19.3</v>
      </c>
      <c r="AK154" s="3">
        <f t="shared" si="5"/>
        <v>5.0400000000000009</v>
      </c>
    </row>
    <row r="155" spans="1:37">
      <c r="A155">
        <v>10270792</v>
      </c>
      <c r="B155" t="s">
        <v>37</v>
      </c>
      <c r="C155" t="s">
        <v>1205</v>
      </c>
      <c r="E155" t="s">
        <v>1206</v>
      </c>
      <c r="F155" t="s">
        <v>1207</v>
      </c>
      <c r="G155" t="s">
        <v>1208</v>
      </c>
      <c r="H155" t="s">
        <v>42</v>
      </c>
      <c r="I155" t="s">
        <v>1209</v>
      </c>
      <c r="J155" t="s">
        <v>1210</v>
      </c>
      <c r="K155" t="s">
        <v>1211</v>
      </c>
      <c r="L155" t="s">
        <v>142</v>
      </c>
      <c r="M155" t="s">
        <v>46</v>
      </c>
      <c r="N155" t="s">
        <v>47</v>
      </c>
      <c r="O155">
        <v>8</v>
      </c>
      <c r="P155">
        <v>1</v>
      </c>
      <c r="Q155">
        <v>8</v>
      </c>
      <c r="R155" t="s">
        <v>48</v>
      </c>
      <c r="S155" t="s">
        <v>49</v>
      </c>
      <c r="T155" s="3">
        <v>0.84</v>
      </c>
      <c r="U155" s="3">
        <v>0.23</v>
      </c>
      <c r="V155" s="3">
        <v>7.03</v>
      </c>
      <c r="W155">
        <v>2.66</v>
      </c>
      <c r="X155" t="s">
        <v>50</v>
      </c>
      <c r="Y155" s="3">
        <v>16.43</v>
      </c>
      <c r="Z155" t="s">
        <v>83</v>
      </c>
      <c r="AA155" t="s">
        <v>1212</v>
      </c>
      <c r="AB155" t="s">
        <v>53</v>
      </c>
      <c r="AC155" s="3">
        <v>1.27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f t="shared" si="4"/>
        <v>25.8</v>
      </c>
      <c r="AK155" s="3">
        <f t="shared" si="5"/>
        <v>9.370000000000001</v>
      </c>
    </row>
    <row r="156" spans="1:37">
      <c r="A156">
        <v>10271084</v>
      </c>
      <c r="B156" t="s">
        <v>37</v>
      </c>
      <c r="C156" t="s">
        <v>1213</v>
      </c>
      <c r="E156" t="s">
        <v>1214</v>
      </c>
      <c r="F156" t="s">
        <v>1215</v>
      </c>
      <c r="G156" t="s">
        <v>1216</v>
      </c>
      <c r="H156" t="s">
        <v>42</v>
      </c>
      <c r="I156" t="s">
        <v>1217</v>
      </c>
      <c r="J156" t="s">
        <v>1218</v>
      </c>
      <c r="K156">
        <v>24211</v>
      </c>
      <c r="L156" t="s">
        <v>71</v>
      </c>
      <c r="M156" t="s">
        <v>46</v>
      </c>
      <c r="N156" t="s">
        <v>47</v>
      </c>
      <c r="O156">
        <v>6</v>
      </c>
      <c r="P156">
        <v>1</v>
      </c>
      <c r="Q156">
        <v>6</v>
      </c>
      <c r="R156" t="s">
        <v>48</v>
      </c>
      <c r="S156" t="s">
        <v>49</v>
      </c>
      <c r="T156" s="3">
        <v>0.84</v>
      </c>
      <c r="U156" s="3">
        <v>0.23</v>
      </c>
      <c r="V156" s="3">
        <v>5.29</v>
      </c>
      <c r="W156">
        <v>1.92</v>
      </c>
      <c r="X156" t="s">
        <v>72</v>
      </c>
      <c r="Y156" s="3">
        <v>5.44</v>
      </c>
      <c r="Z156" t="s">
        <v>83</v>
      </c>
      <c r="AA156" t="s">
        <v>1219</v>
      </c>
      <c r="AB156" t="s">
        <v>53</v>
      </c>
      <c r="AC156" s="3">
        <v>1.27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f t="shared" si="4"/>
        <v>13.07</v>
      </c>
      <c r="AK156" s="3">
        <f t="shared" si="5"/>
        <v>7.63</v>
      </c>
    </row>
    <row r="157" spans="1:37">
      <c r="A157">
        <v>10271351</v>
      </c>
      <c r="B157" t="s">
        <v>37</v>
      </c>
      <c r="C157" t="s">
        <v>1220</v>
      </c>
      <c r="E157" t="s">
        <v>1221</v>
      </c>
      <c r="F157" t="s">
        <v>1222</v>
      </c>
      <c r="G157" t="s">
        <v>1223</v>
      </c>
      <c r="H157" t="s">
        <v>42</v>
      </c>
      <c r="I157" t="s">
        <v>1224</v>
      </c>
      <c r="J157" t="s">
        <v>1225</v>
      </c>
      <c r="K157" t="s">
        <v>1226</v>
      </c>
      <c r="L157" t="s">
        <v>142</v>
      </c>
      <c r="M157" t="s">
        <v>46</v>
      </c>
      <c r="N157" t="s">
        <v>47</v>
      </c>
      <c r="O157">
        <v>6</v>
      </c>
      <c r="P157">
        <v>1</v>
      </c>
      <c r="Q157">
        <v>6</v>
      </c>
      <c r="R157" t="s">
        <v>48</v>
      </c>
      <c r="S157" t="s">
        <v>49</v>
      </c>
      <c r="T157" s="3">
        <v>0.84</v>
      </c>
      <c r="U157" s="3">
        <v>0.23</v>
      </c>
      <c r="V157" s="3">
        <v>5.29</v>
      </c>
      <c r="W157">
        <v>3</v>
      </c>
      <c r="X157" t="s">
        <v>50</v>
      </c>
      <c r="Y157" s="3">
        <v>16.43</v>
      </c>
      <c r="Z157" t="s">
        <v>83</v>
      </c>
      <c r="AA157" t="s">
        <v>1227</v>
      </c>
      <c r="AB157" t="s">
        <v>53</v>
      </c>
      <c r="AC157" s="3">
        <v>1.27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f t="shared" si="4"/>
        <v>24.06</v>
      </c>
      <c r="AK157" s="3">
        <f t="shared" si="5"/>
        <v>7.629999999999999</v>
      </c>
    </row>
    <row r="158" spans="1:37">
      <c r="A158">
        <v>10271622</v>
      </c>
      <c r="B158" t="s">
        <v>37</v>
      </c>
      <c r="C158" t="s">
        <v>1228</v>
      </c>
      <c r="E158" t="s">
        <v>1229</v>
      </c>
      <c r="F158" t="s">
        <v>1230</v>
      </c>
      <c r="G158" t="s">
        <v>1231</v>
      </c>
      <c r="H158" t="s">
        <v>42</v>
      </c>
      <c r="I158" t="s">
        <v>1232</v>
      </c>
      <c r="J158" t="s">
        <v>1233</v>
      </c>
      <c r="K158">
        <v>76135</v>
      </c>
      <c r="L158" t="s">
        <v>71</v>
      </c>
      <c r="M158" t="s">
        <v>46</v>
      </c>
      <c r="N158" t="s">
        <v>47</v>
      </c>
      <c r="O158">
        <v>3</v>
      </c>
      <c r="P158">
        <v>1</v>
      </c>
      <c r="Q158">
        <v>3</v>
      </c>
      <c r="R158" t="s">
        <v>48</v>
      </c>
      <c r="S158" t="s">
        <v>49</v>
      </c>
      <c r="T158" s="3">
        <v>0.84</v>
      </c>
      <c r="U158" s="3">
        <v>0.23</v>
      </c>
      <c r="V158" s="3">
        <v>2.68</v>
      </c>
      <c r="W158">
        <v>1.9</v>
      </c>
      <c r="X158" t="s">
        <v>72</v>
      </c>
      <c r="Y158" s="3">
        <v>5.44</v>
      </c>
      <c r="Z158" t="s">
        <v>73</v>
      </c>
      <c r="AA158" t="s">
        <v>1234</v>
      </c>
      <c r="AB158" t="s">
        <v>53</v>
      </c>
      <c r="AC158" s="3">
        <v>1.29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f t="shared" si="4"/>
        <v>10.48</v>
      </c>
      <c r="AK158" s="3">
        <f t="shared" si="5"/>
        <v>5.04</v>
      </c>
    </row>
    <row r="159" spans="1:37">
      <c r="A159">
        <v>10271619</v>
      </c>
      <c r="B159" t="s">
        <v>37</v>
      </c>
      <c r="C159" t="s">
        <v>1235</v>
      </c>
      <c r="E159" t="s">
        <v>1236</v>
      </c>
      <c r="F159" t="s">
        <v>1237</v>
      </c>
      <c r="G159" t="s">
        <v>1238</v>
      </c>
      <c r="H159" t="s">
        <v>42</v>
      </c>
      <c r="I159" t="s">
        <v>1239</v>
      </c>
      <c r="J159" t="s">
        <v>1240</v>
      </c>
      <c r="K159" t="s">
        <v>1241</v>
      </c>
      <c r="L159" t="s">
        <v>71</v>
      </c>
      <c r="M159" t="s">
        <v>46</v>
      </c>
      <c r="N159" t="s">
        <v>47</v>
      </c>
      <c r="O159">
        <v>4</v>
      </c>
      <c r="P159">
        <v>1</v>
      </c>
      <c r="Q159">
        <v>4</v>
      </c>
      <c r="R159" t="s">
        <v>48</v>
      </c>
      <c r="S159" t="s">
        <v>49</v>
      </c>
      <c r="T159" s="3">
        <v>0.84</v>
      </c>
      <c r="U159" s="3">
        <v>0.23</v>
      </c>
      <c r="V159" s="3">
        <v>3.55</v>
      </c>
      <c r="W159">
        <v>1.28</v>
      </c>
      <c r="X159" t="s">
        <v>72</v>
      </c>
      <c r="Y159" s="3">
        <v>5.44</v>
      </c>
      <c r="Z159" t="s">
        <v>73</v>
      </c>
      <c r="AA159" t="s">
        <v>1242</v>
      </c>
      <c r="AB159" t="s">
        <v>53</v>
      </c>
      <c r="AC159" s="3">
        <v>1.29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f t="shared" si="4"/>
        <v>11.350000000000001</v>
      </c>
      <c r="AK159" s="3">
        <f t="shared" si="5"/>
        <v>5.910000000000001</v>
      </c>
    </row>
    <row r="160" spans="1:37">
      <c r="A160">
        <v>10271623</v>
      </c>
      <c r="B160" t="s">
        <v>37</v>
      </c>
      <c r="C160" t="s">
        <v>1243</v>
      </c>
      <c r="E160" t="s">
        <v>1244</v>
      </c>
      <c r="F160" t="s">
        <v>1245</v>
      </c>
      <c r="G160" t="s">
        <v>1246</v>
      </c>
      <c r="H160" t="s">
        <v>42</v>
      </c>
      <c r="I160" t="s">
        <v>1247</v>
      </c>
      <c r="J160" t="s">
        <v>1248</v>
      </c>
      <c r="K160" t="s">
        <v>1249</v>
      </c>
      <c r="L160" t="s">
        <v>142</v>
      </c>
      <c r="M160" t="s">
        <v>46</v>
      </c>
      <c r="N160" t="s">
        <v>47</v>
      </c>
      <c r="O160">
        <v>3</v>
      </c>
      <c r="P160">
        <v>1</v>
      </c>
      <c r="Q160">
        <v>3</v>
      </c>
      <c r="R160" t="s">
        <v>48</v>
      </c>
      <c r="S160" t="s">
        <v>49</v>
      </c>
      <c r="T160" s="3">
        <v>0.84</v>
      </c>
      <c r="U160" s="3">
        <v>0.23</v>
      </c>
      <c r="V160" s="3">
        <v>2.68</v>
      </c>
      <c r="W160">
        <v>1.57</v>
      </c>
      <c r="X160" t="s">
        <v>50</v>
      </c>
      <c r="Y160" s="3">
        <v>16.43</v>
      </c>
      <c r="Z160" t="s">
        <v>73</v>
      </c>
      <c r="AA160" t="s">
        <v>1250</v>
      </c>
      <c r="AB160" t="s">
        <v>53</v>
      </c>
      <c r="AC160" s="3">
        <v>1.29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f t="shared" si="4"/>
        <v>21.47</v>
      </c>
      <c r="AK160" s="3">
        <f t="shared" si="5"/>
        <v>5.0399999999999991</v>
      </c>
    </row>
    <row r="161" spans="1:37">
      <c r="A161">
        <v>10271360</v>
      </c>
      <c r="B161" t="s">
        <v>37</v>
      </c>
      <c r="C161" t="s">
        <v>1251</v>
      </c>
      <c r="E161" t="s">
        <v>500</v>
      </c>
      <c r="F161" t="s">
        <v>1252</v>
      </c>
      <c r="G161" t="s">
        <v>1253</v>
      </c>
      <c r="H161" t="s">
        <v>42</v>
      </c>
      <c r="I161" t="s">
        <v>1254</v>
      </c>
      <c r="J161" t="s">
        <v>1255</v>
      </c>
      <c r="K161">
        <v>94538</v>
      </c>
      <c r="L161" t="s">
        <v>71</v>
      </c>
      <c r="M161" t="s">
        <v>46</v>
      </c>
      <c r="N161" t="s">
        <v>47</v>
      </c>
      <c r="O161">
        <v>5</v>
      </c>
      <c r="P161">
        <v>1</v>
      </c>
      <c r="Q161">
        <v>5</v>
      </c>
      <c r="R161" t="s">
        <v>48</v>
      </c>
      <c r="S161" t="s">
        <v>49</v>
      </c>
      <c r="T161" s="3">
        <v>0.84</v>
      </c>
      <c r="U161" s="3">
        <v>0.23</v>
      </c>
      <c r="V161" s="3">
        <v>4.42</v>
      </c>
      <c r="W161">
        <v>2.5299999999999998</v>
      </c>
      <c r="X161" t="s">
        <v>72</v>
      </c>
      <c r="Y161" s="3">
        <v>5.44</v>
      </c>
      <c r="Z161" t="s">
        <v>73</v>
      </c>
      <c r="AA161" t="s">
        <v>1256</v>
      </c>
      <c r="AB161" t="s">
        <v>53</v>
      </c>
      <c r="AC161" s="3">
        <v>1.29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f t="shared" si="4"/>
        <v>12.22</v>
      </c>
      <c r="AK161" s="3">
        <f t="shared" si="5"/>
        <v>6.78</v>
      </c>
    </row>
    <row r="162" spans="1:37">
      <c r="A162">
        <v>10271859</v>
      </c>
      <c r="B162" t="s">
        <v>37</v>
      </c>
      <c r="C162" t="s">
        <v>1257</v>
      </c>
      <c r="E162" t="s">
        <v>1258</v>
      </c>
      <c r="F162" t="s">
        <v>1259</v>
      </c>
      <c r="G162" t="s">
        <v>1260</v>
      </c>
      <c r="H162" t="s">
        <v>42</v>
      </c>
      <c r="I162" t="s">
        <v>1261</v>
      </c>
      <c r="J162" t="s">
        <v>1262</v>
      </c>
      <c r="K162" t="s">
        <v>1263</v>
      </c>
      <c r="L162" t="s">
        <v>142</v>
      </c>
      <c r="M162" t="s">
        <v>46</v>
      </c>
      <c r="N162" t="s">
        <v>47</v>
      </c>
      <c r="O162">
        <v>3</v>
      </c>
      <c r="P162">
        <v>1</v>
      </c>
      <c r="Q162">
        <v>3</v>
      </c>
      <c r="R162" t="s">
        <v>48</v>
      </c>
      <c r="S162" t="s">
        <v>49</v>
      </c>
      <c r="T162" s="3">
        <v>0.84</v>
      </c>
      <c r="U162" s="3">
        <v>0.23</v>
      </c>
      <c r="V162" s="3">
        <v>2.68</v>
      </c>
      <c r="W162">
        <v>1.57</v>
      </c>
      <c r="X162" t="s">
        <v>50</v>
      </c>
      <c r="Y162" s="3">
        <v>16.43</v>
      </c>
      <c r="Z162" t="s">
        <v>73</v>
      </c>
      <c r="AA162" t="s">
        <v>1264</v>
      </c>
      <c r="AB162" t="s">
        <v>53</v>
      </c>
      <c r="AC162" s="3">
        <v>1.29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f t="shared" si="4"/>
        <v>21.47</v>
      </c>
      <c r="AK162" s="3">
        <f t="shared" si="5"/>
        <v>5.0399999999999991</v>
      </c>
    </row>
    <row r="163" spans="1:37">
      <c r="A163">
        <v>10273479</v>
      </c>
      <c r="B163" t="s">
        <v>37</v>
      </c>
      <c r="C163" t="s">
        <v>1265</v>
      </c>
      <c r="E163" t="s">
        <v>1266</v>
      </c>
      <c r="F163" t="s">
        <v>1267</v>
      </c>
      <c r="G163" t="s">
        <v>1268</v>
      </c>
      <c r="H163" t="s">
        <v>42</v>
      </c>
      <c r="I163" t="s">
        <v>1269</v>
      </c>
      <c r="J163" t="s">
        <v>1270</v>
      </c>
      <c r="K163" t="s">
        <v>1271</v>
      </c>
      <c r="L163" t="s">
        <v>142</v>
      </c>
      <c r="M163" t="s">
        <v>46</v>
      </c>
      <c r="N163" t="s">
        <v>47</v>
      </c>
      <c r="O163">
        <v>1</v>
      </c>
      <c r="P163">
        <v>1</v>
      </c>
      <c r="Q163">
        <v>1</v>
      </c>
      <c r="R163" t="s">
        <v>48</v>
      </c>
      <c r="S163" t="s">
        <v>49</v>
      </c>
      <c r="T163" s="3">
        <v>0.84</v>
      </c>
      <c r="U163" s="3">
        <v>0.23</v>
      </c>
      <c r="V163" s="3">
        <v>0.94</v>
      </c>
      <c r="W163">
        <v>2.5</v>
      </c>
      <c r="X163" t="s">
        <v>50</v>
      </c>
      <c r="Y163" s="3">
        <v>16.43</v>
      </c>
      <c r="Z163" t="s">
        <v>83</v>
      </c>
      <c r="AA163" t="s">
        <v>1272</v>
      </c>
      <c r="AB163" t="s">
        <v>53</v>
      </c>
      <c r="AC163" s="3">
        <v>1.27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f t="shared" si="4"/>
        <v>19.71</v>
      </c>
      <c r="AK163" s="3">
        <f t="shared" si="5"/>
        <v>3.2800000000000011</v>
      </c>
    </row>
    <row r="164" spans="1:37">
      <c r="A164">
        <v>10269427</v>
      </c>
      <c r="B164" t="s">
        <v>37</v>
      </c>
      <c r="C164" t="s">
        <v>1273</v>
      </c>
      <c r="E164" t="s">
        <v>1274</v>
      </c>
      <c r="F164" t="s">
        <v>1275</v>
      </c>
      <c r="G164" t="s">
        <v>1276</v>
      </c>
      <c r="H164" t="s">
        <v>42</v>
      </c>
      <c r="I164" t="s">
        <v>1277</v>
      </c>
      <c r="J164" t="s">
        <v>1278</v>
      </c>
      <c r="K164">
        <v>77815</v>
      </c>
      <c r="L164" t="s">
        <v>71</v>
      </c>
      <c r="M164" t="s">
        <v>46</v>
      </c>
      <c r="N164" t="s">
        <v>47</v>
      </c>
      <c r="O164">
        <v>1</v>
      </c>
      <c r="P164">
        <v>1</v>
      </c>
      <c r="Q164">
        <v>1</v>
      </c>
      <c r="R164" t="s">
        <v>48</v>
      </c>
      <c r="S164" t="s">
        <v>49</v>
      </c>
      <c r="T164" s="3">
        <v>0.84</v>
      </c>
      <c r="U164" s="3">
        <v>0.23</v>
      </c>
      <c r="V164" s="3">
        <v>0.94</v>
      </c>
      <c r="W164">
        <v>1.5</v>
      </c>
      <c r="X164" t="s">
        <v>72</v>
      </c>
      <c r="Y164" s="3">
        <v>15.1</v>
      </c>
      <c r="Z164" t="s">
        <v>73</v>
      </c>
      <c r="AA164" t="s">
        <v>259</v>
      </c>
      <c r="AB164" t="s">
        <v>53</v>
      </c>
      <c r="AC164" s="3">
        <v>1.29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f t="shared" si="4"/>
        <v>18.400000000000002</v>
      </c>
      <c r="AK164" s="3">
        <f t="shared" si="5"/>
        <v>3.3000000000000025</v>
      </c>
    </row>
    <row r="165" spans="1:37">
      <c r="A165">
        <v>10271358</v>
      </c>
      <c r="B165" t="s">
        <v>37</v>
      </c>
      <c r="C165" t="s">
        <v>1279</v>
      </c>
      <c r="E165" t="s">
        <v>1280</v>
      </c>
      <c r="F165" t="s">
        <v>1281</v>
      </c>
      <c r="G165" t="s">
        <v>1282</v>
      </c>
      <c r="H165" t="s">
        <v>42</v>
      </c>
      <c r="I165" t="s">
        <v>1283</v>
      </c>
      <c r="J165" t="s">
        <v>1284</v>
      </c>
      <c r="K165">
        <v>66903</v>
      </c>
      <c r="L165" t="s">
        <v>71</v>
      </c>
      <c r="M165" t="s">
        <v>46</v>
      </c>
      <c r="N165" t="s">
        <v>47</v>
      </c>
      <c r="O165">
        <v>1</v>
      </c>
      <c r="P165">
        <v>1</v>
      </c>
      <c r="Q165">
        <v>1</v>
      </c>
      <c r="R165" t="s">
        <v>48</v>
      </c>
      <c r="S165" t="s">
        <v>49</v>
      </c>
      <c r="T165" s="3">
        <v>0.84</v>
      </c>
      <c r="U165" s="3">
        <v>0.23</v>
      </c>
      <c r="V165" s="3">
        <v>0.94</v>
      </c>
      <c r="W165">
        <v>1.5</v>
      </c>
      <c r="X165" t="s">
        <v>72</v>
      </c>
      <c r="Y165" s="3">
        <v>5.44</v>
      </c>
      <c r="Z165" t="s">
        <v>73</v>
      </c>
      <c r="AA165" t="s">
        <v>259</v>
      </c>
      <c r="AB165" t="s">
        <v>53</v>
      </c>
      <c r="AC165" s="3">
        <v>1.29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f t="shared" si="4"/>
        <v>8.74</v>
      </c>
      <c r="AK165" s="3">
        <f t="shared" si="5"/>
        <v>3.3</v>
      </c>
    </row>
    <row r="166" spans="1:37">
      <c r="A166">
        <v>10274936</v>
      </c>
      <c r="B166" t="s">
        <v>37</v>
      </c>
      <c r="C166" t="s">
        <v>1285</v>
      </c>
      <c r="E166" t="s">
        <v>1286</v>
      </c>
      <c r="F166" t="s">
        <v>1287</v>
      </c>
      <c r="G166" t="s">
        <v>1288</v>
      </c>
      <c r="H166" t="s">
        <v>42</v>
      </c>
      <c r="I166" t="s">
        <v>1289</v>
      </c>
      <c r="J166" t="s">
        <v>1290</v>
      </c>
      <c r="K166">
        <v>7595</v>
      </c>
      <c r="L166" t="s">
        <v>369</v>
      </c>
      <c r="M166" t="s">
        <v>46</v>
      </c>
      <c r="N166" t="s">
        <v>47</v>
      </c>
      <c r="O166">
        <v>1</v>
      </c>
      <c r="P166">
        <v>1</v>
      </c>
      <c r="Q166">
        <v>1</v>
      </c>
      <c r="R166" t="s">
        <v>48</v>
      </c>
      <c r="S166" t="s">
        <v>49</v>
      </c>
      <c r="T166" s="3">
        <v>0.84</v>
      </c>
      <c r="U166" s="3">
        <v>0.23</v>
      </c>
      <c r="V166" s="3">
        <v>0.94</v>
      </c>
      <c r="W166">
        <v>1.5</v>
      </c>
      <c r="X166" t="s">
        <v>50</v>
      </c>
      <c r="Y166" s="3">
        <v>9.19</v>
      </c>
      <c r="Z166" t="s">
        <v>73</v>
      </c>
      <c r="AA166" t="s">
        <v>259</v>
      </c>
      <c r="AB166" t="s">
        <v>53</v>
      </c>
      <c r="AC166" s="3">
        <v>1.29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f t="shared" si="4"/>
        <v>12.49</v>
      </c>
      <c r="AK166" s="3">
        <f t="shared" si="5"/>
        <v>3.3000000000000007</v>
      </c>
    </row>
    <row r="167" spans="1:37">
      <c r="A167">
        <v>10269156</v>
      </c>
      <c r="B167" t="s">
        <v>37</v>
      </c>
      <c r="C167" t="s">
        <v>1291</v>
      </c>
      <c r="E167" t="s">
        <v>1292</v>
      </c>
      <c r="F167" t="s">
        <v>1293</v>
      </c>
      <c r="G167" t="s">
        <v>1294</v>
      </c>
      <c r="H167" t="s">
        <v>42</v>
      </c>
      <c r="I167" t="s">
        <v>1295</v>
      </c>
      <c r="J167" t="s">
        <v>1296</v>
      </c>
      <c r="K167">
        <v>79761</v>
      </c>
      <c r="L167" t="s">
        <v>71</v>
      </c>
      <c r="M167" t="s">
        <v>46</v>
      </c>
      <c r="N167" t="s">
        <v>47</v>
      </c>
      <c r="O167">
        <v>1</v>
      </c>
      <c r="P167">
        <v>1</v>
      </c>
      <c r="Q167">
        <v>1</v>
      </c>
      <c r="R167" t="s">
        <v>48</v>
      </c>
      <c r="S167" t="s">
        <v>49</v>
      </c>
      <c r="T167" s="3">
        <v>0.84</v>
      </c>
      <c r="U167" s="3">
        <v>0.23</v>
      </c>
      <c r="V167" s="3">
        <v>0.94</v>
      </c>
      <c r="W167">
        <v>1.5</v>
      </c>
      <c r="X167" t="s">
        <v>72</v>
      </c>
      <c r="Y167" s="3">
        <v>5.44</v>
      </c>
      <c r="Z167" t="s">
        <v>73</v>
      </c>
      <c r="AA167" t="s">
        <v>1297</v>
      </c>
      <c r="AB167" t="s">
        <v>53</v>
      </c>
      <c r="AC167" s="3">
        <v>1.29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f t="shared" si="4"/>
        <v>8.74</v>
      </c>
      <c r="AK167" s="3">
        <f t="shared" si="5"/>
        <v>3.3</v>
      </c>
    </row>
    <row r="168" spans="1:37">
      <c r="A168">
        <v>10272268</v>
      </c>
      <c r="B168" t="s">
        <v>37</v>
      </c>
      <c r="C168" t="s">
        <v>1298</v>
      </c>
      <c r="E168" t="s">
        <v>1299</v>
      </c>
      <c r="F168" t="s">
        <v>1300</v>
      </c>
      <c r="G168" t="s">
        <v>1301</v>
      </c>
      <c r="H168" t="s">
        <v>42</v>
      </c>
      <c r="I168" t="s">
        <v>1302</v>
      </c>
      <c r="J168" t="s">
        <v>1303</v>
      </c>
      <c r="K168" t="s">
        <v>1304</v>
      </c>
      <c r="L168" t="s">
        <v>142</v>
      </c>
      <c r="M168" t="s">
        <v>46</v>
      </c>
      <c r="N168" t="s">
        <v>47</v>
      </c>
      <c r="O168">
        <v>1</v>
      </c>
      <c r="P168">
        <v>1</v>
      </c>
      <c r="Q168">
        <v>1</v>
      </c>
      <c r="R168" t="s">
        <v>48</v>
      </c>
      <c r="S168" t="s">
        <v>49</v>
      </c>
      <c r="T168" s="3">
        <v>0.84</v>
      </c>
      <c r="U168" s="3">
        <v>0.23</v>
      </c>
      <c r="V168" s="3">
        <v>0.94</v>
      </c>
      <c r="W168">
        <v>1.5</v>
      </c>
      <c r="X168" t="s">
        <v>50</v>
      </c>
      <c r="Y168" s="3">
        <v>16.43</v>
      </c>
      <c r="Z168" t="s">
        <v>73</v>
      </c>
      <c r="AA168" t="s">
        <v>1305</v>
      </c>
      <c r="AB168" t="s">
        <v>53</v>
      </c>
      <c r="AC168" s="3">
        <v>1.29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f t="shared" si="4"/>
        <v>19.73</v>
      </c>
      <c r="AK168" s="3">
        <f t="shared" si="5"/>
        <v>3.3000000000000007</v>
      </c>
    </row>
    <row r="169" spans="1:37">
      <c r="A169">
        <v>10269422</v>
      </c>
      <c r="B169" t="s">
        <v>37</v>
      </c>
      <c r="C169" t="s">
        <v>1306</v>
      </c>
      <c r="E169" t="s">
        <v>1307</v>
      </c>
      <c r="F169" t="s">
        <v>1308</v>
      </c>
      <c r="G169" t="s">
        <v>1309</v>
      </c>
      <c r="H169" t="s">
        <v>42</v>
      </c>
      <c r="I169" t="s">
        <v>1310</v>
      </c>
      <c r="J169" t="s">
        <v>1311</v>
      </c>
      <c r="K169">
        <v>79312</v>
      </c>
      <c r="L169" t="s">
        <v>71</v>
      </c>
      <c r="M169" t="s">
        <v>46</v>
      </c>
      <c r="N169" t="s">
        <v>47</v>
      </c>
      <c r="O169">
        <v>1</v>
      </c>
      <c r="P169">
        <v>1</v>
      </c>
      <c r="Q169">
        <v>1</v>
      </c>
      <c r="R169" t="s">
        <v>48</v>
      </c>
      <c r="S169" t="s">
        <v>49</v>
      </c>
      <c r="T169" s="3">
        <v>0.84</v>
      </c>
      <c r="U169" s="3">
        <v>0.23</v>
      </c>
      <c r="V169" s="3">
        <v>0.94</v>
      </c>
      <c r="W169">
        <v>0.59</v>
      </c>
      <c r="X169" t="s">
        <v>108</v>
      </c>
      <c r="Y169" s="3">
        <v>5.14</v>
      </c>
      <c r="Z169" t="s">
        <v>109</v>
      </c>
      <c r="AA169" t="s">
        <v>1119</v>
      </c>
      <c r="AB169" t="s">
        <v>53</v>
      </c>
      <c r="AC169" s="3">
        <v>1.06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f t="shared" si="4"/>
        <v>8.2099999999999991</v>
      </c>
      <c r="AK169" s="3">
        <f t="shared" si="5"/>
        <v>3.0699999999999994</v>
      </c>
    </row>
    <row r="170" spans="1:37">
      <c r="A170">
        <v>10273979</v>
      </c>
      <c r="B170" t="s">
        <v>37</v>
      </c>
      <c r="C170" t="s">
        <v>1312</v>
      </c>
      <c r="E170" t="s">
        <v>1313</v>
      </c>
      <c r="F170" t="s">
        <v>1314</v>
      </c>
      <c r="G170" t="s">
        <v>1315</v>
      </c>
      <c r="H170" t="s">
        <v>42</v>
      </c>
      <c r="I170" t="s">
        <v>1316</v>
      </c>
      <c r="J170" t="s">
        <v>1317</v>
      </c>
      <c r="K170">
        <v>71277</v>
      </c>
      <c r="L170" t="s">
        <v>71</v>
      </c>
      <c r="M170" t="s">
        <v>46</v>
      </c>
      <c r="N170" t="s">
        <v>47</v>
      </c>
      <c r="O170">
        <v>1</v>
      </c>
      <c r="P170">
        <v>1</v>
      </c>
      <c r="Q170">
        <v>1</v>
      </c>
      <c r="R170" t="s">
        <v>48</v>
      </c>
      <c r="S170" t="s">
        <v>49</v>
      </c>
      <c r="T170" s="3">
        <v>0.84</v>
      </c>
      <c r="U170" s="3">
        <v>0.23</v>
      </c>
      <c r="V170" s="3">
        <v>0.94</v>
      </c>
      <c r="W170">
        <v>0.59</v>
      </c>
      <c r="X170" t="s">
        <v>108</v>
      </c>
      <c r="Y170" s="3">
        <v>5.14</v>
      </c>
      <c r="Z170" t="s">
        <v>109</v>
      </c>
      <c r="AA170" t="s">
        <v>184</v>
      </c>
      <c r="AB170" t="s">
        <v>53</v>
      </c>
      <c r="AC170" s="3">
        <v>1.06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f t="shared" si="4"/>
        <v>8.2099999999999991</v>
      </c>
      <c r="AK170" s="3">
        <f t="shared" si="5"/>
        <v>3.0699999999999994</v>
      </c>
    </row>
    <row r="171" spans="1:37">
      <c r="A171">
        <v>10274480</v>
      </c>
      <c r="B171" t="s">
        <v>37</v>
      </c>
      <c r="C171" t="s">
        <v>1318</v>
      </c>
      <c r="E171" t="s">
        <v>39</v>
      </c>
      <c r="F171" t="s">
        <v>1319</v>
      </c>
      <c r="G171" t="s">
        <v>1320</v>
      </c>
      <c r="H171" t="s">
        <v>42</v>
      </c>
      <c r="I171" t="s">
        <v>1321</v>
      </c>
      <c r="J171" t="s">
        <v>1322</v>
      </c>
      <c r="K171">
        <v>58849</v>
      </c>
      <c r="L171" t="s">
        <v>71</v>
      </c>
      <c r="M171" t="s">
        <v>46</v>
      </c>
      <c r="N171" t="s">
        <v>47</v>
      </c>
      <c r="O171">
        <v>1</v>
      </c>
      <c r="P171">
        <v>1</v>
      </c>
      <c r="Q171">
        <v>1</v>
      </c>
      <c r="R171" t="s">
        <v>48</v>
      </c>
      <c r="S171" t="s">
        <v>49</v>
      </c>
      <c r="T171" s="3">
        <v>0.84</v>
      </c>
      <c r="U171" s="3">
        <v>0.23</v>
      </c>
      <c r="V171" s="3">
        <v>0.94</v>
      </c>
      <c r="W171">
        <v>0.59</v>
      </c>
      <c r="X171" t="s">
        <v>108</v>
      </c>
      <c r="Y171" s="3">
        <v>5.14</v>
      </c>
      <c r="Z171" t="s">
        <v>109</v>
      </c>
      <c r="AA171" t="s">
        <v>1059</v>
      </c>
      <c r="AB171" t="s">
        <v>53</v>
      </c>
      <c r="AC171" s="3">
        <v>1.06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f t="shared" si="4"/>
        <v>8.2099999999999991</v>
      </c>
      <c r="AK171" s="3">
        <f t="shared" si="5"/>
        <v>3.0699999999999994</v>
      </c>
    </row>
    <row r="172" spans="1:37">
      <c r="A172">
        <v>10275186</v>
      </c>
      <c r="B172" t="s">
        <v>37</v>
      </c>
      <c r="C172" t="s">
        <v>1323</v>
      </c>
      <c r="E172" t="s">
        <v>1324</v>
      </c>
      <c r="F172" t="s">
        <v>1325</v>
      </c>
      <c r="G172" t="s">
        <v>1326</v>
      </c>
      <c r="H172" t="s">
        <v>42</v>
      </c>
      <c r="I172" t="s">
        <v>1327</v>
      </c>
      <c r="J172" t="s">
        <v>1328</v>
      </c>
      <c r="K172">
        <v>50825</v>
      </c>
      <c r="L172" t="s">
        <v>71</v>
      </c>
      <c r="M172" t="s">
        <v>46</v>
      </c>
      <c r="N172" t="s">
        <v>47</v>
      </c>
      <c r="O172">
        <v>1</v>
      </c>
      <c r="P172">
        <v>1</v>
      </c>
      <c r="Q172">
        <v>1</v>
      </c>
      <c r="R172" t="s">
        <v>48</v>
      </c>
      <c r="S172" t="s">
        <v>49</v>
      </c>
      <c r="T172" s="3">
        <v>0.84</v>
      </c>
      <c r="U172" s="3">
        <v>0.23</v>
      </c>
      <c r="V172" s="3">
        <v>0.94</v>
      </c>
      <c r="W172">
        <v>0.59</v>
      </c>
      <c r="X172" t="s">
        <v>108</v>
      </c>
      <c r="Y172" s="3">
        <v>5.14</v>
      </c>
      <c r="Z172" t="s">
        <v>109</v>
      </c>
      <c r="AA172" t="s">
        <v>1059</v>
      </c>
      <c r="AB172" t="s">
        <v>53</v>
      </c>
      <c r="AC172" s="3">
        <v>1.06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f t="shared" si="4"/>
        <v>8.2099999999999991</v>
      </c>
      <c r="AK172" s="3">
        <f t="shared" si="5"/>
        <v>3.0699999999999994</v>
      </c>
    </row>
    <row r="173" spans="1:37">
      <c r="A173">
        <v>10274707</v>
      </c>
      <c r="B173" t="s">
        <v>37</v>
      </c>
      <c r="C173" t="s">
        <v>1329</v>
      </c>
      <c r="E173" t="s">
        <v>1330</v>
      </c>
      <c r="F173" t="s">
        <v>1331</v>
      </c>
      <c r="G173" t="s">
        <v>1332</v>
      </c>
      <c r="H173" t="s">
        <v>42</v>
      </c>
      <c r="I173" t="s">
        <v>1333</v>
      </c>
      <c r="J173" t="s">
        <v>1334</v>
      </c>
      <c r="K173">
        <v>45527</v>
      </c>
      <c r="L173" t="s">
        <v>71</v>
      </c>
      <c r="M173" t="s">
        <v>46</v>
      </c>
      <c r="N173" t="s">
        <v>47</v>
      </c>
      <c r="O173">
        <v>1</v>
      </c>
      <c r="P173">
        <v>1</v>
      </c>
      <c r="Q173">
        <v>1</v>
      </c>
      <c r="R173" t="s">
        <v>48</v>
      </c>
      <c r="S173" t="s">
        <v>49</v>
      </c>
      <c r="T173" s="3">
        <v>0.84</v>
      </c>
      <c r="U173" s="3">
        <v>0.23</v>
      </c>
      <c r="V173" s="3">
        <v>0.94</v>
      </c>
      <c r="W173">
        <v>0.24</v>
      </c>
      <c r="X173" t="s">
        <v>108</v>
      </c>
      <c r="Y173" s="3">
        <v>5.14</v>
      </c>
      <c r="Z173" t="s">
        <v>109</v>
      </c>
      <c r="AA173" t="s">
        <v>736</v>
      </c>
      <c r="AB173" t="s">
        <v>53</v>
      </c>
      <c r="AC173" s="3">
        <v>1.06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f t="shared" si="4"/>
        <v>8.2099999999999991</v>
      </c>
      <c r="AK173" s="3">
        <f t="shared" si="5"/>
        <v>3.0699999999999994</v>
      </c>
    </row>
    <row r="174" spans="1:37">
      <c r="A174">
        <v>10270237</v>
      </c>
      <c r="B174" t="s">
        <v>37</v>
      </c>
      <c r="C174" t="s">
        <v>1335</v>
      </c>
      <c r="E174" t="s">
        <v>1336</v>
      </c>
      <c r="F174" t="s">
        <v>1337</v>
      </c>
      <c r="G174" t="s">
        <v>1338</v>
      </c>
      <c r="H174" t="s">
        <v>42</v>
      </c>
      <c r="I174" t="s">
        <v>1339</v>
      </c>
      <c r="J174" t="s">
        <v>1340</v>
      </c>
      <c r="K174">
        <v>59439</v>
      </c>
      <c r="L174" t="s">
        <v>71</v>
      </c>
      <c r="M174" t="s">
        <v>46</v>
      </c>
      <c r="N174" t="s">
        <v>47</v>
      </c>
      <c r="O174">
        <v>1</v>
      </c>
      <c r="P174">
        <v>1</v>
      </c>
      <c r="Q174">
        <v>1</v>
      </c>
      <c r="R174" t="s">
        <v>48</v>
      </c>
      <c r="S174" t="s">
        <v>49</v>
      </c>
      <c r="T174" s="3">
        <v>0.84</v>
      </c>
      <c r="U174" s="3">
        <v>0.23</v>
      </c>
      <c r="V174" s="3">
        <v>0.94</v>
      </c>
      <c r="W174">
        <v>0.59</v>
      </c>
      <c r="X174" t="s">
        <v>108</v>
      </c>
      <c r="Y174" s="3">
        <v>9.3000000000000007</v>
      </c>
      <c r="Z174" t="s">
        <v>109</v>
      </c>
      <c r="AA174" t="s">
        <v>1341</v>
      </c>
      <c r="AB174" t="s">
        <v>53</v>
      </c>
      <c r="AC174" s="3">
        <v>1.06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f t="shared" si="4"/>
        <v>12.370000000000001</v>
      </c>
      <c r="AK174" s="3">
        <f t="shared" si="5"/>
        <v>3.0700000000000003</v>
      </c>
    </row>
    <row r="175" spans="1:37">
      <c r="A175">
        <v>10271356</v>
      </c>
      <c r="B175" t="s">
        <v>37</v>
      </c>
      <c r="C175" t="s">
        <v>1342</v>
      </c>
      <c r="E175" t="s">
        <v>1343</v>
      </c>
      <c r="F175" t="s">
        <v>1344</v>
      </c>
      <c r="G175" t="s">
        <v>1345</v>
      </c>
      <c r="H175" t="s">
        <v>42</v>
      </c>
      <c r="I175" t="s">
        <v>1346</v>
      </c>
      <c r="J175" t="s">
        <v>1347</v>
      </c>
      <c r="K175" t="s">
        <v>1348</v>
      </c>
      <c r="L175" t="s">
        <v>82</v>
      </c>
      <c r="M175" t="s">
        <v>46</v>
      </c>
      <c r="N175" t="s">
        <v>47</v>
      </c>
      <c r="O175">
        <v>1</v>
      </c>
      <c r="P175">
        <v>1</v>
      </c>
      <c r="Q175">
        <v>1</v>
      </c>
      <c r="R175" t="s">
        <v>48</v>
      </c>
      <c r="S175" t="s">
        <v>49</v>
      </c>
      <c r="T175" s="3">
        <v>0.84</v>
      </c>
      <c r="U175" s="3">
        <v>0.23</v>
      </c>
      <c r="V175" s="3">
        <v>0.94</v>
      </c>
      <c r="W175">
        <v>0.49</v>
      </c>
      <c r="X175" t="s">
        <v>50</v>
      </c>
      <c r="Y175" s="3">
        <v>9.19</v>
      </c>
      <c r="Z175" t="s">
        <v>109</v>
      </c>
      <c r="AA175" t="s">
        <v>1349</v>
      </c>
      <c r="AB175" t="s">
        <v>53</v>
      </c>
      <c r="AC175" s="3">
        <v>1.06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f t="shared" si="4"/>
        <v>12.26</v>
      </c>
      <c r="AK175" s="3">
        <f t="shared" si="5"/>
        <v>3.0700000000000003</v>
      </c>
    </row>
    <row r="176" spans="1:37">
      <c r="A176">
        <v>10273986</v>
      </c>
      <c r="B176" t="s">
        <v>37</v>
      </c>
      <c r="C176" t="s">
        <v>1350</v>
      </c>
      <c r="E176" t="s">
        <v>1351</v>
      </c>
      <c r="F176" t="s">
        <v>1352</v>
      </c>
      <c r="G176" t="s">
        <v>1353</v>
      </c>
      <c r="H176" t="s">
        <v>42</v>
      </c>
      <c r="I176" t="s">
        <v>1354</v>
      </c>
      <c r="J176" t="s">
        <v>1355</v>
      </c>
      <c r="K176">
        <v>1040</v>
      </c>
      <c r="L176" t="s">
        <v>505</v>
      </c>
      <c r="M176" t="s">
        <v>46</v>
      </c>
      <c r="N176" t="s">
        <v>47</v>
      </c>
      <c r="O176">
        <v>1</v>
      </c>
      <c r="P176">
        <v>1</v>
      </c>
      <c r="Q176">
        <v>1</v>
      </c>
      <c r="R176" t="s">
        <v>48</v>
      </c>
      <c r="S176" t="s">
        <v>49</v>
      </c>
      <c r="T176" s="3">
        <v>0.84</v>
      </c>
      <c r="U176" s="3">
        <v>0.23</v>
      </c>
      <c r="V176" s="3">
        <v>0.94</v>
      </c>
      <c r="W176">
        <v>0.59</v>
      </c>
      <c r="X176" t="s">
        <v>50</v>
      </c>
      <c r="Y176" s="3">
        <v>10.58</v>
      </c>
      <c r="Z176" t="s">
        <v>109</v>
      </c>
      <c r="AA176" t="s">
        <v>1356</v>
      </c>
      <c r="AB176" t="s">
        <v>53</v>
      </c>
      <c r="AC176" s="3">
        <v>1.06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f t="shared" si="4"/>
        <v>13.65</v>
      </c>
      <c r="AK176" s="3">
        <f t="shared" si="5"/>
        <v>3.0700000000000003</v>
      </c>
    </row>
    <row r="177" spans="1:37">
      <c r="A177">
        <v>10273474</v>
      </c>
      <c r="B177" t="s">
        <v>37</v>
      </c>
      <c r="C177" t="s">
        <v>1357</v>
      </c>
      <c r="E177" t="s">
        <v>1358</v>
      </c>
      <c r="F177" t="s">
        <v>1359</v>
      </c>
      <c r="G177" t="s">
        <v>1360</v>
      </c>
      <c r="H177" t="s">
        <v>42</v>
      </c>
      <c r="I177" t="s">
        <v>1361</v>
      </c>
      <c r="J177" t="s">
        <v>1362</v>
      </c>
      <c r="K177" t="s">
        <v>1363</v>
      </c>
      <c r="L177" t="s">
        <v>142</v>
      </c>
      <c r="M177" t="s">
        <v>46</v>
      </c>
      <c r="N177" t="s">
        <v>47</v>
      </c>
      <c r="O177">
        <v>1</v>
      </c>
      <c r="P177">
        <v>1</v>
      </c>
      <c r="Q177">
        <v>1</v>
      </c>
      <c r="R177" t="s">
        <v>48</v>
      </c>
      <c r="S177" t="s">
        <v>49</v>
      </c>
      <c r="T177" s="3">
        <v>0.84</v>
      </c>
      <c r="U177" s="3">
        <v>0.23</v>
      </c>
      <c r="V177" s="3">
        <v>0.94</v>
      </c>
      <c r="W177">
        <v>0.49</v>
      </c>
      <c r="X177" t="s">
        <v>50</v>
      </c>
      <c r="Y177" s="3">
        <v>16.43</v>
      </c>
      <c r="Z177" t="s">
        <v>109</v>
      </c>
      <c r="AA177" t="s">
        <v>1364</v>
      </c>
      <c r="AB177" t="s">
        <v>53</v>
      </c>
      <c r="AC177" s="3">
        <v>1.06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f t="shared" si="4"/>
        <v>19.5</v>
      </c>
      <c r="AK177" s="3">
        <f t="shared" si="5"/>
        <v>3.0700000000000003</v>
      </c>
    </row>
    <row r="178" spans="1:37">
      <c r="A178">
        <v>10275185</v>
      </c>
      <c r="B178" t="s">
        <v>37</v>
      </c>
      <c r="C178" t="s">
        <v>1365</v>
      </c>
      <c r="E178" t="s">
        <v>1366</v>
      </c>
      <c r="F178" t="s">
        <v>1367</v>
      </c>
      <c r="G178" t="s">
        <v>1368</v>
      </c>
      <c r="H178" t="s">
        <v>42</v>
      </c>
      <c r="I178" t="s">
        <v>1369</v>
      </c>
      <c r="J178" t="s">
        <v>1370</v>
      </c>
      <c r="K178">
        <v>2830</v>
      </c>
      <c r="L178" t="s">
        <v>505</v>
      </c>
      <c r="M178" t="s">
        <v>46</v>
      </c>
      <c r="N178" t="s">
        <v>47</v>
      </c>
      <c r="O178">
        <v>1</v>
      </c>
      <c r="P178">
        <v>1</v>
      </c>
      <c r="Q178">
        <v>1</v>
      </c>
      <c r="R178" t="s">
        <v>48</v>
      </c>
      <c r="S178" t="s">
        <v>49</v>
      </c>
      <c r="T178" s="3">
        <v>0.84</v>
      </c>
      <c r="U178" s="3">
        <v>0.23</v>
      </c>
      <c r="V178" s="3">
        <v>0.94</v>
      </c>
      <c r="W178">
        <v>0.59</v>
      </c>
      <c r="X178" t="s">
        <v>50</v>
      </c>
      <c r="Y178" s="3">
        <v>9.19</v>
      </c>
      <c r="Z178" t="s">
        <v>109</v>
      </c>
      <c r="AA178" t="s">
        <v>1371</v>
      </c>
      <c r="AB178" t="s">
        <v>53</v>
      </c>
      <c r="AC178" s="3">
        <v>1.06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f t="shared" si="4"/>
        <v>12.26</v>
      </c>
      <c r="AK178" s="3">
        <f t="shared" si="5"/>
        <v>3.0700000000000003</v>
      </c>
    </row>
    <row r="179" spans="1:37">
      <c r="A179">
        <v>10273981</v>
      </c>
      <c r="B179" t="s">
        <v>37</v>
      </c>
      <c r="C179" t="s">
        <v>1372</v>
      </c>
      <c r="E179" t="s">
        <v>1373</v>
      </c>
      <c r="F179" t="s">
        <v>1374</v>
      </c>
      <c r="G179" t="s">
        <v>1375</v>
      </c>
      <c r="H179" t="s">
        <v>42</v>
      </c>
      <c r="I179" t="s">
        <v>1376</v>
      </c>
      <c r="J179" t="s">
        <v>1377</v>
      </c>
      <c r="K179">
        <v>51580</v>
      </c>
      <c r="L179" t="s">
        <v>71</v>
      </c>
      <c r="M179" t="s">
        <v>46</v>
      </c>
      <c r="N179" t="s">
        <v>47</v>
      </c>
      <c r="O179">
        <v>1</v>
      </c>
      <c r="P179">
        <v>1</v>
      </c>
      <c r="Q179">
        <v>1</v>
      </c>
      <c r="R179" t="s">
        <v>48</v>
      </c>
      <c r="S179" t="s">
        <v>49</v>
      </c>
      <c r="T179" s="3">
        <v>0.84</v>
      </c>
      <c r="U179" s="3">
        <v>0.23</v>
      </c>
      <c r="V179" s="3">
        <v>0.94</v>
      </c>
      <c r="W179">
        <v>0.59</v>
      </c>
      <c r="X179" t="s">
        <v>108</v>
      </c>
      <c r="Y179" s="3">
        <v>5.14</v>
      </c>
      <c r="Z179" t="s">
        <v>109</v>
      </c>
      <c r="AA179" t="s">
        <v>1341</v>
      </c>
      <c r="AB179" t="s">
        <v>53</v>
      </c>
      <c r="AC179" s="3">
        <v>1.06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f t="shared" si="4"/>
        <v>8.2099999999999991</v>
      </c>
      <c r="AK179" s="3">
        <f t="shared" si="5"/>
        <v>3.0699999999999994</v>
      </c>
    </row>
    <row r="180" spans="1:37">
      <c r="A180">
        <v>10272579</v>
      </c>
      <c r="B180" t="s">
        <v>37</v>
      </c>
      <c r="C180" t="s">
        <v>1378</v>
      </c>
      <c r="E180" t="s">
        <v>1379</v>
      </c>
      <c r="F180" t="s">
        <v>1380</v>
      </c>
      <c r="G180" t="s">
        <v>1381</v>
      </c>
      <c r="H180" t="s">
        <v>42</v>
      </c>
      <c r="I180" t="s">
        <v>1382</v>
      </c>
      <c r="J180" t="s">
        <v>1383</v>
      </c>
      <c r="K180" t="s">
        <v>1384</v>
      </c>
      <c r="L180" t="s">
        <v>71</v>
      </c>
      <c r="M180" t="s">
        <v>46</v>
      </c>
      <c r="N180" t="s">
        <v>47</v>
      </c>
      <c r="O180">
        <v>1</v>
      </c>
      <c r="P180">
        <v>1</v>
      </c>
      <c r="Q180">
        <v>1</v>
      </c>
      <c r="R180" t="s">
        <v>48</v>
      </c>
      <c r="S180" t="s">
        <v>49</v>
      </c>
      <c r="T180" s="3">
        <v>0.84</v>
      </c>
      <c r="U180" s="3">
        <v>0.23</v>
      </c>
      <c r="V180" s="3">
        <v>0.94</v>
      </c>
      <c r="W180">
        <v>0.49</v>
      </c>
      <c r="X180" t="s">
        <v>108</v>
      </c>
      <c r="Y180" s="3">
        <v>6.53</v>
      </c>
      <c r="Z180" t="s">
        <v>109</v>
      </c>
      <c r="AA180" t="s">
        <v>1385</v>
      </c>
      <c r="AB180" t="s">
        <v>53</v>
      </c>
      <c r="AC180" s="3">
        <v>1.06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f t="shared" si="4"/>
        <v>9.6</v>
      </c>
      <c r="AK180" s="3">
        <f t="shared" si="5"/>
        <v>3.0699999999999994</v>
      </c>
    </row>
    <row r="181" spans="1:37">
      <c r="A181">
        <v>10272269</v>
      </c>
      <c r="B181" t="s">
        <v>37</v>
      </c>
      <c r="C181" t="s">
        <v>1386</v>
      </c>
      <c r="E181" t="s">
        <v>1387</v>
      </c>
      <c r="F181" t="s">
        <v>1388</v>
      </c>
      <c r="G181" t="s">
        <v>1389</v>
      </c>
      <c r="H181" t="s">
        <v>42</v>
      </c>
      <c r="I181" t="s">
        <v>1390</v>
      </c>
      <c r="J181" t="s">
        <v>1391</v>
      </c>
      <c r="K181" t="s">
        <v>1392</v>
      </c>
      <c r="L181" t="s">
        <v>886</v>
      </c>
      <c r="M181" t="s">
        <v>46</v>
      </c>
      <c r="N181" t="s">
        <v>47</v>
      </c>
      <c r="O181">
        <v>3</v>
      </c>
      <c r="P181">
        <v>1</v>
      </c>
      <c r="Q181">
        <v>3</v>
      </c>
      <c r="R181" t="s">
        <v>48</v>
      </c>
      <c r="S181" t="s">
        <v>49</v>
      </c>
      <c r="T181" s="3">
        <v>0.84</v>
      </c>
      <c r="U181" s="3">
        <v>0.23</v>
      </c>
      <c r="V181" s="3">
        <v>2.68</v>
      </c>
      <c r="W181">
        <v>2.66</v>
      </c>
      <c r="X181" t="s">
        <v>50</v>
      </c>
      <c r="Y181" s="3">
        <v>10.64</v>
      </c>
      <c r="Z181" t="s">
        <v>73</v>
      </c>
      <c r="AA181" t="s">
        <v>1393</v>
      </c>
      <c r="AB181" t="s">
        <v>53</v>
      </c>
      <c r="AC181" s="3">
        <v>1.29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f t="shared" si="4"/>
        <v>15.68</v>
      </c>
      <c r="AK181" s="3">
        <f t="shared" si="5"/>
        <v>5.0399999999999991</v>
      </c>
    </row>
    <row r="182" spans="1:37">
      <c r="A182">
        <v>10269983</v>
      </c>
      <c r="B182" t="s">
        <v>37</v>
      </c>
      <c r="C182" t="s">
        <v>1394</v>
      </c>
      <c r="E182" t="s">
        <v>1395</v>
      </c>
      <c r="F182" t="s">
        <v>1396</v>
      </c>
      <c r="G182" t="s">
        <v>1397</v>
      </c>
      <c r="H182" t="s">
        <v>42</v>
      </c>
      <c r="I182" t="s">
        <v>1398</v>
      </c>
      <c r="J182" t="s">
        <v>1399</v>
      </c>
      <c r="K182">
        <v>11690</v>
      </c>
      <c r="L182" t="s">
        <v>91</v>
      </c>
      <c r="M182" t="s">
        <v>46</v>
      </c>
      <c r="N182" t="s">
        <v>47</v>
      </c>
      <c r="O182">
        <v>1</v>
      </c>
      <c r="P182">
        <v>1</v>
      </c>
      <c r="Q182">
        <v>1</v>
      </c>
      <c r="R182" t="s">
        <v>48</v>
      </c>
      <c r="S182" t="s">
        <v>49</v>
      </c>
      <c r="T182" s="3">
        <v>0.84</v>
      </c>
      <c r="U182" s="3">
        <v>0.23</v>
      </c>
      <c r="V182" s="3">
        <v>0.94</v>
      </c>
      <c r="W182">
        <v>0.49</v>
      </c>
      <c r="X182" t="s">
        <v>50</v>
      </c>
      <c r="Y182" s="3">
        <v>16.43</v>
      </c>
      <c r="Z182" t="s">
        <v>109</v>
      </c>
      <c r="AA182" t="s">
        <v>714</v>
      </c>
      <c r="AB182" t="s">
        <v>53</v>
      </c>
      <c r="AC182" s="3">
        <v>1.06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f t="shared" si="4"/>
        <v>19.5</v>
      </c>
      <c r="AK182" s="3">
        <f t="shared" si="5"/>
        <v>3.0700000000000003</v>
      </c>
    </row>
    <row r="183" spans="1:37">
      <c r="A183">
        <v>10270793</v>
      </c>
      <c r="B183" t="s">
        <v>37</v>
      </c>
      <c r="C183" t="s">
        <v>1400</v>
      </c>
      <c r="E183" t="s">
        <v>1401</v>
      </c>
      <c r="F183" t="s">
        <v>1402</v>
      </c>
      <c r="G183" t="s">
        <v>1403</v>
      </c>
      <c r="H183" t="s">
        <v>42</v>
      </c>
      <c r="I183" t="s">
        <v>1404</v>
      </c>
      <c r="J183" t="s">
        <v>1405</v>
      </c>
      <c r="K183">
        <v>82346</v>
      </c>
      <c r="L183" t="s">
        <v>71</v>
      </c>
      <c r="M183" t="s">
        <v>46</v>
      </c>
      <c r="N183" t="s">
        <v>47</v>
      </c>
      <c r="O183">
        <v>1</v>
      </c>
      <c r="P183">
        <v>1</v>
      </c>
      <c r="Q183">
        <v>1</v>
      </c>
      <c r="R183" t="s">
        <v>48</v>
      </c>
      <c r="S183" t="s">
        <v>49</v>
      </c>
      <c r="T183" s="3">
        <v>0.84</v>
      </c>
      <c r="U183" s="3">
        <v>0.23</v>
      </c>
      <c r="V183" s="3">
        <v>0.94</v>
      </c>
      <c r="W183">
        <v>0.3</v>
      </c>
      <c r="X183" t="s">
        <v>108</v>
      </c>
      <c r="Y183" s="3">
        <v>5.14</v>
      </c>
      <c r="Z183" t="s">
        <v>109</v>
      </c>
      <c r="AA183" t="s">
        <v>1406</v>
      </c>
      <c r="AB183" t="s">
        <v>53</v>
      </c>
      <c r="AC183" s="3">
        <v>1.06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f t="shared" si="4"/>
        <v>8.2099999999999991</v>
      </c>
      <c r="AK183" s="3">
        <f t="shared" si="5"/>
        <v>3.0699999999999994</v>
      </c>
    </row>
    <row r="184" spans="1:37">
      <c r="A184">
        <v>10272267</v>
      </c>
      <c r="B184" t="s">
        <v>37</v>
      </c>
      <c r="C184" t="s">
        <v>1407</v>
      </c>
      <c r="E184" t="s">
        <v>1408</v>
      </c>
      <c r="F184" t="s">
        <v>1409</v>
      </c>
      <c r="G184" t="s">
        <v>1410</v>
      </c>
      <c r="H184" t="s">
        <v>42</v>
      </c>
      <c r="I184" t="s">
        <v>1411</v>
      </c>
      <c r="J184" t="s">
        <v>1412</v>
      </c>
      <c r="K184" t="s">
        <v>1413</v>
      </c>
      <c r="L184" t="s">
        <v>142</v>
      </c>
      <c r="M184" t="s">
        <v>46</v>
      </c>
      <c r="N184" t="s">
        <v>47</v>
      </c>
      <c r="O184">
        <v>4</v>
      </c>
      <c r="P184">
        <v>1</v>
      </c>
      <c r="Q184">
        <v>4</v>
      </c>
      <c r="R184" t="s">
        <v>48</v>
      </c>
      <c r="S184" t="s">
        <v>49</v>
      </c>
      <c r="T184" s="3">
        <v>0.84</v>
      </c>
      <c r="U184" s="3">
        <v>0.23</v>
      </c>
      <c r="V184" s="3">
        <v>3.55</v>
      </c>
      <c r="W184">
        <v>2.06</v>
      </c>
      <c r="X184" t="s">
        <v>50</v>
      </c>
      <c r="Y184" s="3">
        <v>16.43</v>
      </c>
      <c r="Z184" t="s">
        <v>73</v>
      </c>
      <c r="AA184" t="s">
        <v>84</v>
      </c>
      <c r="AB184" t="s">
        <v>53</v>
      </c>
      <c r="AC184" s="3">
        <v>1.29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f t="shared" si="4"/>
        <v>22.34</v>
      </c>
      <c r="AK184" s="3">
        <f t="shared" si="5"/>
        <v>5.91</v>
      </c>
    </row>
    <row r="185" spans="1:37">
      <c r="A185">
        <v>10273471</v>
      </c>
      <c r="B185" t="s">
        <v>37</v>
      </c>
      <c r="C185" t="s">
        <v>1414</v>
      </c>
      <c r="E185" t="s">
        <v>1415</v>
      </c>
      <c r="F185" t="s">
        <v>1416</v>
      </c>
      <c r="G185" t="s">
        <v>1417</v>
      </c>
      <c r="H185" t="s">
        <v>42</v>
      </c>
      <c r="I185" t="s">
        <v>1418</v>
      </c>
      <c r="J185" t="s">
        <v>1419</v>
      </c>
      <c r="K185">
        <v>66879</v>
      </c>
      <c r="L185" t="s">
        <v>71</v>
      </c>
      <c r="M185" t="s">
        <v>46</v>
      </c>
      <c r="N185" t="s">
        <v>47</v>
      </c>
      <c r="O185">
        <v>2</v>
      </c>
      <c r="P185">
        <v>1</v>
      </c>
      <c r="Q185">
        <v>2</v>
      </c>
      <c r="R185" t="s">
        <v>48</v>
      </c>
      <c r="S185" t="s">
        <v>49</v>
      </c>
      <c r="T185" s="3">
        <v>0.84</v>
      </c>
      <c r="U185" s="3">
        <v>0.23</v>
      </c>
      <c r="V185" s="3">
        <v>1.81</v>
      </c>
      <c r="W185">
        <v>1.61</v>
      </c>
      <c r="X185" t="s">
        <v>72</v>
      </c>
      <c r="Y185" s="3">
        <v>5.44</v>
      </c>
      <c r="Z185" t="s">
        <v>73</v>
      </c>
      <c r="AA185" t="s">
        <v>1420</v>
      </c>
      <c r="AB185" t="s">
        <v>53</v>
      </c>
      <c r="AC185" s="3">
        <v>1.29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f t="shared" si="4"/>
        <v>9.6100000000000012</v>
      </c>
      <c r="AK185" s="3">
        <f t="shared" si="5"/>
        <v>4.1700000000000008</v>
      </c>
    </row>
    <row r="186" spans="1:37">
      <c r="A186">
        <v>10272102</v>
      </c>
      <c r="B186" t="s">
        <v>37</v>
      </c>
      <c r="C186" t="s">
        <v>1421</v>
      </c>
      <c r="E186" t="s">
        <v>1422</v>
      </c>
      <c r="F186" t="s">
        <v>1423</v>
      </c>
      <c r="G186" t="s">
        <v>1424</v>
      </c>
      <c r="H186" t="s">
        <v>42</v>
      </c>
      <c r="I186" t="s">
        <v>1425</v>
      </c>
      <c r="J186" t="s">
        <v>1426</v>
      </c>
      <c r="K186" t="s">
        <v>1427</v>
      </c>
      <c r="L186" t="s">
        <v>82</v>
      </c>
      <c r="M186" t="s">
        <v>46</v>
      </c>
      <c r="N186" t="s">
        <v>47</v>
      </c>
      <c r="O186">
        <v>4</v>
      </c>
      <c r="P186">
        <v>1</v>
      </c>
      <c r="Q186">
        <v>4</v>
      </c>
      <c r="R186" t="s">
        <v>48</v>
      </c>
      <c r="S186" t="s">
        <v>49</v>
      </c>
      <c r="T186" s="3">
        <v>0.84</v>
      </c>
      <c r="U186" s="3">
        <v>0.23</v>
      </c>
      <c r="V186" s="3">
        <v>3.55</v>
      </c>
      <c r="W186">
        <v>1.58</v>
      </c>
      <c r="X186" t="s">
        <v>50</v>
      </c>
      <c r="Y186" s="3">
        <v>9.19</v>
      </c>
      <c r="Z186" t="s">
        <v>73</v>
      </c>
      <c r="AA186" t="s">
        <v>1428</v>
      </c>
      <c r="AB186" t="s">
        <v>53</v>
      </c>
      <c r="AC186" s="3">
        <v>1.29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f t="shared" si="4"/>
        <v>15.100000000000001</v>
      </c>
      <c r="AK186" s="3">
        <f t="shared" si="5"/>
        <v>5.9100000000000019</v>
      </c>
    </row>
    <row r="187" spans="1:37">
      <c r="A187">
        <v>10273723</v>
      </c>
      <c r="B187" t="s">
        <v>37</v>
      </c>
      <c r="C187" t="s">
        <v>1429</v>
      </c>
      <c r="E187" t="s">
        <v>1430</v>
      </c>
      <c r="F187" t="s">
        <v>1431</v>
      </c>
      <c r="G187" t="s">
        <v>1432</v>
      </c>
      <c r="H187" t="s">
        <v>42</v>
      </c>
      <c r="I187" t="s">
        <v>1433</v>
      </c>
      <c r="J187" t="s">
        <v>1434</v>
      </c>
      <c r="K187" t="s">
        <v>1435</v>
      </c>
      <c r="L187" t="s">
        <v>142</v>
      </c>
      <c r="M187" t="s">
        <v>46</v>
      </c>
      <c r="N187" t="s">
        <v>47</v>
      </c>
      <c r="O187">
        <v>2</v>
      </c>
      <c r="P187">
        <v>1</v>
      </c>
      <c r="Q187">
        <v>2</v>
      </c>
      <c r="R187" t="s">
        <v>48</v>
      </c>
      <c r="S187" t="s">
        <v>49</v>
      </c>
      <c r="T187" s="3">
        <v>0.84</v>
      </c>
      <c r="U187" s="3">
        <v>0.23</v>
      </c>
      <c r="V187" s="3">
        <v>1.81</v>
      </c>
      <c r="W187">
        <v>1.08</v>
      </c>
      <c r="X187" t="s">
        <v>50</v>
      </c>
      <c r="Y187" s="3">
        <v>16.43</v>
      </c>
      <c r="Z187" t="s">
        <v>109</v>
      </c>
      <c r="AA187" t="s">
        <v>1436</v>
      </c>
      <c r="AB187" t="s">
        <v>53</v>
      </c>
      <c r="AC187" s="3">
        <v>1.06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f t="shared" si="4"/>
        <v>20.369999999999997</v>
      </c>
      <c r="AK187" s="3">
        <f t="shared" si="5"/>
        <v>3.9399999999999977</v>
      </c>
    </row>
    <row r="188" spans="1:37">
      <c r="A188">
        <v>10271860</v>
      </c>
      <c r="B188" t="s">
        <v>37</v>
      </c>
      <c r="C188" t="s">
        <v>1437</v>
      </c>
      <c r="E188" t="s">
        <v>1438</v>
      </c>
      <c r="F188" t="s">
        <v>1439</v>
      </c>
      <c r="G188" t="s">
        <v>1440</v>
      </c>
      <c r="H188" t="s">
        <v>42</v>
      </c>
      <c r="I188" t="s">
        <v>1441</v>
      </c>
      <c r="J188" t="s">
        <v>1442</v>
      </c>
      <c r="K188" t="s">
        <v>1443</v>
      </c>
      <c r="L188" t="s">
        <v>142</v>
      </c>
      <c r="M188" t="s">
        <v>46</v>
      </c>
      <c r="N188" t="s">
        <v>47</v>
      </c>
      <c r="O188">
        <v>3</v>
      </c>
      <c r="P188">
        <v>1</v>
      </c>
      <c r="Q188">
        <v>3</v>
      </c>
      <c r="R188" t="s">
        <v>48</v>
      </c>
      <c r="S188" t="s">
        <v>49</v>
      </c>
      <c r="T188" s="3">
        <v>0.84</v>
      </c>
      <c r="U188" s="3">
        <v>0.23</v>
      </c>
      <c r="V188" s="3">
        <v>2.68</v>
      </c>
      <c r="W188">
        <v>1.23</v>
      </c>
      <c r="X188" t="s">
        <v>50</v>
      </c>
      <c r="Y188" s="3">
        <v>16.43</v>
      </c>
      <c r="Z188" t="s">
        <v>73</v>
      </c>
      <c r="AA188" t="s">
        <v>1444</v>
      </c>
      <c r="AB188" t="s">
        <v>53</v>
      </c>
      <c r="AC188" s="3">
        <v>1.29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f t="shared" si="4"/>
        <v>21.47</v>
      </c>
      <c r="AK188" s="3">
        <f t="shared" si="5"/>
        <v>5.0399999999999991</v>
      </c>
    </row>
    <row r="189" spans="1:37">
      <c r="A189">
        <v>10273733</v>
      </c>
      <c r="B189" t="s">
        <v>37</v>
      </c>
      <c r="C189" t="s">
        <v>1445</v>
      </c>
      <c r="E189" t="s">
        <v>1446</v>
      </c>
      <c r="F189" t="s">
        <v>1447</v>
      </c>
      <c r="G189" t="s">
        <v>1448</v>
      </c>
      <c r="H189" t="s">
        <v>42</v>
      </c>
      <c r="I189" t="s">
        <v>1449</v>
      </c>
      <c r="J189" t="s">
        <v>1450</v>
      </c>
      <c r="K189" t="s">
        <v>1451</v>
      </c>
      <c r="L189" t="s">
        <v>142</v>
      </c>
      <c r="M189" t="s">
        <v>46</v>
      </c>
      <c r="N189" t="s">
        <v>47</v>
      </c>
      <c r="O189">
        <v>2</v>
      </c>
      <c r="P189">
        <v>1</v>
      </c>
      <c r="Q189">
        <v>2</v>
      </c>
      <c r="R189" t="s">
        <v>48</v>
      </c>
      <c r="S189" t="s">
        <v>49</v>
      </c>
      <c r="T189" s="3">
        <v>0.84</v>
      </c>
      <c r="U189" s="3">
        <v>0.23</v>
      </c>
      <c r="V189" s="3">
        <v>1.81</v>
      </c>
      <c r="W189">
        <v>0.73</v>
      </c>
      <c r="X189" t="s">
        <v>50</v>
      </c>
      <c r="Y189" s="3">
        <v>16.43</v>
      </c>
      <c r="Z189" t="s">
        <v>109</v>
      </c>
      <c r="AA189" t="s">
        <v>1452</v>
      </c>
      <c r="AB189" t="s">
        <v>53</v>
      </c>
      <c r="AC189" s="3">
        <v>1.06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f t="shared" si="4"/>
        <v>20.369999999999997</v>
      </c>
      <c r="AK189" s="3">
        <f t="shared" si="5"/>
        <v>3.9399999999999977</v>
      </c>
    </row>
    <row r="190" spans="1:37">
      <c r="A190">
        <v>10272913</v>
      </c>
      <c r="B190" t="s">
        <v>37</v>
      </c>
      <c r="C190" t="s">
        <v>1453</v>
      </c>
      <c r="E190" t="s">
        <v>1454</v>
      </c>
      <c r="F190" t="s">
        <v>1455</v>
      </c>
      <c r="G190" t="s">
        <v>1456</v>
      </c>
      <c r="H190" t="s">
        <v>42</v>
      </c>
      <c r="I190" t="s">
        <v>1457</v>
      </c>
      <c r="J190" t="s">
        <v>1458</v>
      </c>
      <c r="K190" t="s">
        <v>1459</v>
      </c>
      <c r="L190" t="s">
        <v>82</v>
      </c>
      <c r="M190" t="s">
        <v>46</v>
      </c>
      <c r="N190" t="s">
        <v>47</v>
      </c>
      <c r="O190">
        <v>4</v>
      </c>
      <c r="P190">
        <v>1</v>
      </c>
      <c r="Q190">
        <v>4</v>
      </c>
      <c r="R190" t="s">
        <v>48</v>
      </c>
      <c r="S190" t="s">
        <v>49</v>
      </c>
      <c r="T190" s="3">
        <v>0.84</v>
      </c>
      <c r="U190" s="3">
        <v>0.23</v>
      </c>
      <c r="V190" s="3">
        <v>3.55</v>
      </c>
      <c r="W190">
        <v>2.06</v>
      </c>
      <c r="X190" t="s">
        <v>50</v>
      </c>
      <c r="Y190" s="3">
        <v>9.19</v>
      </c>
      <c r="Z190" t="s">
        <v>73</v>
      </c>
      <c r="AA190" t="s">
        <v>1460</v>
      </c>
      <c r="AB190" t="s">
        <v>53</v>
      </c>
      <c r="AC190" s="3">
        <v>1.29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f t="shared" si="4"/>
        <v>15.100000000000001</v>
      </c>
      <c r="AK190" s="3">
        <f t="shared" si="5"/>
        <v>5.9100000000000019</v>
      </c>
    </row>
    <row r="191" spans="1:37">
      <c r="A191">
        <v>10272838</v>
      </c>
      <c r="B191" t="s">
        <v>37</v>
      </c>
      <c r="C191" t="s">
        <v>1461</v>
      </c>
      <c r="E191" t="s">
        <v>1462</v>
      </c>
      <c r="F191" t="s">
        <v>1463</v>
      </c>
      <c r="G191" t="s">
        <v>1464</v>
      </c>
      <c r="H191" t="s">
        <v>42</v>
      </c>
      <c r="I191" t="s">
        <v>1465</v>
      </c>
      <c r="J191" t="s">
        <v>1466</v>
      </c>
      <c r="K191" t="s">
        <v>1467</v>
      </c>
      <c r="L191" t="s">
        <v>82</v>
      </c>
      <c r="M191" t="s">
        <v>46</v>
      </c>
      <c r="N191" t="s">
        <v>47</v>
      </c>
      <c r="O191">
        <v>2</v>
      </c>
      <c r="P191">
        <v>1</v>
      </c>
      <c r="Q191">
        <v>2</v>
      </c>
      <c r="R191" t="s">
        <v>48</v>
      </c>
      <c r="S191" t="s">
        <v>49</v>
      </c>
      <c r="T191" s="3">
        <v>0.84</v>
      </c>
      <c r="U191" s="3">
        <v>0.23</v>
      </c>
      <c r="V191" s="3">
        <v>1.81</v>
      </c>
      <c r="W191">
        <v>0.73</v>
      </c>
      <c r="X191" t="s">
        <v>50</v>
      </c>
      <c r="Y191" s="3">
        <v>9.19</v>
      </c>
      <c r="Z191" t="s">
        <v>109</v>
      </c>
      <c r="AA191" t="s">
        <v>1468</v>
      </c>
      <c r="AB191" t="s">
        <v>53</v>
      </c>
      <c r="AC191" s="3">
        <v>1.06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f t="shared" si="4"/>
        <v>13.13</v>
      </c>
      <c r="AK191" s="3">
        <f t="shared" si="5"/>
        <v>3.9400000000000013</v>
      </c>
    </row>
    <row r="192" spans="1:37">
      <c r="A192">
        <v>10273720</v>
      </c>
      <c r="B192" t="s">
        <v>37</v>
      </c>
      <c r="C192" t="s">
        <v>1469</v>
      </c>
      <c r="E192" t="s">
        <v>1470</v>
      </c>
      <c r="F192" t="s">
        <v>1471</v>
      </c>
      <c r="G192" t="s">
        <v>1472</v>
      </c>
      <c r="H192" t="s">
        <v>42</v>
      </c>
      <c r="I192" t="s">
        <v>1473</v>
      </c>
      <c r="J192" t="s">
        <v>1474</v>
      </c>
      <c r="K192">
        <v>84332</v>
      </c>
      <c r="L192" t="s">
        <v>71</v>
      </c>
      <c r="M192" t="s">
        <v>46</v>
      </c>
      <c r="N192" t="s">
        <v>47</v>
      </c>
      <c r="O192">
        <v>2</v>
      </c>
      <c r="P192">
        <v>1</v>
      </c>
      <c r="Q192">
        <v>2</v>
      </c>
      <c r="R192" t="s">
        <v>48</v>
      </c>
      <c r="S192" t="s">
        <v>49</v>
      </c>
      <c r="T192" s="3">
        <v>0.84</v>
      </c>
      <c r="U192" s="3">
        <v>0.23</v>
      </c>
      <c r="V192" s="3">
        <v>1.81</v>
      </c>
      <c r="W192">
        <v>1.08</v>
      </c>
      <c r="X192" t="s">
        <v>108</v>
      </c>
      <c r="Y192" s="3">
        <v>5.14</v>
      </c>
      <c r="Z192" t="s">
        <v>109</v>
      </c>
      <c r="AA192" t="s">
        <v>1475</v>
      </c>
      <c r="AB192" t="s">
        <v>53</v>
      </c>
      <c r="AC192" s="3">
        <v>1.06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f t="shared" si="4"/>
        <v>9.08</v>
      </c>
      <c r="AK192" s="3">
        <f t="shared" si="5"/>
        <v>3.9400000000000004</v>
      </c>
    </row>
    <row r="193" spans="1:37">
      <c r="A193">
        <v>10273727</v>
      </c>
      <c r="B193" t="s">
        <v>37</v>
      </c>
      <c r="C193" t="s">
        <v>1476</v>
      </c>
      <c r="D193" t="s">
        <v>1477</v>
      </c>
      <c r="E193" t="s">
        <v>1478</v>
      </c>
      <c r="F193" t="s">
        <v>1479</v>
      </c>
      <c r="G193" t="s">
        <v>1480</v>
      </c>
      <c r="H193" t="s">
        <v>42</v>
      </c>
      <c r="I193" t="s">
        <v>1481</v>
      </c>
      <c r="J193" t="s">
        <v>1482</v>
      </c>
      <c r="K193">
        <v>8790</v>
      </c>
      <c r="L193" t="s">
        <v>505</v>
      </c>
      <c r="M193" t="s">
        <v>46</v>
      </c>
      <c r="N193" t="s">
        <v>47</v>
      </c>
      <c r="O193">
        <v>2</v>
      </c>
      <c r="P193">
        <v>1</v>
      </c>
      <c r="Q193">
        <v>2</v>
      </c>
      <c r="R193" t="s">
        <v>48</v>
      </c>
      <c r="S193" t="s">
        <v>49</v>
      </c>
      <c r="T193" s="3">
        <v>0.84</v>
      </c>
      <c r="U193" s="3">
        <v>0.23</v>
      </c>
      <c r="V193" s="3">
        <v>1.81</v>
      </c>
      <c r="W193">
        <v>1.08</v>
      </c>
      <c r="X193" t="s">
        <v>50</v>
      </c>
      <c r="Y193" s="3">
        <v>9.19</v>
      </c>
      <c r="Z193" t="s">
        <v>109</v>
      </c>
      <c r="AA193" t="s">
        <v>1059</v>
      </c>
      <c r="AB193" t="s">
        <v>53</v>
      </c>
      <c r="AC193" s="3">
        <v>1.06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f t="shared" si="4"/>
        <v>13.13</v>
      </c>
      <c r="AK193" s="3">
        <f t="shared" si="5"/>
        <v>3.9400000000000013</v>
      </c>
    </row>
    <row r="194" spans="1:37">
      <c r="A194">
        <v>10273476</v>
      </c>
      <c r="B194" t="s">
        <v>37</v>
      </c>
      <c r="C194" t="s">
        <v>1483</v>
      </c>
      <c r="E194" t="s">
        <v>1484</v>
      </c>
      <c r="F194" t="s">
        <v>1485</v>
      </c>
      <c r="G194" t="s">
        <v>1486</v>
      </c>
      <c r="H194" t="s">
        <v>42</v>
      </c>
      <c r="I194" t="s">
        <v>1487</v>
      </c>
      <c r="J194" t="s">
        <v>1488</v>
      </c>
      <c r="K194">
        <v>65205</v>
      </c>
      <c r="L194" t="s">
        <v>71</v>
      </c>
      <c r="M194" t="s">
        <v>46</v>
      </c>
      <c r="N194" t="s">
        <v>47</v>
      </c>
      <c r="O194">
        <v>2</v>
      </c>
      <c r="P194">
        <v>1</v>
      </c>
      <c r="Q194">
        <v>2</v>
      </c>
      <c r="R194" t="s">
        <v>48</v>
      </c>
      <c r="S194" t="s">
        <v>49</v>
      </c>
      <c r="T194" s="3">
        <v>0.84</v>
      </c>
      <c r="U194" s="3">
        <v>0.23</v>
      </c>
      <c r="V194" s="3">
        <v>1.81</v>
      </c>
      <c r="W194">
        <v>1.08</v>
      </c>
      <c r="X194" t="s">
        <v>108</v>
      </c>
      <c r="Y194" s="3">
        <v>13.46</v>
      </c>
      <c r="Z194" t="s">
        <v>109</v>
      </c>
      <c r="AA194" t="s">
        <v>1489</v>
      </c>
      <c r="AB194" t="s">
        <v>53</v>
      </c>
      <c r="AC194" s="3">
        <v>1.06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f t="shared" ref="AJ194:AJ257" si="6">AI194+AH194+AG194+AF194+AE194+AD194+AC194+Y194+V194+U194+T194</f>
        <v>17.400000000000002</v>
      </c>
      <c r="AK194" s="3">
        <f t="shared" ref="AK194:AK257" si="7">AJ194-Y194</f>
        <v>3.9400000000000013</v>
      </c>
    </row>
    <row r="195" spans="1:37">
      <c r="A195">
        <v>10272995</v>
      </c>
      <c r="B195" t="s">
        <v>37</v>
      </c>
      <c r="C195" t="s">
        <v>1490</v>
      </c>
      <c r="E195" t="s">
        <v>1491</v>
      </c>
      <c r="F195" t="s">
        <v>1492</v>
      </c>
      <c r="G195" t="s">
        <v>1493</v>
      </c>
      <c r="H195" t="s">
        <v>42</v>
      </c>
      <c r="I195" t="s">
        <v>1494</v>
      </c>
      <c r="J195" t="s">
        <v>1495</v>
      </c>
      <c r="K195">
        <v>1200</v>
      </c>
      <c r="L195" t="s">
        <v>505</v>
      </c>
      <c r="M195" t="s">
        <v>46</v>
      </c>
      <c r="N195" t="s">
        <v>47</v>
      </c>
      <c r="O195">
        <v>2</v>
      </c>
      <c r="P195">
        <v>1</v>
      </c>
      <c r="Q195">
        <v>2</v>
      </c>
      <c r="R195" t="s">
        <v>48</v>
      </c>
      <c r="S195" t="s">
        <v>49</v>
      </c>
      <c r="T195" s="3">
        <v>0.84</v>
      </c>
      <c r="U195" s="3">
        <v>0.23</v>
      </c>
      <c r="V195" s="3">
        <v>1.81</v>
      </c>
      <c r="W195">
        <v>2.59</v>
      </c>
      <c r="X195" t="s">
        <v>50</v>
      </c>
      <c r="Y195" s="3">
        <v>9.19</v>
      </c>
      <c r="Z195" t="s">
        <v>73</v>
      </c>
      <c r="AA195" t="s">
        <v>1496</v>
      </c>
      <c r="AB195" t="s">
        <v>53</v>
      </c>
      <c r="AC195" s="3">
        <v>1.29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f t="shared" si="6"/>
        <v>13.360000000000001</v>
      </c>
      <c r="AK195" s="3">
        <f t="shared" si="7"/>
        <v>4.1700000000000017</v>
      </c>
    </row>
    <row r="196" spans="1:37">
      <c r="A196">
        <v>10272105</v>
      </c>
      <c r="B196" t="s">
        <v>37</v>
      </c>
      <c r="C196" t="s">
        <v>1497</v>
      </c>
      <c r="E196" t="s">
        <v>1498</v>
      </c>
      <c r="F196" t="s">
        <v>1499</v>
      </c>
      <c r="G196" t="s">
        <v>1500</v>
      </c>
      <c r="H196" t="s">
        <v>42</v>
      </c>
      <c r="I196" t="s">
        <v>1501</v>
      </c>
      <c r="J196" t="s">
        <v>1502</v>
      </c>
      <c r="K196" t="s">
        <v>1503</v>
      </c>
      <c r="L196" t="s">
        <v>142</v>
      </c>
      <c r="M196" t="s">
        <v>46</v>
      </c>
      <c r="N196" t="s">
        <v>47</v>
      </c>
      <c r="O196">
        <v>2</v>
      </c>
      <c r="P196">
        <v>1</v>
      </c>
      <c r="Q196">
        <v>2</v>
      </c>
      <c r="R196" t="s">
        <v>48</v>
      </c>
      <c r="S196" t="s">
        <v>49</v>
      </c>
      <c r="T196" s="3">
        <v>0.84</v>
      </c>
      <c r="U196" s="3">
        <v>0.23</v>
      </c>
      <c r="V196" s="3">
        <v>1.81</v>
      </c>
      <c r="W196">
        <v>1.3</v>
      </c>
      <c r="X196" t="s">
        <v>50</v>
      </c>
      <c r="Y196" s="3">
        <v>16.43</v>
      </c>
      <c r="Z196" t="s">
        <v>109</v>
      </c>
      <c r="AA196" t="s">
        <v>1504</v>
      </c>
      <c r="AB196" t="s">
        <v>53</v>
      </c>
      <c r="AC196" s="3">
        <v>1.06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f t="shared" si="6"/>
        <v>20.369999999999997</v>
      </c>
      <c r="AK196" s="3">
        <f t="shared" si="7"/>
        <v>3.9399999999999977</v>
      </c>
    </row>
    <row r="197" spans="1:37">
      <c r="A197">
        <v>10269429</v>
      </c>
      <c r="B197" t="s">
        <v>37</v>
      </c>
      <c r="C197" t="s">
        <v>1505</v>
      </c>
      <c r="E197" t="s">
        <v>731</v>
      </c>
      <c r="F197" t="s">
        <v>1506</v>
      </c>
      <c r="G197" t="s">
        <v>1507</v>
      </c>
      <c r="H197" t="s">
        <v>42</v>
      </c>
      <c r="I197" t="s">
        <v>1508</v>
      </c>
      <c r="J197" t="s">
        <v>1509</v>
      </c>
      <c r="K197">
        <v>50968</v>
      </c>
      <c r="L197" t="s">
        <v>71</v>
      </c>
      <c r="M197" t="s">
        <v>46</v>
      </c>
      <c r="N197" t="s">
        <v>47</v>
      </c>
      <c r="O197">
        <v>2</v>
      </c>
      <c r="P197">
        <v>1</v>
      </c>
      <c r="Q197">
        <v>2</v>
      </c>
      <c r="R197" t="s">
        <v>48</v>
      </c>
      <c r="S197" t="s">
        <v>49</v>
      </c>
      <c r="T197" s="3">
        <v>0.84</v>
      </c>
      <c r="U197" s="3">
        <v>0.23</v>
      </c>
      <c r="V197" s="3">
        <v>1.81</v>
      </c>
      <c r="W197">
        <v>0.88</v>
      </c>
      <c r="X197" t="s">
        <v>108</v>
      </c>
      <c r="Y197" s="3">
        <v>9.3000000000000007</v>
      </c>
      <c r="Z197" t="s">
        <v>109</v>
      </c>
      <c r="AA197" t="s">
        <v>1510</v>
      </c>
      <c r="AB197" t="s">
        <v>53</v>
      </c>
      <c r="AC197" s="3">
        <v>1.06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f t="shared" si="6"/>
        <v>13.240000000000002</v>
      </c>
      <c r="AK197" s="3">
        <f t="shared" si="7"/>
        <v>3.9400000000000013</v>
      </c>
    </row>
    <row r="198" spans="1:37">
      <c r="A198">
        <v>10273735</v>
      </c>
      <c r="B198" t="s">
        <v>37</v>
      </c>
      <c r="C198" t="s">
        <v>1511</v>
      </c>
      <c r="E198" t="s">
        <v>1512</v>
      </c>
      <c r="F198" t="s">
        <v>1513</v>
      </c>
      <c r="G198" t="s">
        <v>1514</v>
      </c>
      <c r="H198" t="s">
        <v>42</v>
      </c>
      <c r="I198" t="s">
        <v>1515</v>
      </c>
      <c r="J198" t="s">
        <v>1516</v>
      </c>
      <c r="K198" t="s">
        <v>1517</v>
      </c>
      <c r="L198" t="s">
        <v>91</v>
      </c>
      <c r="M198" t="s">
        <v>46</v>
      </c>
      <c r="N198" t="s">
        <v>47</v>
      </c>
      <c r="O198">
        <v>3</v>
      </c>
      <c r="P198">
        <v>1</v>
      </c>
      <c r="Q198">
        <v>3</v>
      </c>
      <c r="R198" t="s">
        <v>48</v>
      </c>
      <c r="S198" t="s">
        <v>49</v>
      </c>
      <c r="T198" s="3">
        <v>0.84</v>
      </c>
      <c r="U198" s="3">
        <v>0.23</v>
      </c>
      <c r="V198" s="3">
        <v>2.68</v>
      </c>
      <c r="W198">
        <v>4.7</v>
      </c>
      <c r="X198" t="s">
        <v>50</v>
      </c>
      <c r="Y198" s="3">
        <v>16.43</v>
      </c>
      <c r="Z198" t="s">
        <v>83</v>
      </c>
      <c r="AA198" t="s">
        <v>1518</v>
      </c>
      <c r="AB198" t="s">
        <v>53</v>
      </c>
      <c r="AC198" s="3">
        <v>1.27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f t="shared" si="6"/>
        <v>21.45</v>
      </c>
      <c r="AK198" s="3">
        <f t="shared" si="7"/>
        <v>5.0199999999999996</v>
      </c>
    </row>
    <row r="199" spans="1:37">
      <c r="A199">
        <v>10270511</v>
      </c>
      <c r="B199" t="s">
        <v>37</v>
      </c>
      <c r="C199" t="s">
        <v>1519</v>
      </c>
      <c r="E199" t="s">
        <v>437</v>
      </c>
      <c r="F199" t="s">
        <v>1520</v>
      </c>
      <c r="G199" t="s">
        <v>1521</v>
      </c>
      <c r="H199" t="s">
        <v>42</v>
      </c>
      <c r="I199" t="s">
        <v>1522</v>
      </c>
      <c r="J199" t="s">
        <v>1523</v>
      </c>
      <c r="K199" t="s">
        <v>1524</v>
      </c>
      <c r="L199" t="s">
        <v>142</v>
      </c>
      <c r="M199" t="s">
        <v>46</v>
      </c>
      <c r="N199" t="s">
        <v>47</v>
      </c>
      <c r="O199">
        <v>5</v>
      </c>
      <c r="P199">
        <v>1</v>
      </c>
      <c r="Q199">
        <v>5</v>
      </c>
      <c r="R199" t="s">
        <v>48</v>
      </c>
      <c r="S199" t="s">
        <v>49</v>
      </c>
      <c r="T199" s="3">
        <v>0.84</v>
      </c>
      <c r="U199" s="3">
        <v>0.23</v>
      </c>
      <c r="V199" s="3">
        <v>4.42</v>
      </c>
      <c r="W199">
        <v>2.5499999999999998</v>
      </c>
      <c r="X199" t="s">
        <v>50</v>
      </c>
      <c r="Y199" s="3">
        <v>16.43</v>
      </c>
      <c r="Z199" t="s">
        <v>73</v>
      </c>
      <c r="AA199" t="s">
        <v>1525</v>
      </c>
      <c r="AB199" t="s">
        <v>53</v>
      </c>
      <c r="AC199" s="3">
        <v>1.29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f t="shared" si="6"/>
        <v>23.21</v>
      </c>
      <c r="AK199" s="3">
        <f t="shared" si="7"/>
        <v>6.7800000000000011</v>
      </c>
    </row>
    <row r="200" spans="1:37">
      <c r="A200">
        <v>10273729</v>
      </c>
      <c r="B200" t="s">
        <v>37</v>
      </c>
      <c r="C200" t="s">
        <v>1526</v>
      </c>
      <c r="E200" t="s">
        <v>1527</v>
      </c>
      <c r="F200" t="s">
        <v>1528</v>
      </c>
      <c r="G200" t="s">
        <v>1529</v>
      </c>
      <c r="H200" t="s">
        <v>42</v>
      </c>
      <c r="I200" t="s">
        <v>1530</v>
      </c>
      <c r="J200" t="s">
        <v>1531</v>
      </c>
      <c r="K200" t="s">
        <v>1532</v>
      </c>
      <c r="L200" t="s">
        <v>142</v>
      </c>
      <c r="M200" t="s">
        <v>46</v>
      </c>
      <c r="N200" t="s">
        <v>47</v>
      </c>
      <c r="O200">
        <v>3</v>
      </c>
      <c r="P200">
        <v>1</v>
      </c>
      <c r="Q200">
        <v>3</v>
      </c>
      <c r="R200" t="s">
        <v>48</v>
      </c>
      <c r="S200" t="s">
        <v>49</v>
      </c>
      <c r="T200" s="3">
        <v>0.84</v>
      </c>
      <c r="U200" s="3">
        <v>0.23</v>
      </c>
      <c r="V200" s="3">
        <v>2.68</v>
      </c>
      <c r="W200">
        <v>1.57</v>
      </c>
      <c r="X200" t="s">
        <v>50</v>
      </c>
      <c r="Y200" s="3">
        <v>16.43</v>
      </c>
      <c r="Z200" t="s">
        <v>73</v>
      </c>
      <c r="AA200" t="s">
        <v>1533</v>
      </c>
      <c r="AB200" t="s">
        <v>53</v>
      </c>
      <c r="AC200" s="3">
        <v>1.29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f t="shared" si="6"/>
        <v>21.47</v>
      </c>
      <c r="AK200" s="3">
        <f t="shared" si="7"/>
        <v>5.0399999999999991</v>
      </c>
    </row>
    <row r="201" spans="1:37">
      <c r="A201">
        <v>10275828</v>
      </c>
      <c r="B201" t="s">
        <v>37</v>
      </c>
      <c r="C201" t="s">
        <v>1534</v>
      </c>
      <c r="E201" t="s">
        <v>1038</v>
      </c>
      <c r="F201" t="s">
        <v>1535</v>
      </c>
      <c r="G201" t="s">
        <v>1536</v>
      </c>
      <c r="H201" t="s">
        <v>42</v>
      </c>
      <c r="I201" t="s">
        <v>1537</v>
      </c>
      <c r="J201" t="s">
        <v>1538</v>
      </c>
      <c r="K201" t="s">
        <v>1539</v>
      </c>
      <c r="L201" t="s">
        <v>82</v>
      </c>
      <c r="M201" t="s">
        <v>46</v>
      </c>
      <c r="N201" t="s">
        <v>47</v>
      </c>
      <c r="O201">
        <v>4</v>
      </c>
      <c r="P201">
        <v>1</v>
      </c>
      <c r="Q201">
        <v>4</v>
      </c>
      <c r="R201" t="s">
        <v>48</v>
      </c>
      <c r="S201" t="s">
        <v>49</v>
      </c>
      <c r="T201" s="3">
        <v>0.84</v>
      </c>
      <c r="U201" s="3">
        <v>0.23</v>
      </c>
      <c r="V201" s="3">
        <v>3.55</v>
      </c>
      <c r="W201">
        <v>2.06</v>
      </c>
      <c r="X201" t="s">
        <v>50</v>
      </c>
      <c r="Y201" s="3">
        <v>9.19</v>
      </c>
      <c r="Z201" t="s">
        <v>73</v>
      </c>
      <c r="AA201" t="s">
        <v>990</v>
      </c>
      <c r="AB201" t="s">
        <v>53</v>
      </c>
      <c r="AC201" s="3">
        <v>1.29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f t="shared" si="6"/>
        <v>15.100000000000001</v>
      </c>
      <c r="AK201" s="3">
        <f t="shared" si="7"/>
        <v>5.9100000000000019</v>
      </c>
    </row>
    <row r="202" spans="1:37">
      <c r="A202">
        <v>10273248</v>
      </c>
      <c r="B202" t="s">
        <v>37</v>
      </c>
      <c r="C202" t="s">
        <v>1540</v>
      </c>
      <c r="E202" t="s">
        <v>1541</v>
      </c>
      <c r="F202" t="s">
        <v>1542</v>
      </c>
      <c r="G202" t="s">
        <v>1543</v>
      </c>
      <c r="H202" t="s">
        <v>42</v>
      </c>
      <c r="I202" t="s">
        <v>1544</v>
      </c>
      <c r="J202" t="s">
        <v>1545</v>
      </c>
      <c r="K202">
        <v>59420</v>
      </c>
      <c r="L202" t="s">
        <v>130</v>
      </c>
      <c r="M202" t="s">
        <v>46</v>
      </c>
      <c r="N202" t="s">
        <v>47</v>
      </c>
      <c r="O202">
        <v>3</v>
      </c>
      <c r="P202">
        <v>1</v>
      </c>
      <c r="Q202">
        <v>3</v>
      </c>
      <c r="R202" t="s">
        <v>48</v>
      </c>
      <c r="S202" t="s">
        <v>49</v>
      </c>
      <c r="T202" s="3">
        <v>0.84</v>
      </c>
      <c r="U202" s="3">
        <v>0.23</v>
      </c>
      <c r="V202" s="3">
        <v>2.68</v>
      </c>
      <c r="W202">
        <v>1.57</v>
      </c>
      <c r="X202" t="s">
        <v>50</v>
      </c>
      <c r="Y202" s="3">
        <v>14.26</v>
      </c>
      <c r="Z202" t="s">
        <v>73</v>
      </c>
      <c r="AA202" t="s">
        <v>887</v>
      </c>
      <c r="AB202" t="s">
        <v>53</v>
      </c>
      <c r="AC202" s="3">
        <v>1.29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f t="shared" si="6"/>
        <v>19.3</v>
      </c>
      <c r="AK202" s="3">
        <f t="shared" si="7"/>
        <v>5.0400000000000009</v>
      </c>
    </row>
    <row r="203" spans="1:37">
      <c r="A203">
        <v>10269980</v>
      </c>
      <c r="B203" t="s">
        <v>37</v>
      </c>
      <c r="C203" t="s">
        <v>1546</v>
      </c>
      <c r="E203" t="s">
        <v>1547</v>
      </c>
      <c r="F203" t="s">
        <v>1548</v>
      </c>
      <c r="G203" t="s">
        <v>1549</v>
      </c>
      <c r="H203" t="s">
        <v>42</v>
      </c>
      <c r="I203" t="s">
        <v>1550</v>
      </c>
      <c r="J203" t="s">
        <v>1551</v>
      </c>
      <c r="K203" t="s">
        <v>1552</v>
      </c>
      <c r="L203" t="s">
        <v>142</v>
      </c>
      <c r="M203" t="s">
        <v>46</v>
      </c>
      <c r="N203" t="s">
        <v>47</v>
      </c>
      <c r="O203">
        <v>3</v>
      </c>
      <c r="P203">
        <v>1</v>
      </c>
      <c r="Q203">
        <v>3</v>
      </c>
      <c r="R203" t="s">
        <v>48</v>
      </c>
      <c r="S203" t="s">
        <v>49</v>
      </c>
      <c r="T203" s="3">
        <v>0.84</v>
      </c>
      <c r="U203" s="3">
        <v>0.23</v>
      </c>
      <c r="V203" s="3">
        <v>2.68</v>
      </c>
      <c r="W203">
        <v>1.6</v>
      </c>
      <c r="X203" t="s">
        <v>50</v>
      </c>
      <c r="Y203" s="3">
        <v>16.43</v>
      </c>
      <c r="Z203" t="s">
        <v>73</v>
      </c>
      <c r="AA203" t="s">
        <v>1553</v>
      </c>
      <c r="AB203" t="s">
        <v>53</v>
      </c>
      <c r="AC203" s="3">
        <v>1.29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f t="shared" si="6"/>
        <v>21.47</v>
      </c>
      <c r="AK203" s="3">
        <f t="shared" si="7"/>
        <v>5.0399999999999991</v>
      </c>
    </row>
    <row r="204" spans="1:37">
      <c r="A204">
        <v>10271621</v>
      </c>
      <c r="B204" t="s">
        <v>37</v>
      </c>
      <c r="C204" t="s">
        <v>1554</v>
      </c>
      <c r="E204" t="s">
        <v>1555</v>
      </c>
      <c r="F204" t="s">
        <v>1556</v>
      </c>
      <c r="G204" t="s">
        <v>1557</v>
      </c>
      <c r="H204" t="s">
        <v>42</v>
      </c>
      <c r="I204" t="s">
        <v>1558</v>
      </c>
      <c r="J204" t="s">
        <v>1559</v>
      </c>
      <c r="K204" t="s">
        <v>1560</v>
      </c>
      <c r="L204" t="s">
        <v>142</v>
      </c>
      <c r="M204" t="s">
        <v>46</v>
      </c>
      <c r="N204" t="s">
        <v>47</v>
      </c>
      <c r="O204">
        <v>6</v>
      </c>
      <c r="P204">
        <v>1</v>
      </c>
      <c r="Q204">
        <v>6</v>
      </c>
      <c r="R204" t="s">
        <v>48</v>
      </c>
      <c r="S204" t="s">
        <v>49</v>
      </c>
      <c r="T204" s="3">
        <v>0.84</v>
      </c>
      <c r="U204" s="3">
        <v>0.23</v>
      </c>
      <c r="V204" s="3">
        <v>5.29</v>
      </c>
      <c r="W204">
        <v>2.44</v>
      </c>
      <c r="X204" t="s">
        <v>50</v>
      </c>
      <c r="Y204" s="3">
        <v>16.43</v>
      </c>
      <c r="Z204" t="s">
        <v>83</v>
      </c>
      <c r="AA204" t="s">
        <v>1561</v>
      </c>
      <c r="AB204" t="s">
        <v>53</v>
      </c>
      <c r="AC204" s="3">
        <v>1.27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f t="shared" si="6"/>
        <v>24.06</v>
      </c>
      <c r="AK204" s="3">
        <f t="shared" si="7"/>
        <v>7.629999999999999</v>
      </c>
    </row>
    <row r="205" spans="1:37">
      <c r="A205">
        <v>10271861</v>
      </c>
      <c r="B205" t="s">
        <v>37</v>
      </c>
      <c r="C205" t="s">
        <v>1562</v>
      </c>
      <c r="E205" t="s">
        <v>1563</v>
      </c>
      <c r="F205" t="s">
        <v>1564</v>
      </c>
      <c r="G205" t="s">
        <v>1565</v>
      </c>
      <c r="H205" t="s">
        <v>42</v>
      </c>
      <c r="I205" t="s">
        <v>1566</v>
      </c>
      <c r="J205" t="s">
        <v>1567</v>
      </c>
      <c r="K205" t="s">
        <v>1568</v>
      </c>
      <c r="L205" t="s">
        <v>142</v>
      </c>
      <c r="M205" t="s">
        <v>46</v>
      </c>
      <c r="N205" t="s">
        <v>47</v>
      </c>
      <c r="O205">
        <v>4</v>
      </c>
      <c r="P205">
        <v>1</v>
      </c>
      <c r="Q205">
        <v>4</v>
      </c>
      <c r="R205" t="s">
        <v>48</v>
      </c>
      <c r="S205" t="s">
        <v>49</v>
      </c>
      <c r="T205" s="3">
        <v>0.84</v>
      </c>
      <c r="U205" s="3">
        <v>0.23</v>
      </c>
      <c r="V205" s="3">
        <v>3.55</v>
      </c>
      <c r="W205">
        <v>1.66</v>
      </c>
      <c r="X205" t="s">
        <v>50</v>
      </c>
      <c r="Y205" s="3">
        <v>16.43</v>
      </c>
      <c r="Z205" t="s">
        <v>73</v>
      </c>
      <c r="AA205" t="s">
        <v>1569</v>
      </c>
      <c r="AB205" t="s">
        <v>53</v>
      </c>
      <c r="AC205" s="3">
        <v>1.29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f t="shared" si="6"/>
        <v>22.34</v>
      </c>
      <c r="AK205" s="3">
        <f t="shared" si="7"/>
        <v>5.91</v>
      </c>
    </row>
    <row r="206" spans="1:37">
      <c r="A206">
        <v>10271618</v>
      </c>
      <c r="B206" t="s">
        <v>37</v>
      </c>
      <c r="C206" t="s">
        <v>1570</v>
      </c>
      <c r="E206" t="s">
        <v>1571</v>
      </c>
      <c r="F206" t="s">
        <v>1572</v>
      </c>
      <c r="G206" t="s">
        <v>1573</v>
      </c>
      <c r="H206" t="s">
        <v>42</v>
      </c>
      <c r="I206" t="s">
        <v>1574</v>
      </c>
      <c r="J206" t="s">
        <v>1575</v>
      </c>
      <c r="K206">
        <v>59581</v>
      </c>
      <c r="L206" t="s">
        <v>71</v>
      </c>
      <c r="M206" t="s">
        <v>46</v>
      </c>
      <c r="N206" t="s">
        <v>47</v>
      </c>
      <c r="O206">
        <v>3</v>
      </c>
      <c r="P206">
        <v>1</v>
      </c>
      <c r="Q206">
        <v>3</v>
      </c>
      <c r="R206" t="s">
        <v>48</v>
      </c>
      <c r="S206" t="s">
        <v>49</v>
      </c>
      <c r="T206" s="3">
        <v>0.84</v>
      </c>
      <c r="U206" s="3">
        <v>0.23</v>
      </c>
      <c r="V206" s="3">
        <v>2.68</v>
      </c>
      <c r="W206">
        <v>1.5</v>
      </c>
      <c r="X206" t="s">
        <v>72</v>
      </c>
      <c r="Y206" s="3">
        <v>5.44</v>
      </c>
      <c r="Z206" t="s">
        <v>73</v>
      </c>
      <c r="AA206" t="s">
        <v>1576</v>
      </c>
      <c r="AB206" t="s">
        <v>53</v>
      </c>
      <c r="AC206" s="3">
        <v>1.29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f t="shared" si="6"/>
        <v>10.48</v>
      </c>
      <c r="AK206" s="3">
        <f t="shared" si="7"/>
        <v>5.04</v>
      </c>
    </row>
    <row r="207" spans="1:37">
      <c r="A207">
        <v>10269154</v>
      </c>
      <c r="B207" t="s">
        <v>37</v>
      </c>
      <c r="C207" t="s">
        <v>1577</v>
      </c>
      <c r="E207" t="s">
        <v>1578</v>
      </c>
      <c r="F207" t="s">
        <v>1579</v>
      </c>
      <c r="G207" t="s">
        <v>1580</v>
      </c>
      <c r="H207" t="s">
        <v>42</v>
      </c>
      <c r="I207" t="s">
        <v>1581</v>
      </c>
      <c r="J207" t="s">
        <v>1582</v>
      </c>
      <c r="K207">
        <v>2550</v>
      </c>
      <c r="L207" t="s">
        <v>505</v>
      </c>
      <c r="M207" t="s">
        <v>46</v>
      </c>
      <c r="N207" t="s">
        <v>47</v>
      </c>
      <c r="O207">
        <v>5</v>
      </c>
      <c r="P207">
        <v>1</v>
      </c>
      <c r="Q207">
        <v>5</v>
      </c>
      <c r="R207" t="s">
        <v>48</v>
      </c>
      <c r="S207" t="s">
        <v>49</v>
      </c>
      <c r="T207" s="3">
        <v>0.84</v>
      </c>
      <c r="U207" s="3">
        <v>0.23</v>
      </c>
      <c r="V207" s="3">
        <v>4.42</v>
      </c>
      <c r="W207">
        <v>2.15</v>
      </c>
      <c r="X207" t="s">
        <v>50</v>
      </c>
      <c r="Y207" s="3">
        <v>9.19</v>
      </c>
      <c r="Z207" t="s">
        <v>73</v>
      </c>
      <c r="AA207" t="s">
        <v>1583</v>
      </c>
      <c r="AB207" t="s">
        <v>53</v>
      </c>
      <c r="AC207" s="3">
        <v>1.29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f t="shared" si="6"/>
        <v>15.97</v>
      </c>
      <c r="AK207" s="3">
        <f t="shared" si="7"/>
        <v>6.7800000000000011</v>
      </c>
    </row>
    <row r="208" spans="1:37">
      <c r="A208">
        <v>10274476</v>
      </c>
      <c r="B208" t="s">
        <v>37</v>
      </c>
      <c r="C208" t="s">
        <v>1584</v>
      </c>
      <c r="E208" t="s">
        <v>1585</v>
      </c>
      <c r="F208" t="s">
        <v>1586</v>
      </c>
      <c r="G208" t="s">
        <v>1587</v>
      </c>
      <c r="H208" t="s">
        <v>42</v>
      </c>
      <c r="I208" t="s">
        <v>1588</v>
      </c>
      <c r="J208" t="s">
        <v>1589</v>
      </c>
      <c r="K208" t="s">
        <v>1590</v>
      </c>
      <c r="L208" t="s">
        <v>91</v>
      </c>
      <c r="M208" t="s">
        <v>46</v>
      </c>
      <c r="N208" t="s">
        <v>47</v>
      </c>
      <c r="O208">
        <v>5</v>
      </c>
      <c r="P208">
        <v>1</v>
      </c>
      <c r="Q208">
        <v>5</v>
      </c>
      <c r="R208" t="s">
        <v>48</v>
      </c>
      <c r="S208" t="s">
        <v>49</v>
      </c>
      <c r="T208" s="3">
        <v>0.84</v>
      </c>
      <c r="U208" s="3">
        <v>0.23</v>
      </c>
      <c r="V208" s="3">
        <v>4.42</v>
      </c>
      <c r="W208">
        <v>2.2000000000000002</v>
      </c>
      <c r="X208" t="s">
        <v>50</v>
      </c>
      <c r="Y208" s="3">
        <v>16.43</v>
      </c>
      <c r="Z208" t="s">
        <v>73</v>
      </c>
      <c r="AA208" t="s">
        <v>1591</v>
      </c>
      <c r="AB208" t="s">
        <v>53</v>
      </c>
      <c r="AC208" s="3">
        <v>1.29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f t="shared" si="6"/>
        <v>23.21</v>
      </c>
      <c r="AK208" s="3">
        <f t="shared" si="7"/>
        <v>6.7800000000000011</v>
      </c>
    </row>
    <row r="209" spans="1:37">
      <c r="A209">
        <v>10274236</v>
      </c>
      <c r="B209" t="s">
        <v>37</v>
      </c>
      <c r="C209" t="s">
        <v>1592</v>
      </c>
      <c r="E209" t="s">
        <v>1593</v>
      </c>
      <c r="F209" t="s">
        <v>1594</v>
      </c>
      <c r="G209" t="s">
        <v>1595</v>
      </c>
      <c r="H209" t="s">
        <v>42</v>
      </c>
      <c r="I209" t="s">
        <v>1596</v>
      </c>
      <c r="J209" t="s">
        <v>1597</v>
      </c>
      <c r="K209">
        <v>20251</v>
      </c>
      <c r="L209" t="s">
        <v>71</v>
      </c>
      <c r="M209" t="s">
        <v>46</v>
      </c>
      <c r="N209" t="s">
        <v>47</v>
      </c>
      <c r="O209">
        <v>9</v>
      </c>
      <c r="P209">
        <v>1</v>
      </c>
      <c r="Q209">
        <v>9</v>
      </c>
      <c r="R209" t="s">
        <v>48</v>
      </c>
      <c r="S209" t="s">
        <v>49</v>
      </c>
      <c r="T209" s="3">
        <v>0.84</v>
      </c>
      <c r="U209" s="3">
        <v>0.23</v>
      </c>
      <c r="V209" s="3">
        <v>7.9</v>
      </c>
      <c r="W209">
        <v>4.76</v>
      </c>
      <c r="X209" t="s">
        <v>72</v>
      </c>
      <c r="Y209" s="3">
        <v>6.61</v>
      </c>
      <c r="Z209" t="s">
        <v>83</v>
      </c>
      <c r="AA209" t="s">
        <v>1598</v>
      </c>
      <c r="AB209" t="s">
        <v>53</v>
      </c>
      <c r="AC209" s="3">
        <v>1.27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f t="shared" si="6"/>
        <v>16.850000000000001</v>
      </c>
      <c r="AK209" s="3">
        <f t="shared" si="7"/>
        <v>10.240000000000002</v>
      </c>
    </row>
    <row r="210" spans="1:37">
      <c r="A210">
        <v>10273737</v>
      </c>
      <c r="B210" t="s">
        <v>37</v>
      </c>
      <c r="C210" t="s">
        <v>1599</v>
      </c>
      <c r="E210" t="s">
        <v>1600</v>
      </c>
      <c r="F210" t="s">
        <v>1601</v>
      </c>
      <c r="G210" t="s">
        <v>1602</v>
      </c>
      <c r="H210" t="s">
        <v>42</v>
      </c>
      <c r="I210" t="s">
        <v>1603</v>
      </c>
      <c r="J210" t="s">
        <v>1604</v>
      </c>
      <c r="K210" t="s">
        <v>1605</v>
      </c>
      <c r="L210" t="s">
        <v>142</v>
      </c>
      <c r="M210" t="s">
        <v>46</v>
      </c>
      <c r="N210" t="s">
        <v>47</v>
      </c>
      <c r="O210">
        <v>6</v>
      </c>
      <c r="P210">
        <v>1</v>
      </c>
      <c r="Q210">
        <v>6</v>
      </c>
      <c r="R210" t="s">
        <v>48</v>
      </c>
      <c r="S210" t="s">
        <v>49</v>
      </c>
      <c r="T210" s="3">
        <v>0.84</v>
      </c>
      <c r="U210" s="3">
        <v>0.23</v>
      </c>
      <c r="V210" s="3">
        <v>5.29</v>
      </c>
      <c r="W210">
        <v>3.04</v>
      </c>
      <c r="X210" t="s">
        <v>50</v>
      </c>
      <c r="Y210" s="3">
        <v>16.43</v>
      </c>
      <c r="Z210" t="s">
        <v>83</v>
      </c>
      <c r="AA210" t="s">
        <v>1606</v>
      </c>
      <c r="AB210" t="s">
        <v>53</v>
      </c>
      <c r="AC210" s="3">
        <v>1.27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f t="shared" si="6"/>
        <v>24.06</v>
      </c>
      <c r="AK210" s="3">
        <f t="shared" si="7"/>
        <v>7.629999999999999</v>
      </c>
    </row>
    <row r="211" spans="1:37">
      <c r="A211">
        <v>10273989</v>
      </c>
      <c r="B211" t="s">
        <v>37</v>
      </c>
      <c r="C211" t="s">
        <v>1607</v>
      </c>
      <c r="E211" t="s">
        <v>1608</v>
      </c>
      <c r="F211" t="s">
        <v>1609</v>
      </c>
      <c r="G211" t="s">
        <v>1610</v>
      </c>
      <c r="H211" t="s">
        <v>42</v>
      </c>
      <c r="I211" t="s">
        <v>1611</v>
      </c>
      <c r="J211" t="s">
        <v>1612</v>
      </c>
      <c r="K211">
        <v>61381</v>
      </c>
      <c r="L211" t="s">
        <v>71</v>
      </c>
      <c r="M211" t="s">
        <v>46</v>
      </c>
      <c r="N211" t="s">
        <v>47</v>
      </c>
      <c r="O211">
        <v>4</v>
      </c>
      <c r="P211">
        <v>1</v>
      </c>
      <c r="Q211">
        <v>4</v>
      </c>
      <c r="R211" t="s">
        <v>48</v>
      </c>
      <c r="S211" t="s">
        <v>49</v>
      </c>
      <c r="T211" s="3">
        <v>0.84</v>
      </c>
      <c r="U211" s="3">
        <v>0.23</v>
      </c>
      <c r="V211" s="3">
        <v>3.55</v>
      </c>
      <c r="W211">
        <v>1.42</v>
      </c>
      <c r="X211" t="s">
        <v>72</v>
      </c>
      <c r="Y211" s="3">
        <v>5.44</v>
      </c>
      <c r="Z211" t="s">
        <v>73</v>
      </c>
      <c r="AA211" t="s">
        <v>1613</v>
      </c>
      <c r="AB211" t="s">
        <v>53</v>
      </c>
      <c r="AC211" s="3">
        <v>1.29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f t="shared" si="6"/>
        <v>11.350000000000001</v>
      </c>
      <c r="AK211" s="3">
        <f t="shared" si="7"/>
        <v>5.910000000000001</v>
      </c>
    </row>
    <row r="212" spans="1:37">
      <c r="A212">
        <v>10278901</v>
      </c>
      <c r="B212" t="s">
        <v>37</v>
      </c>
      <c r="C212" t="s">
        <v>1614</v>
      </c>
      <c r="E212" t="s">
        <v>872</v>
      </c>
      <c r="F212" t="s">
        <v>1615</v>
      </c>
      <c r="G212" t="s">
        <v>1616</v>
      </c>
      <c r="H212" t="s">
        <v>42</v>
      </c>
      <c r="I212" t="s">
        <v>1617</v>
      </c>
      <c r="J212" t="s">
        <v>1618</v>
      </c>
      <c r="K212" t="s">
        <v>1619</v>
      </c>
      <c r="L212" t="s">
        <v>142</v>
      </c>
      <c r="M212" t="s">
        <v>46</v>
      </c>
      <c r="N212" t="s">
        <v>47</v>
      </c>
      <c r="O212">
        <v>1</v>
      </c>
      <c r="P212">
        <v>1</v>
      </c>
      <c r="Q212">
        <v>1</v>
      </c>
      <c r="R212" t="s">
        <v>48</v>
      </c>
      <c r="S212" t="s">
        <v>49</v>
      </c>
      <c r="T212" s="3">
        <v>0.84</v>
      </c>
      <c r="U212" s="3">
        <v>0.23</v>
      </c>
      <c r="V212" s="3">
        <v>0.94</v>
      </c>
      <c r="W212">
        <v>1.7</v>
      </c>
      <c r="X212" t="s">
        <v>50</v>
      </c>
      <c r="Y212" s="3">
        <v>16.43</v>
      </c>
      <c r="Z212" t="s">
        <v>73</v>
      </c>
      <c r="AA212" t="s">
        <v>490</v>
      </c>
      <c r="AB212" t="s">
        <v>53</v>
      </c>
      <c r="AC212" s="3">
        <v>1.29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f t="shared" si="6"/>
        <v>19.73</v>
      </c>
      <c r="AK212" s="3">
        <f t="shared" si="7"/>
        <v>3.3000000000000007</v>
      </c>
    </row>
    <row r="213" spans="1:37">
      <c r="A213">
        <v>10279898</v>
      </c>
      <c r="B213" t="s">
        <v>37</v>
      </c>
      <c r="C213" t="s">
        <v>1620</v>
      </c>
      <c r="E213" t="s">
        <v>1527</v>
      </c>
      <c r="F213" t="s">
        <v>1621</v>
      </c>
      <c r="G213" t="s">
        <v>1622</v>
      </c>
      <c r="H213" t="s">
        <v>42</v>
      </c>
      <c r="I213" t="s">
        <v>1623</v>
      </c>
      <c r="J213" t="s">
        <v>1624</v>
      </c>
      <c r="K213">
        <v>81243</v>
      </c>
      <c r="L213" t="s">
        <v>71</v>
      </c>
      <c r="M213" t="s">
        <v>46</v>
      </c>
      <c r="N213" t="s">
        <v>47</v>
      </c>
      <c r="O213">
        <v>1</v>
      </c>
      <c r="P213">
        <v>1</v>
      </c>
      <c r="Q213">
        <v>1</v>
      </c>
      <c r="R213" t="s">
        <v>48</v>
      </c>
      <c r="S213" t="s">
        <v>49</v>
      </c>
      <c r="T213" s="3">
        <v>0.84</v>
      </c>
      <c r="U213" s="3">
        <v>0.23</v>
      </c>
      <c r="V213" s="3">
        <v>0.94</v>
      </c>
      <c r="W213">
        <v>1.1200000000000001</v>
      </c>
      <c r="X213" t="s">
        <v>72</v>
      </c>
      <c r="Y213" s="3">
        <v>9.6</v>
      </c>
      <c r="Z213" t="s">
        <v>73</v>
      </c>
      <c r="AA213" t="s">
        <v>1625</v>
      </c>
      <c r="AB213" t="s">
        <v>53</v>
      </c>
      <c r="AC213" s="3">
        <v>1.29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f t="shared" si="6"/>
        <v>12.9</v>
      </c>
      <c r="AK213" s="3">
        <f t="shared" si="7"/>
        <v>3.3000000000000007</v>
      </c>
    </row>
    <row r="214" spans="1:37">
      <c r="A214">
        <v>10277837</v>
      </c>
      <c r="B214" t="s">
        <v>37</v>
      </c>
      <c r="C214" t="s">
        <v>1626</v>
      </c>
      <c r="E214" t="s">
        <v>1627</v>
      </c>
      <c r="F214" t="s">
        <v>1628</v>
      </c>
      <c r="G214" t="s">
        <v>1629</v>
      </c>
      <c r="H214" t="s">
        <v>42</v>
      </c>
      <c r="I214" t="s">
        <v>1630</v>
      </c>
      <c r="J214" t="s">
        <v>1631</v>
      </c>
      <c r="K214">
        <v>6483</v>
      </c>
      <c r="L214" t="s">
        <v>369</v>
      </c>
      <c r="M214" t="s">
        <v>46</v>
      </c>
      <c r="N214" t="s">
        <v>47</v>
      </c>
      <c r="O214">
        <v>1</v>
      </c>
      <c r="P214">
        <v>1</v>
      </c>
      <c r="Q214">
        <v>1</v>
      </c>
      <c r="R214" t="s">
        <v>48</v>
      </c>
      <c r="S214" t="s">
        <v>49</v>
      </c>
      <c r="T214" s="3">
        <v>0.84</v>
      </c>
      <c r="U214" s="3">
        <v>0.23</v>
      </c>
      <c r="V214" s="3">
        <v>0.94</v>
      </c>
      <c r="W214">
        <v>0.49</v>
      </c>
      <c r="X214" t="s">
        <v>50</v>
      </c>
      <c r="Y214" s="3">
        <v>10.58</v>
      </c>
      <c r="Z214" t="s">
        <v>109</v>
      </c>
      <c r="AA214" t="s">
        <v>1632</v>
      </c>
      <c r="AB214" t="s">
        <v>53</v>
      </c>
      <c r="AC214" s="3">
        <v>1.06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f t="shared" si="6"/>
        <v>13.65</v>
      </c>
      <c r="AK214" s="3">
        <f t="shared" si="7"/>
        <v>3.0700000000000003</v>
      </c>
    </row>
    <row r="215" spans="1:37">
      <c r="A215">
        <v>10273984</v>
      </c>
      <c r="B215" t="s">
        <v>37</v>
      </c>
      <c r="C215" t="s">
        <v>1633</v>
      </c>
      <c r="E215" t="s">
        <v>1634</v>
      </c>
      <c r="F215" t="s">
        <v>1635</v>
      </c>
      <c r="G215" t="s">
        <v>1636</v>
      </c>
      <c r="H215" t="s">
        <v>42</v>
      </c>
      <c r="I215" t="s">
        <v>1637</v>
      </c>
      <c r="J215" t="s">
        <v>1638</v>
      </c>
      <c r="K215">
        <v>10961</v>
      </c>
      <c r="L215" t="s">
        <v>71</v>
      </c>
      <c r="M215" t="s">
        <v>46</v>
      </c>
      <c r="N215" t="s">
        <v>47</v>
      </c>
      <c r="O215">
        <v>3</v>
      </c>
      <c r="P215">
        <v>1</v>
      </c>
      <c r="Q215">
        <v>3</v>
      </c>
      <c r="R215" t="s">
        <v>48</v>
      </c>
      <c r="S215" t="s">
        <v>49</v>
      </c>
      <c r="T215" s="3">
        <v>0.84</v>
      </c>
      <c r="U215" s="3">
        <v>0.23</v>
      </c>
      <c r="V215" s="3">
        <v>2.68</v>
      </c>
      <c r="W215">
        <v>1.53</v>
      </c>
      <c r="X215" t="s">
        <v>72</v>
      </c>
      <c r="Y215" s="3">
        <v>6.83</v>
      </c>
      <c r="Z215" t="s">
        <v>73</v>
      </c>
      <c r="AA215" t="s">
        <v>1639</v>
      </c>
      <c r="AB215" t="s">
        <v>53</v>
      </c>
      <c r="AC215" s="3">
        <v>1.29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f t="shared" si="6"/>
        <v>11.870000000000001</v>
      </c>
      <c r="AK215" s="3">
        <f t="shared" si="7"/>
        <v>5.0400000000000009</v>
      </c>
    </row>
    <row r="216" spans="1:37">
      <c r="A216">
        <v>10280345</v>
      </c>
      <c r="B216" t="s">
        <v>37</v>
      </c>
      <c r="C216" t="s">
        <v>1640</v>
      </c>
      <c r="E216" t="s">
        <v>1641</v>
      </c>
      <c r="F216" t="s">
        <v>1642</v>
      </c>
      <c r="G216" t="s">
        <v>1643</v>
      </c>
      <c r="H216" t="s">
        <v>42</v>
      </c>
      <c r="I216" t="s">
        <v>1644</v>
      </c>
      <c r="J216" t="s">
        <v>1645</v>
      </c>
      <c r="K216">
        <v>75015</v>
      </c>
      <c r="L216" t="s">
        <v>130</v>
      </c>
      <c r="M216" t="s">
        <v>46</v>
      </c>
      <c r="N216" t="s">
        <v>47</v>
      </c>
      <c r="O216">
        <v>1</v>
      </c>
      <c r="P216">
        <v>1</v>
      </c>
      <c r="Q216">
        <v>1</v>
      </c>
      <c r="R216" t="s">
        <v>48</v>
      </c>
      <c r="S216" t="s">
        <v>49</v>
      </c>
      <c r="T216" s="3">
        <v>0.84</v>
      </c>
      <c r="U216" s="3">
        <v>0.23</v>
      </c>
      <c r="V216" s="3">
        <v>0.94</v>
      </c>
      <c r="W216">
        <v>0.59</v>
      </c>
      <c r="X216" t="s">
        <v>50</v>
      </c>
      <c r="Y216" s="3">
        <v>15.65</v>
      </c>
      <c r="Z216" t="s">
        <v>109</v>
      </c>
      <c r="AA216" t="s">
        <v>966</v>
      </c>
      <c r="AB216" t="s">
        <v>53</v>
      </c>
      <c r="AC216" s="3">
        <v>1.06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f t="shared" si="6"/>
        <v>18.720000000000002</v>
      </c>
      <c r="AK216" s="3">
        <f t="shared" si="7"/>
        <v>3.0700000000000021</v>
      </c>
    </row>
    <row r="217" spans="1:37">
      <c r="A217">
        <v>10273974</v>
      </c>
      <c r="B217" t="s">
        <v>37</v>
      </c>
      <c r="C217" t="s">
        <v>1646</v>
      </c>
      <c r="E217" t="s">
        <v>1647</v>
      </c>
      <c r="F217" t="s">
        <v>1648</v>
      </c>
      <c r="G217" t="s">
        <v>1649</v>
      </c>
      <c r="H217" t="s">
        <v>42</v>
      </c>
      <c r="I217" t="s">
        <v>1650</v>
      </c>
      <c r="J217" t="s">
        <v>1651</v>
      </c>
      <c r="K217">
        <v>9070</v>
      </c>
      <c r="L217" t="s">
        <v>505</v>
      </c>
      <c r="M217" t="s">
        <v>46</v>
      </c>
      <c r="N217" t="s">
        <v>47</v>
      </c>
      <c r="O217">
        <v>1</v>
      </c>
      <c r="P217">
        <v>1</v>
      </c>
      <c r="Q217">
        <v>1</v>
      </c>
      <c r="R217" t="s">
        <v>48</v>
      </c>
      <c r="S217" t="s">
        <v>49</v>
      </c>
      <c r="T217" s="3">
        <v>0.84</v>
      </c>
      <c r="U217" s="3">
        <v>0.23</v>
      </c>
      <c r="V217" s="3">
        <v>0.94</v>
      </c>
      <c r="W217">
        <v>0.59</v>
      </c>
      <c r="X217" t="s">
        <v>50</v>
      </c>
      <c r="Y217" s="3">
        <v>10.58</v>
      </c>
      <c r="Z217" t="s">
        <v>109</v>
      </c>
      <c r="AA217" t="s">
        <v>1652</v>
      </c>
      <c r="AB217" t="s">
        <v>53</v>
      </c>
      <c r="AC217" s="3">
        <v>1.06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f t="shared" si="6"/>
        <v>13.65</v>
      </c>
      <c r="AK217" s="3">
        <f t="shared" si="7"/>
        <v>3.0700000000000003</v>
      </c>
    </row>
    <row r="218" spans="1:37">
      <c r="A218">
        <v>10278596</v>
      </c>
      <c r="B218" t="s">
        <v>37</v>
      </c>
      <c r="C218" t="s">
        <v>1653</v>
      </c>
      <c r="E218" t="s">
        <v>1236</v>
      </c>
      <c r="F218" t="s">
        <v>1374</v>
      </c>
      <c r="G218" t="s">
        <v>1654</v>
      </c>
      <c r="H218" t="s">
        <v>42</v>
      </c>
      <c r="I218" t="s">
        <v>1655</v>
      </c>
      <c r="J218" t="s">
        <v>1656</v>
      </c>
      <c r="K218">
        <v>79540</v>
      </c>
      <c r="L218" t="s">
        <v>71</v>
      </c>
      <c r="M218" t="s">
        <v>46</v>
      </c>
      <c r="N218" t="s">
        <v>47</v>
      </c>
      <c r="O218">
        <v>1</v>
      </c>
      <c r="P218">
        <v>1</v>
      </c>
      <c r="Q218">
        <v>1</v>
      </c>
      <c r="R218" t="s">
        <v>48</v>
      </c>
      <c r="S218" t="s">
        <v>49</v>
      </c>
      <c r="T218" s="3">
        <v>0.84</v>
      </c>
      <c r="U218" s="3">
        <v>0.23</v>
      </c>
      <c r="V218" s="3">
        <v>0.94</v>
      </c>
      <c r="W218">
        <v>0.59</v>
      </c>
      <c r="X218" t="s">
        <v>108</v>
      </c>
      <c r="Y218" s="3">
        <v>6.53</v>
      </c>
      <c r="Z218" t="s">
        <v>109</v>
      </c>
      <c r="AA218" t="s">
        <v>1652</v>
      </c>
      <c r="AB218" t="s">
        <v>53</v>
      </c>
      <c r="AC218" s="3">
        <v>1.06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f t="shared" si="6"/>
        <v>9.6</v>
      </c>
      <c r="AK218" s="3">
        <f t="shared" si="7"/>
        <v>3.0699999999999994</v>
      </c>
    </row>
    <row r="219" spans="1:37">
      <c r="A219">
        <v>10281159</v>
      </c>
      <c r="B219" t="s">
        <v>37</v>
      </c>
      <c r="C219" t="s">
        <v>1657</v>
      </c>
      <c r="E219" t="s">
        <v>1658</v>
      </c>
      <c r="F219" t="s">
        <v>1659</v>
      </c>
      <c r="G219" t="s">
        <v>1660</v>
      </c>
      <c r="H219" t="s">
        <v>42</v>
      </c>
      <c r="I219" t="s">
        <v>1661</v>
      </c>
      <c r="J219" t="s">
        <v>1662</v>
      </c>
      <c r="K219" t="s">
        <v>1663</v>
      </c>
      <c r="L219" t="s">
        <v>91</v>
      </c>
      <c r="M219" t="s">
        <v>46</v>
      </c>
      <c r="N219" t="s">
        <v>47</v>
      </c>
      <c r="O219">
        <v>1</v>
      </c>
      <c r="P219">
        <v>1</v>
      </c>
      <c r="Q219">
        <v>1</v>
      </c>
      <c r="R219" t="s">
        <v>48</v>
      </c>
      <c r="S219" t="s">
        <v>49</v>
      </c>
      <c r="T219" s="3">
        <v>0.84</v>
      </c>
      <c r="U219" s="3">
        <v>0.23</v>
      </c>
      <c r="V219" s="3">
        <v>0.94</v>
      </c>
      <c r="W219">
        <v>0.59</v>
      </c>
      <c r="X219" t="s">
        <v>50</v>
      </c>
      <c r="Y219" s="3">
        <v>16.43</v>
      </c>
      <c r="Z219" t="s">
        <v>109</v>
      </c>
      <c r="AA219" t="s">
        <v>1664</v>
      </c>
      <c r="AB219" t="s">
        <v>53</v>
      </c>
      <c r="AC219" s="3">
        <v>1.06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f t="shared" si="6"/>
        <v>19.5</v>
      </c>
      <c r="AK219" s="3">
        <f t="shared" si="7"/>
        <v>3.0700000000000003</v>
      </c>
    </row>
    <row r="220" spans="1:37">
      <c r="A220">
        <v>10279157</v>
      </c>
      <c r="B220" t="s">
        <v>37</v>
      </c>
      <c r="C220" t="s">
        <v>1665</v>
      </c>
      <c r="E220" t="s">
        <v>1666</v>
      </c>
      <c r="F220" t="s">
        <v>1667</v>
      </c>
      <c r="G220" t="s">
        <v>1668</v>
      </c>
      <c r="H220" t="s">
        <v>42</v>
      </c>
      <c r="I220" t="s">
        <v>1669</v>
      </c>
      <c r="J220" t="s">
        <v>1670</v>
      </c>
      <c r="K220">
        <v>65779</v>
      </c>
      <c r="L220" t="s">
        <v>71</v>
      </c>
      <c r="M220" t="s">
        <v>46</v>
      </c>
      <c r="N220" t="s">
        <v>47</v>
      </c>
      <c r="O220">
        <v>1</v>
      </c>
      <c r="P220">
        <v>1</v>
      </c>
      <c r="Q220">
        <v>1</v>
      </c>
      <c r="R220" t="s">
        <v>48</v>
      </c>
      <c r="S220" t="s">
        <v>49</v>
      </c>
      <c r="T220" s="3">
        <v>0.84</v>
      </c>
      <c r="U220" s="3">
        <v>0.23</v>
      </c>
      <c r="V220" s="3">
        <v>0.94</v>
      </c>
      <c r="W220">
        <v>2.1</v>
      </c>
      <c r="X220" t="s">
        <v>72</v>
      </c>
      <c r="Y220" s="3">
        <v>6.83</v>
      </c>
      <c r="Z220" t="s">
        <v>73</v>
      </c>
      <c r="AA220" t="s">
        <v>1671</v>
      </c>
      <c r="AB220" t="s">
        <v>53</v>
      </c>
      <c r="AC220" s="3">
        <v>1.29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f t="shared" si="6"/>
        <v>10.130000000000001</v>
      </c>
      <c r="AK220" s="3">
        <f t="shared" si="7"/>
        <v>3.3000000000000007</v>
      </c>
    </row>
    <row r="221" spans="1:37">
      <c r="A221">
        <v>10270236</v>
      </c>
      <c r="B221" t="s">
        <v>37</v>
      </c>
      <c r="C221" t="s">
        <v>1672</v>
      </c>
      <c r="E221" t="s">
        <v>1673</v>
      </c>
      <c r="F221" t="s">
        <v>1674</v>
      </c>
      <c r="G221" t="s">
        <v>1675</v>
      </c>
      <c r="H221" t="s">
        <v>42</v>
      </c>
      <c r="I221" t="s">
        <v>1676</v>
      </c>
      <c r="J221" t="s">
        <v>1677</v>
      </c>
      <c r="K221" t="s">
        <v>1678</v>
      </c>
      <c r="L221" t="s">
        <v>142</v>
      </c>
      <c r="M221" t="s">
        <v>46</v>
      </c>
      <c r="N221" t="s">
        <v>47</v>
      </c>
      <c r="O221">
        <v>1</v>
      </c>
      <c r="P221">
        <v>1</v>
      </c>
      <c r="Q221">
        <v>1</v>
      </c>
      <c r="R221" t="s">
        <v>48</v>
      </c>
      <c r="S221" t="s">
        <v>49</v>
      </c>
      <c r="T221" s="3">
        <v>0.84</v>
      </c>
      <c r="U221" s="3">
        <v>0.23</v>
      </c>
      <c r="V221" s="3">
        <v>0.94</v>
      </c>
      <c r="W221">
        <v>3.1</v>
      </c>
      <c r="X221" t="s">
        <v>50</v>
      </c>
      <c r="Y221" s="3">
        <v>17.82</v>
      </c>
      <c r="Z221" t="s">
        <v>83</v>
      </c>
      <c r="AA221" t="s">
        <v>1679</v>
      </c>
      <c r="AB221" t="s">
        <v>53</v>
      </c>
      <c r="AC221" s="3">
        <v>1.27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f t="shared" si="6"/>
        <v>21.1</v>
      </c>
      <c r="AK221" s="3">
        <f t="shared" si="7"/>
        <v>3.2800000000000011</v>
      </c>
    </row>
    <row r="222" spans="1:37">
      <c r="A222">
        <v>10277694</v>
      </c>
      <c r="B222" t="s">
        <v>37</v>
      </c>
      <c r="C222" t="s">
        <v>1680</v>
      </c>
      <c r="E222" t="s">
        <v>1681</v>
      </c>
      <c r="F222" t="s">
        <v>1682</v>
      </c>
      <c r="G222" t="s">
        <v>1683</v>
      </c>
      <c r="H222" t="s">
        <v>42</v>
      </c>
      <c r="I222" t="s">
        <v>1684</v>
      </c>
      <c r="J222" t="s">
        <v>1685</v>
      </c>
      <c r="K222" t="s">
        <v>1686</v>
      </c>
      <c r="L222" t="s">
        <v>82</v>
      </c>
      <c r="M222" t="s">
        <v>46</v>
      </c>
      <c r="N222" t="s">
        <v>47</v>
      </c>
      <c r="O222">
        <v>1</v>
      </c>
      <c r="P222">
        <v>1</v>
      </c>
      <c r="Q222">
        <v>1</v>
      </c>
      <c r="R222" t="s">
        <v>48</v>
      </c>
      <c r="S222" t="s">
        <v>49</v>
      </c>
      <c r="T222" s="3">
        <v>0.84</v>
      </c>
      <c r="U222" s="3">
        <v>0.23</v>
      </c>
      <c r="V222" s="3">
        <v>0.94</v>
      </c>
      <c r="W222">
        <v>3.1</v>
      </c>
      <c r="X222" t="s">
        <v>50</v>
      </c>
      <c r="Y222" s="3">
        <v>9.19</v>
      </c>
      <c r="Z222" t="s">
        <v>83</v>
      </c>
      <c r="AA222" t="s">
        <v>894</v>
      </c>
      <c r="AB222" t="s">
        <v>53</v>
      </c>
      <c r="AC222" s="3">
        <v>1.27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f t="shared" si="6"/>
        <v>12.469999999999999</v>
      </c>
      <c r="AK222" s="3">
        <f t="shared" si="7"/>
        <v>3.2799999999999994</v>
      </c>
    </row>
    <row r="223" spans="1:37">
      <c r="A223">
        <v>10276057</v>
      </c>
      <c r="B223" t="s">
        <v>37</v>
      </c>
      <c r="C223" t="s">
        <v>1687</v>
      </c>
      <c r="E223" t="s">
        <v>1688</v>
      </c>
      <c r="F223" t="s">
        <v>1689</v>
      </c>
      <c r="G223" t="s">
        <v>1690</v>
      </c>
      <c r="H223" t="s">
        <v>42</v>
      </c>
      <c r="I223" t="s">
        <v>1691</v>
      </c>
      <c r="J223" t="s">
        <v>1692</v>
      </c>
      <c r="K223" t="s">
        <v>1693</v>
      </c>
      <c r="L223" t="s">
        <v>142</v>
      </c>
      <c r="M223" t="s">
        <v>46</v>
      </c>
      <c r="N223" t="s">
        <v>47</v>
      </c>
      <c r="O223">
        <v>4</v>
      </c>
      <c r="P223">
        <v>1</v>
      </c>
      <c r="Q223">
        <v>4</v>
      </c>
      <c r="R223" t="s">
        <v>48</v>
      </c>
      <c r="S223" t="s">
        <v>49</v>
      </c>
      <c r="T223" s="3">
        <v>0.84</v>
      </c>
      <c r="U223" s="3">
        <v>0.23</v>
      </c>
      <c r="V223" s="3">
        <v>3.55</v>
      </c>
      <c r="W223">
        <v>2.06</v>
      </c>
      <c r="X223" t="s">
        <v>50</v>
      </c>
      <c r="Y223" s="3">
        <v>16.43</v>
      </c>
      <c r="Z223" t="s">
        <v>73</v>
      </c>
      <c r="AA223" t="s">
        <v>1694</v>
      </c>
      <c r="AB223" t="s">
        <v>53</v>
      </c>
      <c r="AC223" s="3">
        <v>1.29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f t="shared" si="6"/>
        <v>22.34</v>
      </c>
      <c r="AK223" s="3">
        <f t="shared" si="7"/>
        <v>5.91</v>
      </c>
    </row>
    <row r="224" spans="1:37">
      <c r="A224">
        <v>10279673</v>
      </c>
      <c r="B224" t="s">
        <v>37</v>
      </c>
      <c r="C224" t="s">
        <v>1695</v>
      </c>
      <c r="E224" t="s">
        <v>1696</v>
      </c>
      <c r="F224" t="s">
        <v>1697</v>
      </c>
      <c r="G224" t="s">
        <v>1698</v>
      </c>
      <c r="H224" t="s">
        <v>42</v>
      </c>
      <c r="I224" t="s">
        <v>1699</v>
      </c>
      <c r="J224" t="s">
        <v>1700</v>
      </c>
      <c r="K224">
        <v>1077</v>
      </c>
      <c r="L224" t="s">
        <v>1701</v>
      </c>
      <c r="M224" t="s">
        <v>46</v>
      </c>
      <c r="N224" t="s">
        <v>47</v>
      </c>
      <c r="O224">
        <v>1</v>
      </c>
      <c r="P224">
        <v>1</v>
      </c>
      <c r="Q224">
        <v>1</v>
      </c>
      <c r="R224" t="s">
        <v>48</v>
      </c>
      <c r="S224" t="s">
        <v>49</v>
      </c>
      <c r="T224" s="3">
        <v>0.84</v>
      </c>
      <c r="U224" s="3">
        <v>0.23</v>
      </c>
      <c r="V224" s="3">
        <v>0.94</v>
      </c>
      <c r="W224">
        <v>3.1</v>
      </c>
      <c r="X224" t="s">
        <v>1702</v>
      </c>
      <c r="Y224" s="3">
        <v>58.27</v>
      </c>
      <c r="Z224" t="s">
        <v>83</v>
      </c>
      <c r="AA224" t="s">
        <v>894</v>
      </c>
      <c r="AB224" t="s">
        <v>53</v>
      </c>
      <c r="AC224" s="3">
        <v>1.27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f t="shared" si="6"/>
        <v>61.550000000000004</v>
      </c>
      <c r="AK224" s="3">
        <f t="shared" si="7"/>
        <v>3.2800000000000011</v>
      </c>
    </row>
    <row r="225" spans="1:37">
      <c r="A225">
        <v>10274711</v>
      </c>
      <c r="B225" t="s">
        <v>37</v>
      </c>
      <c r="C225" t="s">
        <v>1703</v>
      </c>
      <c r="E225" t="s">
        <v>1704</v>
      </c>
      <c r="F225" t="s">
        <v>1705</v>
      </c>
      <c r="G225" t="s">
        <v>1706</v>
      </c>
      <c r="H225" t="s">
        <v>42</v>
      </c>
      <c r="I225" t="s">
        <v>1707</v>
      </c>
      <c r="J225" t="s">
        <v>1708</v>
      </c>
      <c r="K225" t="s">
        <v>1709</v>
      </c>
      <c r="L225" t="s">
        <v>142</v>
      </c>
      <c r="M225" t="s">
        <v>46</v>
      </c>
      <c r="N225" t="s">
        <v>47</v>
      </c>
      <c r="O225">
        <v>4</v>
      </c>
      <c r="P225">
        <v>1</v>
      </c>
      <c r="Q225">
        <v>4</v>
      </c>
      <c r="R225" t="s">
        <v>48</v>
      </c>
      <c r="S225" t="s">
        <v>49</v>
      </c>
      <c r="T225" s="3">
        <v>0.84</v>
      </c>
      <c r="U225" s="3">
        <v>0.23</v>
      </c>
      <c r="V225" s="3">
        <v>3.55</v>
      </c>
      <c r="W225">
        <v>2.04</v>
      </c>
      <c r="X225" t="s">
        <v>50</v>
      </c>
      <c r="Y225" s="3">
        <v>16.43</v>
      </c>
      <c r="Z225" t="s">
        <v>73</v>
      </c>
      <c r="AA225" t="s">
        <v>1710</v>
      </c>
      <c r="AB225" t="s">
        <v>53</v>
      </c>
      <c r="AC225" s="3">
        <v>1.29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f t="shared" si="6"/>
        <v>22.34</v>
      </c>
      <c r="AK225" s="3">
        <f t="shared" si="7"/>
        <v>5.91</v>
      </c>
    </row>
    <row r="226" spans="1:37">
      <c r="A226">
        <v>10278610</v>
      </c>
      <c r="B226" t="s">
        <v>37</v>
      </c>
      <c r="C226" t="s">
        <v>1711</v>
      </c>
      <c r="E226" t="s">
        <v>1712</v>
      </c>
      <c r="F226" t="s">
        <v>1713</v>
      </c>
      <c r="G226" t="s">
        <v>1714</v>
      </c>
      <c r="H226" t="s">
        <v>42</v>
      </c>
      <c r="I226" t="s">
        <v>1715</v>
      </c>
      <c r="J226" t="s">
        <v>1716</v>
      </c>
      <c r="K226">
        <v>45277</v>
      </c>
      <c r="L226" t="s">
        <v>71</v>
      </c>
      <c r="M226" t="s">
        <v>46</v>
      </c>
      <c r="N226" t="s">
        <v>47</v>
      </c>
      <c r="O226">
        <v>1</v>
      </c>
      <c r="P226">
        <v>1</v>
      </c>
      <c r="Q226">
        <v>1</v>
      </c>
      <c r="R226" t="s">
        <v>48</v>
      </c>
      <c r="S226" t="s">
        <v>49</v>
      </c>
      <c r="T226" s="3">
        <v>0.84</v>
      </c>
      <c r="U226" s="3">
        <v>0.23</v>
      </c>
      <c r="V226" s="3">
        <v>0.94</v>
      </c>
      <c r="W226">
        <v>1.5</v>
      </c>
      <c r="X226" t="s">
        <v>72</v>
      </c>
      <c r="Y226" s="3">
        <v>5.44</v>
      </c>
      <c r="Z226" t="s">
        <v>73</v>
      </c>
      <c r="AA226" t="s">
        <v>198</v>
      </c>
      <c r="AB226" t="s">
        <v>53</v>
      </c>
      <c r="AC226" s="3">
        <v>1.29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f t="shared" si="6"/>
        <v>8.74</v>
      </c>
      <c r="AK226" s="3">
        <f t="shared" si="7"/>
        <v>3.3</v>
      </c>
    </row>
    <row r="227" spans="1:37">
      <c r="A227">
        <v>10274704</v>
      </c>
      <c r="B227" t="s">
        <v>37</v>
      </c>
      <c r="C227" t="s">
        <v>1717</v>
      </c>
      <c r="E227" t="s">
        <v>809</v>
      </c>
      <c r="F227" t="s">
        <v>1718</v>
      </c>
      <c r="G227" t="s">
        <v>1719</v>
      </c>
      <c r="H227" t="s">
        <v>42</v>
      </c>
      <c r="I227" t="s">
        <v>1720</v>
      </c>
      <c r="J227" t="s">
        <v>1721</v>
      </c>
      <c r="K227">
        <v>82343</v>
      </c>
      <c r="L227" t="s">
        <v>71</v>
      </c>
      <c r="M227" t="s">
        <v>46</v>
      </c>
      <c r="N227" t="s">
        <v>47</v>
      </c>
      <c r="O227">
        <v>4</v>
      </c>
      <c r="P227">
        <v>1</v>
      </c>
      <c r="Q227">
        <v>4</v>
      </c>
      <c r="R227" t="s">
        <v>48</v>
      </c>
      <c r="S227" t="s">
        <v>49</v>
      </c>
      <c r="T227" s="3">
        <v>0.84</v>
      </c>
      <c r="U227" s="3">
        <v>0.23</v>
      </c>
      <c r="V227" s="3">
        <v>3.55</v>
      </c>
      <c r="W227">
        <v>1.66</v>
      </c>
      <c r="X227" t="s">
        <v>72</v>
      </c>
      <c r="Y227" s="3">
        <v>5.44</v>
      </c>
      <c r="Z227" t="s">
        <v>73</v>
      </c>
      <c r="AA227" t="s">
        <v>583</v>
      </c>
      <c r="AB227" t="s">
        <v>53</v>
      </c>
      <c r="AC227" s="3">
        <v>1.29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f t="shared" si="6"/>
        <v>11.350000000000001</v>
      </c>
      <c r="AK227" s="3">
        <f t="shared" si="7"/>
        <v>5.910000000000001</v>
      </c>
    </row>
    <row r="228" spans="1:37">
      <c r="A228">
        <v>10280862</v>
      </c>
      <c r="B228" t="s">
        <v>37</v>
      </c>
      <c r="C228" t="s">
        <v>1722</v>
      </c>
      <c r="E228" t="s">
        <v>1723</v>
      </c>
      <c r="F228" t="s">
        <v>1724</v>
      </c>
      <c r="G228" t="s">
        <v>1725</v>
      </c>
      <c r="H228" t="s">
        <v>42</v>
      </c>
      <c r="I228" t="s">
        <v>1726</v>
      </c>
      <c r="J228" t="s">
        <v>1727</v>
      </c>
      <c r="K228">
        <v>85051</v>
      </c>
      <c r="L228" t="s">
        <v>71</v>
      </c>
      <c r="M228" t="s">
        <v>46</v>
      </c>
      <c r="N228" t="s">
        <v>47</v>
      </c>
      <c r="O228">
        <v>1</v>
      </c>
      <c r="P228">
        <v>1</v>
      </c>
      <c r="Q228">
        <v>1</v>
      </c>
      <c r="R228" t="s">
        <v>48</v>
      </c>
      <c r="S228" t="s">
        <v>49</v>
      </c>
      <c r="T228" s="3">
        <v>0.84</v>
      </c>
      <c r="U228" s="3">
        <v>0.23</v>
      </c>
      <c r="V228" s="3">
        <v>0.94</v>
      </c>
      <c r="W228">
        <v>3.1</v>
      </c>
      <c r="X228" t="s">
        <v>72</v>
      </c>
      <c r="Y228" s="3">
        <v>6.61</v>
      </c>
      <c r="Z228" t="s">
        <v>83</v>
      </c>
      <c r="AA228" t="s">
        <v>1679</v>
      </c>
      <c r="AB228" t="s">
        <v>53</v>
      </c>
      <c r="AC228" s="3">
        <v>1.27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f t="shared" si="6"/>
        <v>9.89</v>
      </c>
      <c r="AK228" s="3">
        <f t="shared" si="7"/>
        <v>3.2800000000000002</v>
      </c>
    </row>
    <row r="229" spans="1:37">
      <c r="A229">
        <v>10276058</v>
      </c>
      <c r="B229" t="s">
        <v>37</v>
      </c>
      <c r="C229" t="s">
        <v>1728</v>
      </c>
      <c r="E229" t="s">
        <v>1729</v>
      </c>
      <c r="F229" t="s">
        <v>1730</v>
      </c>
      <c r="G229" t="s">
        <v>1731</v>
      </c>
      <c r="H229" t="s">
        <v>42</v>
      </c>
      <c r="I229" t="s">
        <v>1732</v>
      </c>
      <c r="J229" t="s">
        <v>1733</v>
      </c>
      <c r="K229">
        <v>12157</v>
      </c>
      <c r="L229" t="s">
        <v>71</v>
      </c>
      <c r="M229" t="s">
        <v>46</v>
      </c>
      <c r="N229" t="s">
        <v>47</v>
      </c>
      <c r="O229">
        <v>3</v>
      </c>
      <c r="P229">
        <v>1</v>
      </c>
      <c r="Q229">
        <v>3</v>
      </c>
      <c r="R229" t="s">
        <v>48</v>
      </c>
      <c r="S229" t="s">
        <v>49</v>
      </c>
      <c r="T229" s="3">
        <v>0.84</v>
      </c>
      <c r="U229" s="3">
        <v>0.23</v>
      </c>
      <c r="V229" s="3">
        <v>2.68</v>
      </c>
      <c r="W229">
        <v>1.47</v>
      </c>
      <c r="X229" t="s">
        <v>72</v>
      </c>
      <c r="Y229" s="3">
        <v>5.44</v>
      </c>
      <c r="Z229" t="s">
        <v>73</v>
      </c>
      <c r="AA229" t="s">
        <v>1734</v>
      </c>
      <c r="AB229" t="s">
        <v>53</v>
      </c>
      <c r="AC229" s="3">
        <v>1.29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f t="shared" si="6"/>
        <v>10.48</v>
      </c>
      <c r="AK229" s="3">
        <f t="shared" si="7"/>
        <v>5.04</v>
      </c>
    </row>
    <row r="230" spans="1:37">
      <c r="A230">
        <v>10276051</v>
      </c>
      <c r="B230" t="s">
        <v>37</v>
      </c>
      <c r="C230" t="s">
        <v>1735</v>
      </c>
      <c r="E230" t="s">
        <v>1736</v>
      </c>
      <c r="F230" t="s">
        <v>1737</v>
      </c>
      <c r="G230" t="s">
        <v>1738</v>
      </c>
      <c r="H230" t="s">
        <v>42</v>
      </c>
      <c r="I230" t="s">
        <v>1739</v>
      </c>
      <c r="J230" t="s">
        <v>1740</v>
      </c>
      <c r="K230">
        <v>26548</v>
      </c>
      <c r="L230" t="s">
        <v>71</v>
      </c>
      <c r="M230" t="s">
        <v>46</v>
      </c>
      <c r="N230" t="s">
        <v>47</v>
      </c>
      <c r="O230">
        <v>1</v>
      </c>
      <c r="P230">
        <v>1</v>
      </c>
      <c r="Q230">
        <v>1</v>
      </c>
      <c r="R230" t="s">
        <v>48</v>
      </c>
      <c r="S230" t="s">
        <v>49</v>
      </c>
      <c r="T230" s="3">
        <v>0.84</v>
      </c>
      <c r="U230" s="3">
        <v>0.23</v>
      </c>
      <c r="V230" s="3">
        <v>0.94</v>
      </c>
      <c r="W230">
        <v>1.5</v>
      </c>
      <c r="X230" t="s">
        <v>72</v>
      </c>
      <c r="Y230" s="3">
        <v>23.01</v>
      </c>
      <c r="Z230" t="s">
        <v>73</v>
      </c>
      <c r="AA230" t="s">
        <v>178</v>
      </c>
      <c r="AB230" t="s">
        <v>53</v>
      </c>
      <c r="AC230" s="3">
        <v>1.29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f t="shared" si="6"/>
        <v>26.310000000000002</v>
      </c>
      <c r="AK230" s="3">
        <f t="shared" si="7"/>
        <v>3.3000000000000007</v>
      </c>
    </row>
    <row r="231" spans="1:37">
      <c r="A231">
        <v>10275184</v>
      </c>
      <c r="B231" t="s">
        <v>37</v>
      </c>
      <c r="C231" t="s">
        <v>1741</v>
      </c>
      <c r="E231" t="s">
        <v>1742</v>
      </c>
      <c r="F231" t="s">
        <v>1743</v>
      </c>
      <c r="G231" t="s">
        <v>1744</v>
      </c>
      <c r="H231" t="s">
        <v>42</v>
      </c>
      <c r="I231" t="s">
        <v>1745</v>
      </c>
      <c r="J231" t="s">
        <v>1746</v>
      </c>
      <c r="K231" t="s">
        <v>1747</v>
      </c>
      <c r="L231" t="s">
        <v>142</v>
      </c>
      <c r="M231" t="s">
        <v>46</v>
      </c>
      <c r="N231" t="s">
        <v>47</v>
      </c>
      <c r="O231">
        <v>4</v>
      </c>
      <c r="P231">
        <v>1</v>
      </c>
      <c r="Q231">
        <v>4</v>
      </c>
      <c r="R231" t="s">
        <v>48</v>
      </c>
      <c r="S231" t="s">
        <v>49</v>
      </c>
      <c r="T231" s="3">
        <v>0.84</v>
      </c>
      <c r="U231" s="3">
        <v>0.23</v>
      </c>
      <c r="V231" s="3">
        <v>3.55</v>
      </c>
      <c r="W231">
        <v>1.66</v>
      </c>
      <c r="X231" t="s">
        <v>50</v>
      </c>
      <c r="Y231" s="3">
        <v>16.43</v>
      </c>
      <c r="Z231" t="s">
        <v>73</v>
      </c>
      <c r="AA231" t="s">
        <v>583</v>
      </c>
      <c r="AB231" t="s">
        <v>53</v>
      </c>
      <c r="AC231" s="3">
        <v>1.29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f t="shared" si="6"/>
        <v>22.34</v>
      </c>
      <c r="AK231" s="3">
        <f t="shared" si="7"/>
        <v>5.91</v>
      </c>
    </row>
    <row r="232" spans="1:37">
      <c r="A232">
        <v>10270235</v>
      </c>
      <c r="B232" t="s">
        <v>37</v>
      </c>
      <c r="C232" t="s">
        <v>1748</v>
      </c>
      <c r="E232" t="s">
        <v>1749</v>
      </c>
      <c r="F232" t="s">
        <v>1750</v>
      </c>
      <c r="G232" t="s">
        <v>1751</v>
      </c>
      <c r="H232" t="s">
        <v>42</v>
      </c>
      <c r="I232" t="s">
        <v>1752</v>
      </c>
      <c r="J232" t="s">
        <v>1753</v>
      </c>
      <c r="K232">
        <v>93100</v>
      </c>
      <c r="L232" t="s">
        <v>130</v>
      </c>
      <c r="M232" t="s">
        <v>46</v>
      </c>
      <c r="N232" t="s">
        <v>47</v>
      </c>
      <c r="O232">
        <v>1</v>
      </c>
      <c r="P232">
        <v>1</v>
      </c>
      <c r="Q232">
        <v>1</v>
      </c>
      <c r="R232" t="s">
        <v>48</v>
      </c>
      <c r="S232" t="s">
        <v>49</v>
      </c>
      <c r="T232" s="3">
        <v>0.84</v>
      </c>
      <c r="U232" s="3">
        <v>0.23</v>
      </c>
      <c r="V232" s="3">
        <v>0.94</v>
      </c>
      <c r="W232">
        <v>1.1200000000000001</v>
      </c>
      <c r="X232" t="s">
        <v>50</v>
      </c>
      <c r="Y232" s="3">
        <v>15.65</v>
      </c>
      <c r="Z232" t="s">
        <v>73</v>
      </c>
      <c r="AA232" t="s">
        <v>1754</v>
      </c>
      <c r="AB232" t="s">
        <v>53</v>
      </c>
      <c r="AC232" s="3">
        <v>1.29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f t="shared" si="6"/>
        <v>18.950000000000003</v>
      </c>
      <c r="AK232" s="3">
        <f t="shared" si="7"/>
        <v>3.3000000000000025</v>
      </c>
    </row>
    <row r="233" spans="1:37">
      <c r="A233">
        <v>10271620</v>
      </c>
      <c r="B233" t="s">
        <v>37</v>
      </c>
      <c r="C233" t="s">
        <v>1755</v>
      </c>
      <c r="E233" t="s">
        <v>1756</v>
      </c>
      <c r="F233" t="s">
        <v>1757</v>
      </c>
      <c r="G233" t="s">
        <v>1758</v>
      </c>
      <c r="H233" t="s">
        <v>42</v>
      </c>
      <c r="I233" t="s">
        <v>1759</v>
      </c>
      <c r="J233" t="s">
        <v>1760</v>
      </c>
      <c r="K233">
        <v>60316</v>
      </c>
      <c r="L233" t="s">
        <v>71</v>
      </c>
      <c r="M233" t="s">
        <v>46</v>
      </c>
      <c r="N233" t="s">
        <v>47</v>
      </c>
      <c r="O233">
        <v>1</v>
      </c>
      <c r="P233">
        <v>1</v>
      </c>
      <c r="Q233">
        <v>1</v>
      </c>
      <c r="R233" t="s">
        <v>48</v>
      </c>
      <c r="S233" t="s">
        <v>49</v>
      </c>
      <c r="T233" s="3">
        <v>0.84</v>
      </c>
      <c r="U233" s="3">
        <v>0.23</v>
      </c>
      <c r="V233" s="3">
        <v>0.94</v>
      </c>
      <c r="W233">
        <v>1.1200000000000001</v>
      </c>
      <c r="X233" t="s">
        <v>72</v>
      </c>
      <c r="Y233" s="3">
        <v>5.44</v>
      </c>
      <c r="Z233" t="s">
        <v>73</v>
      </c>
      <c r="AA233" t="s">
        <v>1754</v>
      </c>
      <c r="AB233" t="s">
        <v>53</v>
      </c>
      <c r="AC233" s="3">
        <v>1.29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f t="shared" si="6"/>
        <v>8.74</v>
      </c>
      <c r="AK233" s="3">
        <f t="shared" si="7"/>
        <v>3.3</v>
      </c>
    </row>
    <row r="234" spans="1:37">
      <c r="A234">
        <v>10273976</v>
      </c>
      <c r="B234" t="s">
        <v>37</v>
      </c>
      <c r="C234" t="s">
        <v>1761</v>
      </c>
      <c r="E234" t="s">
        <v>1762</v>
      </c>
      <c r="F234" t="s">
        <v>1763</v>
      </c>
      <c r="G234" t="s">
        <v>1764</v>
      </c>
      <c r="H234" t="s">
        <v>42</v>
      </c>
      <c r="I234" t="s">
        <v>1765</v>
      </c>
      <c r="J234" t="s">
        <v>1766</v>
      </c>
      <c r="K234" t="s">
        <v>1767</v>
      </c>
      <c r="L234" t="s">
        <v>142</v>
      </c>
      <c r="M234" t="s">
        <v>46</v>
      </c>
      <c r="N234" t="s">
        <v>47</v>
      </c>
      <c r="O234">
        <v>2</v>
      </c>
      <c r="P234">
        <v>1</v>
      </c>
      <c r="Q234">
        <v>2</v>
      </c>
      <c r="R234" t="s">
        <v>48</v>
      </c>
      <c r="S234" t="s">
        <v>49</v>
      </c>
      <c r="T234" s="3">
        <v>0.84</v>
      </c>
      <c r="U234" s="3">
        <v>0.23</v>
      </c>
      <c r="V234" s="3">
        <v>1.81</v>
      </c>
      <c r="W234">
        <v>1.08</v>
      </c>
      <c r="X234" t="s">
        <v>50</v>
      </c>
      <c r="Y234" s="3">
        <v>17.82</v>
      </c>
      <c r="Z234" t="s">
        <v>109</v>
      </c>
      <c r="AA234" t="s">
        <v>1768</v>
      </c>
      <c r="AB234" t="s">
        <v>53</v>
      </c>
      <c r="AC234" s="3">
        <v>1.06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f t="shared" si="6"/>
        <v>21.759999999999998</v>
      </c>
      <c r="AK234" s="3">
        <f t="shared" si="7"/>
        <v>3.9399999999999977</v>
      </c>
    </row>
    <row r="235" spans="1:37">
      <c r="A235">
        <v>10277358</v>
      </c>
      <c r="B235" t="s">
        <v>37</v>
      </c>
      <c r="C235" t="s">
        <v>1769</v>
      </c>
      <c r="E235" t="s">
        <v>1770</v>
      </c>
      <c r="F235" t="s">
        <v>1771</v>
      </c>
      <c r="G235" t="s">
        <v>1772</v>
      </c>
      <c r="H235" t="s">
        <v>42</v>
      </c>
      <c r="I235" t="s">
        <v>1773</v>
      </c>
      <c r="J235" t="s">
        <v>1774</v>
      </c>
      <c r="K235" t="s">
        <v>1775</v>
      </c>
      <c r="L235" t="s">
        <v>82</v>
      </c>
      <c r="M235" t="s">
        <v>46</v>
      </c>
      <c r="N235" t="s">
        <v>47</v>
      </c>
      <c r="O235">
        <v>1</v>
      </c>
      <c r="P235">
        <v>1</v>
      </c>
      <c r="Q235">
        <v>1</v>
      </c>
      <c r="R235" t="s">
        <v>48</v>
      </c>
      <c r="S235" t="s">
        <v>49</v>
      </c>
      <c r="T235" s="3">
        <v>0.84</v>
      </c>
      <c r="U235" s="3">
        <v>0.23</v>
      </c>
      <c r="V235" s="3">
        <v>0.94</v>
      </c>
      <c r="W235">
        <v>0.59</v>
      </c>
      <c r="X235" t="s">
        <v>50</v>
      </c>
      <c r="Y235" s="3">
        <v>10.58</v>
      </c>
      <c r="Z235" t="s">
        <v>109</v>
      </c>
      <c r="AA235" t="s">
        <v>1776</v>
      </c>
      <c r="AB235" t="s">
        <v>53</v>
      </c>
      <c r="AC235" s="3">
        <v>1.06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f t="shared" si="6"/>
        <v>13.65</v>
      </c>
      <c r="AK235" s="3">
        <f t="shared" si="7"/>
        <v>3.0700000000000003</v>
      </c>
    </row>
    <row r="236" spans="1:37">
      <c r="A236">
        <v>10275621</v>
      </c>
      <c r="B236" t="s">
        <v>37</v>
      </c>
      <c r="C236" t="s">
        <v>1777</v>
      </c>
      <c r="E236" t="s">
        <v>39</v>
      </c>
      <c r="F236" t="s">
        <v>1778</v>
      </c>
      <c r="G236" t="s">
        <v>1779</v>
      </c>
      <c r="H236" t="s">
        <v>42</v>
      </c>
      <c r="I236" t="s">
        <v>1780</v>
      </c>
      <c r="J236" t="s">
        <v>1781</v>
      </c>
      <c r="K236">
        <v>71364</v>
      </c>
      <c r="L236" t="s">
        <v>71</v>
      </c>
      <c r="M236" t="s">
        <v>46</v>
      </c>
      <c r="N236" t="s">
        <v>47</v>
      </c>
      <c r="O236">
        <v>2</v>
      </c>
      <c r="P236">
        <v>1</v>
      </c>
      <c r="Q236">
        <v>2</v>
      </c>
      <c r="R236" t="s">
        <v>48</v>
      </c>
      <c r="S236" t="s">
        <v>49</v>
      </c>
      <c r="T236" s="3">
        <v>0.84</v>
      </c>
      <c r="U236" s="3">
        <v>0.23</v>
      </c>
      <c r="V236" s="3">
        <v>1.81</v>
      </c>
      <c r="W236">
        <v>0.88</v>
      </c>
      <c r="X236" t="s">
        <v>108</v>
      </c>
      <c r="Y236" s="3">
        <v>5.14</v>
      </c>
      <c r="Z236" t="s">
        <v>109</v>
      </c>
      <c r="AA236" t="s">
        <v>1782</v>
      </c>
      <c r="AB236" t="s">
        <v>53</v>
      </c>
      <c r="AC236" s="3">
        <v>1.06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f t="shared" si="6"/>
        <v>9.08</v>
      </c>
      <c r="AK236" s="3">
        <f t="shared" si="7"/>
        <v>3.9400000000000004</v>
      </c>
    </row>
    <row r="237" spans="1:37">
      <c r="A237">
        <v>10278062</v>
      </c>
      <c r="B237" t="s">
        <v>37</v>
      </c>
      <c r="C237" t="s">
        <v>1783</v>
      </c>
      <c r="E237" t="s">
        <v>1784</v>
      </c>
      <c r="F237" t="s">
        <v>1785</v>
      </c>
      <c r="G237" t="s">
        <v>1786</v>
      </c>
      <c r="H237" t="s">
        <v>42</v>
      </c>
      <c r="I237" t="s">
        <v>1787</v>
      </c>
      <c r="J237" t="s">
        <v>1788</v>
      </c>
      <c r="K237">
        <v>10115</v>
      </c>
      <c r="L237" t="s">
        <v>71</v>
      </c>
      <c r="M237" t="s">
        <v>46</v>
      </c>
      <c r="N237" t="s">
        <v>47</v>
      </c>
      <c r="O237">
        <v>1</v>
      </c>
      <c r="P237">
        <v>1</v>
      </c>
      <c r="Q237">
        <v>1</v>
      </c>
      <c r="R237" t="s">
        <v>48</v>
      </c>
      <c r="S237" t="s">
        <v>49</v>
      </c>
      <c r="T237" s="3">
        <v>0.84</v>
      </c>
      <c r="U237" s="3">
        <v>0.23</v>
      </c>
      <c r="V237" s="3">
        <v>0.94</v>
      </c>
      <c r="W237">
        <v>0.49</v>
      </c>
      <c r="X237" t="s">
        <v>108</v>
      </c>
      <c r="Y237" s="3">
        <v>6.53</v>
      </c>
      <c r="Z237" t="s">
        <v>109</v>
      </c>
      <c r="AA237" t="s">
        <v>714</v>
      </c>
      <c r="AB237" t="s">
        <v>53</v>
      </c>
      <c r="AC237" s="3">
        <v>1.06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f t="shared" si="6"/>
        <v>9.6</v>
      </c>
      <c r="AK237" s="3">
        <f t="shared" si="7"/>
        <v>3.0699999999999994</v>
      </c>
    </row>
    <row r="238" spans="1:37">
      <c r="A238">
        <v>10274933</v>
      </c>
      <c r="B238" t="s">
        <v>37</v>
      </c>
      <c r="C238" t="s">
        <v>1789</v>
      </c>
      <c r="E238" t="s">
        <v>437</v>
      </c>
      <c r="F238" t="s">
        <v>1790</v>
      </c>
      <c r="G238" t="s">
        <v>1791</v>
      </c>
      <c r="H238" t="s">
        <v>42</v>
      </c>
      <c r="I238" t="s">
        <v>1792</v>
      </c>
      <c r="J238" t="s">
        <v>1793</v>
      </c>
      <c r="K238">
        <v>83123</v>
      </c>
      <c r="L238" t="s">
        <v>71</v>
      </c>
      <c r="M238" t="s">
        <v>46</v>
      </c>
      <c r="N238" t="s">
        <v>47</v>
      </c>
      <c r="O238">
        <v>2</v>
      </c>
      <c r="P238">
        <v>1</v>
      </c>
      <c r="Q238">
        <v>2</v>
      </c>
      <c r="R238" t="s">
        <v>48</v>
      </c>
      <c r="S238" t="s">
        <v>49</v>
      </c>
      <c r="T238" s="3">
        <v>0.84</v>
      </c>
      <c r="U238" s="3">
        <v>0.23</v>
      </c>
      <c r="V238" s="3">
        <v>1.81</v>
      </c>
      <c r="W238">
        <v>1</v>
      </c>
      <c r="X238" t="s">
        <v>108</v>
      </c>
      <c r="Y238" s="3">
        <v>5.14</v>
      </c>
      <c r="Z238" t="s">
        <v>109</v>
      </c>
      <c r="AA238" t="s">
        <v>1794</v>
      </c>
      <c r="AB238" t="s">
        <v>53</v>
      </c>
      <c r="AC238" s="3">
        <v>1.06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f t="shared" si="6"/>
        <v>9.08</v>
      </c>
      <c r="AK238" s="3">
        <f t="shared" si="7"/>
        <v>3.9400000000000004</v>
      </c>
    </row>
    <row r="239" spans="1:37">
      <c r="A239">
        <v>10278904</v>
      </c>
      <c r="B239" t="s">
        <v>37</v>
      </c>
      <c r="C239" t="s">
        <v>1795</v>
      </c>
      <c r="E239" t="s">
        <v>1796</v>
      </c>
      <c r="F239" t="s">
        <v>1797</v>
      </c>
      <c r="G239" t="s">
        <v>1798</v>
      </c>
      <c r="H239" t="s">
        <v>42</v>
      </c>
      <c r="I239" t="s">
        <v>1799</v>
      </c>
      <c r="J239" t="s">
        <v>1800</v>
      </c>
      <c r="K239" t="s">
        <v>1801</v>
      </c>
      <c r="L239" t="s">
        <v>142</v>
      </c>
      <c r="M239" t="s">
        <v>46</v>
      </c>
      <c r="N239" t="s">
        <v>47</v>
      </c>
      <c r="O239">
        <v>1</v>
      </c>
      <c r="P239">
        <v>1</v>
      </c>
      <c r="Q239">
        <v>1</v>
      </c>
      <c r="R239" t="s">
        <v>48</v>
      </c>
      <c r="S239" t="s">
        <v>49</v>
      </c>
      <c r="T239" s="3">
        <v>0.84</v>
      </c>
      <c r="U239" s="3">
        <v>0.23</v>
      </c>
      <c r="V239" s="3">
        <v>0.94</v>
      </c>
      <c r="W239">
        <v>0.49</v>
      </c>
      <c r="X239" t="s">
        <v>50</v>
      </c>
      <c r="Y239" s="3">
        <v>16.43</v>
      </c>
      <c r="Z239" t="s">
        <v>109</v>
      </c>
      <c r="AA239" t="s">
        <v>1802</v>
      </c>
      <c r="AB239" t="s">
        <v>53</v>
      </c>
      <c r="AC239" s="3">
        <v>1.06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f t="shared" si="6"/>
        <v>19.5</v>
      </c>
      <c r="AK239" s="3">
        <f t="shared" si="7"/>
        <v>3.0700000000000003</v>
      </c>
    </row>
    <row r="240" spans="1:37">
      <c r="A240">
        <v>10274228</v>
      </c>
      <c r="B240" t="s">
        <v>37</v>
      </c>
      <c r="C240" t="s">
        <v>1803</v>
      </c>
      <c r="E240" t="s">
        <v>809</v>
      </c>
      <c r="F240" t="s">
        <v>1804</v>
      </c>
      <c r="G240" t="s">
        <v>1805</v>
      </c>
      <c r="H240" t="s">
        <v>42</v>
      </c>
      <c r="I240" t="s">
        <v>1806</v>
      </c>
      <c r="J240" t="s">
        <v>1807</v>
      </c>
      <c r="K240" t="s">
        <v>1808</v>
      </c>
      <c r="L240" t="s">
        <v>82</v>
      </c>
      <c r="M240" t="s">
        <v>46</v>
      </c>
      <c r="N240" t="s">
        <v>47</v>
      </c>
      <c r="O240">
        <v>2</v>
      </c>
      <c r="P240">
        <v>1</v>
      </c>
      <c r="Q240">
        <v>2</v>
      </c>
      <c r="R240" t="s">
        <v>48</v>
      </c>
      <c r="S240" t="s">
        <v>49</v>
      </c>
      <c r="T240" s="3">
        <v>0.84</v>
      </c>
      <c r="U240" s="3">
        <v>0.23</v>
      </c>
      <c r="V240" s="3">
        <v>1.81</v>
      </c>
      <c r="W240">
        <v>2.52</v>
      </c>
      <c r="X240" t="s">
        <v>50</v>
      </c>
      <c r="Y240" s="3">
        <v>9.19</v>
      </c>
      <c r="Z240" t="s">
        <v>73</v>
      </c>
      <c r="AA240" t="s">
        <v>1809</v>
      </c>
      <c r="AB240" t="s">
        <v>53</v>
      </c>
      <c r="AC240" s="3">
        <v>1.29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f t="shared" si="6"/>
        <v>13.360000000000001</v>
      </c>
      <c r="AK240" s="3">
        <f t="shared" si="7"/>
        <v>4.1700000000000017</v>
      </c>
    </row>
    <row r="241" spans="1:37">
      <c r="A241">
        <v>10281493</v>
      </c>
      <c r="B241" t="s">
        <v>37</v>
      </c>
      <c r="C241" t="s">
        <v>1810</v>
      </c>
      <c r="E241" t="s">
        <v>933</v>
      </c>
      <c r="F241" t="s">
        <v>1811</v>
      </c>
      <c r="G241" t="s">
        <v>1812</v>
      </c>
      <c r="H241" t="s">
        <v>42</v>
      </c>
      <c r="I241" t="s">
        <v>1813</v>
      </c>
      <c r="J241" t="s">
        <v>1814</v>
      </c>
      <c r="K241" t="s">
        <v>1815</v>
      </c>
      <c r="L241" t="s">
        <v>82</v>
      </c>
      <c r="M241" t="s">
        <v>46</v>
      </c>
      <c r="N241" t="s">
        <v>47</v>
      </c>
      <c r="O241">
        <v>1</v>
      </c>
      <c r="P241">
        <v>1</v>
      </c>
      <c r="Q241">
        <v>1</v>
      </c>
      <c r="R241" t="s">
        <v>48</v>
      </c>
      <c r="S241" t="s">
        <v>49</v>
      </c>
      <c r="T241" s="3">
        <v>0.84</v>
      </c>
      <c r="U241" s="3">
        <v>0.23</v>
      </c>
      <c r="V241" s="3">
        <v>0.94</v>
      </c>
      <c r="W241">
        <v>0.59</v>
      </c>
      <c r="X241" t="s">
        <v>50</v>
      </c>
      <c r="Y241" s="3">
        <v>9.19</v>
      </c>
      <c r="Z241" t="s">
        <v>109</v>
      </c>
      <c r="AA241" t="s">
        <v>1371</v>
      </c>
      <c r="AB241" t="s">
        <v>53</v>
      </c>
      <c r="AC241" s="3">
        <v>1.06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f t="shared" si="6"/>
        <v>12.26</v>
      </c>
      <c r="AK241" s="3">
        <f t="shared" si="7"/>
        <v>3.0700000000000003</v>
      </c>
    </row>
    <row r="242" spans="1:37">
      <c r="A242">
        <v>10273990</v>
      </c>
      <c r="B242" t="s">
        <v>37</v>
      </c>
      <c r="C242" t="s">
        <v>1816</v>
      </c>
      <c r="E242" t="s">
        <v>1817</v>
      </c>
      <c r="F242" t="s">
        <v>1818</v>
      </c>
      <c r="G242" t="s">
        <v>1819</v>
      </c>
      <c r="H242" t="s">
        <v>42</v>
      </c>
      <c r="I242" t="s">
        <v>1820</v>
      </c>
      <c r="J242" t="s">
        <v>1821</v>
      </c>
      <c r="K242">
        <v>3640</v>
      </c>
      <c r="L242" t="s">
        <v>505</v>
      </c>
      <c r="M242" t="s">
        <v>46</v>
      </c>
      <c r="N242" t="s">
        <v>47</v>
      </c>
      <c r="O242">
        <v>2</v>
      </c>
      <c r="P242">
        <v>1</v>
      </c>
      <c r="Q242">
        <v>2</v>
      </c>
      <c r="R242" t="s">
        <v>48</v>
      </c>
      <c r="S242" t="s">
        <v>49</v>
      </c>
      <c r="T242" s="3">
        <v>0.84</v>
      </c>
      <c r="U242" s="3">
        <v>0.23</v>
      </c>
      <c r="V242" s="3">
        <v>1.81</v>
      </c>
      <c r="W242">
        <v>1.08</v>
      </c>
      <c r="X242" t="s">
        <v>50</v>
      </c>
      <c r="Y242" s="3">
        <v>9.19</v>
      </c>
      <c r="Z242" t="s">
        <v>109</v>
      </c>
      <c r="AA242" t="s">
        <v>1822</v>
      </c>
      <c r="AB242" t="s">
        <v>53</v>
      </c>
      <c r="AC242" s="3">
        <v>1.06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f t="shared" si="6"/>
        <v>13.13</v>
      </c>
      <c r="AK242" s="3">
        <f t="shared" si="7"/>
        <v>3.9400000000000013</v>
      </c>
    </row>
    <row r="243" spans="1:37">
      <c r="A243">
        <v>10274478</v>
      </c>
      <c r="B243" t="s">
        <v>37</v>
      </c>
      <c r="C243" t="s">
        <v>1823</v>
      </c>
      <c r="E243" t="s">
        <v>1313</v>
      </c>
      <c r="F243" t="s">
        <v>1824</v>
      </c>
      <c r="G243" t="s">
        <v>1825</v>
      </c>
      <c r="H243" t="s">
        <v>42</v>
      </c>
      <c r="I243" t="s">
        <v>1826</v>
      </c>
      <c r="J243" t="s">
        <v>1827</v>
      </c>
      <c r="K243" t="s">
        <v>1828</v>
      </c>
      <c r="L243" t="s">
        <v>91</v>
      </c>
      <c r="M243" t="s">
        <v>46</v>
      </c>
      <c r="N243" t="s">
        <v>47</v>
      </c>
      <c r="O243">
        <v>2</v>
      </c>
      <c r="P243">
        <v>1</v>
      </c>
      <c r="Q243">
        <v>2</v>
      </c>
      <c r="R243" t="s">
        <v>48</v>
      </c>
      <c r="S243" t="s">
        <v>49</v>
      </c>
      <c r="T243" s="3">
        <v>0.84</v>
      </c>
      <c r="U243" s="3">
        <v>0.23</v>
      </c>
      <c r="V243" s="3">
        <v>1.81</v>
      </c>
      <c r="W243">
        <v>0.88</v>
      </c>
      <c r="X243" t="s">
        <v>1702</v>
      </c>
      <c r="Y243" s="3">
        <v>25.73</v>
      </c>
      <c r="Z243" t="s">
        <v>109</v>
      </c>
      <c r="AA243" t="s">
        <v>714</v>
      </c>
      <c r="AB243" t="s">
        <v>53</v>
      </c>
      <c r="AC243" s="3">
        <v>1.06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f t="shared" si="6"/>
        <v>29.669999999999998</v>
      </c>
      <c r="AK243" s="3">
        <f t="shared" si="7"/>
        <v>3.9399999999999977</v>
      </c>
    </row>
    <row r="244" spans="1:37">
      <c r="A244">
        <v>10275829</v>
      </c>
      <c r="B244" t="s">
        <v>37</v>
      </c>
      <c r="C244" t="s">
        <v>1829</v>
      </c>
      <c r="E244" t="s">
        <v>1830</v>
      </c>
      <c r="F244" t="s">
        <v>1831</v>
      </c>
      <c r="G244" t="s">
        <v>1832</v>
      </c>
      <c r="H244" t="s">
        <v>42</v>
      </c>
      <c r="I244" t="s">
        <v>1833</v>
      </c>
      <c r="J244" t="s">
        <v>1834</v>
      </c>
      <c r="K244">
        <v>2950</v>
      </c>
      <c r="L244" t="s">
        <v>505</v>
      </c>
      <c r="M244" t="s">
        <v>46</v>
      </c>
      <c r="N244" t="s">
        <v>47</v>
      </c>
      <c r="O244">
        <v>2</v>
      </c>
      <c r="P244">
        <v>1</v>
      </c>
      <c r="Q244">
        <v>2</v>
      </c>
      <c r="R244" t="s">
        <v>48</v>
      </c>
      <c r="S244" t="s">
        <v>49</v>
      </c>
      <c r="T244" s="3">
        <v>0.84</v>
      </c>
      <c r="U244" s="3">
        <v>0.23</v>
      </c>
      <c r="V244" s="3">
        <v>1.81</v>
      </c>
      <c r="W244">
        <v>1.08</v>
      </c>
      <c r="X244" t="s">
        <v>50</v>
      </c>
      <c r="Y244" s="3">
        <v>9.19</v>
      </c>
      <c r="Z244" t="s">
        <v>109</v>
      </c>
      <c r="AA244" t="s">
        <v>1835</v>
      </c>
      <c r="AB244" t="s">
        <v>53</v>
      </c>
      <c r="AC244" s="3">
        <v>1.06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f t="shared" si="6"/>
        <v>13.13</v>
      </c>
      <c r="AK244" s="3">
        <f t="shared" si="7"/>
        <v>3.9400000000000013</v>
      </c>
    </row>
    <row r="245" spans="1:37">
      <c r="A245">
        <v>10274485</v>
      </c>
      <c r="B245" t="s">
        <v>37</v>
      </c>
      <c r="C245" t="s">
        <v>1836</v>
      </c>
      <c r="E245" t="s">
        <v>1837</v>
      </c>
      <c r="F245" t="s">
        <v>1838</v>
      </c>
      <c r="G245" t="s">
        <v>1839</v>
      </c>
      <c r="H245" t="s">
        <v>42</v>
      </c>
      <c r="I245" t="s">
        <v>1840</v>
      </c>
      <c r="J245" t="s">
        <v>1841</v>
      </c>
      <c r="K245" t="s">
        <v>1842</v>
      </c>
      <c r="L245" t="s">
        <v>142</v>
      </c>
      <c r="M245" t="s">
        <v>46</v>
      </c>
      <c r="N245" t="s">
        <v>47</v>
      </c>
      <c r="O245">
        <v>2</v>
      </c>
      <c r="P245">
        <v>1</v>
      </c>
      <c r="Q245">
        <v>2</v>
      </c>
      <c r="R245" t="s">
        <v>48</v>
      </c>
      <c r="S245" t="s">
        <v>49</v>
      </c>
      <c r="T245" s="3">
        <v>0.84</v>
      </c>
      <c r="U245" s="3">
        <v>0.23</v>
      </c>
      <c r="V245" s="3">
        <v>1.81</v>
      </c>
      <c r="W245">
        <v>1</v>
      </c>
      <c r="X245" t="s">
        <v>50</v>
      </c>
      <c r="Y245" s="3">
        <v>17.82</v>
      </c>
      <c r="Z245" t="s">
        <v>109</v>
      </c>
      <c r="AA245" t="s">
        <v>1843</v>
      </c>
      <c r="AB245" t="s">
        <v>53</v>
      </c>
      <c r="AC245" s="3">
        <v>1.06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f t="shared" si="6"/>
        <v>21.759999999999998</v>
      </c>
      <c r="AK245" s="3">
        <f t="shared" si="7"/>
        <v>3.9399999999999977</v>
      </c>
    </row>
    <row r="246" spans="1:37">
      <c r="A246">
        <v>10270791</v>
      </c>
      <c r="B246" t="s">
        <v>37</v>
      </c>
      <c r="C246" t="s">
        <v>1844</v>
      </c>
      <c r="E246" t="s">
        <v>1330</v>
      </c>
      <c r="F246" t="s">
        <v>1845</v>
      </c>
      <c r="G246" t="s">
        <v>1846</v>
      </c>
      <c r="H246" t="s">
        <v>42</v>
      </c>
      <c r="I246" t="s">
        <v>1847</v>
      </c>
      <c r="J246" t="s">
        <v>1848</v>
      </c>
      <c r="K246">
        <v>69207</v>
      </c>
      <c r="L246" t="s">
        <v>71</v>
      </c>
      <c r="M246" t="s">
        <v>46</v>
      </c>
      <c r="N246" t="s">
        <v>47</v>
      </c>
      <c r="O246">
        <v>2</v>
      </c>
      <c r="P246">
        <v>1</v>
      </c>
      <c r="Q246">
        <v>2</v>
      </c>
      <c r="R246" t="s">
        <v>48</v>
      </c>
      <c r="S246" t="s">
        <v>49</v>
      </c>
      <c r="T246" s="3">
        <v>0.84</v>
      </c>
      <c r="U246" s="3">
        <v>0.23</v>
      </c>
      <c r="V246" s="3">
        <v>1.81</v>
      </c>
      <c r="W246">
        <v>0.88</v>
      </c>
      <c r="X246" t="s">
        <v>108</v>
      </c>
      <c r="Y246" s="3">
        <v>6.53</v>
      </c>
      <c r="Z246" t="s">
        <v>109</v>
      </c>
      <c r="AA246" t="s">
        <v>1849</v>
      </c>
      <c r="AB246" t="s">
        <v>53</v>
      </c>
      <c r="AC246" s="3">
        <v>1.06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f t="shared" si="6"/>
        <v>10.47</v>
      </c>
      <c r="AK246" s="3">
        <f t="shared" si="7"/>
        <v>3.9400000000000004</v>
      </c>
    </row>
    <row r="247" spans="1:37">
      <c r="A247">
        <v>10274230</v>
      </c>
      <c r="B247" t="s">
        <v>37</v>
      </c>
      <c r="C247" t="s">
        <v>1850</v>
      </c>
      <c r="E247" t="s">
        <v>1851</v>
      </c>
      <c r="F247" t="s">
        <v>1852</v>
      </c>
      <c r="G247" t="s">
        <v>1853</v>
      </c>
      <c r="H247" t="s">
        <v>42</v>
      </c>
      <c r="I247" t="s">
        <v>1854</v>
      </c>
      <c r="J247" t="s">
        <v>1855</v>
      </c>
      <c r="K247" t="s">
        <v>1856</v>
      </c>
      <c r="L247" t="s">
        <v>142</v>
      </c>
      <c r="M247" t="s">
        <v>46</v>
      </c>
      <c r="N247" t="s">
        <v>47</v>
      </c>
      <c r="O247">
        <v>2</v>
      </c>
      <c r="P247">
        <v>1</v>
      </c>
      <c r="Q247">
        <v>2</v>
      </c>
      <c r="R247" t="s">
        <v>48</v>
      </c>
      <c r="S247" t="s">
        <v>49</v>
      </c>
      <c r="T247" s="3">
        <v>0.84</v>
      </c>
      <c r="U247" s="3">
        <v>0.23</v>
      </c>
      <c r="V247" s="3">
        <v>1.81</v>
      </c>
      <c r="W247">
        <v>0.63</v>
      </c>
      <c r="X247" t="s">
        <v>50</v>
      </c>
      <c r="Y247" s="3">
        <v>16.43</v>
      </c>
      <c r="Z247" t="s">
        <v>109</v>
      </c>
      <c r="AA247" t="s">
        <v>1857</v>
      </c>
      <c r="AB247" t="s">
        <v>53</v>
      </c>
      <c r="AC247" s="3">
        <v>1.06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f t="shared" si="6"/>
        <v>20.369999999999997</v>
      </c>
      <c r="AK247" s="3">
        <f t="shared" si="7"/>
        <v>3.9399999999999977</v>
      </c>
    </row>
    <row r="248" spans="1:37">
      <c r="A248">
        <v>10276579</v>
      </c>
      <c r="B248" t="s">
        <v>37</v>
      </c>
      <c r="C248" t="s">
        <v>1858</v>
      </c>
      <c r="E248" t="s">
        <v>223</v>
      </c>
      <c r="F248" t="s">
        <v>1859</v>
      </c>
      <c r="G248" t="s">
        <v>1860</v>
      </c>
      <c r="H248" t="s">
        <v>42</v>
      </c>
      <c r="I248" t="s">
        <v>1861</v>
      </c>
      <c r="J248" t="s">
        <v>1862</v>
      </c>
      <c r="K248">
        <v>67069</v>
      </c>
      <c r="L248" t="s">
        <v>71</v>
      </c>
      <c r="M248" t="s">
        <v>46</v>
      </c>
      <c r="N248" t="s">
        <v>47</v>
      </c>
      <c r="O248">
        <v>3</v>
      </c>
      <c r="P248">
        <v>1</v>
      </c>
      <c r="Q248">
        <v>3</v>
      </c>
      <c r="R248" t="s">
        <v>48</v>
      </c>
      <c r="S248" t="s">
        <v>49</v>
      </c>
      <c r="T248" s="3">
        <v>0.84</v>
      </c>
      <c r="U248" s="3">
        <v>0.23</v>
      </c>
      <c r="V248" s="3">
        <v>2.68</v>
      </c>
      <c r="W248">
        <v>2.59</v>
      </c>
      <c r="X248" t="s">
        <v>72</v>
      </c>
      <c r="Y248" s="3">
        <v>6.83</v>
      </c>
      <c r="Z248" t="s">
        <v>73</v>
      </c>
      <c r="AA248" t="s">
        <v>1863</v>
      </c>
      <c r="AB248" t="s">
        <v>53</v>
      </c>
      <c r="AC248" s="3">
        <v>1.29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f t="shared" si="6"/>
        <v>11.870000000000001</v>
      </c>
      <c r="AK248" s="3">
        <f t="shared" si="7"/>
        <v>5.0400000000000009</v>
      </c>
    </row>
    <row r="249" spans="1:37">
      <c r="A249">
        <v>10276818</v>
      </c>
      <c r="B249" t="s">
        <v>37</v>
      </c>
      <c r="C249" t="s">
        <v>1864</v>
      </c>
      <c r="E249" t="s">
        <v>1865</v>
      </c>
      <c r="F249" t="s">
        <v>1866</v>
      </c>
      <c r="G249" t="s">
        <v>1867</v>
      </c>
      <c r="H249" t="s">
        <v>42</v>
      </c>
      <c r="I249" t="s">
        <v>1868</v>
      </c>
      <c r="J249" t="s">
        <v>1869</v>
      </c>
      <c r="K249" t="s">
        <v>1870</v>
      </c>
      <c r="L249" t="s">
        <v>142</v>
      </c>
      <c r="M249" t="s">
        <v>46</v>
      </c>
      <c r="N249" t="s">
        <v>47</v>
      </c>
      <c r="O249">
        <v>7</v>
      </c>
      <c r="P249">
        <v>1</v>
      </c>
      <c r="Q249">
        <v>7</v>
      </c>
      <c r="R249" t="s">
        <v>48</v>
      </c>
      <c r="S249" t="s">
        <v>49</v>
      </c>
      <c r="T249" s="3">
        <v>0.84</v>
      </c>
      <c r="U249" s="3">
        <v>0.23</v>
      </c>
      <c r="V249" s="3">
        <v>6.16</v>
      </c>
      <c r="W249">
        <v>4.84</v>
      </c>
      <c r="X249" t="s">
        <v>50</v>
      </c>
      <c r="Y249" s="3">
        <v>16.43</v>
      </c>
      <c r="Z249" t="s">
        <v>51</v>
      </c>
      <c r="AA249" t="s">
        <v>1871</v>
      </c>
      <c r="AB249" t="s">
        <v>53</v>
      </c>
      <c r="AC249" s="3">
        <v>1.87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f t="shared" si="6"/>
        <v>25.53</v>
      </c>
      <c r="AK249" s="3">
        <f t="shared" si="7"/>
        <v>9.1000000000000014</v>
      </c>
    </row>
    <row r="250" spans="1:37">
      <c r="A250">
        <v>10276322</v>
      </c>
      <c r="B250" t="s">
        <v>37</v>
      </c>
      <c r="C250" t="s">
        <v>1872</v>
      </c>
      <c r="E250" t="s">
        <v>1430</v>
      </c>
      <c r="F250" t="s">
        <v>1873</v>
      </c>
      <c r="G250" t="s">
        <v>1874</v>
      </c>
      <c r="H250" t="s">
        <v>42</v>
      </c>
      <c r="I250" t="s">
        <v>1875</v>
      </c>
      <c r="J250" t="s">
        <v>1876</v>
      </c>
      <c r="K250" t="s">
        <v>1877</v>
      </c>
      <c r="L250" t="s">
        <v>142</v>
      </c>
      <c r="M250" t="s">
        <v>46</v>
      </c>
      <c r="N250" t="s">
        <v>47</v>
      </c>
      <c r="O250">
        <v>4</v>
      </c>
      <c r="P250">
        <v>1</v>
      </c>
      <c r="Q250">
        <v>4</v>
      </c>
      <c r="R250" t="s">
        <v>48</v>
      </c>
      <c r="S250" t="s">
        <v>49</v>
      </c>
      <c r="T250" s="3">
        <v>0.84</v>
      </c>
      <c r="U250" s="3">
        <v>0.23</v>
      </c>
      <c r="V250" s="3">
        <v>3.55</v>
      </c>
      <c r="W250">
        <v>1.66</v>
      </c>
      <c r="X250" t="s">
        <v>50</v>
      </c>
      <c r="Y250" s="3">
        <v>16.43</v>
      </c>
      <c r="Z250" t="s">
        <v>73</v>
      </c>
      <c r="AA250" t="s">
        <v>1878</v>
      </c>
      <c r="AB250" t="s">
        <v>53</v>
      </c>
      <c r="AC250" s="3">
        <v>1.29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f t="shared" si="6"/>
        <v>22.34</v>
      </c>
      <c r="AK250" s="3">
        <f t="shared" si="7"/>
        <v>5.91</v>
      </c>
    </row>
    <row r="251" spans="1:37">
      <c r="A251">
        <v>10276815</v>
      </c>
      <c r="B251" t="s">
        <v>37</v>
      </c>
      <c r="C251" t="s">
        <v>1879</v>
      </c>
      <c r="E251" t="s">
        <v>1438</v>
      </c>
      <c r="F251" t="s">
        <v>1880</v>
      </c>
      <c r="G251" t="s">
        <v>1881</v>
      </c>
      <c r="H251" t="s">
        <v>42</v>
      </c>
      <c r="I251" t="s">
        <v>1882</v>
      </c>
      <c r="J251" t="s">
        <v>1883</v>
      </c>
      <c r="K251" t="s">
        <v>1884</v>
      </c>
      <c r="L251" t="s">
        <v>142</v>
      </c>
      <c r="M251" t="s">
        <v>46</v>
      </c>
      <c r="N251" t="s">
        <v>47</v>
      </c>
      <c r="O251">
        <v>4</v>
      </c>
      <c r="P251">
        <v>1</v>
      </c>
      <c r="Q251">
        <v>4</v>
      </c>
      <c r="R251" t="s">
        <v>48</v>
      </c>
      <c r="S251" t="s">
        <v>49</v>
      </c>
      <c r="T251" s="3">
        <v>0.84</v>
      </c>
      <c r="U251" s="3">
        <v>0.23</v>
      </c>
      <c r="V251" s="3">
        <v>3.55</v>
      </c>
      <c r="W251">
        <v>1.66</v>
      </c>
      <c r="X251" t="s">
        <v>50</v>
      </c>
      <c r="Y251" s="3">
        <v>16.43</v>
      </c>
      <c r="Z251" t="s">
        <v>73</v>
      </c>
      <c r="AA251" t="s">
        <v>429</v>
      </c>
      <c r="AB251" t="s">
        <v>53</v>
      </c>
      <c r="AC251" s="3">
        <v>1.29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f t="shared" si="6"/>
        <v>22.34</v>
      </c>
      <c r="AK251" s="3">
        <f t="shared" si="7"/>
        <v>5.91</v>
      </c>
    </row>
    <row r="252" spans="1:37">
      <c r="A252">
        <v>10276821</v>
      </c>
      <c r="B252" t="s">
        <v>37</v>
      </c>
      <c r="C252" t="s">
        <v>1885</v>
      </c>
      <c r="E252" t="s">
        <v>1886</v>
      </c>
      <c r="F252" t="s">
        <v>1887</v>
      </c>
      <c r="G252" t="s">
        <v>1888</v>
      </c>
      <c r="H252" t="s">
        <v>42</v>
      </c>
      <c r="I252" t="s">
        <v>1889</v>
      </c>
      <c r="J252" t="s">
        <v>1890</v>
      </c>
      <c r="K252">
        <v>82166</v>
      </c>
      <c r="L252" t="s">
        <v>71</v>
      </c>
      <c r="M252" t="s">
        <v>46</v>
      </c>
      <c r="N252" t="s">
        <v>47</v>
      </c>
      <c r="O252">
        <v>3</v>
      </c>
      <c r="P252">
        <v>1</v>
      </c>
      <c r="Q252">
        <v>3</v>
      </c>
      <c r="R252" t="s">
        <v>48</v>
      </c>
      <c r="S252" t="s">
        <v>49</v>
      </c>
      <c r="T252" s="3">
        <v>0.84</v>
      </c>
      <c r="U252" s="3">
        <v>0.23</v>
      </c>
      <c r="V252" s="3">
        <v>2.68</v>
      </c>
      <c r="W252">
        <v>1.45</v>
      </c>
      <c r="X252" t="s">
        <v>72</v>
      </c>
      <c r="Y252" s="3">
        <v>6.83</v>
      </c>
      <c r="Z252" t="s">
        <v>73</v>
      </c>
      <c r="AA252" t="s">
        <v>1891</v>
      </c>
      <c r="AB252" t="s">
        <v>53</v>
      </c>
      <c r="AC252" s="3">
        <v>1.29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f t="shared" si="6"/>
        <v>11.870000000000001</v>
      </c>
      <c r="AK252" s="3">
        <f t="shared" si="7"/>
        <v>5.0400000000000009</v>
      </c>
    </row>
    <row r="253" spans="1:37">
      <c r="A253">
        <v>10278065</v>
      </c>
      <c r="B253" t="s">
        <v>37</v>
      </c>
      <c r="C253" t="s">
        <v>1892</v>
      </c>
      <c r="E253" t="s">
        <v>1886</v>
      </c>
      <c r="F253" t="s">
        <v>1893</v>
      </c>
      <c r="G253" t="s">
        <v>1894</v>
      </c>
      <c r="H253" t="s">
        <v>42</v>
      </c>
      <c r="I253" t="s">
        <v>1895</v>
      </c>
      <c r="J253" t="s">
        <v>1896</v>
      </c>
      <c r="K253">
        <v>2930</v>
      </c>
      <c r="L253" t="s">
        <v>505</v>
      </c>
      <c r="M253" t="s">
        <v>46</v>
      </c>
      <c r="N253" t="s">
        <v>47</v>
      </c>
      <c r="O253">
        <v>3</v>
      </c>
      <c r="P253">
        <v>1</v>
      </c>
      <c r="Q253">
        <v>3</v>
      </c>
      <c r="R253" t="s">
        <v>48</v>
      </c>
      <c r="S253" t="s">
        <v>49</v>
      </c>
      <c r="T253" s="3">
        <v>0.84</v>
      </c>
      <c r="U253" s="3">
        <v>0.23</v>
      </c>
      <c r="V253" s="3">
        <v>2.68</v>
      </c>
      <c r="W253">
        <v>1.45</v>
      </c>
      <c r="X253" t="s">
        <v>50</v>
      </c>
      <c r="Y253" s="3">
        <v>9.19</v>
      </c>
      <c r="Z253" t="s">
        <v>73</v>
      </c>
      <c r="AA253" t="s">
        <v>1897</v>
      </c>
      <c r="AB253" t="s">
        <v>53</v>
      </c>
      <c r="AC253" s="3">
        <v>1.29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f t="shared" si="6"/>
        <v>14.23</v>
      </c>
      <c r="AK253" s="3">
        <f t="shared" si="7"/>
        <v>5.0400000000000009</v>
      </c>
    </row>
    <row r="254" spans="1:37">
      <c r="A254">
        <v>10277838</v>
      </c>
      <c r="B254" t="s">
        <v>37</v>
      </c>
      <c r="C254" t="s">
        <v>1898</v>
      </c>
      <c r="E254" t="s">
        <v>240</v>
      </c>
      <c r="F254" t="s">
        <v>1899</v>
      </c>
      <c r="G254" t="s">
        <v>1900</v>
      </c>
      <c r="H254" t="s">
        <v>42</v>
      </c>
      <c r="I254" t="s">
        <v>1901</v>
      </c>
      <c r="J254" t="s">
        <v>1902</v>
      </c>
      <c r="K254">
        <v>88131</v>
      </c>
      <c r="L254" t="s">
        <v>71</v>
      </c>
      <c r="M254" t="s">
        <v>46</v>
      </c>
      <c r="N254" t="s">
        <v>47</v>
      </c>
      <c r="O254">
        <v>6</v>
      </c>
      <c r="P254">
        <v>1</v>
      </c>
      <c r="Q254">
        <v>6</v>
      </c>
      <c r="R254" t="s">
        <v>48</v>
      </c>
      <c r="S254" t="s">
        <v>49</v>
      </c>
      <c r="T254" s="3">
        <v>0.84</v>
      </c>
      <c r="U254" s="3">
        <v>0.23</v>
      </c>
      <c r="V254" s="3">
        <v>5.29</v>
      </c>
      <c r="W254">
        <v>3.03</v>
      </c>
      <c r="X254" t="s">
        <v>72</v>
      </c>
      <c r="Y254" s="3">
        <v>6.61</v>
      </c>
      <c r="Z254" t="s">
        <v>83</v>
      </c>
      <c r="AA254" t="s">
        <v>1903</v>
      </c>
      <c r="AB254" t="s">
        <v>53</v>
      </c>
      <c r="AC254" s="3">
        <v>1.27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f t="shared" si="6"/>
        <v>14.240000000000002</v>
      </c>
      <c r="AK254" s="3">
        <f t="shared" si="7"/>
        <v>7.6300000000000017</v>
      </c>
    </row>
    <row r="255" spans="1:37">
      <c r="A255">
        <v>10277835</v>
      </c>
      <c r="B255" t="s">
        <v>37</v>
      </c>
      <c r="C255" t="s">
        <v>1904</v>
      </c>
      <c r="E255" t="s">
        <v>1905</v>
      </c>
      <c r="F255" t="s">
        <v>1906</v>
      </c>
      <c r="G255" t="s">
        <v>1907</v>
      </c>
      <c r="H255" t="s">
        <v>42</v>
      </c>
      <c r="I255" t="s">
        <v>1908</v>
      </c>
      <c r="J255" t="s">
        <v>1909</v>
      </c>
      <c r="K255">
        <v>6110</v>
      </c>
      <c r="L255" t="s">
        <v>505</v>
      </c>
      <c r="M255" t="s">
        <v>46</v>
      </c>
      <c r="N255" t="s">
        <v>47</v>
      </c>
      <c r="O255">
        <v>2</v>
      </c>
      <c r="P255">
        <v>1</v>
      </c>
      <c r="Q255">
        <v>2</v>
      </c>
      <c r="R255" t="s">
        <v>48</v>
      </c>
      <c r="S255" t="s">
        <v>49</v>
      </c>
      <c r="T255" s="3">
        <v>0.84</v>
      </c>
      <c r="U255" s="3">
        <v>0.23</v>
      </c>
      <c r="V255" s="3">
        <v>1.81</v>
      </c>
      <c r="W255">
        <v>1.08</v>
      </c>
      <c r="X255" t="s">
        <v>50</v>
      </c>
      <c r="Y255" s="3">
        <v>9.19</v>
      </c>
      <c r="Z255" t="s">
        <v>109</v>
      </c>
      <c r="AA255" t="s">
        <v>662</v>
      </c>
      <c r="AB255" t="s">
        <v>53</v>
      </c>
      <c r="AC255" s="3">
        <v>1.06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f t="shared" si="6"/>
        <v>13.13</v>
      </c>
      <c r="AK255" s="3">
        <f t="shared" si="7"/>
        <v>3.9400000000000013</v>
      </c>
    </row>
    <row r="256" spans="1:37">
      <c r="A256">
        <v>10278603</v>
      </c>
      <c r="B256" t="s">
        <v>37</v>
      </c>
      <c r="C256" t="s">
        <v>1910</v>
      </c>
      <c r="E256" t="s">
        <v>1911</v>
      </c>
      <c r="F256" t="s">
        <v>1912</v>
      </c>
      <c r="G256" t="s">
        <v>1913</v>
      </c>
      <c r="H256" t="s">
        <v>42</v>
      </c>
      <c r="I256" t="s">
        <v>1914</v>
      </c>
      <c r="J256" t="s">
        <v>1915</v>
      </c>
      <c r="K256">
        <v>60488</v>
      </c>
      <c r="L256" t="s">
        <v>71</v>
      </c>
      <c r="M256" t="s">
        <v>46</v>
      </c>
      <c r="N256" t="s">
        <v>47</v>
      </c>
      <c r="O256">
        <v>3</v>
      </c>
      <c r="P256">
        <v>1</v>
      </c>
      <c r="Q256">
        <v>3</v>
      </c>
      <c r="R256" t="s">
        <v>48</v>
      </c>
      <c r="S256" t="s">
        <v>49</v>
      </c>
      <c r="T256" s="3">
        <v>0.84</v>
      </c>
      <c r="U256" s="3">
        <v>0.23</v>
      </c>
      <c r="V256" s="3">
        <v>2.68</v>
      </c>
      <c r="W256">
        <v>1.54</v>
      </c>
      <c r="X256" t="s">
        <v>72</v>
      </c>
      <c r="Y256" s="3">
        <v>5.44</v>
      </c>
      <c r="Z256" t="s">
        <v>73</v>
      </c>
      <c r="AA256" t="s">
        <v>1916</v>
      </c>
      <c r="AB256" t="s">
        <v>53</v>
      </c>
      <c r="AC256" s="3">
        <v>1.29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f t="shared" si="6"/>
        <v>10.48</v>
      </c>
      <c r="AK256" s="3">
        <f t="shared" si="7"/>
        <v>5.04</v>
      </c>
    </row>
    <row r="257" spans="1:37">
      <c r="A257">
        <v>10278064</v>
      </c>
      <c r="B257" t="s">
        <v>37</v>
      </c>
      <c r="C257" t="s">
        <v>1917</v>
      </c>
      <c r="E257" t="s">
        <v>1918</v>
      </c>
      <c r="F257" t="s">
        <v>1919</v>
      </c>
      <c r="G257" t="s">
        <v>1920</v>
      </c>
      <c r="H257" t="s">
        <v>42</v>
      </c>
      <c r="I257" t="s">
        <v>1921</v>
      </c>
      <c r="J257" t="s">
        <v>1922</v>
      </c>
      <c r="K257" t="s">
        <v>1923</v>
      </c>
      <c r="L257" t="s">
        <v>142</v>
      </c>
      <c r="M257" t="s">
        <v>46</v>
      </c>
      <c r="N257" t="s">
        <v>47</v>
      </c>
      <c r="O257">
        <v>2</v>
      </c>
      <c r="P257">
        <v>1</v>
      </c>
      <c r="Q257">
        <v>2</v>
      </c>
      <c r="R257" t="s">
        <v>48</v>
      </c>
      <c r="S257" t="s">
        <v>49</v>
      </c>
      <c r="T257" s="3">
        <v>0.84</v>
      </c>
      <c r="U257" s="3">
        <v>0.23</v>
      </c>
      <c r="V257" s="3">
        <v>1.81</v>
      </c>
      <c r="W257">
        <v>3.59</v>
      </c>
      <c r="X257" t="s">
        <v>50</v>
      </c>
      <c r="Y257" s="3">
        <v>17.82</v>
      </c>
      <c r="Z257" t="s">
        <v>83</v>
      </c>
      <c r="AA257" t="s">
        <v>1924</v>
      </c>
      <c r="AB257" t="s">
        <v>53</v>
      </c>
      <c r="AC257" s="3">
        <v>1.27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f t="shared" si="6"/>
        <v>21.97</v>
      </c>
      <c r="AK257" s="3">
        <f t="shared" si="7"/>
        <v>4.1499999999999986</v>
      </c>
    </row>
    <row r="258" spans="1:37">
      <c r="A258">
        <v>10278063</v>
      </c>
      <c r="B258" t="s">
        <v>37</v>
      </c>
      <c r="C258" t="s">
        <v>1925</v>
      </c>
      <c r="E258" t="s">
        <v>1926</v>
      </c>
      <c r="F258" t="s">
        <v>1927</v>
      </c>
      <c r="G258" t="s">
        <v>1928</v>
      </c>
      <c r="H258" t="s">
        <v>42</v>
      </c>
      <c r="I258" t="s">
        <v>1929</v>
      </c>
      <c r="J258" t="s">
        <v>1930</v>
      </c>
      <c r="K258">
        <v>1030</v>
      </c>
      <c r="L258" t="s">
        <v>618</v>
      </c>
      <c r="M258" t="s">
        <v>46</v>
      </c>
      <c r="N258" t="s">
        <v>47</v>
      </c>
      <c r="O258">
        <v>2</v>
      </c>
      <c r="P258">
        <v>1</v>
      </c>
      <c r="Q258">
        <v>2</v>
      </c>
      <c r="R258" t="s">
        <v>48</v>
      </c>
      <c r="S258" t="s">
        <v>49</v>
      </c>
      <c r="T258" s="3">
        <v>0.84</v>
      </c>
      <c r="U258" s="3">
        <v>0.23</v>
      </c>
      <c r="V258" s="3">
        <v>1.81</v>
      </c>
      <c r="W258">
        <v>0.73</v>
      </c>
      <c r="X258" t="s">
        <v>50</v>
      </c>
      <c r="Y258" s="3">
        <v>9.19</v>
      </c>
      <c r="Z258" t="s">
        <v>109</v>
      </c>
      <c r="AA258" t="s">
        <v>729</v>
      </c>
      <c r="AB258" t="s">
        <v>53</v>
      </c>
      <c r="AC258" s="3">
        <v>1.06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f t="shared" ref="AJ258:AJ321" si="8">AI258+AH258+AG258+AF258+AE258+AD258+AC258+Y258+V258+U258+T258</f>
        <v>13.13</v>
      </c>
      <c r="AK258" s="3">
        <f t="shared" ref="AK258:AK321" si="9">AJ258-Y258</f>
        <v>3.9400000000000013</v>
      </c>
    </row>
    <row r="259" spans="1:37">
      <c r="A259">
        <v>10276824</v>
      </c>
      <c r="B259" t="s">
        <v>37</v>
      </c>
      <c r="C259" t="s">
        <v>1931</v>
      </c>
      <c r="E259" t="s">
        <v>1932</v>
      </c>
      <c r="F259" t="s">
        <v>1933</v>
      </c>
      <c r="G259" t="s">
        <v>1934</v>
      </c>
      <c r="H259" t="s">
        <v>42</v>
      </c>
      <c r="I259" t="s">
        <v>1935</v>
      </c>
      <c r="J259" t="s">
        <v>1936</v>
      </c>
      <c r="K259" t="s">
        <v>1937</v>
      </c>
      <c r="L259" t="s">
        <v>142</v>
      </c>
      <c r="M259" t="s">
        <v>46</v>
      </c>
      <c r="N259" t="s">
        <v>47</v>
      </c>
      <c r="O259">
        <v>3</v>
      </c>
      <c r="P259">
        <v>1</v>
      </c>
      <c r="Q259">
        <v>3</v>
      </c>
      <c r="R259" t="s">
        <v>48</v>
      </c>
      <c r="S259" t="s">
        <v>49</v>
      </c>
      <c r="T259" s="3">
        <v>0.84</v>
      </c>
      <c r="U259" s="3">
        <v>0.23</v>
      </c>
      <c r="V259" s="3">
        <v>2.68</v>
      </c>
      <c r="W259">
        <v>2.19</v>
      </c>
      <c r="X259" t="s">
        <v>50</v>
      </c>
      <c r="Y259" s="3">
        <v>16.43</v>
      </c>
      <c r="Z259" t="s">
        <v>73</v>
      </c>
      <c r="AA259" t="s">
        <v>1938</v>
      </c>
      <c r="AB259" t="s">
        <v>53</v>
      </c>
      <c r="AC259" s="3">
        <v>1.29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f t="shared" si="8"/>
        <v>21.47</v>
      </c>
      <c r="AK259" s="3">
        <f t="shared" si="9"/>
        <v>5.0399999999999991</v>
      </c>
    </row>
    <row r="260" spans="1:37">
      <c r="A260">
        <v>10277212</v>
      </c>
      <c r="B260" t="s">
        <v>37</v>
      </c>
      <c r="C260" t="s">
        <v>1939</v>
      </c>
      <c r="E260" t="s">
        <v>1940</v>
      </c>
      <c r="F260" t="s">
        <v>1941</v>
      </c>
      <c r="G260" t="s">
        <v>1942</v>
      </c>
      <c r="H260" t="s">
        <v>42</v>
      </c>
      <c r="I260" t="s">
        <v>1943</v>
      </c>
      <c r="J260" t="s">
        <v>1944</v>
      </c>
      <c r="K260" t="s">
        <v>1945</v>
      </c>
      <c r="L260" t="s">
        <v>142</v>
      </c>
      <c r="M260" t="s">
        <v>46</v>
      </c>
      <c r="N260" t="s">
        <v>47</v>
      </c>
      <c r="O260">
        <v>2</v>
      </c>
      <c r="P260">
        <v>1</v>
      </c>
      <c r="Q260">
        <v>2</v>
      </c>
      <c r="R260" t="s">
        <v>48</v>
      </c>
      <c r="S260" t="s">
        <v>49</v>
      </c>
      <c r="T260" s="3">
        <v>0.84</v>
      </c>
      <c r="U260" s="3">
        <v>0.23</v>
      </c>
      <c r="V260" s="3">
        <v>1.81</v>
      </c>
      <c r="W260">
        <v>1.08</v>
      </c>
      <c r="X260" t="s">
        <v>50</v>
      </c>
      <c r="Y260" s="3">
        <v>16.43</v>
      </c>
      <c r="Z260" t="s">
        <v>109</v>
      </c>
      <c r="AA260" t="s">
        <v>1475</v>
      </c>
      <c r="AB260" t="s">
        <v>53</v>
      </c>
      <c r="AC260" s="3">
        <v>1.06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f t="shared" si="8"/>
        <v>20.369999999999997</v>
      </c>
      <c r="AK260" s="3">
        <f t="shared" si="9"/>
        <v>3.9399999999999977</v>
      </c>
    </row>
    <row r="261" spans="1:37">
      <c r="A261">
        <v>10278599</v>
      </c>
      <c r="B261" t="s">
        <v>37</v>
      </c>
      <c r="C261" t="s">
        <v>1946</v>
      </c>
      <c r="E261" t="s">
        <v>657</v>
      </c>
      <c r="F261" t="s">
        <v>1947</v>
      </c>
      <c r="G261" t="s">
        <v>1948</v>
      </c>
      <c r="H261" t="s">
        <v>42</v>
      </c>
      <c r="I261" t="s">
        <v>1949</v>
      </c>
      <c r="J261" t="s">
        <v>1950</v>
      </c>
      <c r="K261" t="s">
        <v>1951</v>
      </c>
      <c r="L261" t="s">
        <v>142</v>
      </c>
      <c r="M261" t="s">
        <v>46</v>
      </c>
      <c r="N261" t="s">
        <v>47</v>
      </c>
      <c r="O261">
        <v>4</v>
      </c>
      <c r="P261">
        <v>1</v>
      </c>
      <c r="Q261">
        <v>4</v>
      </c>
      <c r="R261" t="s">
        <v>48</v>
      </c>
      <c r="S261" t="s">
        <v>49</v>
      </c>
      <c r="T261" s="3">
        <v>0.84</v>
      </c>
      <c r="U261" s="3">
        <v>0.23</v>
      </c>
      <c r="V261" s="3">
        <v>3.55</v>
      </c>
      <c r="W261">
        <v>1.66</v>
      </c>
      <c r="X261" t="s">
        <v>50</v>
      </c>
      <c r="Y261" s="3">
        <v>16.43</v>
      </c>
      <c r="Z261" t="s">
        <v>73</v>
      </c>
      <c r="AA261" t="s">
        <v>538</v>
      </c>
      <c r="AB261" t="s">
        <v>53</v>
      </c>
      <c r="AC261" s="3">
        <v>1.29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f t="shared" si="8"/>
        <v>22.34</v>
      </c>
      <c r="AK261" s="3">
        <f t="shared" si="9"/>
        <v>5.91</v>
      </c>
    </row>
    <row r="262" spans="1:37">
      <c r="A262">
        <v>10278296</v>
      </c>
      <c r="B262" t="s">
        <v>37</v>
      </c>
      <c r="C262" t="s">
        <v>1952</v>
      </c>
      <c r="E262" t="s">
        <v>1953</v>
      </c>
      <c r="F262" t="s">
        <v>1954</v>
      </c>
      <c r="G262" t="s">
        <v>1955</v>
      </c>
      <c r="H262" t="s">
        <v>42</v>
      </c>
      <c r="I262" t="s">
        <v>1956</v>
      </c>
      <c r="J262" t="s">
        <v>1957</v>
      </c>
      <c r="K262" t="s">
        <v>1958</v>
      </c>
      <c r="L262" t="s">
        <v>82</v>
      </c>
      <c r="M262" t="s">
        <v>46</v>
      </c>
      <c r="N262" t="s">
        <v>47</v>
      </c>
      <c r="O262">
        <v>2</v>
      </c>
      <c r="P262">
        <v>1</v>
      </c>
      <c r="Q262">
        <v>2</v>
      </c>
      <c r="R262" t="s">
        <v>48</v>
      </c>
      <c r="S262" t="s">
        <v>49</v>
      </c>
      <c r="T262" s="3">
        <v>0.84</v>
      </c>
      <c r="U262" s="3">
        <v>0.23</v>
      </c>
      <c r="V262" s="3">
        <v>1.81</v>
      </c>
      <c r="W262">
        <v>1.08</v>
      </c>
      <c r="X262" t="s">
        <v>50</v>
      </c>
      <c r="Y262" s="3">
        <v>10.58</v>
      </c>
      <c r="Z262" t="s">
        <v>109</v>
      </c>
      <c r="AA262" t="s">
        <v>1436</v>
      </c>
      <c r="AB262" t="s">
        <v>53</v>
      </c>
      <c r="AC262" s="3">
        <v>1.06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f t="shared" si="8"/>
        <v>14.520000000000001</v>
      </c>
      <c r="AK262" s="3">
        <f t="shared" si="9"/>
        <v>3.9400000000000013</v>
      </c>
    </row>
    <row r="263" spans="1:37">
      <c r="A263">
        <v>10277213</v>
      </c>
      <c r="B263" t="s">
        <v>37</v>
      </c>
      <c r="C263" t="s">
        <v>1959</v>
      </c>
      <c r="E263" t="s">
        <v>1960</v>
      </c>
      <c r="F263" t="s">
        <v>1961</v>
      </c>
      <c r="G263" t="s">
        <v>1962</v>
      </c>
      <c r="H263" t="s">
        <v>42</v>
      </c>
      <c r="I263" t="s">
        <v>1963</v>
      </c>
      <c r="J263" t="s">
        <v>1964</v>
      </c>
      <c r="K263" t="s">
        <v>1965</v>
      </c>
      <c r="L263" t="s">
        <v>82</v>
      </c>
      <c r="M263" t="s">
        <v>46</v>
      </c>
      <c r="N263" t="s">
        <v>47</v>
      </c>
      <c r="O263">
        <v>2</v>
      </c>
      <c r="P263">
        <v>1</v>
      </c>
      <c r="Q263">
        <v>2</v>
      </c>
      <c r="R263" t="s">
        <v>48</v>
      </c>
      <c r="S263" t="s">
        <v>49</v>
      </c>
      <c r="T263" s="3">
        <v>0.84</v>
      </c>
      <c r="U263" s="3">
        <v>0.23</v>
      </c>
      <c r="V263" s="3">
        <v>1.81</v>
      </c>
      <c r="W263">
        <v>1.08</v>
      </c>
      <c r="X263" t="s">
        <v>50</v>
      </c>
      <c r="Y263" s="3">
        <v>9.19</v>
      </c>
      <c r="Z263" t="s">
        <v>109</v>
      </c>
      <c r="AA263" t="s">
        <v>1966</v>
      </c>
      <c r="AB263" t="s">
        <v>53</v>
      </c>
      <c r="AC263" s="3">
        <v>1.06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f t="shared" si="8"/>
        <v>13.13</v>
      </c>
      <c r="AK263" s="3">
        <f t="shared" si="9"/>
        <v>3.9400000000000013</v>
      </c>
    </row>
    <row r="264" spans="1:37">
      <c r="A264">
        <v>10276049</v>
      </c>
      <c r="B264" t="s">
        <v>37</v>
      </c>
      <c r="C264" t="s">
        <v>1967</v>
      </c>
      <c r="E264" t="s">
        <v>1968</v>
      </c>
      <c r="F264" t="s">
        <v>1969</v>
      </c>
      <c r="G264" t="s">
        <v>1970</v>
      </c>
      <c r="H264" t="s">
        <v>42</v>
      </c>
      <c r="I264" t="s">
        <v>1971</v>
      </c>
      <c r="J264" t="s">
        <v>1972</v>
      </c>
      <c r="K264" t="s">
        <v>1973</v>
      </c>
      <c r="L264" t="s">
        <v>142</v>
      </c>
      <c r="M264" t="s">
        <v>46</v>
      </c>
      <c r="N264" t="s">
        <v>47</v>
      </c>
      <c r="O264">
        <v>2</v>
      </c>
      <c r="P264">
        <v>1</v>
      </c>
      <c r="Q264">
        <v>2</v>
      </c>
      <c r="R264" t="s">
        <v>48</v>
      </c>
      <c r="S264" t="s">
        <v>49</v>
      </c>
      <c r="T264" s="3">
        <v>0.84</v>
      </c>
      <c r="U264" s="3">
        <v>0.23</v>
      </c>
      <c r="V264" s="3">
        <v>1.81</v>
      </c>
      <c r="W264">
        <v>0.88</v>
      </c>
      <c r="X264" t="s">
        <v>50</v>
      </c>
      <c r="Y264" s="3">
        <v>17.82</v>
      </c>
      <c r="Z264" t="s">
        <v>109</v>
      </c>
      <c r="AA264" t="s">
        <v>1974</v>
      </c>
      <c r="AB264" t="s">
        <v>53</v>
      </c>
      <c r="AC264" s="3">
        <v>1.06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f t="shared" si="8"/>
        <v>21.759999999999998</v>
      </c>
      <c r="AK264" s="3">
        <f t="shared" si="9"/>
        <v>3.9399999999999977</v>
      </c>
    </row>
    <row r="265" spans="1:37">
      <c r="A265">
        <v>10276059</v>
      </c>
      <c r="B265" t="s">
        <v>37</v>
      </c>
      <c r="C265" t="s">
        <v>1975</v>
      </c>
      <c r="D265" t="s">
        <v>1976</v>
      </c>
      <c r="E265" t="s">
        <v>1977</v>
      </c>
      <c r="F265" t="s">
        <v>1978</v>
      </c>
      <c r="G265" t="s">
        <v>1979</v>
      </c>
      <c r="H265" t="s">
        <v>42</v>
      </c>
      <c r="I265" t="s">
        <v>1980</v>
      </c>
      <c r="J265" t="s">
        <v>1981</v>
      </c>
      <c r="K265">
        <v>79713</v>
      </c>
      <c r="L265" t="s">
        <v>71</v>
      </c>
      <c r="M265" t="s">
        <v>46</v>
      </c>
      <c r="N265" t="s">
        <v>47</v>
      </c>
      <c r="O265">
        <v>2</v>
      </c>
      <c r="P265">
        <v>1</v>
      </c>
      <c r="Q265">
        <v>2</v>
      </c>
      <c r="R265" t="s">
        <v>48</v>
      </c>
      <c r="S265" t="s">
        <v>49</v>
      </c>
      <c r="T265" s="3">
        <v>0.84</v>
      </c>
      <c r="U265" s="3">
        <v>0.23</v>
      </c>
      <c r="V265" s="3">
        <v>1.81</v>
      </c>
      <c r="W265">
        <v>0.63</v>
      </c>
      <c r="X265" t="s">
        <v>108</v>
      </c>
      <c r="Y265" s="3">
        <v>5.14</v>
      </c>
      <c r="Z265" t="s">
        <v>109</v>
      </c>
      <c r="AA265" t="s">
        <v>1982</v>
      </c>
      <c r="AB265" t="s">
        <v>53</v>
      </c>
      <c r="AC265" s="3">
        <v>1.06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f t="shared" si="8"/>
        <v>9.08</v>
      </c>
      <c r="AK265" s="3">
        <f t="shared" si="9"/>
        <v>3.9400000000000004</v>
      </c>
    </row>
    <row r="266" spans="1:37">
      <c r="A266">
        <v>10277836</v>
      </c>
      <c r="B266" t="s">
        <v>37</v>
      </c>
      <c r="C266" t="s">
        <v>1983</v>
      </c>
      <c r="E266" t="s">
        <v>1984</v>
      </c>
      <c r="F266" t="s">
        <v>1985</v>
      </c>
      <c r="G266" t="s">
        <v>1986</v>
      </c>
      <c r="H266" t="s">
        <v>42</v>
      </c>
      <c r="I266" t="s">
        <v>1987</v>
      </c>
      <c r="J266" t="s">
        <v>1988</v>
      </c>
      <c r="K266">
        <v>52372</v>
      </c>
      <c r="L266" t="s">
        <v>71</v>
      </c>
      <c r="M266" t="s">
        <v>46</v>
      </c>
      <c r="N266" t="s">
        <v>47</v>
      </c>
      <c r="O266">
        <v>2</v>
      </c>
      <c r="P266">
        <v>1</v>
      </c>
      <c r="Q266">
        <v>2</v>
      </c>
      <c r="R266" t="s">
        <v>48</v>
      </c>
      <c r="S266" t="s">
        <v>49</v>
      </c>
      <c r="T266" s="3">
        <v>0.84</v>
      </c>
      <c r="U266" s="3">
        <v>0.23</v>
      </c>
      <c r="V266" s="3">
        <v>1.81</v>
      </c>
      <c r="W266">
        <v>0.88</v>
      </c>
      <c r="X266" t="s">
        <v>108</v>
      </c>
      <c r="Y266" s="3">
        <v>5.14</v>
      </c>
      <c r="Z266" t="s">
        <v>109</v>
      </c>
      <c r="AA266" t="s">
        <v>1989</v>
      </c>
      <c r="AB266" t="s">
        <v>53</v>
      </c>
      <c r="AC266" s="3">
        <v>1.06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f t="shared" si="8"/>
        <v>9.08</v>
      </c>
      <c r="AK266" s="3">
        <f t="shared" si="9"/>
        <v>3.9400000000000004</v>
      </c>
    </row>
    <row r="267" spans="1:37">
      <c r="A267">
        <v>10276054</v>
      </c>
      <c r="B267" t="s">
        <v>37</v>
      </c>
      <c r="C267" t="s">
        <v>1990</v>
      </c>
      <c r="E267" t="s">
        <v>650</v>
      </c>
      <c r="F267" t="s">
        <v>1991</v>
      </c>
      <c r="G267" t="s">
        <v>1992</v>
      </c>
      <c r="H267" t="s">
        <v>42</v>
      </c>
      <c r="I267" t="s">
        <v>1993</v>
      </c>
      <c r="J267" t="s">
        <v>1994</v>
      </c>
      <c r="K267" t="s">
        <v>1995</v>
      </c>
      <c r="L267" t="s">
        <v>71</v>
      </c>
      <c r="M267" t="s">
        <v>46</v>
      </c>
      <c r="N267" t="s">
        <v>47</v>
      </c>
      <c r="O267">
        <v>2</v>
      </c>
      <c r="P267">
        <v>1</v>
      </c>
      <c r="Q267">
        <v>2</v>
      </c>
      <c r="R267" t="s">
        <v>48</v>
      </c>
      <c r="S267" t="s">
        <v>49</v>
      </c>
      <c r="T267" s="3">
        <v>0.84</v>
      </c>
      <c r="U267" s="3">
        <v>0.23</v>
      </c>
      <c r="V267" s="3">
        <v>1.81</v>
      </c>
      <c r="W267">
        <v>0.88</v>
      </c>
      <c r="X267" t="s">
        <v>108</v>
      </c>
      <c r="Y267" s="3">
        <v>5.14</v>
      </c>
      <c r="Z267" t="s">
        <v>109</v>
      </c>
      <c r="AA267" t="s">
        <v>1996</v>
      </c>
      <c r="AB267" t="s">
        <v>53</v>
      </c>
      <c r="AC267" s="3">
        <v>1.06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f t="shared" si="8"/>
        <v>9.08</v>
      </c>
      <c r="AK267" s="3">
        <f t="shared" si="9"/>
        <v>3.9400000000000004</v>
      </c>
    </row>
    <row r="268" spans="1:37">
      <c r="A268">
        <v>10274483</v>
      </c>
      <c r="B268" t="s">
        <v>37</v>
      </c>
      <c r="C268" t="s">
        <v>1997</v>
      </c>
      <c r="E268" t="s">
        <v>1998</v>
      </c>
      <c r="F268" t="s">
        <v>1999</v>
      </c>
      <c r="G268" t="s">
        <v>2000</v>
      </c>
      <c r="H268" t="s">
        <v>42</v>
      </c>
      <c r="I268" t="s">
        <v>2001</v>
      </c>
      <c r="J268" t="s">
        <v>2002</v>
      </c>
      <c r="K268">
        <v>82211</v>
      </c>
      <c r="L268" t="s">
        <v>71</v>
      </c>
      <c r="M268" t="s">
        <v>46</v>
      </c>
      <c r="N268" t="s">
        <v>47</v>
      </c>
      <c r="O268">
        <v>5</v>
      </c>
      <c r="P268">
        <v>1</v>
      </c>
      <c r="Q268">
        <v>5</v>
      </c>
      <c r="R268" t="s">
        <v>48</v>
      </c>
      <c r="S268" t="s">
        <v>49</v>
      </c>
      <c r="T268" s="3">
        <v>0.84</v>
      </c>
      <c r="U268" s="3">
        <v>0.23</v>
      </c>
      <c r="V268" s="3">
        <v>4.42</v>
      </c>
      <c r="W268">
        <v>2.16</v>
      </c>
      <c r="X268" t="s">
        <v>72</v>
      </c>
      <c r="Y268" s="3">
        <v>5.44</v>
      </c>
      <c r="Z268" t="s">
        <v>73</v>
      </c>
      <c r="AA268" t="s">
        <v>2003</v>
      </c>
      <c r="AB268" t="s">
        <v>53</v>
      </c>
      <c r="AC268" s="3">
        <v>1.29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f t="shared" si="8"/>
        <v>12.22</v>
      </c>
      <c r="AK268" s="3">
        <f t="shared" si="9"/>
        <v>6.78</v>
      </c>
    </row>
    <row r="269" spans="1:37">
      <c r="A269">
        <v>10274930</v>
      </c>
      <c r="B269" t="s">
        <v>37</v>
      </c>
      <c r="C269" t="s">
        <v>2004</v>
      </c>
      <c r="E269" t="s">
        <v>2005</v>
      </c>
      <c r="F269" t="s">
        <v>2006</v>
      </c>
      <c r="G269" t="s">
        <v>2007</v>
      </c>
      <c r="H269" t="s">
        <v>42</v>
      </c>
      <c r="I269" t="s">
        <v>2008</v>
      </c>
      <c r="J269" t="s">
        <v>2009</v>
      </c>
      <c r="K269">
        <v>72124</v>
      </c>
      <c r="L269" t="s">
        <v>71</v>
      </c>
      <c r="M269" t="s">
        <v>46</v>
      </c>
      <c r="N269" t="s">
        <v>47</v>
      </c>
      <c r="O269">
        <v>5</v>
      </c>
      <c r="P269">
        <v>1</v>
      </c>
      <c r="Q269">
        <v>5</v>
      </c>
      <c r="R269" t="s">
        <v>48</v>
      </c>
      <c r="S269" t="s">
        <v>49</v>
      </c>
      <c r="T269" s="3">
        <v>0.84</v>
      </c>
      <c r="U269" s="3">
        <v>0.23</v>
      </c>
      <c r="V269" s="3">
        <v>4.42</v>
      </c>
      <c r="W269">
        <v>2.25</v>
      </c>
      <c r="X269" t="s">
        <v>72</v>
      </c>
      <c r="Y269" s="3">
        <v>6.83</v>
      </c>
      <c r="Z269" t="s">
        <v>73</v>
      </c>
      <c r="AA269" t="s">
        <v>2010</v>
      </c>
      <c r="AB269" t="s">
        <v>53</v>
      </c>
      <c r="AC269" s="3">
        <v>1.29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f t="shared" si="8"/>
        <v>13.610000000000001</v>
      </c>
      <c r="AK269" s="3">
        <f t="shared" si="9"/>
        <v>6.7800000000000011</v>
      </c>
    </row>
    <row r="270" spans="1:37">
      <c r="A270">
        <v>10274709</v>
      </c>
      <c r="B270" t="s">
        <v>37</v>
      </c>
      <c r="C270" t="s">
        <v>2011</v>
      </c>
      <c r="E270" t="s">
        <v>2012</v>
      </c>
      <c r="F270" t="s">
        <v>2013</v>
      </c>
      <c r="G270" t="s">
        <v>2014</v>
      </c>
      <c r="H270" t="s">
        <v>42</v>
      </c>
      <c r="I270" t="s">
        <v>2015</v>
      </c>
      <c r="J270" t="s">
        <v>2016</v>
      </c>
      <c r="K270">
        <v>72124</v>
      </c>
      <c r="L270" t="s">
        <v>71</v>
      </c>
      <c r="M270" t="s">
        <v>46</v>
      </c>
      <c r="N270" t="s">
        <v>47</v>
      </c>
      <c r="O270">
        <v>5</v>
      </c>
      <c r="P270">
        <v>1</v>
      </c>
      <c r="Q270">
        <v>5</v>
      </c>
      <c r="R270" t="s">
        <v>48</v>
      </c>
      <c r="S270" t="s">
        <v>49</v>
      </c>
      <c r="T270" s="3">
        <v>0.84</v>
      </c>
      <c r="U270" s="3">
        <v>0.23</v>
      </c>
      <c r="V270" s="3">
        <v>4.42</v>
      </c>
      <c r="W270">
        <v>1.8</v>
      </c>
      <c r="X270" t="s">
        <v>72</v>
      </c>
      <c r="Y270" s="3">
        <v>5.44</v>
      </c>
      <c r="Z270" t="s">
        <v>73</v>
      </c>
      <c r="AA270" t="s">
        <v>2017</v>
      </c>
      <c r="AB270" t="s">
        <v>53</v>
      </c>
      <c r="AC270" s="3">
        <v>1.29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f t="shared" si="8"/>
        <v>12.22</v>
      </c>
      <c r="AK270" s="3">
        <f t="shared" si="9"/>
        <v>6.78</v>
      </c>
    </row>
    <row r="271" spans="1:37">
      <c r="A271">
        <v>10275620</v>
      </c>
      <c r="B271" t="s">
        <v>37</v>
      </c>
      <c r="C271" t="s">
        <v>2018</v>
      </c>
      <c r="E271" t="s">
        <v>809</v>
      </c>
      <c r="F271" t="s">
        <v>2019</v>
      </c>
      <c r="G271" t="s">
        <v>2020</v>
      </c>
      <c r="H271" t="s">
        <v>42</v>
      </c>
      <c r="I271" t="s">
        <v>2021</v>
      </c>
      <c r="J271" t="s">
        <v>2022</v>
      </c>
      <c r="K271">
        <v>8790</v>
      </c>
      <c r="L271" t="s">
        <v>505</v>
      </c>
      <c r="M271" t="s">
        <v>46</v>
      </c>
      <c r="N271" t="s">
        <v>47</v>
      </c>
      <c r="O271">
        <v>5</v>
      </c>
      <c r="P271">
        <v>1</v>
      </c>
      <c r="Q271">
        <v>5</v>
      </c>
      <c r="R271" t="s">
        <v>48</v>
      </c>
      <c r="S271" t="s">
        <v>49</v>
      </c>
      <c r="T271" s="3">
        <v>0.84</v>
      </c>
      <c r="U271" s="3">
        <v>0.23</v>
      </c>
      <c r="V271" s="3">
        <v>4.42</v>
      </c>
      <c r="W271">
        <v>1.65</v>
      </c>
      <c r="X271" t="s">
        <v>50</v>
      </c>
      <c r="Y271" s="3">
        <v>9.19</v>
      </c>
      <c r="Z271" t="s">
        <v>73</v>
      </c>
      <c r="AA271" t="s">
        <v>2023</v>
      </c>
      <c r="AB271" t="s">
        <v>53</v>
      </c>
      <c r="AC271" s="3">
        <v>1.29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f t="shared" si="8"/>
        <v>15.97</v>
      </c>
      <c r="AK271" s="3">
        <f t="shared" si="9"/>
        <v>6.7800000000000011</v>
      </c>
    </row>
    <row r="272" spans="1:37">
      <c r="A272">
        <v>10275831</v>
      </c>
      <c r="B272" t="s">
        <v>37</v>
      </c>
      <c r="C272" t="s">
        <v>2024</v>
      </c>
      <c r="E272" t="s">
        <v>2025</v>
      </c>
      <c r="F272" t="s">
        <v>2026</v>
      </c>
      <c r="G272" t="s">
        <v>2027</v>
      </c>
      <c r="H272" t="s">
        <v>42</v>
      </c>
      <c r="I272" t="s">
        <v>2028</v>
      </c>
      <c r="J272" t="s">
        <v>2029</v>
      </c>
      <c r="K272" t="s">
        <v>2030</v>
      </c>
      <c r="L272" t="s">
        <v>421</v>
      </c>
      <c r="M272" t="s">
        <v>46</v>
      </c>
      <c r="N272" t="s">
        <v>47</v>
      </c>
      <c r="O272">
        <v>4</v>
      </c>
      <c r="P272">
        <v>1</v>
      </c>
      <c r="Q272">
        <v>4</v>
      </c>
      <c r="R272" t="s">
        <v>48</v>
      </c>
      <c r="S272" t="s">
        <v>49</v>
      </c>
      <c r="T272" s="3">
        <v>0.84</v>
      </c>
      <c r="U272" s="3">
        <v>0.23</v>
      </c>
      <c r="V272" s="3">
        <v>3.55</v>
      </c>
      <c r="W272">
        <v>1.33</v>
      </c>
      <c r="X272" t="s">
        <v>50</v>
      </c>
      <c r="Y272" s="3">
        <v>95.69</v>
      </c>
      <c r="Z272" t="s">
        <v>73</v>
      </c>
      <c r="AA272" t="s">
        <v>2031</v>
      </c>
      <c r="AB272" t="s">
        <v>53</v>
      </c>
      <c r="AC272" s="3">
        <v>1.29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f t="shared" si="8"/>
        <v>101.60000000000001</v>
      </c>
      <c r="AK272" s="3">
        <f t="shared" si="9"/>
        <v>5.9100000000000108</v>
      </c>
    </row>
    <row r="273" spans="1:37">
      <c r="A273">
        <v>10281894</v>
      </c>
      <c r="B273" t="s">
        <v>37</v>
      </c>
      <c r="C273" t="s">
        <v>2032</v>
      </c>
      <c r="E273" t="s">
        <v>240</v>
      </c>
      <c r="F273" t="s">
        <v>2033</v>
      </c>
      <c r="G273" t="s">
        <v>2034</v>
      </c>
      <c r="H273" t="s">
        <v>42</v>
      </c>
      <c r="I273" t="s">
        <v>2035</v>
      </c>
      <c r="J273" t="s">
        <v>2036</v>
      </c>
      <c r="K273">
        <v>10625</v>
      </c>
      <c r="L273" t="s">
        <v>71</v>
      </c>
      <c r="M273" t="s">
        <v>46</v>
      </c>
      <c r="N273" t="s">
        <v>47</v>
      </c>
      <c r="O273">
        <v>1</v>
      </c>
      <c r="P273">
        <v>1</v>
      </c>
      <c r="Q273">
        <v>1</v>
      </c>
      <c r="R273" t="s">
        <v>48</v>
      </c>
      <c r="S273" t="s">
        <v>49</v>
      </c>
      <c r="T273" s="3">
        <v>0.84</v>
      </c>
      <c r="U273" s="3">
        <v>0.23</v>
      </c>
      <c r="V273" s="3">
        <v>0.94</v>
      </c>
      <c r="W273">
        <v>1.5</v>
      </c>
      <c r="X273" t="s">
        <v>72</v>
      </c>
      <c r="Y273" s="3">
        <v>5.44</v>
      </c>
      <c r="Z273" t="s">
        <v>73</v>
      </c>
      <c r="AA273" t="s">
        <v>198</v>
      </c>
      <c r="AB273" t="s">
        <v>53</v>
      </c>
      <c r="AC273" s="3">
        <v>1.29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f t="shared" si="8"/>
        <v>8.74</v>
      </c>
      <c r="AK273" s="3">
        <f t="shared" si="9"/>
        <v>3.3</v>
      </c>
    </row>
    <row r="274" spans="1:37">
      <c r="A274">
        <v>10281495</v>
      </c>
      <c r="B274" t="s">
        <v>37</v>
      </c>
      <c r="C274" t="s">
        <v>2037</v>
      </c>
      <c r="E274" t="s">
        <v>2038</v>
      </c>
      <c r="F274" t="s">
        <v>2039</v>
      </c>
      <c r="G274" t="s">
        <v>2040</v>
      </c>
      <c r="H274" t="s">
        <v>42</v>
      </c>
      <c r="I274" t="s">
        <v>2041</v>
      </c>
      <c r="J274" t="s">
        <v>2042</v>
      </c>
      <c r="K274" t="s">
        <v>2043</v>
      </c>
      <c r="L274" t="s">
        <v>142</v>
      </c>
      <c r="M274" t="s">
        <v>46</v>
      </c>
      <c r="N274" t="s">
        <v>47</v>
      </c>
      <c r="O274">
        <v>1</v>
      </c>
      <c r="P274">
        <v>1</v>
      </c>
      <c r="Q274">
        <v>1</v>
      </c>
      <c r="R274" t="s">
        <v>48</v>
      </c>
      <c r="S274" t="s">
        <v>49</v>
      </c>
      <c r="T274" s="3">
        <v>0.84</v>
      </c>
      <c r="U274" s="3">
        <v>0.23</v>
      </c>
      <c r="V274" s="3">
        <v>0.94</v>
      </c>
      <c r="W274">
        <v>3.1</v>
      </c>
      <c r="X274" t="s">
        <v>50</v>
      </c>
      <c r="Y274" s="3">
        <v>16.43</v>
      </c>
      <c r="Z274" t="s">
        <v>83</v>
      </c>
      <c r="AA274" t="s">
        <v>894</v>
      </c>
      <c r="AB274" t="s">
        <v>53</v>
      </c>
      <c r="AC274" s="3">
        <v>1.27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f t="shared" si="8"/>
        <v>19.71</v>
      </c>
      <c r="AK274" s="3">
        <f t="shared" si="9"/>
        <v>3.2800000000000011</v>
      </c>
    </row>
    <row r="275" spans="1:37">
      <c r="A275">
        <v>10282761</v>
      </c>
      <c r="B275" t="s">
        <v>37</v>
      </c>
      <c r="C275" t="s">
        <v>2044</v>
      </c>
      <c r="E275" t="s">
        <v>1527</v>
      </c>
      <c r="F275" t="s">
        <v>2045</v>
      </c>
      <c r="G275" t="s">
        <v>2046</v>
      </c>
      <c r="H275" t="s">
        <v>42</v>
      </c>
      <c r="I275" t="s">
        <v>2047</v>
      </c>
      <c r="J275" t="s">
        <v>2048</v>
      </c>
      <c r="K275">
        <v>28325</v>
      </c>
      <c r="L275" t="s">
        <v>71</v>
      </c>
      <c r="M275" t="s">
        <v>46</v>
      </c>
      <c r="N275" t="s">
        <v>47</v>
      </c>
      <c r="O275">
        <v>1</v>
      </c>
      <c r="P275">
        <v>1</v>
      </c>
      <c r="Q275">
        <v>1</v>
      </c>
      <c r="R275" t="s">
        <v>48</v>
      </c>
      <c r="S275" t="s">
        <v>49</v>
      </c>
      <c r="T275" s="3">
        <v>0.84</v>
      </c>
      <c r="U275" s="3">
        <v>0.23</v>
      </c>
      <c r="V275" s="3">
        <v>0.94</v>
      </c>
      <c r="W275">
        <v>2.5</v>
      </c>
      <c r="X275" t="s">
        <v>72</v>
      </c>
      <c r="Y275" s="3">
        <v>5.44</v>
      </c>
      <c r="Z275" t="s">
        <v>83</v>
      </c>
      <c r="AA275" t="s">
        <v>821</v>
      </c>
      <c r="AB275" t="s">
        <v>53</v>
      </c>
      <c r="AC275" s="3">
        <v>1.27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f t="shared" si="8"/>
        <v>8.7200000000000006</v>
      </c>
      <c r="AK275" s="3">
        <f t="shared" si="9"/>
        <v>3.2800000000000002</v>
      </c>
    </row>
    <row r="276" spans="1:37">
      <c r="A276">
        <v>10283774</v>
      </c>
      <c r="B276" t="s">
        <v>37</v>
      </c>
      <c r="C276" t="s">
        <v>2049</v>
      </c>
      <c r="E276" t="s">
        <v>2050</v>
      </c>
      <c r="F276" t="s">
        <v>2051</v>
      </c>
      <c r="G276" t="s">
        <v>2052</v>
      </c>
      <c r="H276" t="s">
        <v>42</v>
      </c>
      <c r="I276" t="s">
        <v>2053</v>
      </c>
      <c r="J276" t="s">
        <v>2054</v>
      </c>
      <c r="K276" t="s">
        <v>2055</v>
      </c>
      <c r="L276" t="s">
        <v>82</v>
      </c>
      <c r="M276" t="s">
        <v>46</v>
      </c>
      <c r="N276" t="s">
        <v>47</v>
      </c>
      <c r="O276">
        <v>1</v>
      </c>
      <c r="P276">
        <v>1</v>
      </c>
      <c r="Q276">
        <v>1</v>
      </c>
      <c r="R276" t="s">
        <v>48</v>
      </c>
      <c r="S276" t="s">
        <v>49</v>
      </c>
      <c r="T276" s="3">
        <v>0.84</v>
      </c>
      <c r="U276" s="3">
        <v>0.23</v>
      </c>
      <c r="V276" s="3">
        <v>0.94</v>
      </c>
      <c r="W276">
        <v>0.59</v>
      </c>
      <c r="X276" t="s">
        <v>50</v>
      </c>
      <c r="Y276" s="3">
        <v>9.19</v>
      </c>
      <c r="Z276" t="s">
        <v>109</v>
      </c>
      <c r="AA276" t="s">
        <v>966</v>
      </c>
      <c r="AB276" t="s">
        <v>53</v>
      </c>
      <c r="AC276" s="3">
        <v>1.06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f t="shared" si="8"/>
        <v>12.26</v>
      </c>
      <c r="AK276" s="3">
        <f t="shared" si="9"/>
        <v>3.0700000000000003</v>
      </c>
    </row>
    <row r="277" spans="1:37">
      <c r="A277">
        <v>10283769</v>
      </c>
      <c r="B277" t="s">
        <v>37</v>
      </c>
      <c r="C277" t="s">
        <v>2056</v>
      </c>
      <c r="E277" t="s">
        <v>2057</v>
      </c>
      <c r="F277" t="s">
        <v>2058</v>
      </c>
      <c r="G277" t="s">
        <v>2059</v>
      </c>
      <c r="H277" t="s">
        <v>42</v>
      </c>
      <c r="I277" t="s">
        <v>2060</v>
      </c>
      <c r="J277" t="s">
        <v>2061</v>
      </c>
      <c r="K277">
        <v>20154</v>
      </c>
      <c r="L277" t="s">
        <v>283</v>
      </c>
      <c r="M277" t="s">
        <v>46</v>
      </c>
      <c r="N277" t="s">
        <v>47</v>
      </c>
      <c r="O277">
        <v>1</v>
      </c>
      <c r="P277">
        <v>1</v>
      </c>
      <c r="Q277">
        <v>1</v>
      </c>
      <c r="R277" t="s">
        <v>48</v>
      </c>
      <c r="S277" t="s">
        <v>49</v>
      </c>
      <c r="T277" s="3">
        <v>0.84</v>
      </c>
      <c r="U277" s="3">
        <v>0.23</v>
      </c>
      <c r="V277" s="3">
        <v>0.94</v>
      </c>
      <c r="W277">
        <v>0.59</v>
      </c>
      <c r="X277" t="s">
        <v>50</v>
      </c>
      <c r="Y277" s="3">
        <v>14.98</v>
      </c>
      <c r="Z277" t="s">
        <v>109</v>
      </c>
      <c r="AA277" t="s">
        <v>1652</v>
      </c>
      <c r="AB277" t="s">
        <v>53</v>
      </c>
      <c r="AC277" s="3">
        <v>1.06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f t="shared" si="8"/>
        <v>18.05</v>
      </c>
      <c r="AK277" s="3">
        <f t="shared" si="9"/>
        <v>3.0700000000000003</v>
      </c>
    </row>
    <row r="278" spans="1:37">
      <c r="A278">
        <v>10263365</v>
      </c>
      <c r="B278" t="s">
        <v>111</v>
      </c>
      <c r="C278" t="s">
        <v>2062</v>
      </c>
      <c r="D278" t="s">
        <v>2063</v>
      </c>
      <c r="E278" t="s">
        <v>2064</v>
      </c>
      <c r="F278" t="s">
        <v>2065</v>
      </c>
      <c r="G278" t="s">
        <v>2066</v>
      </c>
      <c r="H278" t="s">
        <v>117</v>
      </c>
      <c r="I278" t="s">
        <v>2067</v>
      </c>
      <c r="J278" t="s">
        <v>2068</v>
      </c>
      <c r="K278">
        <v>22430</v>
      </c>
      <c r="L278" t="s">
        <v>130</v>
      </c>
      <c r="M278" t="s">
        <v>46</v>
      </c>
      <c r="N278" t="s">
        <v>47</v>
      </c>
      <c r="O278">
        <v>78</v>
      </c>
      <c r="P278">
        <v>2</v>
      </c>
      <c r="Q278">
        <v>78</v>
      </c>
      <c r="R278" t="s">
        <v>48</v>
      </c>
      <c r="S278" t="s">
        <v>49</v>
      </c>
      <c r="T278" s="3">
        <v>7</v>
      </c>
      <c r="U278" s="3">
        <v>0.23</v>
      </c>
      <c r="V278" s="3">
        <v>66.37</v>
      </c>
      <c r="W278">
        <v>38.5</v>
      </c>
      <c r="X278" t="s">
        <v>131</v>
      </c>
      <c r="Y278" s="3">
        <v>32.47</v>
      </c>
      <c r="Z278" t="s">
        <v>744</v>
      </c>
      <c r="AA278" t="s">
        <v>2069</v>
      </c>
      <c r="AB278" t="s">
        <v>53</v>
      </c>
      <c r="AC278" s="3">
        <v>3.74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f t="shared" si="8"/>
        <v>109.81000000000002</v>
      </c>
      <c r="AK278" s="3">
        <f t="shared" si="9"/>
        <v>77.340000000000018</v>
      </c>
    </row>
    <row r="279" spans="1:37">
      <c r="A279">
        <v>10261346</v>
      </c>
      <c r="B279" t="s">
        <v>111</v>
      </c>
      <c r="C279" t="s">
        <v>2070</v>
      </c>
      <c r="E279" t="s">
        <v>2071</v>
      </c>
      <c r="F279" t="s">
        <v>2072</v>
      </c>
      <c r="G279" t="s">
        <v>2073</v>
      </c>
      <c r="H279" t="s">
        <v>117</v>
      </c>
      <c r="I279" t="s">
        <v>2074</v>
      </c>
      <c r="J279" t="s">
        <v>2075</v>
      </c>
      <c r="K279">
        <v>59368</v>
      </c>
      <c r="L279" t="s">
        <v>71</v>
      </c>
      <c r="M279" t="s">
        <v>46</v>
      </c>
      <c r="N279" t="s">
        <v>47</v>
      </c>
      <c r="O279">
        <v>170</v>
      </c>
      <c r="P279">
        <v>5</v>
      </c>
      <c r="Q279">
        <v>5</v>
      </c>
      <c r="R279" t="s">
        <v>48</v>
      </c>
      <c r="S279" t="s">
        <v>49</v>
      </c>
      <c r="T279" s="3">
        <v>7</v>
      </c>
      <c r="U279" s="3">
        <v>0.23</v>
      </c>
      <c r="V279" s="3">
        <v>6.65</v>
      </c>
      <c r="W279">
        <v>90</v>
      </c>
      <c r="X279" t="s">
        <v>120</v>
      </c>
      <c r="Y279" s="3">
        <v>30.73</v>
      </c>
      <c r="Z279" t="s">
        <v>2076</v>
      </c>
      <c r="AA279" t="s">
        <v>2077</v>
      </c>
      <c r="AB279" t="s">
        <v>53</v>
      </c>
      <c r="AC279" s="3">
        <v>4.03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f t="shared" si="8"/>
        <v>48.639999999999993</v>
      </c>
      <c r="AK279" s="3">
        <f t="shared" si="9"/>
        <v>17.909999999999993</v>
      </c>
    </row>
    <row r="280" spans="1:37">
      <c r="A280">
        <v>10278888</v>
      </c>
      <c r="B280" t="s">
        <v>37</v>
      </c>
      <c r="C280" t="s">
        <v>2078</v>
      </c>
      <c r="E280" t="s">
        <v>687</v>
      </c>
      <c r="F280" t="s">
        <v>2079</v>
      </c>
      <c r="G280" t="s">
        <v>2080</v>
      </c>
      <c r="H280" t="s">
        <v>42</v>
      </c>
      <c r="I280" t="s">
        <v>2081</v>
      </c>
      <c r="J280" t="s">
        <v>2082</v>
      </c>
      <c r="K280">
        <v>84427</v>
      </c>
      <c r="L280" t="s">
        <v>71</v>
      </c>
      <c r="M280" t="s">
        <v>46</v>
      </c>
      <c r="N280" t="s">
        <v>47</v>
      </c>
      <c r="O280">
        <v>3</v>
      </c>
      <c r="P280">
        <v>1</v>
      </c>
      <c r="Q280">
        <v>3</v>
      </c>
      <c r="R280" t="s">
        <v>48</v>
      </c>
      <c r="S280" t="s">
        <v>49</v>
      </c>
      <c r="T280" s="3">
        <v>0.84</v>
      </c>
      <c r="U280" s="3">
        <v>0.23</v>
      </c>
      <c r="V280" s="3">
        <v>2.68</v>
      </c>
      <c r="W280">
        <v>1.45</v>
      </c>
      <c r="X280" t="s">
        <v>72</v>
      </c>
      <c r="Y280" s="3">
        <v>5.44</v>
      </c>
      <c r="Z280" t="s">
        <v>73</v>
      </c>
      <c r="AA280" t="s">
        <v>2083</v>
      </c>
      <c r="AB280" t="s">
        <v>53</v>
      </c>
      <c r="AC280" s="3">
        <v>1.29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f t="shared" si="8"/>
        <v>10.48</v>
      </c>
      <c r="AK280" s="3">
        <f t="shared" si="9"/>
        <v>5.04</v>
      </c>
    </row>
    <row r="281" spans="1:37">
      <c r="A281">
        <v>10278903</v>
      </c>
      <c r="B281" t="s">
        <v>37</v>
      </c>
      <c r="C281" t="s">
        <v>2084</v>
      </c>
      <c r="E281" t="s">
        <v>2085</v>
      </c>
      <c r="F281" t="s">
        <v>2086</v>
      </c>
      <c r="G281" t="s">
        <v>2087</v>
      </c>
      <c r="H281" t="s">
        <v>42</v>
      </c>
      <c r="I281" t="s">
        <v>2088</v>
      </c>
      <c r="J281" t="s">
        <v>2089</v>
      </c>
      <c r="K281" t="s">
        <v>2090</v>
      </c>
      <c r="L281" t="s">
        <v>142</v>
      </c>
      <c r="M281" t="s">
        <v>46</v>
      </c>
      <c r="N281" t="s">
        <v>47</v>
      </c>
      <c r="O281">
        <v>4</v>
      </c>
      <c r="P281">
        <v>1</v>
      </c>
      <c r="Q281">
        <v>4</v>
      </c>
      <c r="R281" t="s">
        <v>48</v>
      </c>
      <c r="S281" t="s">
        <v>49</v>
      </c>
      <c r="T281" s="3">
        <v>0.84</v>
      </c>
      <c r="U281" s="3">
        <v>0.23</v>
      </c>
      <c r="V281" s="3">
        <v>3.55</v>
      </c>
      <c r="W281">
        <v>1.88</v>
      </c>
      <c r="X281" t="s">
        <v>50</v>
      </c>
      <c r="Y281" s="3">
        <v>16.43</v>
      </c>
      <c r="Z281" t="s">
        <v>73</v>
      </c>
      <c r="AA281" t="s">
        <v>2091</v>
      </c>
      <c r="AB281" t="s">
        <v>53</v>
      </c>
      <c r="AC281" s="3">
        <v>1.29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f t="shared" si="8"/>
        <v>22.34</v>
      </c>
      <c r="AK281" s="3">
        <f t="shared" si="9"/>
        <v>5.91</v>
      </c>
    </row>
    <row r="282" spans="1:37">
      <c r="A282">
        <v>10278606</v>
      </c>
      <c r="B282" t="s">
        <v>37</v>
      </c>
      <c r="C282" t="s">
        <v>2092</v>
      </c>
      <c r="E282" t="s">
        <v>1527</v>
      </c>
      <c r="F282" t="s">
        <v>2093</v>
      </c>
      <c r="G282" t="s">
        <v>2094</v>
      </c>
      <c r="H282" t="s">
        <v>42</v>
      </c>
      <c r="I282" t="s">
        <v>2095</v>
      </c>
      <c r="J282" t="s">
        <v>2096</v>
      </c>
      <c r="K282">
        <v>99837</v>
      </c>
      <c r="L282" t="s">
        <v>71</v>
      </c>
      <c r="M282" t="s">
        <v>46</v>
      </c>
      <c r="N282" t="s">
        <v>47</v>
      </c>
      <c r="O282">
        <v>6</v>
      </c>
      <c r="P282">
        <v>1</v>
      </c>
      <c r="Q282">
        <v>6</v>
      </c>
      <c r="R282" t="s">
        <v>48</v>
      </c>
      <c r="S282" t="s">
        <v>49</v>
      </c>
      <c r="T282" s="3">
        <v>0.84</v>
      </c>
      <c r="U282" s="3">
        <v>0.23</v>
      </c>
      <c r="V282" s="3">
        <v>5.29</v>
      </c>
      <c r="W282">
        <v>2.7</v>
      </c>
      <c r="X282" t="s">
        <v>72</v>
      </c>
      <c r="Y282" s="3">
        <v>6.61</v>
      </c>
      <c r="Z282" t="s">
        <v>83</v>
      </c>
      <c r="AA282" t="s">
        <v>2097</v>
      </c>
      <c r="AB282" t="s">
        <v>53</v>
      </c>
      <c r="AC282" s="3">
        <v>1.27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f t="shared" si="8"/>
        <v>14.240000000000002</v>
      </c>
      <c r="AK282" s="3">
        <f t="shared" si="9"/>
        <v>7.6300000000000017</v>
      </c>
    </row>
    <row r="283" spans="1:37">
      <c r="A283">
        <v>10278898</v>
      </c>
      <c r="B283" t="s">
        <v>37</v>
      </c>
      <c r="C283" t="s">
        <v>2098</v>
      </c>
      <c r="E283" t="s">
        <v>2099</v>
      </c>
      <c r="F283" t="s">
        <v>2100</v>
      </c>
      <c r="G283" t="s">
        <v>2101</v>
      </c>
      <c r="H283" t="s">
        <v>42</v>
      </c>
      <c r="I283" t="s">
        <v>2102</v>
      </c>
      <c r="J283" t="s">
        <v>2103</v>
      </c>
      <c r="K283">
        <v>81925</v>
      </c>
      <c r="L283" t="s">
        <v>71</v>
      </c>
      <c r="M283" t="s">
        <v>46</v>
      </c>
      <c r="N283" t="s">
        <v>47</v>
      </c>
      <c r="O283">
        <v>6</v>
      </c>
      <c r="P283">
        <v>1</v>
      </c>
      <c r="Q283">
        <v>6</v>
      </c>
      <c r="R283" t="s">
        <v>48</v>
      </c>
      <c r="S283" t="s">
        <v>49</v>
      </c>
      <c r="T283" s="3">
        <v>0.84</v>
      </c>
      <c r="U283" s="3">
        <v>0.23</v>
      </c>
      <c r="V283" s="3">
        <v>5.29</v>
      </c>
      <c r="W283">
        <v>2.44</v>
      </c>
      <c r="X283" t="s">
        <v>72</v>
      </c>
      <c r="Y283" s="3">
        <v>5.44</v>
      </c>
      <c r="Z283" t="s">
        <v>73</v>
      </c>
      <c r="AA283" t="s">
        <v>2104</v>
      </c>
      <c r="AB283" t="s">
        <v>53</v>
      </c>
      <c r="AC283" s="3">
        <v>1.29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f t="shared" si="8"/>
        <v>13.09</v>
      </c>
      <c r="AK283" s="3">
        <f t="shared" si="9"/>
        <v>7.6499999999999995</v>
      </c>
    </row>
    <row r="284" spans="1:37">
      <c r="A284">
        <v>10278607</v>
      </c>
      <c r="B284" t="s">
        <v>37</v>
      </c>
      <c r="C284" t="s">
        <v>2105</v>
      </c>
      <c r="D284" t="s">
        <v>2106</v>
      </c>
      <c r="E284" t="s">
        <v>2107</v>
      </c>
      <c r="F284" t="s">
        <v>2108</v>
      </c>
      <c r="G284" t="s">
        <v>2109</v>
      </c>
      <c r="H284" t="s">
        <v>42</v>
      </c>
      <c r="I284" t="s">
        <v>2110</v>
      </c>
      <c r="J284" t="s">
        <v>2111</v>
      </c>
      <c r="K284">
        <v>53113</v>
      </c>
      <c r="L284" t="s">
        <v>71</v>
      </c>
      <c r="M284" t="s">
        <v>46</v>
      </c>
      <c r="N284" t="s">
        <v>47</v>
      </c>
      <c r="O284">
        <v>6</v>
      </c>
      <c r="P284">
        <v>1</v>
      </c>
      <c r="Q284">
        <v>6</v>
      </c>
      <c r="R284" t="s">
        <v>48</v>
      </c>
      <c r="S284" t="s">
        <v>49</v>
      </c>
      <c r="T284" s="3">
        <v>0.84</v>
      </c>
      <c r="U284" s="3">
        <v>0.23</v>
      </c>
      <c r="V284" s="3">
        <v>5.29</v>
      </c>
      <c r="W284">
        <v>1.86</v>
      </c>
      <c r="X284" t="s">
        <v>72</v>
      </c>
      <c r="Y284" s="3">
        <v>5.44</v>
      </c>
      <c r="Z284" t="s">
        <v>83</v>
      </c>
      <c r="AA284" t="s">
        <v>2112</v>
      </c>
      <c r="AB284" t="s">
        <v>53</v>
      </c>
      <c r="AC284" s="3">
        <v>1.27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f t="shared" si="8"/>
        <v>13.07</v>
      </c>
      <c r="AK284" s="3">
        <f t="shared" si="9"/>
        <v>7.63</v>
      </c>
    </row>
    <row r="285" spans="1:37">
      <c r="A285">
        <v>10278902</v>
      </c>
      <c r="B285" t="s">
        <v>37</v>
      </c>
      <c r="C285" t="s">
        <v>2113</v>
      </c>
      <c r="E285" t="s">
        <v>2114</v>
      </c>
      <c r="F285" t="s">
        <v>2115</v>
      </c>
      <c r="G285" t="s">
        <v>2116</v>
      </c>
      <c r="H285" t="s">
        <v>42</v>
      </c>
      <c r="I285" t="s">
        <v>2117</v>
      </c>
      <c r="J285" t="s">
        <v>2118</v>
      </c>
      <c r="K285" t="s">
        <v>2119</v>
      </c>
      <c r="L285" t="s">
        <v>142</v>
      </c>
      <c r="M285" t="s">
        <v>46</v>
      </c>
      <c r="N285" t="s">
        <v>47</v>
      </c>
      <c r="O285">
        <v>4</v>
      </c>
      <c r="P285">
        <v>1</v>
      </c>
      <c r="Q285">
        <v>4</v>
      </c>
      <c r="R285" t="s">
        <v>48</v>
      </c>
      <c r="S285" t="s">
        <v>49</v>
      </c>
      <c r="T285" s="3">
        <v>0.84</v>
      </c>
      <c r="U285" s="3">
        <v>0.23</v>
      </c>
      <c r="V285" s="3">
        <v>3.55</v>
      </c>
      <c r="W285">
        <v>1.76</v>
      </c>
      <c r="X285" t="s">
        <v>50</v>
      </c>
      <c r="Y285" s="3">
        <v>16.43</v>
      </c>
      <c r="Z285" t="s">
        <v>73</v>
      </c>
      <c r="AA285" t="s">
        <v>2120</v>
      </c>
      <c r="AB285" t="s">
        <v>53</v>
      </c>
      <c r="AC285" s="3">
        <v>1.29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f t="shared" si="8"/>
        <v>22.34</v>
      </c>
      <c r="AK285" s="3">
        <f t="shared" si="9"/>
        <v>5.91</v>
      </c>
    </row>
    <row r="286" spans="1:37">
      <c r="A286">
        <v>10278896</v>
      </c>
      <c r="B286" t="s">
        <v>37</v>
      </c>
      <c r="C286" t="s">
        <v>2121</v>
      </c>
      <c r="E286" t="s">
        <v>2122</v>
      </c>
      <c r="F286" t="s">
        <v>2123</v>
      </c>
      <c r="G286" t="s">
        <v>2124</v>
      </c>
      <c r="H286" t="s">
        <v>42</v>
      </c>
      <c r="I286" t="s">
        <v>2125</v>
      </c>
      <c r="J286" t="s">
        <v>2126</v>
      </c>
      <c r="K286">
        <v>1750</v>
      </c>
      <c r="L286" t="s">
        <v>505</v>
      </c>
      <c r="M286" t="s">
        <v>46</v>
      </c>
      <c r="N286" t="s">
        <v>47</v>
      </c>
      <c r="O286">
        <v>4</v>
      </c>
      <c r="P286">
        <v>1</v>
      </c>
      <c r="Q286">
        <v>4</v>
      </c>
      <c r="R286" t="s">
        <v>48</v>
      </c>
      <c r="S286" t="s">
        <v>49</v>
      </c>
      <c r="T286" s="3">
        <v>0.84</v>
      </c>
      <c r="U286" s="3">
        <v>0.23</v>
      </c>
      <c r="V286" s="3">
        <v>3.55</v>
      </c>
      <c r="W286">
        <v>1.76</v>
      </c>
      <c r="X286" t="s">
        <v>50</v>
      </c>
      <c r="Y286" s="3">
        <v>9.19</v>
      </c>
      <c r="Z286" t="s">
        <v>73</v>
      </c>
      <c r="AA286" t="s">
        <v>2127</v>
      </c>
      <c r="AB286" t="s">
        <v>53</v>
      </c>
      <c r="AC286" s="3">
        <v>1.29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f t="shared" si="8"/>
        <v>15.100000000000001</v>
      </c>
      <c r="AK286" s="3">
        <f t="shared" si="9"/>
        <v>5.9100000000000019</v>
      </c>
    </row>
    <row r="287" spans="1:37">
      <c r="A287">
        <v>10278604</v>
      </c>
      <c r="B287" t="s">
        <v>37</v>
      </c>
      <c r="C287" t="s">
        <v>2128</v>
      </c>
      <c r="E287" t="s">
        <v>872</v>
      </c>
      <c r="F287" t="s">
        <v>2129</v>
      </c>
      <c r="G287" t="s">
        <v>2130</v>
      </c>
      <c r="H287" t="s">
        <v>42</v>
      </c>
      <c r="I287" t="s">
        <v>2131</v>
      </c>
      <c r="J287" t="s">
        <v>2132</v>
      </c>
      <c r="K287" t="s">
        <v>2133</v>
      </c>
      <c r="L287" t="s">
        <v>142</v>
      </c>
      <c r="M287" t="s">
        <v>46</v>
      </c>
      <c r="N287" t="s">
        <v>47</v>
      </c>
      <c r="O287">
        <v>9</v>
      </c>
      <c r="P287">
        <v>1</v>
      </c>
      <c r="Q287">
        <v>9</v>
      </c>
      <c r="R287" t="s">
        <v>48</v>
      </c>
      <c r="S287" t="s">
        <v>49</v>
      </c>
      <c r="T287" s="3">
        <v>0.84</v>
      </c>
      <c r="U287" s="3">
        <v>0.23</v>
      </c>
      <c r="V287" s="3">
        <v>7.9</v>
      </c>
      <c r="W287">
        <v>2.36</v>
      </c>
      <c r="X287" t="s">
        <v>50</v>
      </c>
      <c r="Y287" s="3">
        <v>16.43</v>
      </c>
      <c r="Z287" t="s">
        <v>83</v>
      </c>
      <c r="AA287" t="s">
        <v>2134</v>
      </c>
      <c r="AB287" t="s">
        <v>53</v>
      </c>
      <c r="AC287" s="3">
        <v>1.27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f t="shared" si="8"/>
        <v>26.67</v>
      </c>
      <c r="AK287" s="3">
        <f t="shared" si="9"/>
        <v>10.240000000000002</v>
      </c>
    </row>
    <row r="288" spans="1:37">
      <c r="A288">
        <v>10278612</v>
      </c>
      <c r="B288" t="s">
        <v>37</v>
      </c>
      <c r="C288" t="s">
        <v>2135</v>
      </c>
      <c r="E288" t="s">
        <v>247</v>
      </c>
      <c r="F288" t="s">
        <v>2136</v>
      </c>
      <c r="G288" t="s">
        <v>2137</v>
      </c>
      <c r="H288" t="s">
        <v>42</v>
      </c>
      <c r="I288" t="s">
        <v>2138</v>
      </c>
      <c r="J288" t="s">
        <v>2139</v>
      </c>
      <c r="K288">
        <v>70327</v>
      </c>
      <c r="L288" t="s">
        <v>71</v>
      </c>
      <c r="M288" t="s">
        <v>46</v>
      </c>
      <c r="N288" t="s">
        <v>47</v>
      </c>
      <c r="O288">
        <v>3</v>
      </c>
      <c r="P288">
        <v>1</v>
      </c>
      <c r="Q288">
        <v>3</v>
      </c>
      <c r="R288" t="s">
        <v>48</v>
      </c>
      <c r="S288" t="s">
        <v>49</v>
      </c>
      <c r="T288" s="3">
        <v>0.84</v>
      </c>
      <c r="U288" s="3">
        <v>0.23</v>
      </c>
      <c r="V288" s="3">
        <v>2.68</v>
      </c>
      <c r="W288">
        <v>1.57</v>
      </c>
      <c r="X288" t="s">
        <v>72</v>
      </c>
      <c r="Y288" s="3">
        <v>9.6</v>
      </c>
      <c r="Z288" t="s">
        <v>73</v>
      </c>
      <c r="AA288" t="s">
        <v>2140</v>
      </c>
      <c r="AB288" t="s">
        <v>53</v>
      </c>
      <c r="AC288" s="3">
        <v>1.29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f t="shared" si="8"/>
        <v>14.64</v>
      </c>
      <c r="AK288" s="3">
        <f t="shared" si="9"/>
        <v>5.0400000000000009</v>
      </c>
    </row>
    <row r="289" spans="1:37">
      <c r="A289">
        <v>10278605</v>
      </c>
      <c r="B289" t="s">
        <v>37</v>
      </c>
      <c r="C289" t="s">
        <v>2141</v>
      </c>
      <c r="E289" t="s">
        <v>872</v>
      </c>
      <c r="F289" t="s">
        <v>872</v>
      </c>
      <c r="G289" t="s">
        <v>2142</v>
      </c>
      <c r="H289" t="s">
        <v>42</v>
      </c>
      <c r="I289" t="s">
        <v>2143</v>
      </c>
      <c r="J289" t="s">
        <v>2144</v>
      </c>
      <c r="K289" t="s">
        <v>2145</v>
      </c>
      <c r="L289" t="s">
        <v>142</v>
      </c>
      <c r="M289" t="s">
        <v>46</v>
      </c>
      <c r="N289" t="s">
        <v>47</v>
      </c>
      <c r="O289">
        <v>4</v>
      </c>
      <c r="P289">
        <v>1</v>
      </c>
      <c r="Q289">
        <v>4</v>
      </c>
      <c r="R289" t="s">
        <v>48</v>
      </c>
      <c r="S289" t="s">
        <v>49</v>
      </c>
      <c r="T289" s="3">
        <v>0.84</v>
      </c>
      <c r="U289" s="3">
        <v>0.23</v>
      </c>
      <c r="V289" s="3">
        <v>3.55</v>
      </c>
      <c r="W289">
        <v>1.66</v>
      </c>
      <c r="X289" t="s">
        <v>50</v>
      </c>
      <c r="Y289" s="3">
        <v>16.43</v>
      </c>
      <c r="Z289" t="s">
        <v>73</v>
      </c>
      <c r="AA289" t="s">
        <v>429</v>
      </c>
      <c r="AB289" t="s">
        <v>53</v>
      </c>
      <c r="AC289" s="3">
        <v>1.29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f t="shared" si="8"/>
        <v>22.34</v>
      </c>
      <c r="AK289" s="3">
        <f t="shared" si="9"/>
        <v>5.91</v>
      </c>
    </row>
    <row r="290" spans="1:37">
      <c r="A290">
        <v>10278601</v>
      </c>
      <c r="B290" t="s">
        <v>37</v>
      </c>
      <c r="C290" t="s">
        <v>2146</v>
      </c>
      <c r="E290" t="s">
        <v>240</v>
      </c>
      <c r="F290" t="s">
        <v>2147</v>
      </c>
      <c r="G290" t="s">
        <v>2148</v>
      </c>
      <c r="H290" t="s">
        <v>42</v>
      </c>
      <c r="I290" t="s">
        <v>2149</v>
      </c>
      <c r="J290" t="s">
        <v>2150</v>
      </c>
      <c r="K290" t="s">
        <v>2151</v>
      </c>
      <c r="L290" t="s">
        <v>82</v>
      </c>
      <c r="M290" t="s">
        <v>46</v>
      </c>
      <c r="N290" t="s">
        <v>47</v>
      </c>
      <c r="O290">
        <v>2</v>
      </c>
      <c r="P290">
        <v>1</v>
      </c>
      <c r="Q290">
        <v>2</v>
      </c>
      <c r="R290" t="s">
        <v>48</v>
      </c>
      <c r="S290" t="s">
        <v>49</v>
      </c>
      <c r="T290" s="3">
        <v>0.84</v>
      </c>
      <c r="U290" s="3">
        <v>0.23</v>
      </c>
      <c r="V290" s="3">
        <v>1.81</v>
      </c>
      <c r="W290">
        <v>1.51</v>
      </c>
      <c r="X290" t="s">
        <v>50</v>
      </c>
      <c r="Y290" s="3">
        <v>10.58</v>
      </c>
      <c r="Z290" t="s">
        <v>73</v>
      </c>
      <c r="AA290" t="s">
        <v>2152</v>
      </c>
      <c r="AB290" t="s">
        <v>53</v>
      </c>
      <c r="AC290" s="3">
        <v>1.29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f t="shared" si="8"/>
        <v>14.750000000000002</v>
      </c>
      <c r="AK290" s="3">
        <f t="shared" si="9"/>
        <v>4.1700000000000017</v>
      </c>
    </row>
    <row r="291" spans="1:37">
      <c r="A291">
        <v>10281160</v>
      </c>
      <c r="B291" t="s">
        <v>37</v>
      </c>
      <c r="C291" t="s">
        <v>2153</v>
      </c>
      <c r="E291" t="s">
        <v>2154</v>
      </c>
      <c r="F291" t="s">
        <v>2155</v>
      </c>
      <c r="G291" t="s">
        <v>2156</v>
      </c>
      <c r="H291" t="s">
        <v>42</v>
      </c>
      <c r="I291" t="s">
        <v>2157</v>
      </c>
      <c r="J291" t="s">
        <v>2158</v>
      </c>
      <c r="K291">
        <v>83367</v>
      </c>
      <c r="L291" t="s">
        <v>71</v>
      </c>
      <c r="M291" t="s">
        <v>46</v>
      </c>
      <c r="N291" t="s">
        <v>47</v>
      </c>
      <c r="O291">
        <v>6</v>
      </c>
      <c r="P291">
        <v>1</v>
      </c>
      <c r="Q291">
        <v>6</v>
      </c>
      <c r="R291" t="s">
        <v>48</v>
      </c>
      <c r="S291" t="s">
        <v>49</v>
      </c>
      <c r="T291" s="3">
        <v>0.84</v>
      </c>
      <c r="U291" s="3">
        <v>0.23</v>
      </c>
      <c r="V291" s="3">
        <v>5.29</v>
      </c>
      <c r="W291">
        <v>2.35</v>
      </c>
      <c r="X291" t="s">
        <v>72</v>
      </c>
      <c r="Y291" s="3">
        <v>5.44</v>
      </c>
      <c r="Z291" t="s">
        <v>73</v>
      </c>
      <c r="AA291" t="s">
        <v>2159</v>
      </c>
      <c r="AB291" t="s">
        <v>53</v>
      </c>
      <c r="AC291" s="3">
        <v>1.29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f t="shared" si="8"/>
        <v>13.09</v>
      </c>
      <c r="AK291" s="3">
        <f t="shared" si="9"/>
        <v>7.6499999999999995</v>
      </c>
    </row>
    <row r="292" spans="1:37">
      <c r="A292">
        <v>10278893</v>
      </c>
      <c r="B292" t="s">
        <v>37</v>
      </c>
      <c r="C292" t="s">
        <v>2160</v>
      </c>
      <c r="E292" t="s">
        <v>125</v>
      </c>
      <c r="F292" t="s">
        <v>2161</v>
      </c>
      <c r="G292" t="s">
        <v>2162</v>
      </c>
      <c r="H292" t="s">
        <v>42</v>
      </c>
      <c r="I292" t="s">
        <v>2163</v>
      </c>
      <c r="J292" t="s">
        <v>2164</v>
      </c>
      <c r="K292">
        <v>13007</v>
      </c>
      <c r="L292" t="s">
        <v>130</v>
      </c>
      <c r="M292" t="s">
        <v>46</v>
      </c>
      <c r="N292" t="s">
        <v>47</v>
      </c>
      <c r="O292">
        <v>2</v>
      </c>
      <c r="P292">
        <v>1</v>
      </c>
      <c r="Q292">
        <v>2</v>
      </c>
      <c r="R292" t="s">
        <v>48</v>
      </c>
      <c r="S292" t="s">
        <v>49</v>
      </c>
      <c r="T292" s="3">
        <v>0.84</v>
      </c>
      <c r="U292" s="3">
        <v>0.23</v>
      </c>
      <c r="V292" s="3">
        <v>1.81</v>
      </c>
      <c r="W292">
        <v>1.08</v>
      </c>
      <c r="X292" t="s">
        <v>50</v>
      </c>
      <c r="Y292" s="3">
        <v>15.65</v>
      </c>
      <c r="Z292" t="s">
        <v>73</v>
      </c>
      <c r="AA292" t="s">
        <v>2165</v>
      </c>
      <c r="AB292" t="s">
        <v>53</v>
      </c>
      <c r="AC292" s="3">
        <v>1.29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f t="shared" si="8"/>
        <v>19.82</v>
      </c>
      <c r="AK292" s="3">
        <f t="shared" si="9"/>
        <v>4.17</v>
      </c>
    </row>
    <row r="293" spans="1:37">
      <c r="A293">
        <v>10280569</v>
      </c>
      <c r="B293" t="s">
        <v>37</v>
      </c>
      <c r="C293" t="s">
        <v>2166</v>
      </c>
      <c r="E293" t="s">
        <v>2167</v>
      </c>
      <c r="F293" t="s">
        <v>2168</v>
      </c>
      <c r="G293" t="s">
        <v>2169</v>
      </c>
      <c r="H293" t="s">
        <v>42</v>
      </c>
      <c r="I293" t="s">
        <v>2170</v>
      </c>
      <c r="J293" t="s">
        <v>2171</v>
      </c>
      <c r="K293" t="s">
        <v>2172</v>
      </c>
      <c r="L293" t="s">
        <v>142</v>
      </c>
      <c r="M293" t="s">
        <v>46</v>
      </c>
      <c r="N293" t="s">
        <v>47</v>
      </c>
      <c r="O293">
        <v>4</v>
      </c>
      <c r="P293">
        <v>1</v>
      </c>
      <c r="Q293">
        <v>4</v>
      </c>
      <c r="R293" t="s">
        <v>48</v>
      </c>
      <c r="S293" t="s">
        <v>49</v>
      </c>
      <c r="T293" s="3">
        <v>0.84</v>
      </c>
      <c r="U293" s="3">
        <v>0.23</v>
      </c>
      <c r="V293" s="3">
        <v>3.55</v>
      </c>
      <c r="W293">
        <v>1.66</v>
      </c>
      <c r="X293" t="s">
        <v>50</v>
      </c>
      <c r="Y293" s="3">
        <v>16.43</v>
      </c>
      <c r="Z293" t="s">
        <v>73</v>
      </c>
      <c r="AA293" t="s">
        <v>538</v>
      </c>
      <c r="AB293" t="s">
        <v>53</v>
      </c>
      <c r="AC293" s="3">
        <v>1.29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f t="shared" si="8"/>
        <v>22.34</v>
      </c>
      <c r="AK293" s="3">
        <f t="shared" si="9"/>
        <v>5.91</v>
      </c>
    </row>
    <row r="294" spans="1:37">
      <c r="A294">
        <v>10278899</v>
      </c>
      <c r="B294" t="s">
        <v>37</v>
      </c>
      <c r="C294" t="s">
        <v>2173</v>
      </c>
      <c r="E294" t="s">
        <v>2174</v>
      </c>
      <c r="F294" t="s">
        <v>2175</v>
      </c>
      <c r="G294" t="s">
        <v>2176</v>
      </c>
      <c r="H294" t="s">
        <v>42</v>
      </c>
      <c r="I294" t="s">
        <v>2177</v>
      </c>
      <c r="J294" t="s">
        <v>2178</v>
      </c>
      <c r="K294" t="s">
        <v>2179</v>
      </c>
      <c r="L294" t="s">
        <v>142</v>
      </c>
      <c r="M294" t="s">
        <v>46</v>
      </c>
      <c r="N294" t="s">
        <v>47</v>
      </c>
      <c r="O294">
        <v>2</v>
      </c>
      <c r="P294">
        <v>1</v>
      </c>
      <c r="Q294">
        <v>2</v>
      </c>
      <c r="R294" t="s">
        <v>48</v>
      </c>
      <c r="S294" t="s">
        <v>49</v>
      </c>
      <c r="T294" s="3">
        <v>0.84</v>
      </c>
      <c r="U294" s="3">
        <v>0.23</v>
      </c>
      <c r="V294" s="3">
        <v>1.81</v>
      </c>
      <c r="W294">
        <v>1.08</v>
      </c>
      <c r="X294" t="s">
        <v>50</v>
      </c>
      <c r="Y294" s="3">
        <v>16.43</v>
      </c>
      <c r="Z294" t="s">
        <v>73</v>
      </c>
      <c r="AA294" t="s">
        <v>662</v>
      </c>
      <c r="AB294" t="s">
        <v>53</v>
      </c>
      <c r="AC294" s="3">
        <v>1.29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f t="shared" si="8"/>
        <v>20.599999999999998</v>
      </c>
      <c r="AK294" s="3">
        <f t="shared" si="9"/>
        <v>4.1699999999999982</v>
      </c>
    </row>
    <row r="295" spans="1:37">
      <c r="A295">
        <v>10278611</v>
      </c>
      <c r="B295" t="s">
        <v>37</v>
      </c>
      <c r="C295" t="s">
        <v>2180</v>
      </c>
      <c r="E295" t="s">
        <v>657</v>
      </c>
      <c r="F295" t="s">
        <v>2181</v>
      </c>
      <c r="G295" t="s">
        <v>2182</v>
      </c>
      <c r="H295" t="s">
        <v>42</v>
      </c>
      <c r="I295" t="s">
        <v>2183</v>
      </c>
      <c r="J295" t="s">
        <v>2184</v>
      </c>
      <c r="K295">
        <v>6500</v>
      </c>
      <c r="L295" t="s">
        <v>618</v>
      </c>
      <c r="M295" t="s">
        <v>46</v>
      </c>
      <c r="N295" t="s">
        <v>47</v>
      </c>
      <c r="O295">
        <v>2</v>
      </c>
      <c r="P295">
        <v>1</v>
      </c>
      <c r="Q295">
        <v>2</v>
      </c>
      <c r="R295" t="s">
        <v>48</v>
      </c>
      <c r="S295" t="s">
        <v>49</v>
      </c>
      <c r="T295" s="3">
        <v>0.84</v>
      </c>
      <c r="U295" s="3">
        <v>0.23</v>
      </c>
      <c r="V295" s="3">
        <v>1.81</v>
      </c>
      <c r="W295">
        <v>2.9</v>
      </c>
      <c r="X295" t="s">
        <v>50</v>
      </c>
      <c r="Y295" s="3">
        <v>10.58</v>
      </c>
      <c r="Z295" t="s">
        <v>73</v>
      </c>
      <c r="AA295" t="s">
        <v>2185</v>
      </c>
      <c r="AB295" t="s">
        <v>53</v>
      </c>
      <c r="AC295" s="3">
        <v>1.29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f t="shared" si="8"/>
        <v>14.750000000000002</v>
      </c>
      <c r="AK295" s="3">
        <f t="shared" si="9"/>
        <v>4.1700000000000017</v>
      </c>
    </row>
    <row r="296" spans="1:37">
      <c r="A296">
        <v>10280860</v>
      </c>
      <c r="B296" t="s">
        <v>37</v>
      </c>
      <c r="C296" t="s">
        <v>2186</v>
      </c>
      <c r="E296" t="s">
        <v>1185</v>
      </c>
      <c r="F296" t="s">
        <v>2187</v>
      </c>
      <c r="G296" t="s">
        <v>2188</v>
      </c>
      <c r="H296" t="s">
        <v>42</v>
      </c>
      <c r="I296" t="s">
        <v>2189</v>
      </c>
      <c r="J296" t="s">
        <v>2190</v>
      </c>
      <c r="K296">
        <v>22926</v>
      </c>
      <c r="L296" t="s">
        <v>71</v>
      </c>
      <c r="M296" t="s">
        <v>46</v>
      </c>
      <c r="N296" t="s">
        <v>47</v>
      </c>
      <c r="O296">
        <v>3</v>
      </c>
      <c r="P296">
        <v>1</v>
      </c>
      <c r="Q296">
        <v>3</v>
      </c>
      <c r="R296" t="s">
        <v>48</v>
      </c>
      <c r="S296" t="s">
        <v>49</v>
      </c>
      <c r="T296" s="3">
        <v>0.84</v>
      </c>
      <c r="U296" s="3">
        <v>0.23</v>
      </c>
      <c r="V296" s="3">
        <v>2.68</v>
      </c>
      <c r="W296">
        <v>0.74</v>
      </c>
      <c r="X296" t="s">
        <v>72</v>
      </c>
      <c r="Y296" s="3">
        <v>5.44</v>
      </c>
      <c r="Z296" t="s">
        <v>73</v>
      </c>
      <c r="AA296" t="s">
        <v>2191</v>
      </c>
      <c r="AB296" t="s">
        <v>53</v>
      </c>
      <c r="AC296" s="3">
        <v>1.29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f t="shared" si="8"/>
        <v>10.48</v>
      </c>
      <c r="AK296" s="3">
        <f t="shared" si="9"/>
        <v>5.04</v>
      </c>
    </row>
    <row r="297" spans="1:37">
      <c r="A297">
        <v>10279670</v>
      </c>
      <c r="B297" t="s">
        <v>37</v>
      </c>
      <c r="C297" t="s">
        <v>2192</v>
      </c>
      <c r="E297" t="s">
        <v>39</v>
      </c>
      <c r="F297" t="s">
        <v>2193</v>
      </c>
      <c r="G297" t="s">
        <v>2194</v>
      </c>
      <c r="H297" t="s">
        <v>42</v>
      </c>
      <c r="I297" t="s">
        <v>2195</v>
      </c>
      <c r="J297" t="s">
        <v>2196</v>
      </c>
      <c r="K297" t="s">
        <v>2197</v>
      </c>
      <c r="L297" t="s">
        <v>2198</v>
      </c>
      <c r="M297" t="s">
        <v>46</v>
      </c>
      <c r="N297" t="s">
        <v>47</v>
      </c>
      <c r="O297">
        <v>2</v>
      </c>
      <c r="P297">
        <v>1</v>
      </c>
      <c r="Q297">
        <v>2</v>
      </c>
      <c r="R297" t="s">
        <v>48</v>
      </c>
      <c r="S297" t="s">
        <v>49</v>
      </c>
      <c r="T297" s="3">
        <v>0.84</v>
      </c>
      <c r="U297" s="3">
        <v>0.23</v>
      </c>
      <c r="V297" s="3">
        <v>1.81</v>
      </c>
      <c r="W297">
        <v>1.08</v>
      </c>
      <c r="X297" t="s">
        <v>50</v>
      </c>
      <c r="Y297" s="3">
        <v>17.82</v>
      </c>
      <c r="Z297" t="s">
        <v>73</v>
      </c>
      <c r="AA297" t="s">
        <v>2199</v>
      </c>
      <c r="AB297" t="s">
        <v>53</v>
      </c>
      <c r="AC297" s="3">
        <v>1.29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f t="shared" si="8"/>
        <v>21.99</v>
      </c>
      <c r="AK297" s="3">
        <f t="shared" si="9"/>
        <v>4.1699999999999982</v>
      </c>
    </row>
    <row r="298" spans="1:37">
      <c r="A298">
        <v>10281161</v>
      </c>
      <c r="B298" t="s">
        <v>37</v>
      </c>
      <c r="C298" t="s">
        <v>2200</v>
      </c>
      <c r="E298" t="s">
        <v>1886</v>
      </c>
      <c r="F298" t="s">
        <v>2201</v>
      </c>
      <c r="G298" t="s">
        <v>2202</v>
      </c>
      <c r="H298" t="s">
        <v>42</v>
      </c>
      <c r="I298" t="s">
        <v>2203</v>
      </c>
      <c r="J298" t="s">
        <v>2204</v>
      </c>
      <c r="K298" t="s">
        <v>2205</v>
      </c>
      <c r="L298" t="s">
        <v>142</v>
      </c>
      <c r="M298" t="s">
        <v>46</v>
      </c>
      <c r="N298" t="s">
        <v>47</v>
      </c>
      <c r="O298">
        <v>4</v>
      </c>
      <c r="P298">
        <v>1</v>
      </c>
      <c r="Q298">
        <v>4</v>
      </c>
      <c r="R298" t="s">
        <v>48</v>
      </c>
      <c r="S298" t="s">
        <v>49</v>
      </c>
      <c r="T298" s="3">
        <v>0.84</v>
      </c>
      <c r="U298" s="3">
        <v>0.23</v>
      </c>
      <c r="V298" s="3">
        <v>3.55</v>
      </c>
      <c r="W298">
        <v>1.86</v>
      </c>
      <c r="X298" t="s">
        <v>50</v>
      </c>
      <c r="Y298" s="3">
        <v>16.43</v>
      </c>
      <c r="Z298" t="s">
        <v>73</v>
      </c>
      <c r="AA298" t="s">
        <v>2206</v>
      </c>
      <c r="AB298" t="s">
        <v>53</v>
      </c>
      <c r="AC298" s="3">
        <v>1.29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f t="shared" si="8"/>
        <v>22.34</v>
      </c>
      <c r="AK298" s="3">
        <f t="shared" si="9"/>
        <v>5.91</v>
      </c>
    </row>
    <row r="299" spans="1:37">
      <c r="A299">
        <v>10280567</v>
      </c>
      <c r="B299" t="s">
        <v>37</v>
      </c>
      <c r="C299" t="s">
        <v>2207</v>
      </c>
      <c r="E299" t="s">
        <v>2208</v>
      </c>
      <c r="F299" t="s">
        <v>2209</v>
      </c>
      <c r="G299" t="s">
        <v>2210</v>
      </c>
      <c r="H299" t="s">
        <v>42</v>
      </c>
      <c r="I299" t="s">
        <v>2211</v>
      </c>
      <c r="J299" t="s">
        <v>2212</v>
      </c>
      <c r="K299">
        <v>69469</v>
      </c>
      <c r="L299" t="s">
        <v>71</v>
      </c>
      <c r="M299" t="s">
        <v>46</v>
      </c>
      <c r="N299" t="s">
        <v>47</v>
      </c>
      <c r="O299">
        <v>3</v>
      </c>
      <c r="P299">
        <v>1</v>
      </c>
      <c r="Q299">
        <v>3</v>
      </c>
      <c r="R299" t="s">
        <v>48</v>
      </c>
      <c r="S299" t="s">
        <v>49</v>
      </c>
      <c r="T299" s="3">
        <v>0.84</v>
      </c>
      <c r="U299" s="3">
        <v>0.23</v>
      </c>
      <c r="V299" s="3">
        <v>2.68</v>
      </c>
      <c r="W299">
        <v>1.27</v>
      </c>
      <c r="X299" t="s">
        <v>72</v>
      </c>
      <c r="Y299" s="3">
        <v>5.44</v>
      </c>
      <c r="Z299" t="s">
        <v>73</v>
      </c>
      <c r="AA299" t="s">
        <v>2213</v>
      </c>
      <c r="AB299" t="s">
        <v>53</v>
      </c>
      <c r="AC299" s="3">
        <v>1.29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f t="shared" si="8"/>
        <v>10.48</v>
      </c>
      <c r="AK299" s="3">
        <f t="shared" si="9"/>
        <v>5.04</v>
      </c>
    </row>
    <row r="300" spans="1:37">
      <c r="A300">
        <v>10279410</v>
      </c>
      <c r="B300" t="s">
        <v>37</v>
      </c>
      <c r="C300" t="s">
        <v>2214</v>
      </c>
      <c r="E300" t="s">
        <v>2215</v>
      </c>
      <c r="F300" t="s">
        <v>2216</v>
      </c>
      <c r="G300" t="s">
        <v>2217</v>
      </c>
      <c r="H300" t="s">
        <v>42</v>
      </c>
      <c r="I300" t="s">
        <v>2218</v>
      </c>
      <c r="J300" t="s">
        <v>2219</v>
      </c>
      <c r="K300">
        <v>10961</v>
      </c>
      <c r="L300" t="s">
        <v>71</v>
      </c>
      <c r="M300" t="s">
        <v>46</v>
      </c>
      <c r="N300" t="s">
        <v>47</v>
      </c>
      <c r="O300">
        <v>2</v>
      </c>
      <c r="P300">
        <v>1</v>
      </c>
      <c r="Q300">
        <v>2</v>
      </c>
      <c r="R300" t="s">
        <v>48</v>
      </c>
      <c r="S300" t="s">
        <v>49</v>
      </c>
      <c r="T300" s="3">
        <v>0.84</v>
      </c>
      <c r="U300" s="3">
        <v>0.23</v>
      </c>
      <c r="V300" s="3">
        <v>1.81</v>
      </c>
      <c r="W300">
        <v>1.08</v>
      </c>
      <c r="X300" t="s">
        <v>72</v>
      </c>
      <c r="Y300" s="3">
        <v>6.83</v>
      </c>
      <c r="Z300" t="s">
        <v>73</v>
      </c>
      <c r="AA300" t="s">
        <v>2220</v>
      </c>
      <c r="AB300" t="s">
        <v>53</v>
      </c>
      <c r="AC300" s="3">
        <v>1.29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f t="shared" si="8"/>
        <v>11.000000000000002</v>
      </c>
      <c r="AK300" s="3">
        <f t="shared" si="9"/>
        <v>4.1700000000000017</v>
      </c>
    </row>
    <row r="301" spans="1:37">
      <c r="A301">
        <v>10279901</v>
      </c>
      <c r="B301" t="s">
        <v>37</v>
      </c>
      <c r="C301" t="s">
        <v>2221</v>
      </c>
      <c r="E301" t="s">
        <v>240</v>
      </c>
      <c r="F301" t="s">
        <v>2222</v>
      </c>
      <c r="G301" t="s">
        <v>2223</v>
      </c>
      <c r="H301" t="s">
        <v>42</v>
      </c>
      <c r="I301" t="s">
        <v>2224</v>
      </c>
      <c r="J301" t="s">
        <v>2225</v>
      </c>
      <c r="K301">
        <v>82319</v>
      </c>
      <c r="L301" t="s">
        <v>71</v>
      </c>
      <c r="M301" t="s">
        <v>46</v>
      </c>
      <c r="N301" t="s">
        <v>47</v>
      </c>
      <c r="O301">
        <v>2</v>
      </c>
      <c r="P301">
        <v>1</v>
      </c>
      <c r="Q301">
        <v>2</v>
      </c>
      <c r="R301" t="s">
        <v>48</v>
      </c>
      <c r="S301" t="s">
        <v>49</v>
      </c>
      <c r="T301" s="3">
        <v>0.84</v>
      </c>
      <c r="U301" s="3">
        <v>0.23</v>
      </c>
      <c r="V301" s="3">
        <v>1.81</v>
      </c>
      <c r="W301">
        <v>1.08</v>
      </c>
      <c r="X301" t="s">
        <v>72</v>
      </c>
      <c r="Y301" s="3">
        <v>6.83</v>
      </c>
      <c r="Z301" t="s">
        <v>73</v>
      </c>
      <c r="AA301" t="s">
        <v>2226</v>
      </c>
      <c r="AB301" t="s">
        <v>53</v>
      </c>
      <c r="AC301" s="3">
        <v>1.29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f t="shared" si="8"/>
        <v>11.000000000000002</v>
      </c>
      <c r="AK301" s="3">
        <f t="shared" si="9"/>
        <v>4.1700000000000017</v>
      </c>
    </row>
    <row r="302" spans="1:37">
      <c r="A302">
        <v>10278608</v>
      </c>
      <c r="B302" t="s">
        <v>37</v>
      </c>
      <c r="C302" t="s">
        <v>2227</v>
      </c>
      <c r="E302" t="s">
        <v>2228</v>
      </c>
      <c r="F302" t="s">
        <v>2229</v>
      </c>
      <c r="G302" t="s">
        <v>2230</v>
      </c>
      <c r="H302" t="s">
        <v>42</v>
      </c>
      <c r="I302" t="s">
        <v>2231</v>
      </c>
      <c r="J302" t="s">
        <v>2232</v>
      </c>
      <c r="K302">
        <v>44229</v>
      </c>
      <c r="L302" t="s">
        <v>71</v>
      </c>
      <c r="M302" t="s">
        <v>46</v>
      </c>
      <c r="N302" t="s">
        <v>47</v>
      </c>
      <c r="O302">
        <v>2</v>
      </c>
      <c r="P302">
        <v>1</v>
      </c>
      <c r="Q302">
        <v>2</v>
      </c>
      <c r="R302" t="s">
        <v>48</v>
      </c>
      <c r="S302" t="s">
        <v>49</v>
      </c>
      <c r="T302" s="3">
        <v>0.84</v>
      </c>
      <c r="U302" s="3">
        <v>0.23</v>
      </c>
      <c r="V302" s="3">
        <v>1.81</v>
      </c>
      <c r="W302">
        <v>1.08</v>
      </c>
      <c r="X302" t="s">
        <v>72</v>
      </c>
      <c r="Y302" s="3">
        <v>6.83</v>
      </c>
      <c r="Z302" t="s">
        <v>73</v>
      </c>
      <c r="AA302" t="s">
        <v>2233</v>
      </c>
      <c r="AB302" t="s">
        <v>53</v>
      </c>
      <c r="AC302" s="3">
        <v>1.29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f t="shared" si="8"/>
        <v>11.000000000000002</v>
      </c>
      <c r="AK302" s="3">
        <f t="shared" si="9"/>
        <v>4.1700000000000017</v>
      </c>
    </row>
    <row r="303" spans="1:37">
      <c r="A303">
        <v>10278609</v>
      </c>
      <c r="B303" t="s">
        <v>37</v>
      </c>
      <c r="C303" t="s">
        <v>2234</v>
      </c>
      <c r="E303" t="s">
        <v>2235</v>
      </c>
      <c r="F303" t="s">
        <v>2236</v>
      </c>
      <c r="G303" t="s">
        <v>2237</v>
      </c>
      <c r="H303" t="s">
        <v>42</v>
      </c>
      <c r="I303" t="s">
        <v>2238</v>
      </c>
      <c r="J303" t="s">
        <v>2239</v>
      </c>
      <c r="K303">
        <v>1700</v>
      </c>
      <c r="L303" t="s">
        <v>505</v>
      </c>
      <c r="M303" t="s">
        <v>46</v>
      </c>
      <c r="N303" t="s">
        <v>47</v>
      </c>
      <c r="O303">
        <v>2</v>
      </c>
      <c r="P303">
        <v>1</v>
      </c>
      <c r="Q303">
        <v>2</v>
      </c>
      <c r="R303" t="s">
        <v>48</v>
      </c>
      <c r="S303" t="s">
        <v>49</v>
      </c>
      <c r="T303" s="3">
        <v>0.84</v>
      </c>
      <c r="U303" s="3">
        <v>0.23</v>
      </c>
      <c r="V303" s="3">
        <v>1.81</v>
      </c>
      <c r="W303">
        <v>1.08</v>
      </c>
      <c r="X303" t="s">
        <v>50</v>
      </c>
      <c r="Y303" s="3">
        <v>10.58</v>
      </c>
      <c r="Z303" t="s">
        <v>73</v>
      </c>
      <c r="AA303" t="s">
        <v>2240</v>
      </c>
      <c r="AB303" t="s">
        <v>53</v>
      </c>
      <c r="AC303" s="3">
        <v>1.29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f t="shared" si="8"/>
        <v>14.750000000000002</v>
      </c>
      <c r="AK303" s="3">
        <f t="shared" si="9"/>
        <v>4.1700000000000017</v>
      </c>
    </row>
    <row r="304" spans="1:37">
      <c r="A304">
        <v>10278900</v>
      </c>
      <c r="B304" t="s">
        <v>37</v>
      </c>
      <c r="C304" t="s">
        <v>2241</v>
      </c>
      <c r="E304" t="s">
        <v>2242</v>
      </c>
      <c r="F304" t="s">
        <v>2243</v>
      </c>
      <c r="G304" t="s">
        <v>2244</v>
      </c>
      <c r="H304" t="s">
        <v>42</v>
      </c>
      <c r="I304" t="s">
        <v>2245</v>
      </c>
      <c r="J304" t="s">
        <v>2246</v>
      </c>
      <c r="K304">
        <v>1000</v>
      </c>
      <c r="L304" t="s">
        <v>2247</v>
      </c>
      <c r="M304" t="s">
        <v>46</v>
      </c>
      <c r="N304" t="s">
        <v>47</v>
      </c>
      <c r="O304">
        <v>2</v>
      </c>
      <c r="P304">
        <v>1</v>
      </c>
      <c r="Q304">
        <v>2</v>
      </c>
      <c r="R304" t="s">
        <v>48</v>
      </c>
      <c r="S304" t="s">
        <v>49</v>
      </c>
      <c r="T304" s="3">
        <v>0.84</v>
      </c>
      <c r="U304" s="3">
        <v>0.23</v>
      </c>
      <c r="V304" s="3">
        <v>1.81</v>
      </c>
      <c r="W304">
        <v>0.63</v>
      </c>
      <c r="X304" t="s">
        <v>50</v>
      </c>
      <c r="Y304" s="3">
        <v>16.37</v>
      </c>
      <c r="Z304" t="s">
        <v>109</v>
      </c>
      <c r="AA304" t="s">
        <v>2248</v>
      </c>
      <c r="AB304" t="s">
        <v>53</v>
      </c>
      <c r="AC304" s="3">
        <v>1.06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f t="shared" si="8"/>
        <v>20.309999999999999</v>
      </c>
      <c r="AK304" s="3">
        <f t="shared" si="9"/>
        <v>3.9399999999999977</v>
      </c>
    </row>
    <row r="305" spans="1:37">
      <c r="A305">
        <v>10281494</v>
      </c>
      <c r="B305" t="s">
        <v>37</v>
      </c>
      <c r="C305" t="s">
        <v>2249</v>
      </c>
      <c r="E305" t="s">
        <v>954</v>
      </c>
      <c r="F305" t="s">
        <v>2250</v>
      </c>
      <c r="G305" t="s">
        <v>2251</v>
      </c>
      <c r="H305" t="s">
        <v>42</v>
      </c>
      <c r="I305" t="s">
        <v>2252</v>
      </c>
      <c r="J305" t="s">
        <v>2253</v>
      </c>
      <c r="K305" t="s">
        <v>2254</v>
      </c>
      <c r="L305" t="s">
        <v>142</v>
      </c>
      <c r="M305" t="s">
        <v>46</v>
      </c>
      <c r="N305" t="s">
        <v>47</v>
      </c>
      <c r="O305">
        <v>4</v>
      </c>
      <c r="P305">
        <v>1</v>
      </c>
      <c r="Q305">
        <v>4</v>
      </c>
      <c r="R305" t="s">
        <v>48</v>
      </c>
      <c r="S305" t="s">
        <v>49</v>
      </c>
      <c r="T305" s="3">
        <v>0.84</v>
      </c>
      <c r="U305" s="3">
        <v>0.23</v>
      </c>
      <c r="V305" s="3">
        <v>3.55</v>
      </c>
      <c r="W305">
        <v>1.66</v>
      </c>
      <c r="X305" t="s">
        <v>50</v>
      </c>
      <c r="Y305" s="3">
        <v>17.82</v>
      </c>
      <c r="Z305" t="s">
        <v>73</v>
      </c>
      <c r="AA305" t="s">
        <v>2255</v>
      </c>
      <c r="AB305" t="s">
        <v>53</v>
      </c>
      <c r="AC305" s="3">
        <v>1.29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f t="shared" si="8"/>
        <v>23.73</v>
      </c>
      <c r="AK305" s="3">
        <f t="shared" si="9"/>
        <v>5.91</v>
      </c>
    </row>
    <row r="306" spans="1:37">
      <c r="A306">
        <v>10281496</v>
      </c>
      <c r="B306" t="s">
        <v>37</v>
      </c>
      <c r="C306" t="s">
        <v>2256</v>
      </c>
      <c r="D306" t="s">
        <v>2257</v>
      </c>
      <c r="E306" t="s">
        <v>2258</v>
      </c>
      <c r="F306" t="s">
        <v>2259</v>
      </c>
      <c r="G306" t="s">
        <v>2260</v>
      </c>
      <c r="H306" t="s">
        <v>42</v>
      </c>
      <c r="I306" t="s">
        <v>2261</v>
      </c>
      <c r="J306" t="s">
        <v>2262</v>
      </c>
      <c r="K306" t="s">
        <v>2263</v>
      </c>
      <c r="L306" t="s">
        <v>142</v>
      </c>
      <c r="M306" t="s">
        <v>46</v>
      </c>
      <c r="N306" t="s">
        <v>47</v>
      </c>
      <c r="O306">
        <v>4</v>
      </c>
      <c r="P306">
        <v>1</v>
      </c>
      <c r="Q306">
        <v>4</v>
      </c>
      <c r="R306" t="s">
        <v>48</v>
      </c>
      <c r="S306" t="s">
        <v>49</v>
      </c>
      <c r="T306" s="3">
        <v>0.84</v>
      </c>
      <c r="U306" s="3">
        <v>0.23</v>
      </c>
      <c r="V306" s="3">
        <v>3.55</v>
      </c>
      <c r="W306">
        <v>2.06</v>
      </c>
      <c r="X306" t="s">
        <v>50</v>
      </c>
      <c r="Y306" s="3">
        <v>16.43</v>
      </c>
      <c r="Z306" t="s">
        <v>73</v>
      </c>
      <c r="AA306" t="s">
        <v>1694</v>
      </c>
      <c r="AB306" t="s">
        <v>53</v>
      </c>
      <c r="AC306" s="3">
        <v>1.29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f t="shared" si="8"/>
        <v>22.34</v>
      </c>
      <c r="AK306" s="3">
        <f t="shared" si="9"/>
        <v>5.91</v>
      </c>
    </row>
    <row r="307" spans="1:37">
      <c r="A307">
        <v>10281491</v>
      </c>
      <c r="B307" t="s">
        <v>37</v>
      </c>
      <c r="C307" t="s">
        <v>2264</v>
      </c>
      <c r="E307" t="s">
        <v>2265</v>
      </c>
      <c r="F307" t="s">
        <v>2266</v>
      </c>
      <c r="G307" t="s">
        <v>2267</v>
      </c>
      <c r="H307" t="s">
        <v>42</v>
      </c>
      <c r="I307" t="s">
        <v>2268</v>
      </c>
      <c r="J307" t="s">
        <v>2269</v>
      </c>
      <c r="K307">
        <v>53489</v>
      </c>
      <c r="L307" t="s">
        <v>71</v>
      </c>
      <c r="M307" t="s">
        <v>46</v>
      </c>
      <c r="N307" t="s">
        <v>47</v>
      </c>
      <c r="O307">
        <v>8</v>
      </c>
      <c r="P307">
        <v>1</v>
      </c>
      <c r="Q307">
        <v>8</v>
      </c>
      <c r="R307" t="s">
        <v>48</v>
      </c>
      <c r="S307" t="s">
        <v>49</v>
      </c>
      <c r="T307" s="3">
        <v>0.84</v>
      </c>
      <c r="U307" s="3">
        <v>0.23</v>
      </c>
      <c r="V307" s="3">
        <v>7.03</v>
      </c>
      <c r="W307">
        <v>4.0199999999999996</v>
      </c>
      <c r="X307" t="s">
        <v>72</v>
      </c>
      <c r="Y307" s="3">
        <v>8</v>
      </c>
      <c r="Z307" t="s">
        <v>83</v>
      </c>
      <c r="AA307" t="s">
        <v>2270</v>
      </c>
      <c r="AB307" t="s">
        <v>53</v>
      </c>
      <c r="AC307" s="3">
        <v>1.27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f t="shared" si="8"/>
        <v>17.37</v>
      </c>
      <c r="AK307" s="3">
        <f t="shared" si="9"/>
        <v>9.370000000000001</v>
      </c>
    </row>
    <row r="308" spans="1:37">
      <c r="A308">
        <v>10280127</v>
      </c>
      <c r="B308" t="s">
        <v>37</v>
      </c>
      <c r="C308" t="s">
        <v>2271</v>
      </c>
      <c r="E308" t="s">
        <v>1527</v>
      </c>
      <c r="F308" t="s">
        <v>2272</v>
      </c>
      <c r="G308" t="s">
        <v>2273</v>
      </c>
      <c r="H308" t="s">
        <v>42</v>
      </c>
      <c r="I308" t="s">
        <v>2274</v>
      </c>
      <c r="J308" t="s">
        <v>2275</v>
      </c>
      <c r="K308">
        <v>67454</v>
      </c>
      <c r="L308" t="s">
        <v>71</v>
      </c>
      <c r="M308" t="s">
        <v>46</v>
      </c>
      <c r="N308" t="s">
        <v>47</v>
      </c>
      <c r="O308">
        <v>8</v>
      </c>
      <c r="P308">
        <v>1</v>
      </c>
      <c r="Q308">
        <v>8</v>
      </c>
      <c r="R308" t="s">
        <v>48</v>
      </c>
      <c r="S308" t="s">
        <v>49</v>
      </c>
      <c r="T308" s="3">
        <v>0.84</v>
      </c>
      <c r="U308" s="3">
        <v>0.23</v>
      </c>
      <c r="V308" s="3">
        <v>7.03</v>
      </c>
      <c r="W308">
        <v>4.21</v>
      </c>
      <c r="X308" t="s">
        <v>72</v>
      </c>
      <c r="Y308" s="3">
        <v>6.61</v>
      </c>
      <c r="Z308" t="s">
        <v>83</v>
      </c>
      <c r="AA308" t="s">
        <v>2276</v>
      </c>
      <c r="AB308" t="s">
        <v>53</v>
      </c>
      <c r="AC308" s="3">
        <v>1.27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f t="shared" si="8"/>
        <v>15.98</v>
      </c>
      <c r="AK308" s="3">
        <f t="shared" si="9"/>
        <v>9.370000000000001</v>
      </c>
    </row>
    <row r="309" spans="1:37">
      <c r="A309">
        <v>10281734</v>
      </c>
      <c r="B309" t="s">
        <v>37</v>
      </c>
      <c r="C309" t="s">
        <v>2277</v>
      </c>
      <c r="E309" t="s">
        <v>2278</v>
      </c>
      <c r="F309" t="s">
        <v>2279</v>
      </c>
      <c r="G309" t="s">
        <v>2280</v>
      </c>
      <c r="H309" t="s">
        <v>42</v>
      </c>
      <c r="I309" t="s">
        <v>2281</v>
      </c>
      <c r="J309" t="s">
        <v>2282</v>
      </c>
      <c r="K309">
        <v>9401</v>
      </c>
      <c r="L309" t="s">
        <v>505</v>
      </c>
      <c r="M309" t="s">
        <v>46</v>
      </c>
      <c r="N309" t="s">
        <v>47</v>
      </c>
      <c r="O309">
        <v>4</v>
      </c>
      <c r="P309">
        <v>1</v>
      </c>
      <c r="Q309">
        <v>4</v>
      </c>
      <c r="R309" t="s">
        <v>48</v>
      </c>
      <c r="S309" t="s">
        <v>49</v>
      </c>
      <c r="T309" s="3">
        <v>0.84</v>
      </c>
      <c r="U309" s="3">
        <v>0.23</v>
      </c>
      <c r="V309" s="3">
        <v>3.55</v>
      </c>
      <c r="W309">
        <v>1.66</v>
      </c>
      <c r="X309" t="s">
        <v>50</v>
      </c>
      <c r="Y309" s="3">
        <v>10.58</v>
      </c>
      <c r="Z309" t="s">
        <v>73</v>
      </c>
      <c r="AA309" t="s">
        <v>429</v>
      </c>
      <c r="AB309" t="s">
        <v>53</v>
      </c>
      <c r="AC309" s="3">
        <v>1.29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f t="shared" si="8"/>
        <v>16.490000000000002</v>
      </c>
      <c r="AK309" s="3">
        <f t="shared" si="9"/>
        <v>5.9100000000000019</v>
      </c>
    </row>
    <row r="310" spans="1:37">
      <c r="A310">
        <v>10281162</v>
      </c>
      <c r="B310" t="s">
        <v>37</v>
      </c>
      <c r="C310" t="s">
        <v>2283</v>
      </c>
      <c r="E310" t="s">
        <v>2284</v>
      </c>
      <c r="F310" t="s">
        <v>2285</v>
      </c>
      <c r="G310" t="s">
        <v>2286</v>
      </c>
      <c r="H310" t="s">
        <v>42</v>
      </c>
      <c r="I310" t="s">
        <v>2287</v>
      </c>
      <c r="J310" t="s">
        <v>2288</v>
      </c>
      <c r="K310" t="s">
        <v>2289</v>
      </c>
      <c r="L310" t="s">
        <v>91</v>
      </c>
      <c r="M310" t="s">
        <v>46</v>
      </c>
      <c r="N310" t="s">
        <v>47</v>
      </c>
      <c r="O310">
        <v>3</v>
      </c>
      <c r="P310">
        <v>1</v>
      </c>
      <c r="Q310">
        <v>3</v>
      </c>
      <c r="R310" t="s">
        <v>48</v>
      </c>
      <c r="S310" t="s">
        <v>49</v>
      </c>
      <c r="T310" s="3">
        <v>0.84</v>
      </c>
      <c r="U310" s="3">
        <v>0.23</v>
      </c>
      <c r="V310" s="3">
        <v>2.68</v>
      </c>
      <c r="W310">
        <v>0.7</v>
      </c>
      <c r="X310" t="s">
        <v>50</v>
      </c>
      <c r="Y310" s="3">
        <v>17.82</v>
      </c>
      <c r="Z310" t="s">
        <v>109</v>
      </c>
      <c r="AA310" t="s">
        <v>2290</v>
      </c>
      <c r="AB310" t="s">
        <v>53</v>
      </c>
      <c r="AC310" s="3">
        <v>1.06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f t="shared" si="8"/>
        <v>22.63</v>
      </c>
      <c r="AK310" s="3">
        <f t="shared" si="9"/>
        <v>4.8099999999999987</v>
      </c>
    </row>
    <row r="311" spans="1:37">
      <c r="A311">
        <v>10279671</v>
      </c>
      <c r="B311" t="s">
        <v>37</v>
      </c>
      <c r="C311" t="s">
        <v>2291</v>
      </c>
      <c r="E311" t="s">
        <v>2292</v>
      </c>
      <c r="F311" t="s">
        <v>2293</v>
      </c>
      <c r="G311" t="s">
        <v>2294</v>
      </c>
      <c r="H311" t="s">
        <v>42</v>
      </c>
      <c r="I311" t="s">
        <v>2295</v>
      </c>
      <c r="J311" t="s">
        <v>2296</v>
      </c>
      <c r="K311">
        <v>50679</v>
      </c>
      <c r="L311" t="s">
        <v>71</v>
      </c>
      <c r="M311" t="s">
        <v>46</v>
      </c>
      <c r="N311" t="s">
        <v>47</v>
      </c>
      <c r="O311">
        <v>3</v>
      </c>
      <c r="P311">
        <v>1</v>
      </c>
      <c r="Q311">
        <v>3</v>
      </c>
      <c r="R311" t="s">
        <v>48</v>
      </c>
      <c r="S311" t="s">
        <v>49</v>
      </c>
      <c r="T311" s="3">
        <v>0.84</v>
      </c>
      <c r="U311" s="3">
        <v>0.23</v>
      </c>
      <c r="V311" s="3">
        <v>2.68</v>
      </c>
      <c r="W311">
        <v>1.37</v>
      </c>
      <c r="X311" t="s">
        <v>72</v>
      </c>
      <c r="Y311" s="3">
        <v>6.83</v>
      </c>
      <c r="Z311" t="s">
        <v>73</v>
      </c>
      <c r="AA311" t="s">
        <v>2297</v>
      </c>
      <c r="AB311" t="s">
        <v>53</v>
      </c>
      <c r="AC311" s="3">
        <v>1.29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f t="shared" si="8"/>
        <v>11.870000000000001</v>
      </c>
      <c r="AK311" s="3">
        <f t="shared" si="9"/>
        <v>5.0400000000000009</v>
      </c>
    </row>
    <row r="312" spans="1:37">
      <c r="A312">
        <v>10280343</v>
      </c>
      <c r="B312" t="s">
        <v>37</v>
      </c>
      <c r="C312" t="s">
        <v>2298</v>
      </c>
      <c r="E312" t="s">
        <v>2299</v>
      </c>
      <c r="F312" t="s">
        <v>2300</v>
      </c>
      <c r="G312" t="s">
        <v>2301</v>
      </c>
      <c r="H312" t="s">
        <v>42</v>
      </c>
      <c r="I312" t="s">
        <v>2302</v>
      </c>
      <c r="J312" t="s">
        <v>2303</v>
      </c>
      <c r="K312">
        <v>51789</v>
      </c>
      <c r="L312" t="s">
        <v>71</v>
      </c>
      <c r="M312" t="s">
        <v>46</v>
      </c>
      <c r="N312" t="s">
        <v>47</v>
      </c>
      <c r="O312">
        <v>3</v>
      </c>
      <c r="P312">
        <v>1</v>
      </c>
      <c r="Q312">
        <v>3</v>
      </c>
      <c r="R312" t="s">
        <v>48</v>
      </c>
      <c r="S312" t="s">
        <v>49</v>
      </c>
      <c r="T312" s="3">
        <v>0.84</v>
      </c>
      <c r="U312" s="3">
        <v>0.23</v>
      </c>
      <c r="V312" s="3">
        <v>2.68</v>
      </c>
      <c r="W312">
        <v>1.7</v>
      </c>
      <c r="X312" t="s">
        <v>72</v>
      </c>
      <c r="Y312" s="3">
        <v>5.44</v>
      </c>
      <c r="Z312" t="s">
        <v>83</v>
      </c>
      <c r="AA312" t="s">
        <v>2304</v>
      </c>
      <c r="AB312" t="s">
        <v>53</v>
      </c>
      <c r="AC312" s="3">
        <v>1.27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f t="shared" si="8"/>
        <v>10.46</v>
      </c>
      <c r="AK312" s="3">
        <f t="shared" si="9"/>
        <v>5.0200000000000005</v>
      </c>
    </row>
    <row r="313" spans="1:37">
      <c r="A313">
        <v>10257862</v>
      </c>
      <c r="B313" t="s">
        <v>37</v>
      </c>
      <c r="C313" t="s">
        <v>2305</v>
      </c>
      <c r="E313" t="s">
        <v>2306</v>
      </c>
      <c r="F313" t="s">
        <v>2307</v>
      </c>
      <c r="G313" t="s">
        <v>2308</v>
      </c>
      <c r="H313" t="s">
        <v>42</v>
      </c>
      <c r="I313" t="s">
        <v>2309</v>
      </c>
      <c r="J313" t="s">
        <v>2310</v>
      </c>
      <c r="K313">
        <v>8490</v>
      </c>
      <c r="L313" t="s">
        <v>505</v>
      </c>
      <c r="M313" t="s">
        <v>46</v>
      </c>
      <c r="N313" t="s">
        <v>47</v>
      </c>
      <c r="O313">
        <v>8</v>
      </c>
      <c r="P313">
        <v>1</v>
      </c>
      <c r="Q313">
        <v>8</v>
      </c>
      <c r="R313" t="s">
        <v>48</v>
      </c>
      <c r="S313" t="s">
        <v>49</v>
      </c>
      <c r="T313" s="3">
        <v>0.84</v>
      </c>
      <c r="U313" s="3">
        <v>0.23</v>
      </c>
      <c r="V313" s="3">
        <v>7.03</v>
      </c>
      <c r="W313">
        <v>3.28</v>
      </c>
      <c r="X313" t="s">
        <v>50</v>
      </c>
      <c r="Y313" s="3">
        <v>9.19</v>
      </c>
      <c r="Z313" t="s">
        <v>73</v>
      </c>
      <c r="AA313" t="s">
        <v>2311</v>
      </c>
      <c r="AB313" t="s">
        <v>53</v>
      </c>
      <c r="AC313" s="3">
        <v>1.29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f t="shared" si="8"/>
        <v>18.580000000000002</v>
      </c>
      <c r="AK313" s="3">
        <f t="shared" si="9"/>
        <v>9.3900000000000023</v>
      </c>
    </row>
    <row r="314" spans="1:37">
      <c r="A314">
        <v>10280339</v>
      </c>
      <c r="B314" t="s">
        <v>37</v>
      </c>
      <c r="C314" t="s">
        <v>2312</v>
      </c>
      <c r="E314" t="s">
        <v>2313</v>
      </c>
      <c r="F314" t="s">
        <v>2314</v>
      </c>
      <c r="G314" t="s">
        <v>2315</v>
      </c>
      <c r="H314" t="s">
        <v>42</v>
      </c>
      <c r="I314" t="s">
        <v>2316</v>
      </c>
      <c r="J314" t="s">
        <v>2317</v>
      </c>
      <c r="K314" t="s">
        <v>2318</v>
      </c>
      <c r="L314" t="s">
        <v>82</v>
      </c>
      <c r="M314" t="s">
        <v>46</v>
      </c>
      <c r="N314" t="s">
        <v>47</v>
      </c>
      <c r="O314">
        <v>3</v>
      </c>
      <c r="P314">
        <v>1</v>
      </c>
      <c r="Q314">
        <v>3</v>
      </c>
      <c r="R314" t="s">
        <v>48</v>
      </c>
      <c r="S314" t="s">
        <v>49</v>
      </c>
      <c r="T314" s="3">
        <v>0.84</v>
      </c>
      <c r="U314" s="3">
        <v>0.23</v>
      </c>
      <c r="V314" s="3">
        <v>2.68</v>
      </c>
      <c r="W314">
        <v>1.2</v>
      </c>
      <c r="X314" t="s">
        <v>50</v>
      </c>
      <c r="Y314" s="3">
        <v>9.19</v>
      </c>
      <c r="Z314" t="s">
        <v>73</v>
      </c>
      <c r="AA314" t="s">
        <v>2319</v>
      </c>
      <c r="AB314" t="s">
        <v>53</v>
      </c>
      <c r="AC314" s="3">
        <v>1.29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f t="shared" si="8"/>
        <v>14.23</v>
      </c>
      <c r="AK314" s="3">
        <f t="shared" si="9"/>
        <v>5.0400000000000009</v>
      </c>
    </row>
    <row r="315" spans="1:37">
      <c r="A315">
        <v>10279899</v>
      </c>
      <c r="B315" t="s">
        <v>37</v>
      </c>
      <c r="C315" t="s">
        <v>2320</v>
      </c>
      <c r="E315" t="s">
        <v>1101</v>
      </c>
      <c r="F315" t="s">
        <v>2321</v>
      </c>
      <c r="G315" t="s">
        <v>2322</v>
      </c>
      <c r="H315" t="s">
        <v>42</v>
      </c>
      <c r="I315" t="s">
        <v>2323</v>
      </c>
      <c r="J315" t="s">
        <v>2324</v>
      </c>
      <c r="K315">
        <v>4040</v>
      </c>
      <c r="L315" t="s">
        <v>618</v>
      </c>
      <c r="M315" t="s">
        <v>46</v>
      </c>
      <c r="N315" t="s">
        <v>47</v>
      </c>
      <c r="O315">
        <v>8</v>
      </c>
      <c r="P315">
        <v>1</v>
      </c>
      <c r="Q315">
        <v>8</v>
      </c>
      <c r="R315" t="s">
        <v>48</v>
      </c>
      <c r="S315" t="s">
        <v>49</v>
      </c>
      <c r="T315" s="3">
        <v>0.84</v>
      </c>
      <c r="U315" s="3">
        <v>0.23</v>
      </c>
      <c r="V315" s="3">
        <v>7.03</v>
      </c>
      <c r="W315">
        <v>2.3199999999999998</v>
      </c>
      <c r="X315" t="s">
        <v>50</v>
      </c>
      <c r="Y315" s="3">
        <v>10.58</v>
      </c>
      <c r="Z315" t="s">
        <v>83</v>
      </c>
      <c r="AA315" t="s">
        <v>2325</v>
      </c>
      <c r="AB315" t="s">
        <v>53</v>
      </c>
      <c r="AC315" s="3">
        <v>1.27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f t="shared" si="8"/>
        <v>19.95</v>
      </c>
      <c r="AK315" s="3">
        <f t="shared" si="9"/>
        <v>9.3699999999999992</v>
      </c>
    </row>
    <row r="316" spans="1:37">
      <c r="A316">
        <v>10279675</v>
      </c>
      <c r="B316" t="s">
        <v>37</v>
      </c>
      <c r="C316" t="s">
        <v>2326</v>
      </c>
      <c r="E316" t="s">
        <v>1135</v>
      </c>
      <c r="F316" t="s">
        <v>2327</v>
      </c>
      <c r="G316" t="s">
        <v>2328</v>
      </c>
      <c r="H316" t="s">
        <v>42</v>
      </c>
      <c r="I316" t="s">
        <v>2329</v>
      </c>
      <c r="J316" t="s">
        <v>2330</v>
      </c>
      <c r="K316">
        <v>76351</v>
      </c>
      <c r="L316" t="s">
        <v>71</v>
      </c>
      <c r="M316" t="s">
        <v>46</v>
      </c>
      <c r="N316" t="s">
        <v>47</v>
      </c>
      <c r="O316">
        <v>3</v>
      </c>
      <c r="P316">
        <v>1</v>
      </c>
      <c r="Q316">
        <v>3</v>
      </c>
      <c r="R316" t="s">
        <v>48</v>
      </c>
      <c r="S316" t="s">
        <v>49</v>
      </c>
      <c r="T316" s="3">
        <v>0.84</v>
      </c>
      <c r="U316" s="3">
        <v>0.23</v>
      </c>
      <c r="V316" s="3">
        <v>2.68</v>
      </c>
      <c r="W316">
        <v>1.1399999999999999</v>
      </c>
      <c r="X316" t="s">
        <v>108</v>
      </c>
      <c r="Y316" s="3">
        <v>6.53</v>
      </c>
      <c r="Z316" t="s">
        <v>109</v>
      </c>
      <c r="AA316" t="s">
        <v>2331</v>
      </c>
      <c r="AB316" t="s">
        <v>53</v>
      </c>
      <c r="AC316" s="3">
        <v>1.06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f t="shared" si="8"/>
        <v>11.34</v>
      </c>
      <c r="AK316" s="3">
        <f t="shared" si="9"/>
        <v>4.8099999999999996</v>
      </c>
    </row>
    <row r="317" spans="1:37">
      <c r="A317">
        <v>10279900</v>
      </c>
      <c r="B317" t="s">
        <v>37</v>
      </c>
      <c r="C317" t="s">
        <v>2332</v>
      </c>
      <c r="E317" t="s">
        <v>2333</v>
      </c>
      <c r="F317" t="s">
        <v>2334</v>
      </c>
      <c r="G317" t="s">
        <v>2335</v>
      </c>
      <c r="H317" t="s">
        <v>42</v>
      </c>
      <c r="I317" t="s">
        <v>2336</v>
      </c>
      <c r="J317" t="s">
        <v>2337</v>
      </c>
      <c r="K317">
        <v>69003</v>
      </c>
      <c r="L317" t="s">
        <v>130</v>
      </c>
      <c r="M317" t="s">
        <v>46</v>
      </c>
      <c r="N317" t="s">
        <v>47</v>
      </c>
      <c r="O317">
        <v>3</v>
      </c>
      <c r="P317">
        <v>1</v>
      </c>
      <c r="Q317">
        <v>3</v>
      </c>
      <c r="R317" t="s">
        <v>48</v>
      </c>
      <c r="S317" t="s">
        <v>49</v>
      </c>
      <c r="T317" s="3">
        <v>0.84</v>
      </c>
      <c r="U317" s="3">
        <v>0.23</v>
      </c>
      <c r="V317" s="3">
        <v>2.68</v>
      </c>
      <c r="W317">
        <v>0.89</v>
      </c>
      <c r="X317" t="s">
        <v>50</v>
      </c>
      <c r="Y317" s="3">
        <v>15.65</v>
      </c>
      <c r="Z317" t="s">
        <v>109</v>
      </c>
      <c r="AA317" t="s">
        <v>2338</v>
      </c>
      <c r="AB317" t="s">
        <v>53</v>
      </c>
      <c r="AC317" s="3">
        <v>1.06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f t="shared" si="8"/>
        <v>20.46</v>
      </c>
      <c r="AK317" s="3">
        <f t="shared" si="9"/>
        <v>4.8100000000000005</v>
      </c>
    </row>
    <row r="318" spans="1:37">
      <c r="A318">
        <v>10280341</v>
      </c>
      <c r="B318" t="s">
        <v>37</v>
      </c>
      <c r="C318" t="s">
        <v>2339</v>
      </c>
      <c r="E318" t="s">
        <v>1395</v>
      </c>
      <c r="F318" t="s">
        <v>2340</v>
      </c>
      <c r="G318" t="s">
        <v>2341</v>
      </c>
      <c r="H318" t="s">
        <v>42</v>
      </c>
      <c r="I318" t="s">
        <v>2342</v>
      </c>
      <c r="J318" t="s">
        <v>2343</v>
      </c>
      <c r="K318" t="s">
        <v>2344</v>
      </c>
      <c r="L318" t="s">
        <v>142</v>
      </c>
      <c r="M318" t="s">
        <v>46</v>
      </c>
      <c r="N318" t="s">
        <v>47</v>
      </c>
      <c r="O318">
        <v>6</v>
      </c>
      <c r="P318">
        <v>1</v>
      </c>
      <c r="Q318">
        <v>6</v>
      </c>
      <c r="R318" t="s">
        <v>48</v>
      </c>
      <c r="S318" t="s">
        <v>49</v>
      </c>
      <c r="T318" s="3">
        <v>0.84</v>
      </c>
      <c r="U318" s="3">
        <v>0.23</v>
      </c>
      <c r="V318" s="3">
        <v>5.29</v>
      </c>
      <c r="W318">
        <v>3.04</v>
      </c>
      <c r="X318" t="s">
        <v>50</v>
      </c>
      <c r="Y318" s="3">
        <v>16.43</v>
      </c>
      <c r="Z318" t="s">
        <v>83</v>
      </c>
      <c r="AA318" t="s">
        <v>2345</v>
      </c>
      <c r="AB318" t="s">
        <v>53</v>
      </c>
      <c r="AC318" s="3">
        <v>1.27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f t="shared" si="8"/>
        <v>24.06</v>
      </c>
      <c r="AK318" s="3">
        <f t="shared" si="9"/>
        <v>7.629999999999999</v>
      </c>
    </row>
    <row r="319" spans="1:37">
      <c r="A319">
        <v>10281163</v>
      </c>
      <c r="B319" t="s">
        <v>37</v>
      </c>
      <c r="C319" t="s">
        <v>2346</v>
      </c>
      <c r="E319" t="s">
        <v>1647</v>
      </c>
      <c r="F319" t="s">
        <v>2347</v>
      </c>
      <c r="G319" t="s">
        <v>2348</v>
      </c>
      <c r="H319" t="s">
        <v>42</v>
      </c>
      <c r="I319" t="s">
        <v>2349</v>
      </c>
      <c r="J319" t="s">
        <v>2350</v>
      </c>
      <c r="K319">
        <v>63768</v>
      </c>
      <c r="L319" t="s">
        <v>71</v>
      </c>
      <c r="M319" t="s">
        <v>46</v>
      </c>
      <c r="N319" t="s">
        <v>47</v>
      </c>
      <c r="O319">
        <v>2</v>
      </c>
      <c r="P319">
        <v>1</v>
      </c>
      <c r="Q319">
        <v>2</v>
      </c>
      <c r="R319" t="s">
        <v>48</v>
      </c>
      <c r="S319" t="s">
        <v>49</v>
      </c>
      <c r="T319" s="3">
        <v>0.84</v>
      </c>
      <c r="U319" s="3">
        <v>0.23</v>
      </c>
      <c r="V319" s="3">
        <v>1.81</v>
      </c>
      <c r="W319">
        <v>1.08</v>
      </c>
      <c r="X319" t="s">
        <v>108</v>
      </c>
      <c r="Y319" s="3">
        <v>6.53</v>
      </c>
      <c r="Z319" t="s">
        <v>109</v>
      </c>
      <c r="AA319" t="s">
        <v>2351</v>
      </c>
      <c r="AB319" t="s">
        <v>53</v>
      </c>
      <c r="AC319" s="3">
        <v>1.06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f t="shared" si="8"/>
        <v>10.47</v>
      </c>
      <c r="AK319" s="3">
        <f t="shared" si="9"/>
        <v>3.9400000000000004</v>
      </c>
    </row>
    <row r="320" spans="1:37">
      <c r="A320">
        <v>10280344</v>
      </c>
      <c r="B320" t="s">
        <v>37</v>
      </c>
      <c r="C320" t="s">
        <v>2352</v>
      </c>
      <c r="E320" t="s">
        <v>39</v>
      </c>
      <c r="F320" t="s">
        <v>2353</v>
      </c>
      <c r="G320" t="s">
        <v>2354</v>
      </c>
      <c r="H320" t="s">
        <v>42</v>
      </c>
      <c r="I320" t="s">
        <v>2355</v>
      </c>
      <c r="J320" t="s">
        <v>2356</v>
      </c>
      <c r="K320" t="s">
        <v>2357</v>
      </c>
      <c r="L320" t="s">
        <v>91</v>
      </c>
      <c r="M320" t="s">
        <v>46</v>
      </c>
      <c r="N320" t="s">
        <v>47</v>
      </c>
      <c r="O320">
        <v>3</v>
      </c>
      <c r="P320">
        <v>1</v>
      </c>
      <c r="Q320">
        <v>3</v>
      </c>
      <c r="R320" t="s">
        <v>48</v>
      </c>
      <c r="S320" t="s">
        <v>49</v>
      </c>
      <c r="T320" s="3">
        <v>0.84</v>
      </c>
      <c r="U320" s="3">
        <v>0.23</v>
      </c>
      <c r="V320" s="3">
        <v>2.68</v>
      </c>
      <c r="W320">
        <v>1.27</v>
      </c>
      <c r="X320" t="s">
        <v>50</v>
      </c>
      <c r="Y320" s="3">
        <v>16.43</v>
      </c>
      <c r="Z320" t="s">
        <v>109</v>
      </c>
      <c r="AA320" t="s">
        <v>2358</v>
      </c>
      <c r="AB320" t="s">
        <v>53</v>
      </c>
      <c r="AC320" s="3">
        <v>1.06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f t="shared" si="8"/>
        <v>21.24</v>
      </c>
      <c r="AK320" s="3">
        <f t="shared" si="9"/>
        <v>4.8099999999999987</v>
      </c>
    </row>
    <row r="321" spans="1:37">
      <c r="A321">
        <v>10280340</v>
      </c>
      <c r="B321" t="s">
        <v>37</v>
      </c>
      <c r="C321" t="s">
        <v>2359</v>
      </c>
      <c r="E321" t="s">
        <v>437</v>
      </c>
      <c r="F321" t="s">
        <v>2360</v>
      </c>
      <c r="G321" t="s">
        <v>2361</v>
      </c>
      <c r="H321" t="s">
        <v>42</v>
      </c>
      <c r="I321" t="s">
        <v>2362</v>
      </c>
      <c r="J321" t="s">
        <v>2363</v>
      </c>
      <c r="K321">
        <v>63065</v>
      </c>
      <c r="L321" t="s">
        <v>71</v>
      </c>
      <c r="M321" t="s">
        <v>46</v>
      </c>
      <c r="N321" t="s">
        <v>47</v>
      </c>
      <c r="O321">
        <v>2</v>
      </c>
      <c r="P321">
        <v>1</v>
      </c>
      <c r="Q321">
        <v>2</v>
      </c>
      <c r="R321" t="s">
        <v>48</v>
      </c>
      <c r="S321" t="s">
        <v>49</v>
      </c>
      <c r="T321" s="3">
        <v>0.84</v>
      </c>
      <c r="U321" s="3">
        <v>0.23</v>
      </c>
      <c r="V321" s="3">
        <v>1.81</v>
      </c>
      <c r="W321">
        <v>0.3</v>
      </c>
      <c r="X321" t="s">
        <v>108</v>
      </c>
      <c r="Y321" s="3">
        <v>5.14</v>
      </c>
      <c r="Z321" t="s">
        <v>109</v>
      </c>
      <c r="AA321" t="s">
        <v>2364</v>
      </c>
      <c r="AB321" t="s">
        <v>53</v>
      </c>
      <c r="AC321" s="3">
        <v>1.06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f t="shared" si="8"/>
        <v>9.08</v>
      </c>
      <c r="AK321" s="3">
        <f t="shared" si="9"/>
        <v>3.9400000000000004</v>
      </c>
    </row>
    <row r="322" spans="1:37">
      <c r="A322">
        <v>10280863</v>
      </c>
      <c r="B322" t="s">
        <v>37</v>
      </c>
      <c r="C322" t="s">
        <v>2365</v>
      </c>
      <c r="E322" t="s">
        <v>2366</v>
      </c>
      <c r="F322" t="s">
        <v>2367</v>
      </c>
      <c r="G322" t="s">
        <v>2368</v>
      </c>
      <c r="H322" t="s">
        <v>42</v>
      </c>
      <c r="I322" t="s">
        <v>2369</v>
      </c>
      <c r="J322" t="s">
        <v>2370</v>
      </c>
      <c r="K322" t="s">
        <v>2371</v>
      </c>
      <c r="L322" t="s">
        <v>82</v>
      </c>
      <c r="M322" t="s">
        <v>46</v>
      </c>
      <c r="N322" t="s">
        <v>47</v>
      </c>
      <c r="O322">
        <v>2</v>
      </c>
      <c r="P322">
        <v>1</v>
      </c>
      <c r="Q322">
        <v>2</v>
      </c>
      <c r="R322" t="s">
        <v>48</v>
      </c>
      <c r="S322" t="s">
        <v>49</v>
      </c>
      <c r="T322" s="3">
        <v>0.84</v>
      </c>
      <c r="U322" s="3">
        <v>0.23</v>
      </c>
      <c r="V322" s="3">
        <v>1.81</v>
      </c>
      <c r="W322">
        <v>0.73</v>
      </c>
      <c r="X322" t="s">
        <v>50</v>
      </c>
      <c r="Y322" s="3">
        <v>9.19</v>
      </c>
      <c r="Z322" t="s">
        <v>109</v>
      </c>
      <c r="AA322" t="s">
        <v>2372</v>
      </c>
      <c r="AB322" t="s">
        <v>53</v>
      </c>
      <c r="AC322" s="3">
        <v>1.06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f t="shared" ref="AJ322:AJ385" si="10">AI322+AH322+AG322+AF322+AE322+AD322+AC322+Y322+V322+U322+T322</f>
        <v>13.13</v>
      </c>
      <c r="AK322" s="3">
        <f t="shared" ref="AK322:AK385" si="11">AJ322-Y322</f>
        <v>3.9400000000000013</v>
      </c>
    </row>
    <row r="323" spans="1:37">
      <c r="A323">
        <v>10280342</v>
      </c>
      <c r="B323" t="s">
        <v>37</v>
      </c>
      <c r="C323" t="s">
        <v>2373</v>
      </c>
      <c r="E323" t="s">
        <v>2374</v>
      </c>
      <c r="F323" t="s">
        <v>2375</v>
      </c>
      <c r="G323" t="s">
        <v>2376</v>
      </c>
      <c r="H323" t="s">
        <v>42</v>
      </c>
      <c r="I323" t="s">
        <v>2377</v>
      </c>
      <c r="J323" t="s">
        <v>2378</v>
      </c>
      <c r="K323">
        <v>75003</v>
      </c>
      <c r="L323" t="s">
        <v>130</v>
      </c>
      <c r="M323" t="s">
        <v>46</v>
      </c>
      <c r="N323" t="s">
        <v>47</v>
      </c>
      <c r="O323">
        <v>2</v>
      </c>
      <c r="P323">
        <v>1</v>
      </c>
      <c r="Q323">
        <v>2</v>
      </c>
      <c r="R323" t="s">
        <v>48</v>
      </c>
      <c r="S323" t="s">
        <v>49</v>
      </c>
      <c r="T323" s="3">
        <v>0.84</v>
      </c>
      <c r="U323" s="3">
        <v>0.23</v>
      </c>
      <c r="V323" s="3">
        <v>1.81</v>
      </c>
      <c r="W323">
        <v>1.08</v>
      </c>
      <c r="X323" t="s">
        <v>50</v>
      </c>
      <c r="Y323" s="3">
        <v>35.06</v>
      </c>
      <c r="Z323" t="s">
        <v>109</v>
      </c>
      <c r="AA323" t="s">
        <v>2379</v>
      </c>
      <c r="AB323" t="s">
        <v>53</v>
      </c>
      <c r="AC323" s="3">
        <v>1.06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f t="shared" si="10"/>
        <v>39.000000000000007</v>
      </c>
      <c r="AK323" s="3">
        <f t="shared" si="11"/>
        <v>3.9400000000000048</v>
      </c>
    </row>
    <row r="324" spans="1:37">
      <c r="A324">
        <v>10280861</v>
      </c>
      <c r="B324" t="s">
        <v>37</v>
      </c>
      <c r="C324" t="s">
        <v>2380</v>
      </c>
      <c r="E324" t="s">
        <v>2381</v>
      </c>
      <c r="F324" t="s">
        <v>2382</v>
      </c>
      <c r="G324" t="s">
        <v>2383</v>
      </c>
      <c r="H324" t="s">
        <v>42</v>
      </c>
      <c r="I324" t="s">
        <v>2384</v>
      </c>
      <c r="J324" t="s">
        <v>2385</v>
      </c>
      <c r="K324" t="s">
        <v>2386</v>
      </c>
      <c r="L324" t="s">
        <v>82</v>
      </c>
      <c r="M324" t="s">
        <v>46</v>
      </c>
      <c r="N324" t="s">
        <v>47</v>
      </c>
      <c r="O324">
        <v>2</v>
      </c>
      <c r="P324">
        <v>1</v>
      </c>
      <c r="Q324">
        <v>2</v>
      </c>
      <c r="R324" t="s">
        <v>48</v>
      </c>
      <c r="S324" t="s">
        <v>49</v>
      </c>
      <c r="T324" s="3">
        <v>0.84</v>
      </c>
      <c r="U324" s="3">
        <v>0.23</v>
      </c>
      <c r="V324" s="3">
        <v>1.81</v>
      </c>
      <c r="W324">
        <v>1.08</v>
      </c>
      <c r="X324" t="s">
        <v>50</v>
      </c>
      <c r="Y324" s="3">
        <v>10.58</v>
      </c>
      <c r="Z324" t="s">
        <v>109</v>
      </c>
      <c r="AA324" t="s">
        <v>2387</v>
      </c>
      <c r="AB324" t="s">
        <v>53</v>
      </c>
      <c r="AC324" s="3">
        <v>1.06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f t="shared" si="10"/>
        <v>14.520000000000001</v>
      </c>
      <c r="AK324" s="3">
        <f t="shared" si="11"/>
        <v>3.9400000000000013</v>
      </c>
    </row>
    <row r="325" spans="1:37">
      <c r="A325">
        <v>10280565</v>
      </c>
      <c r="B325" t="s">
        <v>37</v>
      </c>
      <c r="C325" t="s">
        <v>2388</v>
      </c>
      <c r="E325" t="s">
        <v>2389</v>
      </c>
      <c r="F325" t="s">
        <v>2390</v>
      </c>
      <c r="G325" t="s">
        <v>2391</v>
      </c>
      <c r="H325" t="s">
        <v>42</v>
      </c>
      <c r="I325" t="s">
        <v>2392</v>
      </c>
      <c r="J325" t="s">
        <v>2393</v>
      </c>
      <c r="K325">
        <v>10179</v>
      </c>
      <c r="L325" t="s">
        <v>71</v>
      </c>
      <c r="M325" t="s">
        <v>46</v>
      </c>
      <c r="N325" t="s">
        <v>47</v>
      </c>
      <c r="O325">
        <v>2</v>
      </c>
      <c r="P325">
        <v>1</v>
      </c>
      <c r="Q325">
        <v>2</v>
      </c>
      <c r="R325" t="s">
        <v>48</v>
      </c>
      <c r="S325" t="s">
        <v>49</v>
      </c>
      <c r="T325" s="3">
        <v>0.84</v>
      </c>
      <c r="U325" s="3">
        <v>0.23</v>
      </c>
      <c r="V325" s="3">
        <v>1.81</v>
      </c>
      <c r="W325">
        <v>0.63</v>
      </c>
      <c r="X325" t="s">
        <v>108</v>
      </c>
      <c r="Y325" s="3">
        <v>5.14</v>
      </c>
      <c r="Z325" t="s">
        <v>109</v>
      </c>
      <c r="AA325" t="s">
        <v>2394</v>
      </c>
      <c r="AB325" t="s">
        <v>53</v>
      </c>
      <c r="AC325" s="3">
        <v>1.06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f t="shared" si="10"/>
        <v>9.08</v>
      </c>
      <c r="AK325" s="3">
        <f t="shared" si="11"/>
        <v>3.9400000000000004</v>
      </c>
    </row>
    <row r="326" spans="1:37">
      <c r="A326">
        <v>10281164</v>
      </c>
      <c r="B326" t="s">
        <v>37</v>
      </c>
      <c r="C326" t="s">
        <v>2395</v>
      </c>
      <c r="D326" t="s">
        <v>2396</v>
      </c>
      <c r="E326" t="s">
        <v>2397</v>
      </c>
      <c r="F326" t="s">
        <v>1222</v>
      </c>
      <c r="G326" t="s">
        <v>2398</v>
      </c>
      <c r="H326" t="s">
        <v>42</v>
      </c>
      <c r="I326" t="s">
        <v>2399</v>
      </c>
      <c r="J326" t="s">
        <v>2400</v>
      </c>
      <c r="K326" t="s">
        <v>2401</v>
      </c>
      <c r="L326" t="s">
        <v>142</v>
      </c>
      <c r="M326" t="s">
        <v>46</v>
      </c>
      <c r="N326" t="s">
        <v>47</v>
      </c>
      <c r="O326">
        <v>2</v>
      </c>
      <c r="P326">
        <v>1</v>
      </c>
      <c r="Q326">
        <v>2</v>
      </c>
      <c r="R326" t="s">
        <v>48</v>
      </c>
      <c r="S326" t="s">
        <v>49</v>
      </c>
      <c r="T326" s="3">
        <v>0.84</v>
      </c>
      <c r="U326" s="3">
        <v>0.23</v>
      </c>
      <c r="V326" s="3">
        <v>1.81</v>
      </c>
      <c r="W326">
        <v>0.88</v>
      </c>
      <c r="X326" t="s">
        <v>50</v>
      </c>
      <c r="Y326" s="3">
        <v>16.43</v>
      </c>
      <c r="Z326" t="s">
        <v>109</v>
      </c>
      <c r="AA326" t="s">
        <v>2402</v>
      </c>
      <c r="AB326" t="s">
        <v>53</v>
      </c>
      <c r="AC326" s="3">
        <v>1.06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f t="shared" si="10"/>
        <v>20.369999999999997</v>
      </c>
      <c r="AK326" s="3">
        <f t="shared" si="11"/>
        <v>3.9399999999999977</v>
      </c>
    </row>
    <row r="327" spans="1:37">
      <c r="A327">
        <v>10282762</v>
      </c>
      <c r="B327" t="s">
        <v>37</v>
      </c>
      <c r="C327" t="s">
        <v>2403</v>
      </c>
      <c r="E327" t="s">
        <v>809</v>
      </c>
      <c r="F327" t="s">
        <v>2404</v>
      </c>
      <c r="G327" t="s">
        <v>2405</v>
      </c>
      <c r="H327" t="s">
        <v>42</v>
      </c>
      <c r="I327" t="s">
        <v>2406</v>
      </c>
      <c r="J327" t="s">
        <v>2407</v>
      </c>
      <c r="K327">
        <v>73660</v>
      </c>
      <c r="L327" t="s">
        <v>71</v>
      </c>
      <c r="M327" t="s">
        <v>46</v>
      </c>
      <c r="N327" t="s">
        <v>47</v>
      </c>
      <c r="O327">
        <v>2</v>
      </c>
      <c r="P327">
        <v>1</v>
      </c>
      <c r="Q327">
        <v>2</v>
      </c>
      <c r="R327" t="s">
        <v>48</v>
      </c>
      <c r="S327" t="s">
        <v>49</v>
      </c>
      <c r="T327" s="3">
        <v>0.84</v>
      </c>
      <c r="U327" s="3">
        <v>0.23</v>
      </c>
      <c r="V327" s="3">
        <v>1.81</v>
      </c>
      <c r="W327">
        <v>0.98</v>
      </c>
      <c r="X327" t="s">
        <v>108</v>
      </c>
      <c r="Y327" s="3">
        <v>6.53</v>
      </c>
      <c r="Z327" t="s">
        <v>109</v>
      </c>
      <c r="AA327" t="s">
        <v>2408</v>
      </c>
      <c r="AB327" t="s">
        <v>53</v>
      </c>
      <c r="AC327" s="3">
        <v>1.06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f t="shared" si="10"/>
        <v>10.47</v>
      </c>
      <c r="AK327" s="3">
        <f t="shared" si="11"/>
        <v>3.9400000000000004</v>
      </c>
    </row>
    <row r="328" spans="1:37">
      <c r="A328">
        <v>10282208</v>
      </c>
      <c r="B328" t="s">
        <v>37</v>
      </c>
      <c r="C328" t="s">
        <v>2409</v>
      </c>
      <c r="E328" t="s">
        <v>2410</v>
      </c>
      <c r="F328" t="s">
        <v>2411</v>
      </c>
      <c r="G328" t="s">
        <v>2412</v>
      </c>
      <c r="H328" t="s">
        <v>42</v>
      </c>
      <c r="I328" t="s">
        <v>2413</v>
      </c>
      <c r="J328" t="s">
        <v>2414</v>
      </c>
      <c r="K328" t="s">
        <v>2415</v>
      </c>
      <c r="L328" t="s">
        <v>142</v>
      </c>
      <c r="M328" t="s">
        <v>46</v>
      </c>
      <c r="N328" t="s">
        <v>47</v>
      </c>
      <c r="O328">
        <v>2</v>
      </c>
      <c r="P328">
        <v>1</v>
      </c>
      <c r="Q328">
        <v>2</v>
      </c>
      <c r="R328" t="s">
        <v>48</v>
      </c>
      <c r="S328" t="s">
        <v>49</v>
      </c>
      <c r="T328" s="3">
        <v>0.84</v>
      </c>
      <c r="U328" s="3">
        <v>0.23</v>
      </c>
      <c r="V328" s="3">
        <v>1.81</v>
      </c>
      <c r="W328">
        <v>1.08</v>
      </c>
      <c r="X328" t="s">
        <v>50</v>
      </c>
      <c r="Y328" s="3">
        <v>16.43</v>
      </c>
      <c r="Z328" t="s">
        <v>109</v>
      </c>
      <c r="AA328" t="s">
        <v>887</v>
      </c>
      <c r="AB328" t="s">
        <v>53</v>
      </c>
      <c r="AC328" s="3">
        <v>1.06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f t="shared" si="10"/>
        <v>20.369999999999997</v>
      </c>
      <c r="AK328" s="3">
        <f t="shared" si="11"/>
        <v>3.9399999999999977</v>
      </c>
    </row>
    <row r="329" spans="1:37">
      <c r="A329">
        <v>10283154</v>
      </c>
      <c r="B329" t="s">
        <v>37</v>
      </c>
      <c r="C329" t="s">
        <v>2416</v>
      </c>
      <c r="E329" t="s">
        <v>2417</v>
      </c>
      <c r="F329" t="s">
        <v>2418</v>
      </c>
      <c r="G329" t="s">
        <v>2419</v>
      </c>
      <c r="H329" t="s">
        <v>42</v>
      </c>
      <c r="I329" t="s">
        <v>2420</v>
      </c>
      <c r="J329" t="s">
        <v>2421</v>
      </c>
      <c r="K329">
        <v>5770</v>
      </c>
      <c r="L329" t="s">
        <v>369</v>
      </c>
      <c r="M329" t="s">
        <v>46</v>
      </c>
      <c r="N329" t="s">
        <v>47</v>
      </c>
      <c r="O329">
        <v>4</v>
      </c>
      <c r="P329">
        <v>1</v>
      </c>
      <c r="Q329">
        <v>4</v>
      </c>
      <c r="R329" t="s">
        <v>48</v>
      </c>
      <c r="S329" t="s">
        <v>49</v>
      </c>
      <c r="T329" s="3">
        <v>0.84</v>
      </c>
      <c r="U329" s="3">
        <v>0.23</v>
      </c>
      <c r="V329" s="3">
        <v>3.55</v>
      </c>
      <c r="W329">
        <v>2.06</v>
      </c>
      <c r="X329" t="s">
        <v>50</v>
      </c>
      <c r="Y329" s="3">
        <v>9.19</v>
      </c>
      <c r="Z329" t="s">
        <v>73</v>
      </c>
      <c r="AA329" t="s">
        <v>2422</v>
      </c>
      <c r="AB329" t="s">
        <v>53</v>
      </c>
      <c r="AC329" s="3">
        <v>1.29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f t="shared" si="10"/>
        <v>15.100000000000001</v>
      </c>
      <c r="AK329" s="3">
        <f t="shared" si="11"/>
        <v>5.9100000000000019</v>
      </c>
    </row>
    <row r="330" spans="1:37">
      <c r="A330">
        <v>10284135</v>
      </c>
      <c r="B330" t="s">
        <v>37</v>
      </c>
      <c r="C330" t="s">
        <v>2423</v>
      </c>
      <c r="E330" t="s">
        <v>2424</v>
      </c>
      <c r="F330" t="s">
        <v>2425</v>
      </c>
      <c r="G330" t="s">
        <v>2426</v>
      </c>
      <c r="H330" t="s">
        <v>42</v>
      </c>
      <c r="I330" t="s">
        <v>2427</v>
      </c>
      <c r="J330" t="s">
        <v>2428</v>
      </c>
      <c r="K330">
        <v>82178</v>
      </c>
      <c r="L330" t="s">
        <v>71</v>
      </c>
      <c r="M330" t="s">
        <v>46</v>
      </c>
      <c r="N330" t="s">
        <v>47</v>
      </c>
      <c r="O330">
        <v>3</v>
      </c>
      <c r="P330">
        <v>1</v>
      </c>
      <c r="Q330">
        <v>3</v>
      </c>
      <c r="R330" t="s">
        <v>48</v>
      </c>
      <c r="S330" t="s">
        <v>49</v>
      </c>
      <c r="T330" s="3">
        <v>0.84</v>
      </c>
      <c r="U330" s="3">
        <v>0.23</v>
      </c>
      <c r="V330" s="3">
        <v>2.68</v>
      </c>
      <c r="W330">
        <v>1.45</v>
      </c>
      <c r="X330" t="s">
        <v>108</v>
      </c>
      <c r="Y330" s="3">
        <v>5.14</v>
      </c>
      <c r="Z330" t="s">
        <v>109</v>
      </c>
      <c r="AA330" t="s">
        <v>2429</v>
      </c>
      <c r="AB330" t="s">
        <v>53</v>
      </c>
      <c r="AC330" s="3">
        <v>1.06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f t="shared" si="10"/>
        <v>9.9499999999999993</v>
      </c>
      <c r="AK330" s="3">
        <f t="shared" si="11"/>
        <v>4.8099999999999996</v>
      </c>
    </row>
    <row r="331" spans="1:37">
      <c r="A331">
        <v>10279156</v>
      </c>
      <c r="B331" t="s">
        <v>37</v>
      </c>
      <c r="C331" t="s">
        <v>2430</v>
      </c>
      <c r="E331" t="s">
        <v>437</v>
      </c>
      <c r="F331" t="s">
        <v>2431</v>
      </c>
      <c r="G331" t="s">
        <v>2432</v>
      </c>
      <c r="H331" t="s">
        <v>42</v>
      </c>
      <c r="I331" t="s">
        <v>2433</v>
      </c>
      <c r="J331" t="s">
        <v>2434</v>
      </c>
      <c r="K331" t="s">
        <v>2435</v>
      </c>
      <c r="L331" t="s">
        <v>142</v>
      </c>
      <c r="M331" t="s">
        <v>46</v>
      </c>
      <c r="N331" t="s">
        <v>47</v>
      </c>
      <c r="O331">
        <v>5</v>
      </c>
      <c r="P331">
        <v>1</v>
      </c>
      <c r="Q331">
        <v>5</v>
      </c>
      <c r="R331" t="s">
        <v>48</v>
      </c>
      <c r="S331" t="s">
        <v>49</v>
      </c>
      <c r="T331" s="3">
        <v>0.84</v>
      </c>
      <c r="U331" s="3">
        <v>0.23</v>
      </c>
      <c r="V331" s="3">
        <v>4.42</v>
      </c>
      <c r="W331">
        <v>2.99</v>
      </c>
      <c r="X331" t="s">
        <v>50</v>
      </c>
      <c r="Y331" s="3">
        <v>17.82</v>
      </c>
      <c r="Z331" t="s">
        <v>83</v>
      </c>
      <c r="AA331" t="s">
        <v>2436</v>
      </c>
      <c r="AB331" t="s">
        <v>53</v>
      </c>
      <c r="AC331" s="3">
        <v>1.27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f t="shared" si="10"/>
        <v>24.58</v>
      </c>
      <c r="AK331" s="3">
        <f t="shared" si="11"/>
        <v>6.759999999999998</v>
      </c>
    </row>
    <row r="332" spans="1:37">
      <c r="A332">
        <v>10283153</v>
      </c>
      <c r="B332" t="s">
        <v>37</v>
      </c>
      <c r="C332" t="s">
        <v>2437</v>
      </c>
      <c r="E332" t="s">
        <v>453</v>
      </c>
      <c r="F332" t="s">
        <v>2438</v>
      </c>
      <c r="G332" t="s">
        <v>2439</v>
      </c>
      <c r="H332" t="s">
        <v>42</v>
      </c>
      <c r="I332" t="s">
        <v>2440</v>
      </c>
      <c r="J332" t="s">
        <v>2441</v>
      </c>
      <c r="K332">
        <v>22399</v>
      </c>
      <c r="L332" t="s">
        <v>71</v>
      </c>
      <c r="M332" t="s">
        <v>46</v>
      </c>
      <c r="N332" t="s">
        <v>47</v>
      </c>
      <c r="O332">
        <v>3</v>
      </c>
      <c r="P332">
        <v>1</v>
      </c>
      <c r="Q332">
        <v>3</v>
      </c>
      <c r="R332" t="s">
        <v>48</v>
      </c>
      <c r="S332" t="s">
        <v>49</v>
      </c>
      <c r="T332" s="3">
        <v>0.84</v>
      </c>
      <c r="U332" s="3">
        <v>0.23</v>
      </c>
      <c r="V332" s="3">
        <v>2.68</v>
      </c>
      <c r="W332">
        <v>1.27</v>
      </c>
      <c r="X332" t="s">
        <v>108</v>
      </c>
      <c r="Y332" s="3">
        <v>10.57</v>
      </c>
      <c r="Z332" t="s">
        <v>109</v>
      </c>
      <c r="AA332" t="s">
        <v>2442</v>
      </c>
      <c r="AB332" t="s">
        <v>53</v>
      </c>
      <c r="AC332" s="3">
        <v>1.06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f t="shared" si="10"/>
        <v>15.38</v>
      </c>
      <c r="AK332" s="3">
        <f t="shared" si="11"/>
        <v>4.8100000000000005</v>
      </c>
    </row>
    <row r="333" spans="1:37">
      <c r="A333">
        <v>10279411</v>
      </c>
      <c r="B333" t="s">
        <v>37</v>
      </c>
      <c r="C333" t="s">
        <v>2443</v>
      </c>
      <c r="E333" t="s">
        <v>2444</v>
      </c>
      <c r="F333" t="s">
        <v>2445</v>
      </c>
      <c r="G333" t="s">
        <v>2446</v>
      </c>
      <c r="H333" t="s">
        <v>42</v>
      </c>
      <c r="I333" t="s">
        <v>2447</v>
      </c>
      <c r="J333" t="s">
        <v>2448</v>
      </c>
      <c r="K333" t="s">
        <v>2449</v>
      </c>
      <c r="L333" t="s">
        <v>142</v>
      </c>
      <c r="M333" t="s">
        <v>46</v>
      </c>
      <c r="N333" t="s">
        <v>47</v>
      </c>
      <c r="O333">
        <v>3</v>
      </c>
      <c r="P333">
        <v>1</v>
      </c>
      <c r="Q333">
        <v>3</v>
      </c>
      <c r="R333" t="s">
        <v>48</v>
      </c>
      <c r="S333" t="s">
        <v>49</v>
      </c>
      <c r="T333" s="3">
        <v>0.84</v>
      </c>
      <c r="U333" s="3">
        <v>0.23</v>
      </c>
      <c r="V333" s="3">
        <v>2.68</v>
      </c>
      <c r="W333">
        <v>1.5</v>
      </c>
      <c r="X333" t="s">
        <v>50</v>
      </c>
      <c r="Y333" s="3">
        <v>16.43</v>
      </c>
      <c r="Z333" t="s">
        <v>73</v>
      </c>
      <c r="AA333" t="s">
        <v>2450</v>
      </c>
      <c r="AB333" t="s">
        <v>53</v>
      </c>
      <c r="AC333" s="3">
        <v>1.29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f t="shared" si="10"/>
        <v>21.47</v>
      </c>
      <c r="AK333" s="3">
        <f t="shared" si="11"/>
        <v>5.0399999999999991</v>
      </c>
    </row>
    <row r="334" spans="1:37">
      <c r="A334">
        <v>10281893</v>
      </c>
      <c r="B334" t="s">
        <v>37</v>
      </c>
      <c r="C334" t="s">
        <v>2451</v>
      </c>
      <c r="E334" t="s">
        <v>1527</v>
      </c>
      <c r="F334" t="s">
        <v>2452</v>
      </c>
      <c r="G334" t="s">
        <v>2453</v>
      </c>
      <c r="H334" t="s">
        <v>42</v>
      </c>
      <c r="I334" t="s">
        <v>2454</v>
      </c>
      <c r="J334" t="s">
        <v>2455</v>
      </c>
      <c r="K334" t="s">
        <v>2456</v>
      </c>
      <c r="L334" t="s">
        <v>142</v>
      </c>
      <c r="M334" t="s">
        <v>46</v>
      </c>
      <c r="N334" t="s">
        <v>47</v>
      </c>
      <c r="O334">
        <v>5</v>
      </c>
      <c r="P334">
        <v>1</v>
      </c>
      <c r="Q334">
        <v>5</v>
      </c>
      <c r="R334" t="s">
        <v>48</v>
      </c>
      <c r="S334" t="s">
        <v>49</v>
      </c>
      <c r="T334" s="3">
        <v>0.84</v>
      </c>
      <c r="U334" s="3">
        <v>0.23</v>
      </c>
      <c r="V334" s="3">
        <v>4.42</v>
      </c>
      <c r="W334">
        <v>2.4500000000000002</v>
      </c>
      <c r="X334" t="s">
        <v>50</v>
      </c>
      <c r="Y334" s="3">
        <v>16.43</v>
      </c>
      <c r="Z334" t="s">
        <v>73</v>
      </c>
      <c r="AA334" t="s">
        <v>2457</v>
      </c>
      <c r="AB334" t="s">
        <v>53</v>
      </c>
      <c r="AC334" s="3">
        <v>1.29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f t="shared" si="10"/>
        <v>23.21</v>
      </c>
      <c r="AK334" s="3">
        <f t="shared" si="11"/>
        <v>6.7800000000000011</v>
      </c>
    </row>
    <row r="335" spans="1:37">
      <c r="A335">
        <v>10283388</v>
      </c>
      <c r="B335" t="s">
        <v>37</v>
      </c>
      <c r="C335" t="s">
        <v>2458</v>
      </c>
      <c r="E335" t="s">
        <v>1712</v>
      </c>
      <c r="F335" t="s">
        <v>2459</v>
      </c>
      <c r="G335" t="s">
        <v>2460</v>
      </c>
      <c r="H335" t="s">
        <v>42</v>
      </c>
      <c r="I335" t="s">
        <v>2461</v>
      </c>
      <c r="J335" t="s">
        <v>2462</v>
      </c>
      <c r="K335">
        <v>99092</v>
      </c>
      <c r="L335" t="s">
        <v>71</v>
      </c>
      <c r="M335" t="s">
        <v>46</v>
      </c>
      <c r="N335" t="s">
        <v>47</v>
      </c>
      <c r="O335">
        <v>7</v>
      </c>
      <c r="P335">
        <v>1</v>
      </c>
      <c r="Q335">
        <v>7</v>
      </c>
      <c r="R335" t="s">
        <v>48</v>
      </c>
      <c r="S335" t="s">
        <v>49</v>
      </c>
      <c r="T335" s="3">
        <v>0.84</v>
      </c>
      <c r="U335" s="3">
        <v>0.23</v>
      </c>
      <c r="V335" s="3">
        <v>6.16</v>
      </c>
      <c r="W335">
        <v>3.18</v>
      </c>
      <c r="X335" t="s">
        <v>72</v>
      </c>
      <c r="Y335" s="3">
        <v>8</v>
      </c>
      <c r="Z335" t="s">
        <v>83</v>
      </c>
      <c r="AA335" t="s">
        <v>2463</v>
      </c>
      <c r="AB335" t="s">
        <v>53</v>
      </c>
      <c r="AC335" s="3">
        <v>1.27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f t="shared" si="10"/>
        <v>16.5</v>
      </c>
      <c r="AK335" s="3">
        <f t="shared" si="11"/>
        <v>8.5</v>
      </c>
    </row>
    <row r="336" spans="1:37">
      <c r="A336">
        <v>10281892</v>
      </c>
      <c r="B336" t="s">
        <v>37</v>
      </c>
      <c r="C336" t="s">
        <v>2464</v>
      </c>
      <c r="E336" t="s">
        <v>2465</v>
      </c>
      <c r="F336" t="s">
        <v>2466</v>
      </c>
      <c r="G336" t="s">
        <v>2467</v>
      </c>
      <c r="H336" t="s">
        <v>42</v>
      </c>
      <c r="I336" t="s">
        <v>2468</v>
      </c>
      <c r="J336" t="s">
        <v>2469</v>
      </c>
      <c r="K336">
        <v>39770</v>
      </c>
      <c r="L336" t="s">
        <v>91</v>
      </c>
      <c r="M336" t="s">
        <v>46</v>
      </c>
      <c r="N336" t="s">
        <v>47</v>
      </c>
      <c r="O336">
        <v>3</v>
      </c>
      <c r="P336">
        <v>1</v>
      </c>
      <c r="Q336">
        <v>3</v>
      </c>
      <c r="R336" t="s">
        <v>48</v>
      </c>
      <c r="S336" t="s">
        <v>49</v>
      </c>
      <c r="T336" s="3">
        <v>0.84</v>
      </c>
      <c r="U336" s="3">
        <v>0.23</v>
      </c>
      <c r="V336" s="3">
        <v>2.68</v>
      </c>
      <c r="W336">
        <v>0.99</v>
      </c>
      <c r="X336" t="s">
        <v>50</v>
      </c>
      <c r="Y336" s="3">
        <v>17.82</v>
      </c>
      <c r="Z336" t="s">
        <v>73</v>
      </c>
      <c r="AA336" t="s">
        <v>2470</v>
      </c>
      <c r="AB336" t="s">
        <v>53</v>
      </c>
      <c r="AC336" s="3">
        <v>1.29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f t="shared" si="10"/>
        <v>22.86</v>
      </c>
      <c r="AK336" s="3">
        <f t="shared" si="11"/>
        <v>5.0399999999999991</v>
      </c>
    </row>
    <row r="337" spans="1:37">
      <c r="A337">
        <v>10284132</v>
      </c>
      <c r="B337" t="s">
        <v>37</v>
      </c>
      <c r="C337" t="s">
        <v>2471</v>
      </c>
      <c r="E337" t="s">
        <v>809</v>
      </c>
      <c r="F337" t="s">
        <v>2472</v>
      </c>
      <c r="G337" t="s">
        <v>2473</v>
      </c>
      <c r="H337" t="s">
        <v>42</v>
      </c>
      <c r="I337" t="s">
        <v>2474</v>
      </c>
      <c r="J337" t="s">
        <v>2475</v>
      </c>
      <c r="K337">
        <v>85551</v>
      </c>
      <c r="L337" t="s">
        <v>71</v>
      </c>
      <c r="M337" t="s">
        <v>46</v>
      </c>
      <c r="N337" t="s">
        <v>47</v>
      </c>
      <c r="O337">
        <v>4</v>
      </c>
      <c r="P337">
        <v>1</v>
      </c>
      <c r="Q337">
        <v>4</v>
      </c>
      <c r="R337" t="s">
        <v>48</v>
      </c>
      <c r="S337" t="s">
        <v>49</v>
      </c>
      <c r="T337" s="3">
        <v>0.84</v>
      </c>
      <c r="U337" s="3">
        <v>0.23</v>
      </c>
      <c r="V337" s="3">
        <v>3.55</v>
      </c>
      <c r="W337">
        <v>1.66</v>
      </c>
      <c r="X337" t="s">
        <v>72</v>
      </c>
      <c r="Y337" s="3">
        <v>5.44</v>
      </c>
      <c r="Z337" t="s">
        <v>83</v>
      </c>
      <c r="AA337" t="s">
        <v>429</v>
      </c>
      <c r="AB337" t="s">
        <v>53</v>
      </c>
      <c r="AC337" s="3">
        <v>1.27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f t="shared" si="10"/>
        <v>11.330000000000002</v>
      </c>
      <c r="AK337" s="3">
        <f t="shared" si="11"/>
        <v>5.8900000000000015</v>
      </c>
    </row>
    <row r="338" spans="1:37">
      <c r="A338">
        <v>10279669</v>
      </c>
      <c r="B338" t="s">
        <v>37</v>
      </c>
      <c r="C338" t="s">
        <v>2476</v>
      </c>
      <c r="E338" t="s">
        <v>1817</v>
      </c>
      <c r="F338" t="s">
        <v>2477</v>
      </c>
      <c r="G338" t="s">
        <v>2478</v>
      </c>
      <c r="H338" t="s">
        <v>42</v>
      </c>
      <c r="I338" t="s">
        <v>2479</v>
      </c>
      <c r="J338" t="s">
        <v>2480</v>
      </c>
      <c r="K338" t="s">
        <v>2481</v>
      </c>
      <c r="L338" t="s">
        <v>142</v>
      </c>
      <c r="M338" t="s">
        <v>46</v>
      </c>
      <c r="N338" t="s">
        <v>47</v>
      </c>
      <c r="O338">
        <v>8</v>
      </c>
      <c r="P338">
        <v>1</v>
      </c>
      <c r="Q338">
        <v>8</v>
      </c>
      <c r="R338" t="s">
        <v>48</v>
      </c>
      <c r="S338" t="s">
        <v>49</v>
      </c>
      <c r="T338" s="3">
        <v>0.84</v>
      </c>
      <c r="U338" s="3">
        <v>0.23</v>
      </c>
      <c r="V338" s="3">
        <v>7.03</v>
      </c>
      <c r="W338">
        <v>3.49</v>
      </c>
      <c r="X338" t="s">
        <v>50</v>
      </c>
      <c r="Y338" s="3">
        <v>16.43</v>
      </c>
      <c r="Z338" t="s">
        <v>73</v>
      </c>
      <c r="AA338" t="s">
        <v>2482</v>
      </c>
      <c r="AB338" t="s">
        <v>53</v>
      </c>
      <c r="AC338" s="3">
        <v>1.29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f t="shared" si="10"/>
        <v>25.82</v>
      </c>
      <c r="AK338" s="3">
        <f t="shared" si="11"/>
        <v>9.39</v>
      </c>
    </row>
    <row r="339" spans="1:37">
      <c r="A339">
        <v>10282211</v>
      </c>
      <c r="B339" t="s">
        <v>37</v>
      </c>
      <c r="C339" t="s">
        <v>2483</v>
      </c>
      <c r="E339" t="s">
        <v>2484</v>
      </c>
      <c r="F339" t="s">
        <v>2485</v>
      </c>
      <c r="G339" t="s">
        <v>2486</v>
      </c>
      <c r="H339" t="s">
        <v>42</v>
      </c>
      <c r="I339" t="s">
        <v>2487</v>
      </c>
      <c r="J339" t="s">
        <v>2488</v>
      </c>
      <c r="K339" t="s">
        <v>2489</v>
      </c>
      <c r="L339" t="s">
        <v>142</v>
      </c>
      <c r="M339" t="s">
        <v>46</v>
      </c>
      <c r="N339" t="s">
        <v>47</v>
      </c>
      <c r="O339">
        <v>4</v>
      </c>
      <c r="P339">
        <v>1</v>
      </c>
      <c r="Q339">
        <v>4</v>
      </c>
      <c r="R339" t="s">
        <v>48</v>
      </c>
      <c r="S339" t="s">
        <v>49</v>
      </c>
      <c r="T339" s="3">
        <v>0.84</v>
      </c>
      <c r="U339" s="3">
        <v>0.23</v>
      </c>
      <c r="V339" s="3">
        <v>3.55</v>
      </c>
      <c r="W339">
        <v>1.38</v>
      </c>
      <c r="X339" t="s">
        <v>50</v>
      </c>
      <c r="Y339" s="3">
        <v>17.82</v>
      </c>
      <c r="Z339" t="s">
        <v>73</v>
      </c>
      <c r="AA339" t="s">
        <v>2490</v>
      </c>
      <c r="AB339" t="s">
        <v>53</v>
      </c>
      <c r="AC339" s="3">
        <v>1.29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f t="shared" si="10"/>
        <v>23.73</v>
      </c>
      <c r="AK339" s="3">
        <f t="shared" si="11"/>
        <v>5.91</v>
      </c>
    </row>
    <row r="340" spans="1:37">
      <c r="A340">
        <v>10279155</v>
      </c>
      <c r="B340" t="s">
        <v>37</v>
      </c>
      <c r="C340" t="s">
        <v>2491</v>
      </c>
      <c r="E340" t="s">
        <v>2492</v>
      </c>
      <c r="F340" t="s">
        <v>2493</v>
      </c>
      <c r="G340" t="s">
        <v>2494</v>
      </c>
      <c r="H340" t="s">
        <v>42</v>
      </c>
      <c r="I340" t="s">
        <v>2495</v>
      </c>
      <c r="J340" t="s">
        <v>2496</v>
      </c>
      <c r="K340" t="s">
        <v>2497</v>
      </c>
      <c r="L340" t="s">
        <v>142</v>
      </c>
      <c r="M340" t="s">
        <v>46</v>
      </c>
      <c r="N340" t="s">
        <v>47</v>
      </c>
      <c r="O340">
        <v>4</v>
      </c>
      <c r="P340">
        <v>1</v>
      </c>
      <c r="Q340">
        <v>4</v>
      </c>
      <c r="R340" t="s">
        <v>48</v>
      </c>
      <c r="S340" t="s">
        <v>49</v>
      </c>
      <c r="T340" s="3">
        <v>0.84</v>
      </c>
      <c r="U340" s="3">
        <v>0.23</v>
      </c>
      <c r="V340" s="3">
        <v>3.55</v>
      </c>
      <c r="W340">
        <v>1.66</v>
      </c>
      <c r="X340" t="s">
        <v>50</v>
      </c>
      <c r="Y340" s="3">
        <v>17.82</v>
      </c>
      <c r="Z340" t="s">
        <v>73</v>
      </c>
      <c r="AA340" t="s">
        <v>2498</v>
      </c>
      <c r="AB340" t="s">
        <v>53</v>
      </c>
      <c r="AC340" s="3">
        <v>1.29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f t="shared" si="10"/>
        <v>23.73</v>
      </c>
      <c r="AK340" s="3">
        <f t="shared" si="11"/>
        <v>5.91</v>
      </c>
    </row>
    <row r="341" spans="1:37">
      <c r="A341">
        <v>10282215</v>
      </c>
      <c r="B341" t="s">
        <v>37</v>
      </c>
      <c r="C341" t="s">
        <v>2499</v>
      </c>
      <c r="E341" t="s">
        <v>2500</v>
      </c>
      <c r="F341" t="s">
        <v>2501</v>
      </c>
      <c r="G341" t="s">
        <v>2502</v>
      </c>
      <c r="H341" t="s">
        <v>42</v>
      </c>
      <c r="I341" t="s">
        <v>2503</v>
      </c>
      <c r="J341" t="s">
        <v>2504</v>
      </c>
      <c r="K341">
        <v>8376</v>
      </c>
      <c r="L341" t="s">
        <v>369</v>
      </c>
      <c r="M341" t="s">
        <v>46</v>
      </c>
      <c r="N341" t="s">
        <v>47</v>
      </c>
      <c r="O341">
        <v>5</v>
      </c>
      <c r="P341">
        <v>1</v>
      </c>
      <c r="Q341">
        <v>5</v>
      </c>
      <c r="R341" t="s">
        <v>48</v>
      </c>
      <c r="S341" t="s">
        <v>49</v>
      </c>
      <c r="T341" s="3">
        <v>0.84</v>
      </c>
      <c r="U341" s="3">
        <v>0.23</v>
      </c>
      <c r="V341" s="3">
        <v>4.42</v>
      </c>
      <c r="W341">
        <v>1.8</v>
      </c>
      <c r="X341" t="s">
        <v>50</v>
      </c>
      <c r="Y341" s="3">
        <v>10.58</v>
      </c>
      <c r="Z341" t="s">
        <v>73</v>
      </c>
      <c r="AA341" t="s">
        <v>2505</v>
      </c>
      <c r="AB341" t="s">
        <v>53</v>
      </c>
      <c r="AC341" s="3">
        <v>1.29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f t="shared" si="10"/>
        <v>17.36</v>
      </c>
      <c r="AK341" s="3">
        <f t="shared" si="11"/>
        <v>6.7799999999999994</v>
      </c>
    </row>
    <row r="342" spans="1:37">
      <c r="A342">
        <v>10279158</v>
      </c>
      <c r="B342" t="s">
        <v>37</v>
      </c>
      <c r="C342" t="s">
        <v>2506</v>
      </c>
      <c r="E342" t="s">
        <v>146</v>
      </c>
      <c r="F342" t="s">
        <v>1919</v>
      </c>
      <c r="G342" t="s">
        <v>2507</v>
      </c>
      <c r="H342" t="s">
        <v>42</v>
      </c>
      <c r="I342" t="s">
        <v>2508</v>
      </c>
      <c r="J342" t="s">
        <v>2509</v>
      </c>
      <c r="K342" t="s">
        <v>2510</v>
      </c>
      <c r="L342" t="s">
        <v>142</v>
      </c>
      <c r="M342" t="s">
        <v>46</v>
      </c>
      <c r="N342" t="s">
        <v>47</v>
      </c>
      <c r="O342">
        <v>4</v>
      </c>
      <c r="P342">
        <v>1</v>
      </c>
      <c r="Q342">
        <v>4</v>
      </c>
      <c r="R342" t="s">
        <v>48</v>
      </c>
      <c r="S342" t="s">
        <v>49</v>
      </c>
      <c r="T342" s="3">
        <v>0.84</v>
      </c>
      <c r="U342" s="3">
        <v>0.23</v>
      </c>
      <c r="V342" s="3">
        <v>3.55</v>
      </c>
      <c r="W342">
        <v>1.66</v>
      </c>
      <c r="X342" t="s">
        <v>50</v>
      </c>
      <c r="Y342" s="3">
        <v>16.43</v>
      </c>
      <c r="Z342" t="s">
        <v>73</v>
      </c>
      <c r="AA342" t="s">
        <v>538</v>
      </c>
      <c r="AB342" t="s">
        <v>53</v>
      </c>
      <c r="AC342" s="3">
        <v>1.29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f t="shared" si="10"/>
        <v>22.34</v>
      </c>
      <c r="AK342" s="3">
        <f t="shared" si="11"/>
        <v>5.91</v>
      </c>
    </row>
    <row r="343" spans="1:37">
      <c r="A343">
        <v>10282218</v>
      </c>
      <c r="B343" t="s">
        <v>37</v>
      </c>
      <c r="C343" t="s">
        <v>2511</v>
      </c>
      <c r="E343" t="s">
        <v>2512</v>
      </c>
      <c r="F343" t="s">
        <v>2513</v>
      </c>
      <c r="G343" t="s">
        <v>2514</v>
      </c>
      <c r="H343" t="s">
        <v>42</v>
      </c>
      <c r="I343" t="s">
        <v>2515</v>
      </c>
      <c r="J343" t="s">
        <v>2516</v>
      </c>
      <c r="K343" t="s">
        <v>2517</v>
      </c>
      <c r="L343" t="s">
        <v>142</v>
      </c>
      <c r="M343" t="s">
        <v>46</v>
      </c>
      <c r="N343" t="s">
        <v>47</v>
      </c>
      <c r="O343">
        <v>4</v>
      </c>
      <c r="P343">
        <v>1</v>
      </c>
      <c r="Q343">
        <v>4</v>
      </c>
      <c r="R343" t="s">
        <v>48</v>
      </c>
      <c r="S343" t="s">
        <v>49</v>
      </c>
      <c r="T343" s="3">
        <v>0.84</v>
      </c>
      <c r="U343" s="3">
        <v>0.23</v>
      </c>
      <c r="V343" s="3">
        <v>3.55</v>
      </c>
      <c r="W343">
        <v>2.06</v>
      </c>
      <c r="X343" t="s">
        <v>50</v>
      </c>
      <c r="Y343" s="3">
        <v>16.43</v>
      </c>
      <c r="Z343" t="s">
        <v>73</v>
      </c>
      <c r="AA343" t="s">
        <v>1694</v>
      </c>
      <c r="AB343" t="s">
        <v>53</v>
      </c>
      <c r="AC343" s="3">
        <v>1.29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f t="shared" si="10"/>
        <v>22.34</v>
      </c>
      <c r="AK343" s="3">
        <f t="shared" si="11"/>
        <v>5.91</v>
      </c>
    </row>
    <row r="344" spans="1:37">
      <c r="A344">
        <v>10284498</v>
      </c>
      <c r="B344" t="s">
        <v>37</v>
      </c>
      <c r="C344" t="s">
        <v>2518</v>
      </c>
      <c r="E344" t="s">
        <v>2519</v>
      </c>
      <c r="F344" t="s">
        <v>2520</v>
      </c>
      <c r="G344" t="s">
        <v>2521</v>
      </c>
      <c r="H344" t="s">
        <v>42</v>
      </c>
      <c r="I344" t="s">
        <v>2522</v>
      </c>
      <c r="J344" t="s">
        <v>2523</v>
      </c>
      <c r="K344" t="s">
        <v>2524</v>
      </c>
      <c r="L344" t="s">
        <v>142</v>
      </c>
      <c r="M344" t="s">
        <v>46</v>
      </c>
      <c r="N344" t="s">
        <v>47</v>
      </c>
      <c r="O344">
        <v>2</v>
      </c>
      <c r="P344">
        <v>1</v>
      </c>
      <c r="Q344">
        <v>2</v>
      </c>
      <c r="R344" t="s">
        <v>48</v>
      </c>
      <c r="S344" t="s">
        <v>49</v>
      </c>
      <c r="T344" s="3">
        <v>0.84</v>
      </c>
      <c r="U344" s="3">
        <v>0.23</v>
      </c>
      <c r="V344" s="3">
        <v>1.81</v>
      </c>
      <c r="W344">
        <v>0.88</v>
      </c>
      <c r="X344" t="s">
        <v>50</v>
      </c>
      <c r="Y344" s="3">
        <v>16.43</v>
      </c>
      <c r="Z344" t="s">
        <v>109</v>
      </c>
      <c r="AA344" t="s">
        <v>1349</v>
      </c>
      <c r="AB344" t="s">
        <v>53</v>
      </c>
      <c r="AC344" s="3">
        <v>1.06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f t="shared" si="10"/>
        <v>20.369999999999997</v>
      </c>
      <c r="AK344" s="3">
        <f t="shared" si="11"/>
        <v>3.9399999999999977</v>
      </c>
    </row>
    <row r="345" spans="1:37">
      <c r="A345">
        <v>10284496</v>
      </c>
      <c r="B345" t="s">
        <v>37</v>
      </c>
      <c r="C345" t="s">
        <v>2525</v>
      </c>
      <c r="E345" t="s">
        <v>2526</v>
      </c>
      <c r="F345" t="s">
        <v>2527</v>
      </c>
      <c r="G345" t="s">
        <v>2528</v>
      </c>
      <c r="H345" t="s">
        <v>42</v>
      </c>
      <c r="I345" t="s">
        <v>2529</v>
      </c>
      <c r="J345" t="s">
        <v>2530</v>
      </c>
      <c r="K345" t="s">
        <v>2531</v>
      </c>
      <c r="L345" t="s">
        <v>142</v>
      </c>
      <c r="M345" t="s">
        <v>46</v>
      </c>
      <c r="N345" t="s">
        <v>47</v>
      </c>
      <c r="O345">
        <v>2</v>
      </c>
      <c r="P345">
        <v>1</v>
      </c>
      <c r="Q345">
        <v>2</v>
      </c>
      <c r="R345" t="s">
        <v>48</v>
      </c>
      <c r="S345" t="s">
        <v>49</v>
      </c>
      <c r="T345" s="3">
        <v>0.84</v>
      </c>
      <c r="U345" s="3">
        <v>0.23</v>
      </c>
      <c r="V345" s="3">
        <v>1.81</v>
      </c>
      <c r="W345">
        <v>0.98</v>
      </c>
      <c r="X345" t="s">
        <v>50</v>
      </c>
      <c r="Y345" s="3">
        <v>16.43</v>
      </c>
      <c r="Z345" t="s">
        <v>109</v>
      </c>
      <c r="AA345" t="s">
        <v>2532</v>
      </c>
      <c r="AB345" t="s">
        <v>53</v>
      </c>
      <c r="AC345" s="3">
        <v>1.06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f t="shared" si="10"/>
        <v>20.369999999999997</v>
      </c>
      <c r="AK345" s="3">
        <f t="shared" si="11"/>
        <v>3.9399999999999977</v>
      </c>
    </row>
    <row r="346" spans="1:37">
      <c r="A346">
        <v>10284490</v>
      </c>
      <c r="B346" t="s">
        <v>37</v>
      </c>
      <c r="C346" t="s">
        <v>2533</v>
      </c>
      <c r="E346" t="s">
        <v>2534</v>
      </c>
      <c r="F346" t="s">
        <v>2535</v>
      </c>
      <c r="G346" t="s">
        <v>2536</v>
      </c>
      <c r="H346" t="s">
        <v>42</v>
      </c>
      <c r="I346" t="s">
        <v>2537</v>
      </c>
      <c r="J346" t="s">
        <v>2538</v>
      </c>
      <c r="K346" t="s">
        <v>2539</v>
      </c>
      <c r="L346" t="s">
        <v>142</v>
      </c>
      <c r="M346" t="s">
        <v>46</v>
      </c>
      <c r="N346" t="s">
        <v>47</v>
      </c>
      <c r="O346">
        <v>1</v>
      </c>
      <c r="P346">
        <v>1</v>
      </c>
      <c r="Q346">
        <v>1</v>
      </c>
      <c r="R346" t="s">
        <v>48</v>
      </c>
      <c r="S346" t="s">
        <v>49</v>
      </c>
      <c r="T346" s="3">
        <v>0.84</v>
      </c>
      <c r="U346" s="3">
        <v>0.23</v>
      </c>
      <c r="V346" s="3">
        <v>0.94</v>
      </c>
      <c r="W346">
        <v>0.59</v>
      </c>
      <c r="X346" t="s">
        <v>50</v>
      </c>
      <c r="Y346" s="3">
        <v>16.43</v>
      </c>
      <c r="Z346" t="s">
        <v>109</v>
      </c>
      <c r="AA346" t="s">
        <v>966</v>
      </c>
      <c r="AB346" t="s">
        <v>53</v>
      </c>
      <c r="AC346" s="3">
        <v>1.06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f t="shared" si="10"/>
        <v>19.5</v>
      </c>
      <c r="AK346" s="3">
        <f t="shared" si="11"/>
        <v>3.0700000000000003</v>
      </c>
    </row>
    <row r="347" spans="1:37">
      <c r="A347">
        <v>10284505</v>
      </c>
      <c r="B347" t="s">
        <v>37</v>
      </c>
      <c r="C347" t="s">
        <v>2540</v>
      </c>
      <c r="E347" t="s">
        <v>664</v>
      </c>
      <c r="F347" t="s">
        <v>2541</v>
      </c>
      <c r="G347" t="s">
        <v>2542</v>
      </c>
      <c r="H347" t="s">
        <v>42</v>
      </c>
      <c r="I347" t="s">
        <v>2543</v>
      </c>
      <c r="J347" t="s">
        <v>2544</v>
      </c>
      <c r="K347" t="s">
        <v>2545</v>
      </c>
      <c r="L347" t="s">
        <v>142</v>
      </c>
      <c r="M347" t="s">
        <v>46</v>
      </c>
      <c r="N347" t="s">
        <v>47</v>
      </c>
      <c r="O347">
        <v>4</v>
      </c>
      <c r="P347">
        <v>1</v>
      </c>
      <c r="Q347">
        <v>4</v>
      </c>
      <c r="R347" t="s">
        <v>48</v>
      </c>
      <c r="S347" t="s">
        <v>49</v>
      </c>
      <c r="T347" s="3">
        <v>0.84</v>
      </c>
      <c r="U347" s="3">
        <v>0.23</v>
      </c>
      <c r="V347" s="3">
        <v>3.55</v>
      </c>
      <c r="W347">
        <v>2.06</v>
      </c>
      <c r="X347" t="s">
        <v>50</v>
      </c>
      <c r="Y347" s="3">
        <v>16.43</v>
      </c>
      <c r="Z347" t="s">
        <v>73</v>
      </c>
      <c r="AA347" t="s">
        <v>2422</v>
      </c>
      <c r="AB347" t="s">
        <v>53</v>
      </c>
      <c r="AC347" s="3">
        <v>1.29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f t="shared" si="10"/>
        <v>22.34</v>
      </c>
      <c r="AK347" s="3">
        <f t="shared" si="11"/>
        <v>5.91</v>
      </c>
    </row>
    <row r="348" spans="1:37">
      <c r="A348">
        <v>10284503</v>
      </c>
      <c r="B348" t="s">
        <v>37</v>
      </c>
      <c r="C348" t="s">
        <v>2546</v>
      </c>
      <c r="E348" t="s">
        <v>2547</v>
      </c>
      <c r="F348" t="s">
        <v>300</v>
      </c>
      <c r="G348" t="s">
        <v>2548</v>
      </c>
      <c r="H348" t="s">
        <v>42</v>
      </c>
      <c r="I348" t="s">
        <v>2549</v>
      </c>
      <c r="J348" t="s">
        <v>2550</v>
      </c>
      <c r="K348" t="s">
        <v>2551</v>
      </c>
      <c r="L348" t="s">
        <v>142</v>
      </c>
      <c r="M348" t="s">
        <v>46</v>
      </c>
      <c r="N348" t="s">
        <v>47</v>
      </c>
      <c r="O348">
        <v>3</v>
      </c>
      <c r="P348">
        <v>1</v>
      </c>
      <c r="Q348">
        <v>3</v>
      </c>
      <c r="R348" t="s">
        <v>48</v>
      </c>
      <c r="S348" t="s">
        <v>49</v>
      </c>
      <c r="T348" s="3">
        <v>0.84</v>
      </c>
      <c r="U348" s="3">
        <v>0.23</v>
      </c>
      <c r="V348" s="3">
        <v>2.68</v>
      </c>
      <c r="W348">
        <v>1.22</v>
      </c>
      <c r="X348" t="s">
        <v>50</v>
      </c>
      <c r="Y348" s="3">
        <v>16.43</v>
      </c>
      <c r="Z348" t="s">
        <v>109</v>
      </c>
      <c r="AA348" t="s">
        <v>2552</v>
      </c>
      <c r="AB348" t="s">
        <v>53</v>
      </c>
      <c r="AC348" s="3">
        <v>1.06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f t="shared" si="10"/>
        <v>21.24</v>
      </c>
      <c r="AK348" s="3">
        <f t="shared" si="11"/>
        <v>4.8099999999999987</v>
      </c>
    </row>
    <row r="349" spans="1:37">
      <c r="A349">
        <v>10284492</v>
      </c>
      <c r="B349" t="s">
        <v>37</v>
      </c>
      <c r="C349" t="s">
        <v>2553</v>
      </c>
      <c r="E349" t="s">
        <v>872</v>
      </c>
      <c r="F349" t="s">
        <v>2554</v>
      </c>
      <c r="G349" t="s">
        <v>2555</v>
      </c>
      <c r="H349" t="s">
        <v>42</v>
      </c>
      <c r="I349" t="s">
        <v>2556</v>
      </c>
      <c r="J349" t="s">
        <v>2557</v>
      </c>
      <c r="K349" t="s">
        <v>2558</v>
      </c>
      <c r="L349" t="s">
        <v>142</v>
      </c>
      <c r="M349" t="s">
        <v>46</v>
      </c>
      <c r="N349" t="s">
        <v>47</v>
      </c>
      <c r="O349">
        <v>3</v>
      </c>
      <c r="P349">
        <v>1</v>
      </c>
      <c r="Q349">
        <v>3</v>
      </c>
      <c r="R349" t="s">
        <v>48</v>
      </c>
      <c r="S349" t="s">
        <v>49</v>
      </c>
      <c r="T349" s="3">
        <v>0.84</v>
      </c>
      <c r="U349" s="3">
        <v>0.23</v>
      </c>
      <c r="V349" s="3">
        <v>2.68</v>
      </c>
      <c r="W349">
        <v>1.47</v>
      </c>
      <c r="X349" t="s">
        <v>50</v>
      </c>
      <c r="Y349" s="3">
        <v>16.43</v>
      </c>
      <c r="Z349" t="s">
        <v>109</v>
      </c>
      <c r="AA349" t="s">
        <v>2559</v>
      </c>
      <c r="AB349" t="s">
        <v>53</v>
      </c>
      <c r="AC349" s="3">
        <v>1.06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f t="shared" si="10"/>
        <v>21.24</v>
      </c>
      <c r="AK349" s="3">
        <f t="shared" si="11"/>
        <v>4.8099999999999987</v>
      </c>
    </row>
    <row r="350" spans="1:37">
      <c r="A350">
        <v>10284502</v>
      </c>
      <c r="B350" t="s">
        <v>37</v>
      </c>
      <c r="C350" t="s">
        <v>2560</v>
      </c>
      <c r="E350" t="s">
        <v>2561</v>
      </c>
      <c r="F350" t="s">
        <v>2562</v>
      </c>
      <c r="G350" t="s">
        <v>2563</v>
      </c>
      <c r="H350" t="s">
        <v>42</v>
      </c>
      <c r="I350" t="s">
        <v>2564</v>
      </c>
      <c r="J350" t="s">
        <v>2565</v>
      </c>
      <c r="K350" t="s">
        <v>2566</v>
      </c>
      <c r="L350" t="s">
        <v>82</v>
      </c>
      <c r="M350" t="s">
        <v>46</v>
      </c>
      <c r="N350" t="s">
        <v>47</v>
      </c>
      <c r="O350">
        <v>4</v>
      </c>
      <c r="P350">
        <v>1</v>
      </c>
      <c r="Q350">
        <v>4</v>
      </c>
      <c r="R350" t="s">
        <v>48</v>
      </c>
      <c r="S350" t="s">
        <v>49</v>
      </c>
      <c r="T350" s="3">
        <v>0.84</v>
      </c>
      <c r="U350" s="3">
        <v>0.23</v>
      </c>
      <c r="V350" s="3">
        <v>3.55</v>
      </c>
      <c r="W350">
        <v>1.39</v>
      </c>
      <c r="X350" t="s">
        <v>50</v>
      </c>
      <c r="Y350" s="3">
        <v>9.19</v>
      </c>
      <c r="Z350" t="s">
        <v>73</v>
      </c>
      <c r="AA350" t="s">
        <v>2567</v>
      </c>
      <c r="AB350" t="s">
        <v>53</v>
      </c>
      <c r="AC350" s="3">
        <v>1.29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f t="shared" si="10"/>
        <v>15.100000000000001</v>
      </c>
      <c r="AK350" s="3">
        <f t="shared" si="11"/>
        <v>5.9100000000000019</v>
      </c>
    </row>
    <row r="351" spans="1:37">
      <c r="A351">
        <v>10283386</v>
      </c>
      <c r="B351" t="s">
        <v>37</v>
      </c>
      <c r="C351" t="s">
        <v>2568</v>
      </c>
      <c r="E351" t="s">
        <v>809</v>
      </c>
      <c r="F351" t="s">
        <v>2569</v>
      </c>
      <c r="G351" t="s">
        <v>2570</v>
      </c>
      <c r="H351" t="s">
        <v>42</v>
      </c>
      <c r="I351" t="s">
        <v>2571</v>
      </c>
      <c r="J351" t="s">
        <v>2572</v>
      </c>
      <c r="K351" t="s">
        <v>2573</v>
      </c>
      <c r="L351" t="s">
        <v>82</v>
      </c>
      <c r="M351" t="s">
        <v>46</v>
      </c>
      <c r="N351" t="s">
        <v>47</v>
      </c>
      <c r="O351">
        <v>8</v>
      </c>
      <c r="P351">
        <v>1</v>
      </c>
      <c r="Q351">
        <v>8</v>
      </c>
      <c r="R351" t="s">
        <v>48</v>
      </c>
      <c r="S351" t="s">
        <v>49</v>
      </c>
      <c r="T351" s="3">
        <v>0.84</v>
      </c>
      <c r="U351" s="3">
        <v>0.23</v>
      </c>
      <c r="V351" s="3">
        <v>7.03</v>
      </c>
      <c r="W351">
        <v>4.6900000000000004</v>
      </c>
      <c r="X351" t="s">
        <v>50</v>
      </c>
      <c r="Y351" s="3">
        <v>29.89</v>
      </c>
      <c r="Z351" t="s">
        <v>83</v>
      </c>
      <c r="AA351" t="s">
        <v>2574</v>
      </c>
      <c r="AB351" t="s">
        <v>53</v>
      </c>
      <c r="AC351" s="3">
        <v>1.27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f t="shared" si="10"/>
        <v>39.26</v>
      </c>
      <c r="AK351" s="3">
        <f t="shared" si="11"/>
        <v>9.3699999999999974</v>
      </c>
    </row>
    <row r="352" spans="1:37">
      <c r="A352">
        <v>10283775</v>
      </c>
      <c r="B352" t="s">
        <v>37</v>
      </c>
      <c r="C352" t="s">
        <v>2575</v>
      </c>
      <c r="E352" t="s">
        <v>2576</v>
      </c>
      <c r="F352" t="s">
        <v>2577</v>
      </c>
      <c r="G352" t="s">
        <v>2578</v>
      </c>
      <c r="H352" t="s">
        <v>42</v>
      </c>
      <c r="I352" t="s">
        <v>2579</v>
      </c>
      <c r="J352" t="s">
        <v>2580</v>
      </c>
      <c r="K352" t="s">
        <v>2581</v>
      </c>
      <c r="L352" t="s">
        <v>142</v>
      </c>
      <c r="M352" t="s">
        <v>46</v>
      </c>
      <c r="N352" t="s">
        <v>47</v>
      </c>
      <c r="O352">
        <v>6</v>
      </c>
      <c r="P352">
        <v>1</v>
      </c>
      <c r="Q352">
        <v>6</v>
      </c>
      <c r="R352" t="s">
        <v>48</v>
      </c>
      <c r="S352" t="s">
        <v>49</v>
      </c>
      <c r="T352" s="3">
        <v>0.84</v>
      </c>
      <c r="U352" s="3">
        <v>0.23</v>
      </c>
      <c r="V352" s="3">
        <v>5.29</v>
      </c>
      <c r="W352">
        <v>2.69</v>
      </c>
      <c r="X352" t="s">
        <v>50</v>
      </c>
      <c r="Y352" s="3">
        <v>17.82</v>
      </c>
      <c r="Z352" t="s">
        <v>83</v>
      </c>
      <c r="AA352" t="s">
        <v>2582</v>
      </c>
      <c r="AB352" t="s">
        <v>53</v>
      </c>
      <c r="AC352" s="3">
        <v>1.27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f t="shared" si="10"/>
        <v>25.45</v>
      </c>
      <c r="AK352" s="3">
        <f t="shared" si="11"/>
        <v>7.629999999999999</v>
      </c>
    </row>
    <row r="353" spans="1:37">
      <c r="A353">
        <v>10284487</v>
      </c>
      <c r="B353" t="s">
        <v>37</v>
      </c>
      <c r="C353" t="s">
        <v>2583</v>
      </c>
      <c r="E353" t="s">
        <v>1470</v>
      </c>
      <c r="F353" t="s">
        <v>2584</v>
      </c>
      <c r="G353" t="s">
        <v>2585</v>
      </c>
      <c r="H353" t="s">
        <v>42</v>
      </c>
      <c r="I353" t="s">
        <v>2586</v>
      </c>
      <c r="J353" t="s">
        <v>2587</v>
      </c>
      <c r="K353">
        <v>4002</v>
      </c>
      <c r="L353" t="s">
        <v>1701</v>
      </c>
      <c r="M353" t="s">
        <v>46</v>
      </c>
      <c r="N353" t="s">
        <v>47</v>
      </c>
      <c r="O353">
        <v>2</v>
      </c>
      <c r="P353">
        <v>1</v>
      </c>
      <c r="Q353">
        <v>2</v>
      </c>
      <c r="R353" t="s">
        <v>48</v>
      </c>
      <c r="S353" t="s">
        <v>49</v>
      </c>
      <c r="T353" s="3">
        <v>0.84</v>
      </c>
      <c r="U353" s="3">
        <v>0.23</v>
      </c>
      <c r="V353" s="3">
        <v>1.81</v>
      </c>
      <c r="W353">
        <v>0.98</v>
      </c>
      <c r="X353" t="s">
        <v>1702</v>
      </c>
      <c r="Y353" s="3">
        <v>26.18</v>
      </c>
      <c r="Z353" t="s">
        <v>109</v>
      </c>
      <c r="AA353" t="s">
        <v>2588</v>
      </c>
      <c r="AB353" t="s">
        <v>53</v>
      </c>
      <c r="AC353" s="3">
        <v>1.06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f t="shared" si="10"/>
        <v>30.119999999999997</v>
      </c>
      <c r="AK353" s="3">
        <f t="shared" si="11"/>
        <v>3.9399999999999977</v>
      </c>
    </row>
    <row r="354" spans="1:37">
      <c r="A354">
        <v>10273738</v>
      </c>
      <c r="B354" t="s">
        <v>37</v>
      </c>
      <c r="C354" t="s">
        <v>2589</v>
      </c>
      <c r="E354" t="s">
        <v>2590</v>
      </c>
      <c r="F354" t="s">
        <v>2591</v>
      </c>
      <c r="G354" t="s">
        <v>2592</v>
      </c>
      <c r="H354" t="s">
        <v>42</v>
      </c>
      <c r="I354" t="s">
        <v>2593</v>
      </c>
      <c r="J354" t="s">
        <v>2594</v>
      </c>
      <c r="K354" t="s">
        <v>2595</v>
      </c>
      <c r="L354" t="s">
        <v>886</v>
      </c>
      <c r="M354" t="s">
        <v>46</v>
      </c>
      <c r="N354" t="s">
        <v>47</v>
      </c>
      <c r="O354">
        <v>12</v>
      </c>
      <c r="P354">
        <v>1</v>
      </c>
      <c r="Q354">
        <v>12</v>
      </c>
      <c r="R354" t="s">
        <v>48</v>
      </c>
      <c r="S354" t="s">
        <v>49</v>
      </c>
      <c r="T354" s="3">
        <v>7</v>
      </c>
      <c r="U354" s="3">
        <v>0.23</v>
      </c>
      <c r="V354" s="3">
        <v>15.82</v>
      </c>
      <c r="W354">
        <v>4.2</v>
      </c>
      <c r="X354" t="s">
        <v>50</v>
      </c>
      <c r="Y354" s="3">
        <v>12.03</v>
      </c>
      <c r="Z354" t="s">
        <v>83</v>
      </c>
      <c r="AA354" t="s">
        <v>2596</v>
      </c>
      <c r="AB354" t="s">
        <v>53</v>
      </c>
      <c r="AC354" s="3">
        <v>1.27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f t="shared" si="10"/>
        <v>36.349999999999994</v>
      </c>
      <c r="AK354" s="3">
        <f t="shared" si="11"/>
        <v>24.319999999999993</v>
      </c>
    </row>
    <row r="355" spans="1:37">
      <c r="A355">
        <v>10277629</v>
      </c>
      <c r="B355" t="s">
        <v>37</v>
      </c>
      <c r="C355" t="s">
        <v>2597</v>
      </c>
      <c r="E355" t="s">
        <v>2598</v>
      </c>
      <c r="F355" t="s">
        <v>2599</v>
      </c>
      <c r="G355" t="s">
        <v>2600</v>
      </c>
      <c r="H355" t="s">
        <v>42</v>
      </c>
      <c r="I355" t="s">
        <v>2601</v>
      </c>
      <c r="J355" t="s">
        <v>2602</v>
      </c>
      <c r="K355">
        <v>8390</v>
      </c>
      <c r="L355" t="s">
        <v>369</v>
      </c>
      <c r="M355" t="s">
        <v>46</v>
      </c>
      <c r="N355" t="s">
        <v>47</v>
      </c>
      <c r="O355">
        <v>12</v>
      </c>
      <c r="P355">
        <v>1</v>
      </c>
      <c r="Q355">
        <v>12</v>
      </c>
      <c r="R355" t="s">
        <v>48</v>
      </c>
      <c r="S355" t="s">
        <v>49</v>
      </c>
      <c r="T355" s="3">
        <v>7</v>
      </c>
      <c r="U355" s="3">
        <v>0.23</v>
      </c>
      <c r="V355" s="3">
        <v>15.82</v>
      </c>
      <c r="W355">
        <v>4.92</v>
      </c>
      <c r="X355" t="s">
        <v>50</v>
      </c>
      <c r="Y355" s="3">
        <v>9.19</v>
      </c>
      <c r="Z355" t="s">
        <v>83</v>
      </c>
      <c r="AA355" t="s">
        <v>2603</v>
      </c>
      <c r="AB355" t="s">
        <v>53</v>
      </c>
      <c r="AC355" s="3">
        <v>1.27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f t="shared" si="10"/>
        <v>33.510000000000005</v>
      </c>
      <c r="AK355" s="3">
        <f t="shared" si="11"/>
        <v>24.320000000000007</v>
      </c>
    </row>
    <row r="356" spans="1:37">
      <c r="A356">
        <v>10284500</v>
      </c>
      <c r="B356" t="s">
        <v>37</v>
      </c>
      <c r="C356" t="s">
        <v>2604</v>
      </c>
      <c r="E356" t="s">
        <v>2605</v>
      </c>
      <c r="F356" t="s">
        <v>2606</v>
      </c>
      <c r="G356" t="s">
        <v>2607</v>
      </c>
      <c r="H356" t="s">
        <v>42</v>
      </c>
      <c r="I356" t="s">
        <v>2608</v>
      </c>
      <c r="J356" t="s">
        <v>2609</v>
      </c>
      <c r="K356" t="s">
        <v>2610</v>
      </c>
      <c r="L356" t="s">
        <v>142</v>
      </c>
      <c r="M356" t="s">
        <v>46</v>
      </c>
      <c r="N356" t="s">
        <v>47</v>
      </c>
      <c r="O356">
        <v>1</v>
      </c>
      <c r="P356">
        <v>1</v>
      </c>
      <c r="Q356">
        <v>1</v>
      </c>
      <c r="R356" t="s">
        <v>48</v>
      </c>
      <c r="S356" t="s">
        <v>49</v>
      </c>
      <c r="T356" s="3">
        <v>0.84</v>
      </c>
      <c r="U356" s="3">
        <v>0.23</v>
      </c>
      <c r="V356" s="3">
        <v>0.94</v>
      </c>
      <c r="W356">
        <v>3.1</v>
      </c>
      <c r="X356" t="s">
        <v>50</v>
      </c>
      <c r="Y356" s="3">
        <v>17.82</v>
      </c>
      <c r="Z356" t="s">
        <v>83</v>
      </c>
      <c r="AA356" t="s">
        <v>894</v>
      </c>
      <c r="AB356" t="s">
        <v>53</v>
      </c>
      <c r="AC356" s="3">
        <v>1.27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f t="shared" si="10"/>
        <v>21.1</v>
      </c>
      <c r="AK356" s="3">
        <f t="shared" si="11"/>
        <v>3.2800000000000011</v>
      </c>
    </row>
    <row r="357" spans="1:37">
      <c r="A357">
        <v>10283773</v>
      </c>
      <c r="B357" t="s">
        <v>37</v>
      </c>
      <c r="C357" t="s">
        <v>2611</v>
      </c>
      <c r="E357" t="s">
        <v>2612</v>
      </c>
      <c r="F357" t="s">
        <v>2613</v>
      </c>
      <c r="G357" t="s">
        <v>2614</v>
      </c>
      <c r="H357" t="s">
        <v>42</v>
      </c>
      <c r="I357" t="s">
        <v>2615</v>
      </c>
      <c r="J357" t="s">
        <v>2616</v>
      </c>
      <c r="K357">
        <v>8210</v>
      </c>
      <c r="L357" t="s">
        <v>505</v>
      </c>
      <c r="M357" t="s">
        <v>46</v>
      </c>
      <c r="N357" t="s">
        <v>47</v>
      </c>
      <c r="O357">
        <v>8</v>
      </c>
      <c r="P357">
        <v>1</v>
      </c>
      <c r="Q357">
        <v>8</v>
      </c>
      <c r="R357" t="s">
        <v>48</v>
      </c>
      <c r="S357" t="s">
        <v>49</v>
      </c>
      <c r="T357" s="3">
        <v>0.84</v>
      </c>
      <c r="U357" s="3">
        <v>0.23</v>
      </c>
      <c r="V357" s="3">
        <v>7.03</v>
      </c>
      <c r="W357">
        <v>4.38</v>
      </c>
      <c r="X357" t="s">
        <v>50</v>
      </c>
      <c r="Y357" s="3">
        <v>10.58</v>
      </c>
      <c r="Z357" t="s">
        <v>83</v>
      </c>
      <c r="AA357" t="s">
        <v>2617</v>
      </c>
      <c r="AB357" t="s">
        <v>53</v>
      </c>
      <c r="AC357" s="3">
        <v>1.27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f t="shared" si="10"/>
        <v>19.95</v>
      </c>
      <c r="AK357" s="3">
        <f t="shared" si="11"/>
        <v>9.3699999999999992</v>
      </c>
    </row>
    <row r="358" spans="1:37">
      <c r="A358">
        <v>10284123</v>
      </c>
      <c r="B358" t="s">
        <v>37</v>
      </c>
      <c r="C358" t="s">
        <v>2618</v>
      </c>
      <c r="E358" t="s">
        <v>2299</v>
      </c>
      <c r="F358" t="s">
        <v>2619</v>
      </c>
      <c r="G358" t="s">
        <v>2620</v>
      </c>
      <c r="H358" t="s">
        <v>42</v>
      </c>
      <c r="I358" t="s">
        <v>2621</v>
      </c>
      <c r="J358" t="s">
        <v>2622</v>
      </c>
      <c r="K358">
        <v>21077</v>
      </c>
      <c r="L358" t="s">
        <v>71</v>
      </c>
      <c r="M358" t="s">
        <v>46</v>
      </c>
      <c r="N358" t="s">
        <v>47</v>
      </c>
      <c r="O358">
        <v>1</v>
      </c>
      <c r="P358">
        <v>1</v>
      </c>
      <c r="Q358">
        <v>1</v>
      </c>
      <c r="R358" t="s">
        <v>48</v>
      </c>
      <c r="S358" t="s">
        <v>49</v>
      </c>
      <c r="T358" s="3">
        <v>0.84</v>
      </c>
      <c r="U358" s="3">
        <v>0.23</v>
      </c>
      <c r="V358" s="3">
        <v>0.94</v>
      </c>
      <c r="W358">
        <v>0.59</v>
      </c>
      <c r="X358" t="s">
        <v>108</v>
      </c>
      <c r="Y358" s="3">
        <v>6.53</v>
      </c>
      <c r="Z358" t="s">
        <v>109</v>
      </c>
      <c r="AA358" t="s">
        <v>2623</v>
      </c>
      <c r="AB358" t="s">
        <v>53</v>
      </c>
      <c r="AC358" s="3">
        <v>1.06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f t="shared" si="10"/>
        <v>9.6</v>
      </c>
      <c r="AK358" s="3">
        <f t="shared" si="11"/>
        <v>3.0699999999999994</v>
      </c>
    </row>
    <row r="359" spans="1:37">
      <c r="A359">
        <v>10284494</v>
      </c>
      <c r="B359" t="s">
        <v>37</v>
      </c>
      <c r="C359" t="s">
        <v>2624</v>
      </c>
      <c r="E359" t="s">
        <v>2625</v>
      </c>
      <c r="F359" t="s">
        <v>2626</v>
      </c>
      <c r="G359" t="s">
        <v>2627</v>
      </c>
      <c r="H359" t="s">
        <v>42</v>
      </c>
      <c r="I359" t="s">
        <v>2628</v>
      </c>
      <c r="J359" t="s">
        <v>2629</v>
      </c>
      <c r="K359">
        <v>2610</v>
      </c>
      <c r="L359" t="s">
        <v>505</v>
      </c>
      <c r="M359" t="s">
        <v>46</v>
      </c>
      <c r="N359" t="s">
        <v>47</v>
      </c>
      <c r="O359">
        <v>2</v>
      </c>
      <c r="P359">
        <v>1</v>
      </c>
      <c r="Q359">
        <v>2</v>
      </c>
      <c r="R359" t="s">
        <v>48</v>
      </c>
      <c r="S359" t="s">
        <v>49</v>
      </c>
      <c r="T359" s="3">
        <v>0.84</v>
      </c>
      <c r="U359" s="3">
        <v>0.23</v>
      </c>
      <c r="V359" s="3">
        <v>1.81</v>
      </c>
      <c r="W359">
        <v>1.95</v>
      </c>
      <c r="X359" t="s">
        <v>50</v>
      </c>
      <c r="Y359" s="3">
        <v>10.58</v>
      </c>
      <c r="Z359" t="s">
        <v>73</v>
      </c>
      <c r="AA359" t="s">
        <v>2630</v>
      </c>
      <c r="AB359" t="s">
        <v>53</v>
      </c>
      <c r="AC359" s="3">
        <v>1.29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f t="shared" si="10"/>
        <v>14.750000000000002</v>
      </c>
      <c r="AK359" s="3">
        <f t="shared" si="11"/>
        <v>4.1700000000000017</v>
      </c>
    </row>
    <row r="360" spans="1:37">
      <c r="A360">
        <v>10284127</v>
      </c>
      <c r="B360" t="s">
        <v>37</v>
      </c>
      <c r="C360" t="s">
        <v>2631</v>
      </c>
      <c r="E360" t="s">
        <v>2632</v>
      </c>
      <c r="F360" t="s">
        <v>2633</v>
      </c>
      <c r="G360" t="s">
        <v>2634</v>
      </c>
      <c r="H360" t="s">
        <v>42</v>
      </c>
      <c r="I360" t="s">
        <v>2635</v>
      </c>
      <c r="J360" t="s">
        <v>2636</v>
      </c>
      <c r="K360">
        <v>86391</v>
      </c>
      <c r="L360" t="s">
        <v>71</v>
      </c>
      <c r="M360" t="s">
        <v>46</v>
      </c>
      <c r="N360" t="s">
        <v>47</v>
      </c>
      <c r="O360">
        <v>4</v>
      </c>
      <c r="P360">
        <v>1</v>
      </c>
      <c r="Q360">
        <v>4</v>
      </c>
      <c r="R360" t="s">
        <v>48</v>
      </c>
      <c r="S360" t="s">
        <v>49</v>
      </c>
      <c r="T360" s="3">
        <v>0.84</v>
      </c>
      <c r="U360" s="3">
        <v>0.23</v>
      </c>
      <c r="V360" s="3">
        <v>3.55</v>
      </c>
      <c r="W360">
        <v>2.06</v>
      </c>
      <c r="X360" t="s">
        <v>72</v>
      </c>
      <c r="Y360" s="3">
        <v>6.83</v>
      </c>
      <c r="Z360" t="s">
        <v>73</v>
      </c>
      <c r="AA360" t="s">
        <v>1694</v>
      </c>
      <c r="AB360" t="s">
        <v>53</v>
      </c>
      <c r="AC360" s="3">
        <v>1.29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f t="shared" si="10"/>
        <v>12.740000000000002</v>
      </c>
      <c r="AK360" s="3">
        <f t="shared" si="11"/>
        <v>5.9100000000000019</v>
      </c>
    </row>
    <row r="361" spans="1:37">
      <c r="A361">
        <v>10278066</v>
      </c>
      <c r="B361" t="s">
        <v>37</v>
      </c>
      <c r="C361" t="s">
        <v>2637</v>
      </c>
      <c r="E361" t="s">
        <v>2638</v>
      </c>
      <c r="F361" t="s">
        <v>2639</v>
      </c>
      <c r="G361" t="s">
        <v>2640</v>
      </c>
      <c r="H361" t="s">
        <v>42</v>
      </c>
      <c r="I361" t="s">
        <v>2641</v>
      </c>
      <c r="J361" t="s">
        <v>2642</v>
      </c>
      <c r="K361" t="s">
        <v>2643</v>
      </c>
      <c r="L361" t="s">
        <v>142</v>
      </c>
      <c r="M361" t="s">
        <v>46</v>
      </c>
      <c r="N361" t="s">
        <v>47</v>
      </c>
      <c r="O361">
        <v>10</v>
      </c>
      <c r="P361">
        <v>1</v>
      </c>
      <c r="Q361">
        <v>10</v>
      </c>
      <c r="R361" t="s">
        <v>48</v>
      </c>
      <c r="S361" t="s">
        <v>49</v>
      </c>
      <c r="T361" s="3">
        <v>7</v>
      </c>
      <c r="U361" s="3">
        <v>0.23</v>
      </c>
      <c r="V361" s="3">
        <v>13.2</v>
      </c>
      <c r="W361">
        <v>4.24</v>
      </c>
      <c r="X361" t="s">
        <v>50</v>
      </c>
      <c r="Y361" s="3">
        <v>16.43</v>
      </c>
      <c r="Z361" t="s">
        <v>83</v>
      </c>
      <c r="AA361" t="s">
        <v>2644</v>
      </c>
      <c r="AB361" t="s">
        <v>53</v>
      </c>
      <c r="AC361" s="3">
        <v>1.27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f t="shared" si="10"/>
        <v>38.129999999999995</v>
      </c>
      <c r="AK361" s="3">
        <f t="shared" si="11"/>
        <v>21.699999999999996</v>
      </c>
    </row>
    <row r="362" spans="1:37">
      <c r="A362">
        <v>10278891</v>
      </c>
      <c r="B362" t="s">
        <v>37</v>
      </c>
      <c r="C362" t="s">
        <v>2645</v>
      </c>
      <c r="E362" t="s">
        <v>2646</v>
      </c>
      <c r="F362" t="s">
        <v>2647</v>
      </c>
      <c r="G362" t="s">
        <v>2648</v>
      </c>
      <c r="H362" t="s">
        <v>42</v>
      </c>
      <c r="I362" t="s">
        <v>2649</v>
      </c>
      <c r="J362" t="s">
        <v>2650</v>
      </c>
      <c r="K362">
        <v>1650</v>
      </c>
      <c r="L362" t="s">
        <v>505</v>
      </c>
      <c r="M362" t="s">
        <v>46</v>
      </c>
      <c r="N362" t="s">
        <v>47</v>
      </c>
      <c r="O362">
        <v>11</v>
      </c>
      <c r="P362">
        <v>1</v>
      </c>
      <c r="Q362">
        <v>11</v>
      </c>
      <c r="R362" t="s">
        <v>48</v>
      </c>
      <c r="S362" t="s">
        <v>49</v>
      </c>
      <c r="T362" s="3">
        <v>7</v>
      </c>
      <c r="U362" s="3">
        <v>0.23</v>
      </c>
      <c r="V362" s="3">
        <v>14.51</v>
      </c>
      <c r="W362">
        <v>5.31</v>
      </c>
      <c r="X362" t="s">
        <v>50</v>
      </c>
      <c r="Y362" s="3">
        <v>9.19</v>
      </c>
      <c r="Z362" t="s">
        <v>83</v>
      </c>
      <c r="AA362" t="s">
        <v>2651</v>
      </c>
      <c r="AB362" t="s">
        <v>53</v>
      </c>
      <c r="AC362" s="3">
        <v>1.27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f t="shared" si="10"/>
        <v>32.200000000000003</v>
      </c>
      <c r="AK362" s="3">
        <f t="shared" si="11"/>
        <v>23.010000000000005</v>
      </c>
    </row>
    <row r="363" spans="1:37">
      <c r="A363">
        <v>10285054</v>
      </c>
      <c r="B363" t="s">
        <v>37</v>
      </c>
      <c r="C363" t="s">
        <v>2652</v>
      </c>
      <c r="E363" t="s">
        <v>2653</v>
      </c>
      <c r="F363" t="s">
        <v>2654</v>
      </c>
      <c r="G363" t="s">
        <v>2655</v>
      </c>
      <c r="H363" t="s">
        <v>42</v>
      </c>
      <c r="I363" t="s">
        <v>2656</v>
      </c>
      <c r="J363" t="s">
        <v>2657</v>
      </c>
      <c r="K363">
        <v>88316</v>
      </c>
      <c r="L363" t="s">
        <v>71</v>
      </c>
      <c r="M363" t="s">
        <v>46</v>
      </c>
      <c r="N363" t="s">
        <v>47</v>
      </c>
      <c r="O363">
        <v>2</v>
      </c>
      <c r="P363">
        <v>1</v>
      </c>
      <c r="Q363">
        <v>2</v>
      </c>
      <c r="R363" t="s">
        <v>48</v>
      </c>
      <c r="S363" t="s">
        <v>49</v>
      </c>
      <c r="T363" s="3">
        <v>0.84</v>
      </c>
      <c r="U363" s="3">
        <v>0.23</v>
      </c>
      <c r="V363" s="3">
        <v>1.81</v>
      </c>
      <c r="W363">
        <v>0.73</v>
      </c>
      <c r="X363" t="s">
        <v>108</v>
      </c>
      <c r="Y363" s="3">
        <v>5.14</v>
      </c>
      <c r="Z363" t="s">
        <v>109</v>
      </c>
      <c r="AA363" t="s">
        <v>1452</v>
      </c>
      <c r="AB363" t="s">
        <v>53</v>
      </c>
      <c r="AC363" s="3">
        <v>1.06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f t="shared" si="10"/>
        <v>9.08</v>
      </c>
      <c r="AK363" s="3">
        <f t="shared" si="11"/>
        <v>3.9400000000000004</v>
      </c>
    </row>
    <row r="364" spans="1:37">
      <c r="A364">
        <v>10285064</v>
      </c>
      <c r="B364" t="s">
        <v>37</v>
      </c>
      <c r="C364" t="s">
        <v>2658</v>
      </c>
      <c r="E364" t="s">
        <v>2659</v>
      </c>
      <c r="F364" t="s">
        <v>2660</v>
      </c>
      <c r="G364" t="s">
        <v>2661</v>
      </c>
      <c r="H364" t="s">
        <v>42</v>
      </c>
      <c r="I364" t="s">
        <v>2662</v>
      </c>
      <c r="J364" t="s">
        <v>2663</v>
      </c>
      <c r="K364">
        <v>66424</v>
      </c>
      <c r="L364" t="s">
        <v>71</v>
      </c>
      <c r="M364" t="s">
        <v>46</v>
      </c>
      <c r="N364" t="s">
        <v>47</v>
      </c>
      <c r="O364">
        <v>1</v>
      </c>
      <c r="P364">
        <v>1</v>
      </c>
      <c r="Q364">
        <v>1</v>
      </c>
      <c r="R364" t="s">
        <v>48</v>
      </c>
      <c r="S364" t="s">
        <v>49</v>
      </c>
      <c r="T364" s="3">
        <v>0.84</v>
      </c>
      <c r="U364" s="3">
        <v>0.23</v>
      </c>
      <c r="V364" s="3">
        <v>0.94</v>
      </c>
      <c r="W364">
        <v>0.59</v>
      </c>
      <c r="X364" t="s">
        <v>108</v>
      </c>
      <c r="Y364" s="3">
        <v>5.14</v>
      </c>
      <c r="Z364" t="s">
        <v>109</v>
      </c>
      <c r="AA364" t="s">
        <v>1059</v>
      </c>
      <c r="AB364" t="s">
        <v>53</v>
      </c>
      <c r="AC364" s="3">
        <v>1.06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f t="shared" si="10"/>
        <v>8.2099999999999991</v>
      </c>
      <c r="AK364" s="3">
        <f t="shared" si="11"/>
        <v>3.0699999999999994</v>
      </c>
    </row>
    <row r="365" spans="1:37">
      <c r="A365">
        <v>10285057</v>
      </c>
      <c r="B365" t="s">
        <v>37</v>
      </c>
      <c r="C365" t="s">
        <v>2664</v>
      </c>
      <c r="E365" t="s">
        <v>2665</v>
      </c>
      <c r="F365" t="s">
        <v>2665</v>
      </c>
      <c r="G365" t="s">
        <v>2666</v>
      </c>
      <c r="H365" t="s">
        <v>42</v>
      </c>
      <c r="I365" t="s">
        <v>2667</v>
      </c>
      <c r="J365" t="s">
        <v>2668</v>
      </c>
      <c r="K365">
        <v>1030</v>
      </c>
      <c r="L365" t="s">
        <v>505</v>
      </c>
      <c r="M365" t="s">
        <v>46</v>
      </c>
      <c r="N365" t="s">
        <v>47</v>
      </c>
      <c r="O365">
        <v>2</v>
      </c>
      <c r="P365">
        <v>1</v>
      </c>
      <c r="Q365">
        <v>2</v>
      </c>
      <c r="R365" t="s">
        <v>48</v>
      </c>
      <c r="S365" t="s">
        <v>49</v>
      </c>
      <c r="T365" s="3">
        <v>0.84</v>
      </c>
      <c r="U365" s="3">
        <v>0.23</v>
      </c>
      <c r="V365" s="3">
        <v>1.81</v>
      </c>
      <c r="W365">
        <v>0.88</v>
      </c>
      <c r="X365" t="s">
        <v>50</v>
      </c>
      <c r="Y365" s="3">
        <v>9.19</v>
      </c>
      <c r="Z365" t="s">
        <v>109</v>
      </c>
      <c r="AA365" t="s">
        <v>2669</v>
      </c>
      <c r="AB365" t="s">
        <v>53</v>
      </c>
      <c r="AC365" s="3">
        <v>1.06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f t="shared" si="10"/>
        <v>13.13</v>
      </c>
      <c r="AK365" s="3">
        <f t="shared" si="11"/>
        <v>3.9400000000000013</v>
      </c>
    </row>
    <row r="366" spans="1:37">
      <c r="A366">
        <v>10287735</v>
      </c>
      <c r="B366" t="s">
        <v>37</v>
      </c>
      <c r="C366" t="s">
        <v>2670</v>
      </c>
      <c r="E366" t="s">
        <v>2671</v>
      </c>
      <c r="F366" t="s">
        <v>2672</v>
      </c>
      <c r="G366" t="s">
        <v>2673</v>
      </c>
      <c r="H366" t="s">
        <v>42</v>
      </c>
      <c r="I366" t="s">
        <v>2674</v>
      </c>
      <c r="J366" t="s">
        <v>2675</v>
      </c>
      <c r="K366" t="s">
        <v>2676</v>
      </c>
      <c r="L366" t="s">
        <v>71</v>
      </c>
      <c r="M366" t="s">
        <v>46</v>
      </c>
      <c r="N366" t="s">
        <v>47</v>
      </c>
      <c r="O366">
        <v>1</v>
      </c>
      <c r="P366">
        <v>1</v>
      </c>
      <c r="Q366">
        <v>1</v>
      </c>
      <c r="R366" t="s">
        <v>48</v>
      </c>
      <c r="S366" t="s">
        <v>49</v>
      </c>
      <c r="T366" s="3">
        <v>0.84</v>
      </c>
      <c r="U366" s="3">
        <v>0.23</v>
      </c>
      <c r="V366" s="3">
        <v>0.94</v>
      </c>
      <c r="W366">
        <v>1.5</v>
      </c>
      <c r="X366" t="s">
        <v>72</v>
      </c>
      <c r="Y366" s="3">
        <v>5.44</v>
      </c>
      <c r="Z366" t="s">
        <v>73</v>
      </c>
      <c r="AA366" t="s">
        <v>259</v>
      </c>
      <c r="AB366" t="s">
        <v>53</v>
      </c>
      <c r="AC366" s="3">
        <v>1.29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f t="shared" si="10"/>
        <v>8.74</v>
      </c>
      <c r="AK366" s="3">
        <f t="shared" si="11"/>
        <v>3.3</v>
      </c>
    </row>
    <row r="367" spans="1:37">
      <c r="A367">
        <v>10285629</v>
      </c>
      <c r="B367" t="s">
        <v>37</v>
      </c>
      <c r="C367" t="s">
        <v>2677</v>
      </c>
      <c r="E367" t="s">
        <v>954</v>
      </c>
      <c r="F367" t="s">
        <v>2678</v>
      </c>
      <c r="G367" t="s">
        <v>2679</v>
      </c>
      <c r="H367" t="s">
        <v>42</v>
      </c>
      <c r="I367" t="s">
        <v>2680</v>
      </c>
      <c r="J367" t="s">
        <v>2681</v>
      </c>
      <c r="K367" t="s">
        <v>2682</v>
      </c>
      <c r="L367" t="s">
        <v>82</v>
      </c>
      <c r="M367" t="s">
        <v>46</v>
      </c>
      <c r="N367" t="s">
        <v>47</v>
      </c>
      <c r="O367">
        <v>1</v>
      </c>
      <c r="P367">
        <v>1</v>
      </c>
      <c r="Q367">
        <v>1</v>
      </c>
      <c r="R367" t="s">
        <v>48</v>
      </c>
      <c r="S367" t="s">
        <v>49</v>
      </c>
      <c r="T367" s="3">
        <v>0.84</v>
      </c>
      <c r="U367" s="3">
        <v>0.23</v>
      </c>
      <c r="V367" s="3">
        <v>0.94</v>
      </c>
      <c r="W367">
        <v>0.59</v>
      </c>
      <c r="X367" t="s">
        <v>50</v>
      </c>
      <c r="Y367" s="3">
        <v>9.19</v>
      </c>
      <c r="Z367" t="s">
        <v>109</v>
      </c>
      <c r="AA367" t="s">
        <v>887</v>
      </c>
      <c r="AB367" t="s">
        <v>53</v>
      </c>
      <c r="AC367" s="3">
        <v>1.06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f t="shared" si="10"/>
        <v>12.26</v>
      </c>
      <c r="AK367" s="3">
        <f t="shared" si="11"/>
        <v>3.0700000000000003</v>
      </c>
    </row>
    <row r="368" spans="1:37">
      <c r="A368">
        <v>10285053</v>
      </c>
      <c r="B368" t="s">
        <v>37</v>
      </c>
      <c r="C368" t="s">
        <v>2683</v>
      </c>
      <c r="E368" t="s">
        <v>2684</v>
      </c>
      <c r="F368" t="s">
        <v>2685</v>
      </c>
      <c r="G368" t="s">
        <v>2686</v>
      </c>
      <c r="H368" t="s">
        <v>42</v>
      </c>
      <c r="I368" t="s">
        <v>2687</v>
      </c>
      <c r="J368" t="s">
        <v>2688</v>
      </c>
      <c r="K368">
        <v>28014</v>
      </c>
      <c r="L368" t="s">
        <v>91</v>
      </c>
      <c r="M368" t="s">
        <v>46</v>
      </c>
      <c r="N368" t="s">
        <v>47</v>
      </c>
      <c r="O368">
        <v>5</v>
      </c>
      <c r="P368">
        <v>1</v>
      </c>
      <c r="Q368">
        <v>5</v>
      </c>
      <c r="R368" t="s">
        <v>48</v>
      </c>
      <c r="S368" t="s">
        <v>49</v>
      </c>
      <c r="T368" s="3">
        <v>0.84</v>
      </c>
      <c r="U368" s="3">
        <v>0.23</v>
      </c>
      <c r="V368" s="3">
        <v>4.42</v>
      </c>
      <c r="W368">
        <v>2.11</v>
      </c>
      <c r="X368" t="s">
        <v>50</v>
      </c>
      <c r="Y368" s="3">
        <v>17.82</v>
      </c>
      <c r="Z368" t="s">
        <v>73</v>
      </c>
      <c r="AA368" t="s">
        <v>2689</v>
      </c>
      <c r="AB368" t="s">
        <v>53</v>
      </c>
      <c r="AC368" s="3">
        <v>1.29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f t="shared" si="10"/>
        <v>24.6</v>
      </c>
      <c r="AK368" s="3">
        <f t="shared" si="11"/>
        <v>6.7800000000000011</v>
      </c>
    </row>
    <row r="369" spans="1:37">
      <c r="A369">
        <v>10264170</v>
      </c>
      <c r="B369" t="s">
        <v>37</v>
      </c>
      <c r="C369" t="s">
        <v>2690</v>
      </c>
      <c r="E369" t="s">
        <v>2691</v>
      </c>
      <c r="F369" t="s">
        <v>2692</v>
      </c>
      <c r="G369" t="s">
        <v>2693</v>
      </c>
      <c r="H369" t="s">
        <v>42</v>
      </c>
      <c r="I369" t="s">
        <v>2694</v>
      </c>
      <c r="J369" t="s">
        <v>2695</v>
      </c>
      <c r="K369" t="s">
        <v>2696</v>
      </c>
      <c r="L369" t="s">
        <v>82</v>
      </c>
      <c r="M369" t="s">
        <v>46</v>
      </c>
      <c r="N369" t="s">
        <v>47</v>
      </c>
      <c r="O369">
        <v>1</v>
      </c>
      <c r="P369">
        <v>1</v>
      </c>
      <c r="Q369">
        <v>1</v>
      </c>
      <c r="R369" t="s">
        <v>48</v>
      </c>
      <c r="S369" t="s">
        <v>49</v>
      </c>
      <c r="T369" s="3">
        <v>0.84</v>
      </c>
      <c r="U369" s="3">
        <v>0.23</v>
      </c>
      <c r="V369" s="3">
        <v>0.94</v>
      </c>
      <c r="W369">
        <v>0.49</v>
      </c>
      <c r="X369" t="s">
        <v>50</v>
      </c>
      <c r="Y369" s="3">
        <v>9.19</v>
      </c>
      <c r="Z369" t="s">
        <v>109</v>
      </c>
      <c r="AA369" t="s">
        <v>1349</v>
      </c>
      <c r="AB369" t="s">
        <v>53</v>
      </c>
      <c r="AC369" s="3">
        <v>1.06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f t="shared" si="10"/>
        <v>12.26</v>
      </c>
      <c r="AK369" s="3">
        <f t="shared" si="11"/>
        <v>3.0700000000000003</v>
      </c>
    </row>
    <row r="370" spans="1:37">
      <c r="A370">
        <v>10285329</v>
      </c>
      <c r="B370" t="s">
        <v>37</v>
      </c>
      <c r="C370" t="s">
        <v>2697</v>
      </c>
      <c r="D370" t="s">
        <v>2698</v>
      </c>
      <c r="E370" t="s">
        <v>2699</v>
      </c>
      <c r="F370" t="s">
        <v>1222</v>
      </c>
      <c r="G370" t="s">
        <v>2700</v>
      </c>
      <c r="H370" t="s">
        <v>42</v>
      </c>
      <c r="I370" t="s">
        <v>2701</v>
      </c>
      <c r="J370" t="s">
        <v>2702</v>
      </c>
      <c r="K370" t="s">
        <v>2703</v>
      </c>
      <c r="L370" t="s">
        <v>142</v>
      </c>
      <c r="M370" t="s">
        <v>46</v>
      </c>
      <c r="N370" t="s">
        <v>47</v>
      </c>
      <c r="O370">
        <v>2</v>
      </c>
      <c r="P370">
        <v>1</v>
      </c>
      <c r="Q370">
        <v>2</v>
      </c>
      <c r="R370" t="s">
        <v>48</v>
      </c>
      <c r="S370" t="s">
        <v>49</v>
      </c>
      <c r="T370" s="3">
        <v>0.84</v>
      </c>
      <c r="U370" s="3">
        <v>0.23</v>
      </c>
      <c r="V370" s="3">
        <v>1.81</v>
      </c>
      <c r="W370">
        <v>0.69</v>
      </c>
      <c r="X370" t="s">
        <v>50</v>
      </c>
      <c r="Y370" s="3">
        <v>16.43</v>
      </c>
      <c r="Z370" t="s">
        <v>109</v>
      </c>
      <c r="AA370" t="s">
        <v>2704</v>
      </c>
      <c r="AB370" t="s">
        <v>53</v>
      </c>
      <c r="AC370" s="3">
        <v>1.06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f t="shared" si="10"/>
        <v>20.369999999999997</v>
      </c>
      <c r="AK370" s="3">
        <f t="shared" si="11"/>
        <v>3.9399999999999977</v>
      </c>
    </row>
    <row r="371" spans="1:37">
      <c r="A371">
        <v>10285052</v>
      </c>
      <c r="B371" t="s">
        <v>37</v>
      </c>
      <c r="C371" t="s">
        <v>2705</v>
      </c>
      <c r="E371" t="s">
        <v>2706</v>
      </c>
      <c r="F371" t="s">
        <v>2707</v>
      </c>
      <c r="G371" t="s">
        <v>2708</v>
      </c>
      <c r="H371" t="s">
        <v>42</v>
      </c>
      <c r="I371" t="s">
        <v>2709</v>
      </c>
      <c r="J371" t="s">
        <v>2710</v>
      </c>
      <c r="K371" t="s">
        <v>2711</v>
      </c>
      <c r="L371" t="s">
        <v>82</v>
      </c>
      <c r="M371" t="s">
        <v>46</v>
      </c>
      <c r="N371" t="s">
        <v>47</v>
      </c>
      <c r="O371">
        <v>1</v>
      </c>
      <c r="P371">
        <v>1</v>
      </c>
      <c r="Q371">
        <v>1</v>
      </c>
      <c r="R371" t="s">
        <v>48</v>
      </c>
      <c r="S371" t="s">
        <v>49</v>
      </c>
      <c r="T371" s="3">
        <v>0.84</v>
      </c>
      <c r="U371" s="3">
        <v>0.23</v>
      </c>
      <c r="V371" s="3">
        <v>0.94</v>
      </c>
      <c r="W371">
        <v>0.59</v>
      </c>
      <c r="X371" t="s">
        <v>50</v>
      </c>
      <c r="Y371" s="3">
        <v>10.58</v>
      </c>
      <c r="Z371" t="s">
        <v>109</v>
      </c>
      <c r="AA371" t="s">
        <v>1652</v>
      </c>
      <c r="AB371" t="s">
        <v>53</v>
      </c>
      <c r="AC371" s="3">
        <v>1.06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f t="shared" si="10"/>
        <v>13.65</v>
      </c>
      <c r="AK371" s="3">
        <f t="shared" si="11"/>
        <v>3.0700000000000003</v>
      </c>
    </row>
    <row r="372" spans="1:37">
      <c r="A372">
        <v>10286716</v>
      </c>
      <c r="B372" t="s">
        <v>37</v>
      </c>
      <c r="C372" t="s">
        <v>2712</v>
      </c>
      <c r="E372" t="s">
        <v>2713</v>
      </c>
      <c r="F372" t="s">
        <v>2714</v>
      </c>
      <c r="G372" t="s">
        <v>2715</v>
      </c>
      <c r="H372" t="s">
        <v>42</v>
      </c>
      <c r="I372" t="s">
        <v>2716</v>
      </c>
      <c r="J372" t="s">
        <v>2717</v>
      </c>
      <c r="K372">
        <v>38835</v>
      </c>
      <c r="L372" t="s">
        <v>71</v>
      </c>
      <c r="M372" t="s">
        <v>46</v>
      </c>
      <c r="N372" t="s">
        <v>47</v>
      </c>
      <c r="O372">
        <v>1</v>
      </c>
      <c r="P372">
        <v>1</v>
      </c>
      <c r="Q372">
        <v>1</v>
      </c>
      <c r="R372" t="s">
        <v>48</v>
      </c>
      <c r="S372" t="s">
        <v>49</v>
      </c>
      <c r="T372" s="3">
        <v>0.84</v>
      </c>
      <c r="U372" s="3">
        <v>0.23</v>
      </c>
      <c r="V372" s="3">
        <v>0.94</v>
      </c>
      <c r="W372">
        <v>0.59</v>
      </c>
      <c r="X372" t="s">
        <v>108</v>
      </c>
      <c r="Y372" s="3">
        <v>6.53</v>
      </c>
      <c r="Z372" t="s">
        <v>109</v>
      </c>
      <c r="AA372" t="s">
        <v>2718</v>
      </c>
      <c r="AB372" t="s">
        <v>53</v>
      </c>
      <c r="AC372" s="3">
        <v>1.06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f t="shared" si="10"/>
        <v>9.6</v>
      </c>
      <c r="AK372" s="3">
        <f t="shared" si="11"/>
        <v>3.0699999999999994</v>
      </c>
    </row>
    <row r="373" spans="1:37">
      <c r="A373">
        <v>10285335</v>
      </c>
      <c r="B373" t="s">
        <v>37</v>
      </c>
      <c r="C373" t="s">
        <v>2719</v>
      </c>
      <c r="E373" t="s">
        <v>1244</v>
      </c>
      <c r="F373" t="s">
        <v>2720</v>
      </c>
      <c r="G373" t="s">
        <v>2721</v>
      </c>
      <c r="H373" t="s">
        <v>42</v>
      </c>
      <c r="I373" t="s">
        <v>2722</v>
      </c>
      <c r="J373" t="s">
        <v>2723</v>
      </c>
      <c r="K373" t="s">
        <v>2724</v>
      </c>
      <c r="L373" t="s">
        <v>142</v>
      </c>
      <c r="M373" t="s">
        <v>46</v>
      </c>
      <c r="N373" t="s">
        <v>47</v>
      </c>
      <c r="O373">
        <v>1</v>
      </c>
      <c r="P373">
        <v>1</v>
      </c>
      <c r="Q373">
        <v>1</v>
      </c>
      <c r="R373" t="s">
        <v>48</v>
      </c>
      <c r="S373" t="s">
        <v>49</v>
      </c>
      <c r="T373" s="3">
        <v>0.84</v>
      </c>
      <c r="U373" s="3">
        <v>0.23</v>
      </c>
      <c r="V373" s="3">
        <v>0.94</v>
      </c>
      <c r="W373">
        <v>2.5</v>
      </c>
      <c r="X373" t="s">
        <v>50</v>
      </c>
      <c r="Y373" s="3">
        <v>17.82</v>
      </c>
      <c r="Z373" t="s">
        <v>83</v>
      </c>
      <c r="AA373" t="s">
        <v>821</v>
      </c>
      <c r="AB373" t="s">
        <v>53</v>
      </c>
      <c r="AC373" s="3">
        <v>1.27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f t="shared" si="10"/>
        <v>21.1</v>
      </c>
      <c r="AK373" s="3">
        <f t="shared" si="11"/>
        <v>3.2800000000000011</v>
      </c>
    </row>
    <row r="374" spans="1:37">
      <c r="A374">
        <v>10285067</v>
      </c>
      <c r="B374" t="s">
        <v>37</v>
      </c>
      <c r="C374" t="s">
        <v>2725</v>
      </c>
      <c r="E374" t="s">
        <v>1330</v>
      </c>
      <c r="F374" t="s">
        <v>2726</v>
      </c>
      <c r="G374" t="s">
        <v>2727</v>
      </c>
      <c r="H374" t="s">
        <v>42</v>
      </c>
      <c r="I374" t="s">
        <v>2728</v>
      </c>
      <c r="J374" t="s">
        <v>2729</v>
      </c>
      <c r="K374">
        <v>40667</v>
      </c>
      <c r="L374" t="s">
        <v>71</v>
      </c>
      <c r="M374" t="s">
        <v>46</v>
      </c>
      <c r="N374" t="s">
        <v>47</v>
      </c>
      <c r="O374">
        <v>4</v>
      </c>
      <c r="P374">
        <v>1</v>
      </c>
      <c r="Q374">
        <v>4</v>
      </c>
      <c r="R374" t="s">
        <v>48</v>
      </c>
      <c r="S374" t="s">
        <v>49</v>
      </c>
      <c r="T374" s="3">
        <v>0.84</v>
      </c>
      <c r="U374" s="3">
        <v>0.23</v>
      </c>
      <c r="V374" s="3">
        <v>3.55</v>
      </c>
      <c r="W374">
        <v>1.66</v>
      </c>
      <c r="X374" t="s">
        <v>72</v>
      </c>
      <c r="Y374" s="3">
        <v>6.83</v>
      </c>
      <c r="Z374" t="s">
        <v>73</v>
      </c>
      <c r="AA374" t="s">
        <v>2730</v>
      </c>
      <c r="AB374" t="s">
        <v>53</v>
      </c>
      <c r="AC374" s="3">
        <v>1.29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f t="shared" si="10"/>
        <v>12.740000000000002</v>
      </c>
      <c r="AK374" s="3">
        <f t="shared" si="11"/>
        <v>5.9100000000000019</v>
      </c>
    </row>
    <row r="375" spans="1:37">
      <c r="A375">
        <v>10287389</v>
      </c>
      <c r="B375" t="s">
        <v>37</v>
      </c>
      <c r="C375" t="s">
        <v>2731</v>
      </c>
      <c r="D375" t="s">
        <v>2732</v>
      </c>
      <c r="E375" t="s">
        <v>437</v>
      </c>
      <c r="F375" t="s">
        <v>2733</v>
      </c>
      <c r="G375" t="s">
        <v>2734</v>
      </c>
      <c r="H375" t="s">
        <v>42</v>
      </c>
      <c r="I375" t="s">
        <v>2735</v>
      </c>
      <c r="J375" t="s">
        <v>2736</v>
      </c>
      <c r="K375" t="s">
        <v>2737</v>
      </c>
      <c r="L375" t="s">
        <v>91</v>
      </c>
      <c r="M375" t="s">
        <v>46</v>
      </c>
      <c r="N375" t="s">
        <v>47</v>
      </c>
      <c r="O375">
        <v>1</v>
      </c>
      <c r="P375">
        <v>1</v>
      </c>
      <c r="Q375">
        <v>1</v>
      </c>
      <c r="R375" t="s">
        <v>48</v>
      </c>
      <c r="S375" t="s">
        <v>49</v>
      </c>
      <c r="T375" s="3">
        <v>0.84</v>
      </c>
      <c r="U375" s="3">
        <v>0.23</v>
      </c>
      <c r="V375" s="3">
        <v>0.94</v>
      </c>
      <c r="W375">
        <v>1.5</v>
      </c>
      <c r="X375" t="s">
        <v>50</v>
      </c>
      <c r="Y375" s="3">
        <v>17.82</v>
      </c>
      <c r="Z375" t="s">
        <v>73</v>
      </c>
      <c r="AA375" t="s">
        <v>1297</v>
      </c>
      <c r="AB375" t="s">
        <v>53</v>
      </c>
      <c r="AC375" s="3">
        <v>1.29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f t="shared" si="10"/>
        <v>21.12</v>
      </c>
      <c r="AK375" s="3">
        <f t="shared" si="11"/>
        <v>3.3000000000000007</v>
      </c>
    </row>
    <row r="376" spans="1:37">
      <c r="A376">
        <v>10285632</v>
      </c>
      <c r="B376" t="s">
        <v>37</v>
      </c>
      <c r="C376" t="s">
        <v>2738</v>
      </c>
      <c r="E376" t="s">
        <v>2739</v>
      </c>
      <c r="F376" t="s">
        <v>2740</v>
      </c>
      <c r="G376" t="s">
        <v>2741</v>
      </c>
      <c r="H376" t="s">
        <v>42</v>
      </c>
      <c r="I376" t="s">
        <v>2742</v>
      </c>
      <c r="J376" t="s">
        <v>2743</v>
      </c>
      <c r="K376">
        <v>58256</v>
      </c>
      <c r="L376" t="s">
        <v>71</v>
      </c>
      <c r="M376" t="s">
        <v>46</v>
      </c>
      <c r="N376" t="s">
        <v>47</v>
      </c>
      <c r="O376">
        <v>1</v>
      </c>
      <c r="P376">
        <v>1</v>
      </c>
      <c r="Q376">
        <v>1</v>
      </c>
      <c r="R376" t="s">
        <v>48</v>
      </c>
      <c r="S376" t="s">
        <v>49</v>
      </c>
      <c r="T376" s="3">
        <v>0.84</v>
      </c>
      <c r="U376" s="3">
        <v>0.23</v>
      </c>
      <c r="V376" s="3">
        <v>0.94</v>
      </c>
      <c r="W376">
        <v>1.1200000000000001</v>
      </c>
      <c r="X376" t="s">
        <v>72</v>
      </c>
      <c r="Y376" s="3">
        <v>8.2100000000000009</v>
      </c>
      <c r="Z376" t="s">
        <v>73</v>
      </c>
      <c r="AA376" t="s">
        <v>1754</v>
      </c>
      <c r="AB376" t="s">
        <v>53</v>
      </c>
      <c r="AC376" s="3">
        <v>1.29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f t="shared" si="10"/>
        <v>11.51</v>
      </c>
      <c r="AK376" s="3">
        <f t="shared" si="11"/>
        <v>3.2999999999999989</v>
      </c>
    </row>
    <row r="377" spans="1:37">
      <c r="A377">
        <v>10285056</v>
      </c>
      <c r="B377" t="s">
        <v>37</v>
      </c>
      <c r="C377" t="s">
        <v>2744</v>
      </c>
      <c r="E377" t="s">
        <v>2745</v>
      </c>
      <c r="F377" t="s">
        <v>2746</v>
      </c>
      <c r="G377" t="s">
        <v>2747</v>
      </c>
      <c r="H377" t="s">
        <v>42</v>
      </c>
      <c r="I377" t="s">
        <v>2748</v>
      </c>
      <c r="J377" t="s">
        <v>2749</v>
      </c>
      <c r="K377">
        <v>76185</v>
      </c>
      <c r="L377" t="s">
        <v>71</v>
      </c>
      <c r="M377" t="s">
        <v>46</v>
      </c>
      <c r="N377" t="s">
        <v>47</v>
      </c>
      <c r="O377">
        <v>1</v>
      </c>
      <c r="P377">
        <v>1</v>
      </c>
      <c r="Q377">
        <v>1</v>
      </c>
      <c r="R377" t="s">
        <v>48</v>
      </c>
      <c r="S377" t="s">
        <v>49</v>
      </c>
      <c r="T377" s="3">
        <v>0.84</v>
      </c>
      <c r="U377" s="3">
        <v>0.23</v>
      </c>
      <c r="V377" s="3">
        <v>0.94</v>
      </c>
      <c r="W377">
        <v>0.49</v>
      </c>
      <c r="X377" t="s">
        <v>108</v>
      </c>
      <c r="Y377" s="3">
        <v>5.14</v>
      </c>
      <c r="Z377" t="s">
        <v>109</v>
      </c>
      <c r="AA377" t="s">
        <v>1802</v>
      </c>
      <c r="AB377" t="s">
        <v>53</v>
      </c>
      <c r="AC377" s="3">
        <v>1.06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f t="shared" si="10"/>
        <v>8.2099999999999991</v>
      </c>
      <c r="AK377" s="3">
        <f t="shared" si="11"/>
        <v>3.0699999999999994</v>
      </c>
    </row>
    <row r="378" spans="1:37">
      <c r="A378">
        <v>10265976</v>
      </c>
      <c r="B378" t="s">
        <v>37</v>
      </c>
      <c r="C378" t="s">
        <v>2750</v>
      </c>
      <c r="E378" t="s">
        <v>2751</v>
      </c>
      <c r="F378" t="s">
        <v>2752</v>
      </c>
      <c r="G378" t="s">
        <v>2753</v>
      </c>
      <c r="H378" t="s">
        <v>42</v>
      </c>
      <c r="I378" t="s">
        <v>2754</v>
      </c>
      <c r="J378" t="s">
        <v>2755</v>
      </c>
      <c r="K378">
        <v>14167</v>
      </c>
      <c r="L378" t="s">
        <v>71</v>
      </c>
      <c r="M378" t="s">
        <v>46</v>
      </c>
      <c r="N378" t="s">
        <v>47</v>
      </c>
      <c r="O378">
        <v>6</v>
      </c>
      <c r="P378">
        <v>1</v>
      </c>
      <c r="Q378">
        <v>6</v>
      </c>
      <c r="R378" t="s">
        <v>48</v>
      </c>
      <c r="S378" t="s">
        <v>49</v>
      </c>
      <c r="T378" s="3">
        <v>0.84</v>
      </c>
      <c r="U378" s="3">
        <v>0.23</v>
      </c>
      <c r="V378" s="3">
        <v>5.29</v>
      </c>
      <c r="W378">
        <v>2.44</v>
      </c>
      <c r="X378" t="s">
        <v>72</v>
      </c>
      <c r="Y378" s="3">
        <v>5.44</v>
      </c>
      <c r="Z378" t="s">
        <v>83</v>
      </c>
      <c r="AA378" t="s">
        <v>2756</v>
      </c>
      <c r="AB378" t="s">
        <v>53</v>
      </c>
      <c r="AC378" s="3">
        <v>1.27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f t="shared" si="10"/>
        <v>13.07</v>
      </c>
      <c r="AK378" s="3">
        <f t="shared" si="11"/>
        <v>7.63</v>
      </c>
    </row>
    <row r="379" spans="1:37">
      <c r="A379">
        <v>10285633</v>
      </c>
      <c r="B379" t="s">
        <v>37</v>
      </c>
      <c r="C379" t="s">
        <v>2757</v>
      </c>
      <c r="E379" t="s">
        <v>1379</v>
      </c>
      <c r="F379" t="s">
        <v>1380</v>
      </c>
      <c r="G379" t="s">
        <v>2758</v>
      </c>
      <c r="H379" t="s">
        <v>42</v>
      </c>
      <c r="I379" t="s">
        <v>2759</v>
      </c>
      <c r="J379" t="s">
        <v>1383</v>
      </c>
      <c r="K379" t="s">
        <v>1384</v>
      </c>
      <c r="L379" t="s">
        <v>71</v>
      </c>
      <c r="M379" t="s">
        <v>46</v>
      </c>
      <c r="N379" t="s">
        <v>47</v>
      </c>
      <c r="O379">
        <v>1</v>
      </c>
      <c r="P379">
        <v>1</v>
      </c>
      <c r="Q379">
        <v>1</v>
      </c>
      <c r="R379" t="s">
        <v>48</v>
      </c>
      <c r="S379" t="s">
        <v>49</v>
      </c>
      <c r="T379" s="3">
        <v>0.84</v>
      </c>
      <c r="U379" s="3">
        <v>0.23</v>
      </c>
      <c r="V379" s="3">
        <v>0.94</v>
      </c>
      <c r="W379">
        <v>0.49</v>
      </c>
      <c r="X379" t="s">
        <v>108</v>
      </c>
      <c r="Y379" s="3">
        <v>6.53</v>
      </c>
      <c r="Z379" t="s">
        <v>109</v>
      </c>
      <c r="AA379" t="s">
        <v>714</v>
      </c>
      <c r="AB379" t="s">
        <v>53</v>
      </c>
      <c r="AC379" s="3">
        <v>1.06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f t="shared" si="10"/>
        <v>9.6</v>
      </c>
      <c r="AK379" s="3">
        <f t="shared" si="11"/>
        <v>3.0699999999999994</v>
      </c>
    </row>
    <row r="380" spans="1:37">
      <c r="A380">
        <v>10286251</v>
      </c>
      <c r="B380" t="s">
        <v>37</v>
      </c>
      <c r="C380" t="s">
        <v>2760</v>
      </c>
      <c r="E380" t="s">
        <v>336</v>
      </c>
      <c r="F380" t="s">
        <v>2761</v>
      </c>
      <c r="G380" t="s">
        <v>2762</v>
      </c>
      <c r="H380" t="s">
        <v>42</v>
      </c>
      <c r="I380" t="s">
        <v>2763</v>
      </c>
      <c r="J380" t="s">
        <v>2764</v>
      </c>
      <c r="K380" t="s">
        <v>2765</v>
      </c>
      <c r="L380" t="s">
        <v>142</v>
      </c>
      <c r="M380" t="s">
        <v>46</v>
      </c>
      <c r="N380" t="s">
        <v>47</v>
      </c>
      <c r="O380">
        <v>4</v>
      </c>
      <c r="P380">
        <v>1</v>
      </c>
      <c r="Q380">
        <v>4</v>
      </c>
      <c r="R380" t="s">
        <v>48</v>
      </c>
      <c r="S380" t="s">
        <v>49</v>
      </c>
      <c r="T380" s="3">
        <v>0.84</v>
      </c>
      <c r="U380" s="3">
        <v>0.23</v>
      </c>
      <c r="V380" s="3">
        <v>3.55</v>
      </c>
      <c r="W380">
        <v>2.06</v>
      </c>
      <c r="X380" t="s">
        <v>50</v>
      </c>
      <c r="Y380" s="3">
        <v>16.43</v>
      </c>
      <c r="Z380" t="s">
        <v>73</v>
      </c>
      <c r="AA380" t="s">
        <v>2766</v>
      </c>
      <c r="AB380" t="s">
        <v>53</v>
      </c>
      <c r="AC380" s="3">
        <v>1.29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f t="shared" si="10"/>
        <v>22.34</v>
      </c>
      <c r="AK380" s="3">
        <f t="shared" si="11"/>
        <v>5.91</v>
      </c>
    </row>
    <row r="381" spans="1:37">
      <c r="A381">
        <v>10285626</v>
      </c>
      <c r="B381" t="s">
        <v>37</v>
      </c>
      <c r="C381" t="s">
        <v>2767</v>
      </c>
      <c r="E381" t="s">
        <v>2768</v>
      </c>
      <c r="F381" t="s">
        <v>2769</v>
      </c>
      <c r="G381" t="s">
        <v>2770</v>
      </c>
      <c r="H381" t="s">
        <v>42</v>
      </c>
      <c r="I381" t="s">
        <v>2771</v>
      </c>
      <c r="J381" t="s">
        <v>2772</v>
      </c>
      <c r="K381">
        <v>74382</v>
      </c>
      <c r="L381" t="s">
        <v>71</v>
      </c>
      <c r="M381" t="s">
        <v>46</v>
      </c>
      <c r="N381" t="s">
        <v>47</v>
      </c>
      <c r="O381">
        <v>2</v>
      </c>
      <c r="P381">
        <v>1</v>
      </c>
      <c r="Q381">
        <v>2</v>
      </c>
      <c r="R381" t="s">
        <v>48</v>
      </c>
      <c r="S381" t="s">
        <v>49</v>
      </c>
      <c r="T381" s="3">
        <v>0.84</v>
      </c>
      <c r="U381" s="3">
        <v>0.23</v>
      </c>
      <c r="V381" s="3">
        <v>1.81</v>
      </c>
      <c r="W381">
        <v>1.99</v>
      </c>
      <c r="X381" t="s">
        <v>72</v>
      </c>
      <c r="Y381" s="3">
        <v>5.44</v>
      </c>
      <c r="Z381" t="s">
        <v>83</v>
      </c>
      <c r="AA381" t="s">
        <v>2773</v>
      </c>
      <c r="AB381" t="s">
        <v>53</v>
      </c>
      <c r="AC381" s="3">
        <v>1.27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f t="shared" si="10"/>
        <v>9.5900000000000016</v>
      </c>
      <c r="AK381" s="3">
        <f t="shared" si="11"/>
        <v>4.1500000000000012</v>
      </c>
    </row>
    <row r="382" spans="1:37">
      <c r="A382">
        <v>10263656</v>
      </c>
      <c r="B382" t="s">
        <v>37</v>
      </c>
      <c r="C382" t="s">
        <v>2774</v>
      </c>
      <c r="E382" t="s">
        <v>2775</v>
      </c>
      <c r="F382" t="s">
        <v>2776</v>
      </c>
      <c r="G382" t="s">
        <v>2777</v>
      </c>
      <c r="H382" t="s">
        <v>42</v>
      </c>
      <c r="I382" t="s">
        <v>2778</v>
      </c>
      <c r="J382" t="s">
        <v>2779</v>
      </c>
      <c r="K382" t="s">
        <v>2780</v>
      </c>
      <c r="L382" t="s">
        <v>62</v>
      </c>
      <c r="M382" t="s">
        <v>46</v>
      </c>
      <c r="N382" t="s">
        <v>47</v>
      </c>
      <c r="O382">
        <v>4</v>
      </c>
      <c r="P382">
        <v>1</v>
      </c>
      <c r="Q382">
        <v>4</v>
      </c>
      <c r="R382" t="s">
        <v>48</v>
      </c>
      <c r="S382" t="s">
        <v>49</v>
      </c>
      <c r="T382" s="3">
        <v>0.84</v>
      </c>
      <c r="U382" s="3">
        <v>0.23</v>
      </c>
      <c r="V382" s="3">
        <v>3.55</v>
      </c>
      <c r="W382">
        <v>2.2400000000000002</v>
      </c>
      <c r="X382" t="s">
        <v>100</v>
      </c>
      <c r="Y382" s="3">
        <v>48.72</v>
      </c>
      <c r="Z382" t="s">
        <v>73</v>
      </c>
      <c r="AA382" t="s">
        <v>2781</v>
      </c>
      <c r="AB382" t="s">
        <v>53</v>
      </c>
      <c r="AC382" s="3">
        <v>1.29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f t="shared" si="10"/>
        <v>54.629999999999995</v>
      </c>
      <c r="AK382" s="3">
        <f t="shared" si="11"/>
        <v>5.9099999999999966</v>
      </c>
    </row>
    <row r="383" spans="1:37">
      <c r="A383">
        <v>10285337</v>
      </c>
      <c r="B383" t="s">
        <v>37</v>
      </c>
      <c r="C383" t="s">
        <v>2782</v>
      </c>
      <c r="E383" t="s">
        <v>1498</v>
      </c>
      <c r="F383" t="s">
        <v>2783</v>
      </c>
      <c r="G383" t="s">
        <v>2784</v>
      </c>
      <c r="H383" t="s">
        <v>42</v>
      </c>
      <c r="I383" t="s">
        <v>2785</v>
      </c>
      <c r="J383" t="s">
        <v>2786</v>
      </c>
      <c r="K383" t="s">
        <v>2787</v>
      </c>
      <c r="L383" t="s">
        <v>82</v>
      </c>
      <c r="M383" t="s">
        <v>46</v>
      </c>
      <c r="N383" t="s">
        <v>47</v>
      </c>
      <c r="O383">
        <v>4</v>
      </c>
      <c r="P383">
        <v>1</v>
      </c>
      <c r="Q383">
        <v>4</v>
      </c>
      <c r="R383" t="s">
        <v>48</v>
      </c>
      <c r="S383" t="s">
        <v>49</v>
      </c>
      <c r="T383" s="3">
        <v>0.84</v>
      </c>
      <c r="U383" s="3">
        <v>0.23</v>
      </c>
      <c r="V383" s="3">
        <v>3.55</v>
      </c>
      <c r="W383">
        <v>2.68</v>
      </c>
      <c r="X383" t="s">
        <v>50</v>
      </c>
      <c r="Y383" s="3">
        <v>9.19</v>
      </c>
      <c r="Z383" t="s">
        <v>83</v>
      </c>
      <c r="AA383" t="s">
        <v>2788</v>
      </c>
      <c r="AB383" t="s">
        <v>53</v>
      </c>
      <c r="AC383" s="3">
        <v>1.27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f t="shared" si="10"/>
        <v>15.079999999999998</v>
      </c>
      <c r="AK383" s="3">
        <f t="shared" si="11"/>
        <v>5.8899999999999988</v>
      </c>
    </row>
    <row r="384" spans="1:37">
      <c r="A384">
        <v>10286250</v>
      </c>
      <c r="B384" t="s">
        <v>37</v>
      </c>
      <c r="C384" t="s">
        <v>2789</v>
      </c>
      <c r="E384" t="s">
        <v>2790</v>
      </c>
      <c r="F384" t="s">
        <v>2791</v>
      </c>
      <c r="G384" t="s">
        <v>2792</v>
      </c>
      <c r="H384" t="s">
        <v>42</v>
      </c>
      <c r="I384" t="s">
        <v>2793</v>
      </c>
      <c r="J384" t="s">
        <v>2794</v>
      </c>
      <c r="K384">
        <v>72124</v>
      </c>
      <c r="L384" t="s">
        <v>71</v>
      </c>
      <c r="M384" t="s">
        <v>46</v>
      </c>
      <c r="N384" t="s">
        <v>47</v>
      </c>
      <c r="O384">
        <v>3</v>
      </c>
      <c r="P384">
        <v>1</v>
      </c>
      <c r="Q384">
        <v>3</v>
      </c>
      <c r="R384" t="s">
        <v>48</v>
      </c>
      <c r="S384" t="s">
        <v>49</v>
      </c>
      <c r="T384" s="3">
        <v>0.84</v>
      </c>
      <c r="U384" s="3">
        <v>0.23</v>
      </c>
      <c r="V384" s="3">
        <v>2.68</v>
      </c>
      <c r="W384">
        <v>1.9</v>
      </c>
      <c r="X384" t="s">
        <v>72</v>
      </c>
      <c r="Y384" s="3">
        <v>5.44</v>
      </c>
      <c r="Z384" t="s">
        <v>73</v>
      </c>
      <c r="AA384" t="s">
        <v>2795</v>
      </c>
      <c r="AB384" t="s">
        <v>53</v>
      </c>
      <c r="AC384" s="3">
        <v>1.29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f t="shared" si="10"/>
        <v>10.48</v>
      </c>
      <c r="AK384" s="3">
        <f t="shared" si="11"/>
        <v>5.04</v>
      </c>
    </row>
    <row r="385" spans="1:37">
      <c r="A385">
        <v>10285970</v>
      </c>
      <c r="B385" t="s">
        <v>37</v>
      </c>
      <c r="C385" t="s">
        <v>2796</v>
      </c>
      <c r="E385" t="s">
        <v>2797</v>
      </c>
      <c r="F385" t="s">
        <v>2798</v>
      </c>
      <c r="G385" t="s">
        <v>2799</v>
      </c>
      <c r="H385" t="s">
        <v>42</v>
      </c>
      <c r="I385" t="s">
        <v>2800</v>
      </c>
      <c r="J385" t="s">
        <v>2801</v>
      </c>
      <c r="K385">
        <v>37154</v>
      </c>
      <c r="L385" t="s">
        <v>71</v>
      </c>
      <c r="M385" t="s">
        <v>46</v>
      </c>
      <c r="N385" t="s">
        <v>47</v>
      </c>
      <c r="O385">
        <v>2</v>
      </c>
      <c r="P385">
        <v>1</v>
      </c>
      <c r="Q385">
        <v>2</v>
      </c>
      <c r="R385" t="s">
        <v>48</v>
      </c>
      <c r="S385" t="s">
        <v>49</v>
      </c>
      <c r="T385" s="3">
        <v>0.84</v>
      </c>
      <c r="U385" s="3">
        <v>0.23</v>
      </c>
      <c r="V385" s="3">
        <v>1.81</v>
      </c>
      <c r="W385">
        <v>0.98</v>
      </c>
      <c r="X385" t="s">
        <v>108</v>
      </c>
      <c r="Y385" s="3">
        <v>5.14</v>
      </c>
      <c r="Z385" t="s">
        <v>109</v>
      </c>
      <c r="AA385" t="s">
        <v>2802</v>
      </c>
      <c r="AB385" t="s">
        <v>53</v>
      </c>
      <c r="AC385" s="3">
        <v>1.06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f t="shared" si="10"/>
        <v>9.08</v>
      </c>
      <c r="AK385" s="3">
        <f t="shared" si="11"/>
        <v>3.9400000000000004</v>
      </c>
    </row>
    <row r="386" spans="1:37">
      <c r="A386">
        <v>10285058</v>
      </c>
      <c r="B386" t="s">
        <v>37</v>
      </c>
      <c r="C386" t="s">
        <v>2803</v>
      </c>
      <c r="E386" t="s">
        <v>2804</v>
      </c>
      <c r="F386" t="s">
        <v>2805</v>
      </c>
      <c r="G386" t="s">
        <v>2806</v>
      </c>
      <c r="H386" t="s">
        <v>42</v>
      </c>
      <c r="I386" t="s">
        <v>2807</v>
      </c>
      <c r="J386" t="s">
        <v>2808</v>
      </c>
      <c r="K386">
        <v>60599</v>
      </c>
      <c r="L386" t="s">
        <v>71</v>
      </c>
      <c r="M386" t="s">
        <v>46</v>
      </c>
      <c r="N386" t="s">
        <v>47</v>
      </c>
      <c r="O386">
        <v>3</v>
      </c>
      <c r="P386">
        <v>1</v>
      </c>
      <c r="Q386">
        <v>3</v>
      </c>
      <c r="R386" t="s">
        <v>48</v>
      </c>
      <c r="S386" t="s">
        <v>49</v>
      </c>
      <c r="T386" s="3">
        <v>0.84</v>
      </c>
      <c r="U386" s="3">
        <v>0.23</v>
      </c>
      <c r="V386" s="3">
        <v>2.68</v>
      </c>
      <c r="W386">
        <v>1.22</v>
      </c>
      <c r="X386" t="s">
        <v>72</v>
      </c>
      <c r="Y386" s="3">
        <v>6.83</v>
      </c>
      <c r="Z386" t="s">
        <v>73</v>
      </c>
      <c r="AA386" t="s">
        <v>2809</v>
      </c>
      <c r="AB386" t="s">
        <v>53</v>
      </c>
      <c r="AC386" s="3">
        <v>1.29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f t="shared" ref="AJ386:AJ449" si="12">AI386+AH386+AG386+AF386+AE386+AD386+AC386+Y386+V386+U386+T386</f>
        <v>11.870000000000001</v>
      </c>
      <c r="AK386" s="3">
        <f t="shared" ref="AK386:AK449" si="13">AJ386-Y386</f>
        <v>5.0400000000000009</v>
      </c>
    </row>
    <row r="387" spans="1:37">
      <c r="A387">
        <v>10285634</v>
      </c>
      <c r="B387" t="s">
        <v>37</v>
      </c>
      <c r="C387" t="s">
        <v>2810</v>
      </c>
      <c r="E387" t="s">
        <v>2811</v>
      </c>
      <c r="F387" t="s">
        <v>2812</v>
      </c>
      <c r="G387" t="s">
        <v>2813</v>
      </c>
      <c r="H387" t="s">
        <v>42</v>
      </c>
      <c r="I387" t="s">
        <v>2814</v>
      </c>
      <c r="J387" t="s">
        <v>2815</v>
      </c>
      <c r="K387" t="s">
        <v>2816</v>
      </c>
      <c r="L387" t="s">
        <v>142</v>
      </c>
      <c r="M387" t="s">
        <v>46</v>
      </c>
      <c r="N387" t="s">
        <v>47</v>
      </c>
      <c r="O387">
        <v>3</v>
      </c>
      <c r="P387">
        <v>1</v>
      </c>
      <c r="Q387">
        <v>3</v>
      </c>
      <c r="R387" t="s">
        <v>48</v>
      </c>
      <c r="S387" t="s">
        <v>49</v>
      </c>
      <c r="T387" s="3">
        <v>0.84</v>
      </c>
      <c r="U387" s="3">
        <v>0.23</v>
      </c>
      <c r="V387" s="3">
        <v>2.68</v>
      </c>
      <c r="W387">
        <v>1.27</v>
      </c>
      <c r="X387" t="s">
        <v>50</v>
      </c>
      <c r="Y387" s="3">
        <v>16.43</v>
      </c>
      <c r="Z387" t="s">
        <v>73</v>
      </c>
      <c r="AA387" t="s">
        <v>2817</v>
      </c>
      <c r="AB387" t="s">
        <v>53</v>
      </c>
      <c r="AC387" s="3">
        <v>1.29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f t="shared" si="12"/>
        <v>21.47</v>
      </c>
      <c r="AK387" s="3">
        <f t="shared" si="13"/>
        <v>5.0399999999999991</v>
      </c>
    </row>
    <row r="388" spans="1:37">
      <c r="A388">
        <v>10285332</v>
      </c>
      <c r="B388" t="s">
        <v>37</v>
      </c>
      <c r="C388" t="s">
        <v>2818</v>
      </c>
      <c r="E388" t="s">
        <v>1292</v>
      </c>
      <c r="F388" t="s">
        <v>2819</v>
      </c>
      <c r="G388" t="s">
        <v>2820</v>
      </c>
      <c r="H388" t="s">
        <v>42</v>
      </c>
      <c r="I388" t="s">
        <v>2821</v>
      </c>
      <c r="J388" t="s">
        <v>2822</v>
      </c>
      <c r="K388" t="s">
        <v>2823</v>
      </c>
      <c r="L388" t="s">
        <v>91</v>
      </c>
      <c r="M388" t="s">
        <v>46</v>
      </c>
      <c r="N388" t="s">
        <v>47</v>
      </c>
      <c r="O388">
        <v>3</v>
      </c>
      <c r="P388">
        <v>1</v>
      </c>
      <c r="Q388">
        <v>3</v>
      </c>
      <c r="R388" t="s">
        <v>48</v>
      </c>
      <c r="S388" t="s">
        <v>49</v>
      </c>
      <c r="T388" s="3">
        <v>0.84</v>
      </c>
      <c r="U388" s="3">
        <v>0.23</v>
      </c>
      <c r="V388" s="3">
        <v>2.68</v>
      </c>
      <c r="W388">
        <v>1.27</v>
      </c>
      <c r="X388" t="s">
        <v>50</v>
      </c>
      <c r="Y388" s="3">
        <v>16.43</v>
      </c>
      <c r="Z388" t="s">
        <v>73</v>
      </c>
      <c r="AA388" t="s">
        <v>2824</v>
      </c>
      <c r="AB388" t="s">
        <v>53</v>
      </c>
      <c r="AC388" s="3">
        <v>1.29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f t="shared" si="12"/>
        <v>21.47</v>
      </c>
      <c r="AK388" s="3">
        <f t="shared" si="13"/>
        <v>5.0399999999999991</v>
      </c>
    </row>
    <row r="389" spans="1:37">
      <c r="A389">
        <v>10283152</v>
      </c>
      <c r="B389" t="s">
        <v>37</v>
      </c>
      <c r="C389" t="s">
        <v>2825</v>
      </c>
      <c r="E389" t="s">
        <v>2826</v>
      </c>
      <c r="F389" t="s">
        <v>2827</v>
      </c>
      <c r="G389" t="s">
        <v>2828</v>
      </c>
      <c r="H389" t="s">
        <v>42</v>
      </c>
      <c r="I389" t="s">
        <v>2829</v>
      </c>
      <c r="J389" t="s">
        <v>2830</v>
      </c>
      <c r="K389">
        <v>14480</v>
      </c>
      <c r="L389" t="s">
        <v>71</v>
      </c>
      <c r="M389" t="s">
        <v>46</v>
      </c>
      <c r="N389" t="s">
        <v>47</v>
      </c>
      <c r="O389">
        <v>2</v>
      </c>
      <c r="P389">
        <v>1</v>
      </c>
      <c r="Q389">
        <v>2</v>
      </c>
      <c r="R389" t="s">
        <v>48</v>
      </c>
      <c r="S389" t="s">
        <v>49</v>
      </c>
      <c r="T389" s="3">
        <v>0.84</v>
      </c>
      <c r="U389" s="3">
        <v>0.23</v>
      </c>
      <c r="V389" s="3">
        <v>1.81</v>
      </c>
      <c r="W389">
        <v>0.88</v>
      </c>
      <c r="X389" t="s">
        <v>108</v>
      </c>
      <c r="Y389" s="3">
        <v>9.3000000000000007</v>
      </c>
      <c r="Z389" t="s">
        <v>109</v>
      </c>
      <c r="AA389" t="s">
        <v>2831</v>
      </c>
      <c r="AB389" t="s">
        <v>53</v>
      </c>
      <c r="AC389" s="3">
        <v>1.06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f t="shared" si="12"/>
        <v>13.240000000000002</v>
      </c>
      <c r="AK389" s="3">
        <f t="shared" si="13"/>
        <v>3.9400000000000013</v>
      </c>
    </row>
    <row r="390" spans="1:37">
      <c r="A390">
        <v>10285062</v>
      </c>
      <c r="B390" t="s">
        <v>37</v>
      </c>
      <c r="C390" t="s">
        <v>2832</v>
      </c>
      <c r="E390" t="s">
        <v>731</v>
      </c>
      <c r="F390" t="s">
        <v>2833</v>
      </c>
      <c r="G390" t="s">
        <v>2834</v>
      </c>
      <c r="H390" t="s">
        <v>42</v>
      </c>
      <c r="I390" t="s">
        <v>2835</v>
      </c>
      <c r="J390" t="s">
        <v>2836</v>
      </c>
      <c r="K390">
        <v>65326</v>
      </c>
      <c r="L390" t="s">
        <v>71</v>
      </c>
      <c r="M390" t="s">
        <v>46</v>
      </c>
      <c r="N390" t="s">
        <v>47</v>
      </c>
      <c r="O390">
        <v>2</v>
      </c>
      <c r="P390">
        <v>1</v>
      </c>
      <c r="Q390">
        <v>2</v>
      </c>
      <c r="R390" t="s">
        <v>48</v>
      </c>
      <c r="S390" t="s">
        <v>49</v>
      </c>
      <c r="T390" s="3">
        <v>0.84</v>
      </c>
      <c r="U390" s="3">
        <v>0.23</v>
      </c>
      <c r="V390" s="3">
        <v>1.81</v>
      </c>
      <c r="W390">
        <v>1.08</v>
      </c>
      <c r="X390" t="s">
        <v>108</v>
      </c>
      <c r="Y390" s="3">
        <v>5.14</v>
      </c>
      <c r="Z390" t="s">
        <v>109</v>
      </c>
      <c r="AA390" t="s">
        <v>2837</v>
      </c>
      <c r="AB390" t="s">
        <v>53</v>
      </c>
      <c r="AC390" s="3">
        <v>1.06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f t="shared" si="12"/>
        <v>9.08</v>
      </c>
      <c r="AK390" s="3">
        <f t="shared" si="13"/>
        <v>3.9400000000000004</v>
      </c>
    </row>
    <row r="391" spans="1:37">
      <c r="A391">
        <v>10287728</v>
      </c>
      <c r="B391" t="s">
        <v>37</v>
      </c>
      <c r="C391" t="s">
        <v>2838</v>
      </c>
      <c r="E391" t="s">
        <v>1221</v>
      </c>
      <c r="F391" t="s">
        <v>2839</v>
      </c>
      <c r="G391" t="s">
        <v>2840</v>
      </c>
      <c r="H391" t="s">
        <v>42</v>
      </c>
      <c r="I391" t="s">
        <v>2841</v>
      </c>
      <c r="J391" t="s">
        <v>2842</v>
      </c>
      <c r="K391">
        <v>28359</v>
      </c>
      <c r="L391" t="s">
        <v>71</v>
      </c>
      <c r="M391" t="s">
        <v>46</v>
      </c>
      <c r="N391" t="s">
        <v>47</v>
      </c>
      <c r="O391">
        <v>2</v>
      </c>
      <c r="P391">
        <v>1</v>
      </c>
      <c r="Q391">
        <v>2</v>
      </c>
      <c r="R391" t="s">
        <v>48</v>
      </c>
      <c r="S391" t="s">
        <v>49</v>
      </c>
      <c r="T391" s="3">
        <v>0.84</v>
      </c>
      <c r="U391" s="3">
        <v>0.23</v>
      </c>
      <c r="V391" s="3">
        <v>1.81</v>
      </c>
      <c r="W391">
        <v>0.75</v>
      </c>
      <c r="X391" t="s">
        <v>108</v>
      </c>
      <c r="Y391" s="3">
        <v>5.14</v>
      </c>
      <c r="Z391" t="s">
        <v>109</v>
      </c>
      <c r="AA391" t="s">
        <v>2843</v>
      </c>
      <c r="AB391" t="s">
        <v>53</v>
      </c>
      <c r="AC391" s="3">
        <v>1.06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f t="shared" si="12"/>
        <v>9.08</v>
      </c>
      <c r="AK391" s="3">
        <f t="shared" si="13"/>
        <v>3.9400000000000004</v>
      </c>
    </row>
    <row r="392" spans="1:37">
      <c r="A392">
        <v>10287729</v>
      </c>
      <c r="B392" t="s">
        <v>37</v>
      </c>
      <c r="C392" t="s">
        <v>2844</v>
      </c>
      <c r="E392" t="s">
        <v>2845</v>
      </c>
      <c r="F392" t="s">
        <v>2846</v>
      </c>
      <c r="G392" t="s">
        <v>2847</v>
      </c>
      <c r="H392" t="s">
        <v>42</v>
      </c>
      <c r="I392" t="s">
        <v>2848</v>
      </c>
      <c r="J392" t="s">
        <v>2849</v>
      </c>
      <c r="K392" t="s">
        <v>2850</v>
      </c>
      <c r="L392" t="s">
        <v>142</v>
      </c>
      <c r="M392" t="s">
        <v>46</v>
      </c>
      <c r="N392" t="s">
        <v>47</v>
      </c>
      <c r="O392">
        <v>2</v>
      </c>
      <c r="P392">
        <v>1</v>
      </c>
      <c r="Q392">
        <v>2</v>
      </c>
      <c r="R392" t="s">
        <v>48</v>
      </c>
      <c r="S392" t="s">
        <v>49</v>
      </c>
      <c r="T392" s="3">
        <v>0.84</v>
      </c>
      <c r="U392" s="3">
        <v>0.23</v>
      </c>
      <c r="V392" s="3">
        <v>1.81</v>
      </c>
      <c r="W392">
        <v>1.08</v>
      </c>
      <c r="X392" t="s">
        <v>50</v>
      </c>
      <c r="Y392" s="3">
        <v>16.43</v>
      </c>
      <c r="Z392" t="s">
        <v>109</v>
      </c>
      <c r="AA392" t="s">
        <v>2851</v>
      </c>
      <c r="AB392" t="s">
        <v>53</v>
      </c>
      <c r="AC392" s="3">
        <v>1.06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f t="shared" si="12"/>
        <v>20.369999999999997</v>
      </c>
      <c r="AK392" s="3">
        <f t="shared" si="13"/>
        <v>3.9399999999999977</v>
      </c>
    </row>
    <row r="393" spans="1:37">
      <c r="A393">
        <v>10286509</v>
      </c>
      <c r="B393" t="s">
        <v>37</v>
      </c>
      <c r="C393" t="s">
        <v>2852</v>
      </c>
      <c r="E393" t="s">
        <v>2853</v>
      </c>
      <c r="F393" t="s">
        <v>2854</v>
      </c>
      <c r="G393" t="s">
        <v>2855</v>
      </c>
      <c r="H393" t="s">
        <v>42</v>
      </c>
      <c r="I393" t="s">
        <v>2856</v>
      </c>
      <c r="J393" t="s">
        <v>2857</v>
      </c>
      <c r="K393" t="s">
        <v>2858</v>
      </c>
      <c r="L393" t="s">
        <v>142</v>
      </c>
      <c r="M393" t="s">
        <v>46</v>
      </c>
      <c r="N393" t="s">
        <v>47</v>
      </c>
      <c r="O393">
        <v>2</v>
      </c>
      <c r="P393">
        <v>1</v>
      </c>
      <c r="Q393">
        <v>2</v>
      </c>
      <c r="R393" t="s">
        <v>48</v>
      </c>
      <c r="S393" t="s">
        <v>49</v>
      </c>
      <c r="T393" s="3">
        <v>0.84</v>
      </c>
      <c r="U393" s="3">
        <v>0.23</v>
      </c>
      <c r="V393" s="3">
        <v>1.81</v>
      </c>
      <c r="W393">
        <v>0.73</v>
      </c>
      <c r="X393" t="s">
        <v>50</v>
      </c>
      <c r="Y393" s="3">
        <v>16.43</v>
      </c>
      <c r="Z393" t="s">
        <v>109</v>
      </c>
      <c r="AA393" t="s">
        <v>1026</v>
      </c>
      <c r="AB393" t="s">
        <v>53</v>
      </c>
      <c r="AC393" s="3">
        <v>1.06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f t="shared" si="12"/>
        <v>20.369999999999997</v>
      </c>
      <c r="AK393" s="3">
        <f t="shared" si="13"/>
        <v>3.9399999999999977</v>
      </c>
    </row>
    <row r="394" spans="1:37">
      <c r="A394">
        <v>10288000</v>
      </c>
      <c r="B394" t="s">
        <v>37</v>
      </c>
      <c r="C394" t="s">
        <v>2859</v>
      </c>
      <c r="E394" t="s">
        <v>2860</v>
      </c>
      <c r="F394" t="s">
        <v>2861</v>
      </c>
      <c r="G394" t="s">
        <v>2862</v>
      </c>
      <c r="H394" t="s">
        <v>42</v>
      </c>
      <c r="I394" t="s">
        <v>2863</v>
      </c>
      <c r="J394" t="s">
        <v>2864</v>
      </c>
      <c r="K394">
        <v>81477</v>
      </c>
      <c r="L394" t="s">
        <v>71</v>
      </c>
      <c r="M394" t="s">
        <v>46</v>
      </c>
      <c r="N394" t="s">
        <v>47</v>
      </c>
      <c r="O394">
        <v>3</v>
      </c>
      <c r="P394">
        <v>1</v>
      </c>
      <c r="Q394">
        <v>3</v>
      </c>
      <c r="R394" t="s">
        <v>48</v>
      </c>
      <c r="S394" t="s">
        <v>49</v>
      </c>
      <c r="T394" s="3">
        <v>0.84</v>
      </c>
      <c r="U394" s="3">
        <v>0.23</v>
      </c>
      <c r="V394" s="3">
        <v>2.68</v>
      </c>
      <c r="W394">
        <v>1.57</v>
      </c>
      <c r="X394" t="s">
        <v>72</v>
      </c>
      <c r="Y394" s="3">
        <v>5.44</v>
      </c>
      <c r="Z394" t="s">
        <v>73</v>
      </c>
      <c r="AA394" t="s">
        <v>2865</v>
      </c>
      <c r="AB394" t="s">
        <v>53</v>
      </c>
      <c r="AC394" s="3">
        <v>1.29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f t="shared" si="12"/>
        <v>10.48</v>
      </c>
      <c r="AK394" s="3">
        <f t="shared" si="13"/>
        <v>5.04</v>
      </c>
    </row>
    <row r="395" spans="1:37">
      <c r="A395">
        <v>10288005</v>
      </c>
      <c r="B395" t="s">
        <v>37</v>
      </c>
      <c r="C395" t="s">
        <v>2866</v>
      </c>
      <c r="E395" t="s">
        <v>2867</v>
      </c>
      <c r="F395" t="s">
        <v>2868</v>
      </c>
      <c r="G395" t="s">
        <v>2869</v>
      </c>
      <c r="H395" t="s">
        <v>42</v>
      </c>
      <c r="I395" t="s">
        <v>2870</v>
      </c>
      <c r="J395" t="s">
        <v>2871</v>
      </c>
      <c r="K395" t="s">
        <v>2872</v>
      </c>
      <c r="L395" t="s">
        <v>82</v>
      </c>
      <c r="M395" t="s">
        <v>46</v>
      </c>
      <c r="N395" t="s">
        <v>47</v>
      </c>
      <c r="O395">
        <v>8</v>
      </c>
      <c r="P395">
        <v>1</v>
      </c>
      <c r="Q395">
        <v>8</v>
      </c>
      <c r="R395" t="s">
        <v>48</v>
      </c>
      <c r="S395" t="s">
        <v>49</v>
      </c>
      <c r="T395" s="3">
        <v>0.84</v>
      </c>
      <c r="U395" s="3">
        <v>0.23</v>
      </c>
      <c r="V395" s="3">
        <v>7.03</v>
      </c>
      <c r="W395">
        <v>4.0199999999999996</v>
      </c>
      <c r="X395" t="s">
        <v>50</v>
      </c>
      <c r="Y395" s="3">
        <v>10.58</v>
      </c>
      <c r="Z395" t="s">
        <v>83</v>
      </c>
      <c r="AA395" t="s">
        <v>2873</v>
      </c>
      <c r="AB395" t="s">
        <v>53</v>
      </c>
      <c r="AC395" s="3">
        <v>1.27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f t="shared" si="12"/>
        <v>19.95</v>
      </c>
      <c r="AK395" s="3">
        <f t="shared" si="13"/>
        <v>9.3699999999999992</v>
      </c>
    </row>
    <row r="396" spans="1:37">
      <c r="A396">
        <v>10287731</v>
      </c>
      <c r="B396" t="s">
        <v>37</v>
      </c>
      <c r="C396" t="s">
        <v>2874</v>
      </c>
      <c r="E396" t="s">
        <v>772</v>
      </c>
      <c r="F396" t="s">
        <v>1743</v>
      </c>
      <c r="G396" t="s">
        <v>2875</v>
      </c>
      <c r="H396" t="s">
        <v>42</v>
      </c>
      <c r="I396" t="s">
        <v>2876</v>
      </c>
      <c r="J396" t="s">
        <v>2877</v>
      </c>
      <c r="K396" t="s">
        <v>2878</v>
      </c>
      <c r="L396" t="s">
        <v>142</v>
      </c>
      <c r="M396" t="s">
        <v>46</v>
      </c>
      <c r="N396" t="s">
        <v>47</v>
      </c>
      <c r="O396">
        <v>6</v>
      </c>
      <c r="P396">
        <v>1</v>
      </c>
      <c r="Q396">
        <v>6</v>
      </c>
      <c r="R396" t="s">
        <v>48</v>
      </c>
      <c r="S396" t="s">
        <v>49</v>
      </c>
      <c r="T396" s="3">
        <v>0.84</v>
      </c>
      <c r="U396" s="3">
        <v>0.23</v>
      </c>
      <c r="V396" s="3">
        <v>5.29</v>
      </c>
      <c r="W396">
        <v>2.44</v>
      </c>
      <c r="X396" t="s">
        <v>50</v>
      </c>
      <c r="Y396" s="3">
        <v>16.43</v>
      </c>
      <c r="Z396" t="s">
        <v>73</v>
      </c>
      <c r="AA396" t="s">
        <v>2756</v>
      </c>
      <c r="AB396" t="s">
        <v>53</v>
      </c>
      <c r="AC396" s="3">
        <v>1.29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f t="shared" si="12"/>
        <v>24.08</v>
      </c>
      <c r="AK396" s="3">
        <f t="shared" si="13"/>
        <v>7.6499999999999986</v>
      </c>
    </row>
    <row r="397" spans="1:37">
      <c r="A397">
        <v>10288002</v>
      </c>
      <c r="B397" t="s">
        <v>37</v>
      </c>
      <c r="C397" t="s">
        <v>2879</v>
      </c>
      <c r="E397" t="s">
        <v>657</v>
      </c>
      <c r="F397" t="s">
        <v>2880</v>
      </c>
      <c r="G397" t="s">
        <v>2881</v>
      </c>
      <c r="H397" t="s">
        <v>42</v>
      </c>
      <c r="I397" t="s">
        <v>2882</v>
      </c>
      <c r="J397" t="s">
        <v>2883</v>
      </c>
      <c r="K397" t="s">
        <v>2884</v>
      </c>
      <c r="L397" t="s">
        <v>142</v>
      </c>
      <c r="M397" t="s">
        <v>46</v>
      </c>
      <c r="N397" t="s">
        <v>47</v>
      </c>
      <c r="O397">
        <v>6</v>
      </c>
      <c r="P397">
        <v>1</v>
      </c>
      <c r="Q397">
        <v>6</v>
      </c>
      <c r="R397" t="s">
        <v>48</v>
      </c>
      <c r="S397" t="s">
        <v>49</v>
      </c>
      <c r="T397" s="3">
        <v>0.84</v>
      </c>
      <c r="U397" s="3">
        <v>0.23</v>
      </c>
      <c r="V397" s="3">
        <v>5.29</v>
      </c>
      <c r="W397">
        <v>2.44</v>
      </c>
      <c r="X397" t="s">
        <v>50</v>
      </c>
      <c r="Y397" s="3">
        <v>16.43</v>
      </c>
      <c r="Z397" t="s">
        <v>73</v>
      </c>
      <c r="AA397" t="s">
        <v>2756</v>
      </c>
      <c r="AB397" t="s">
        <v>53</v>
      </c>
      <c r="AC397" s="3">
        <v>1.29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f t="shared" si="12"/>
        <v>24.08</v>
      </c>
      <c r="AK397" s="3">
        <f t="shared" si="13"/>
        <v>7.6499999999999986</v>
      </c>
    </row>
    <row r="398" spans="1:37">
      <c r="A398">
        <v>10288228</v>
      </c>
      <c r="B398" t="s">
        <v>37</v>
      </c>
      <c r="C398" t="s">
        <v>2885</v>
      </c>
      <c r="E398" t="s">
        <v>2886</v>
      </c>
      <c r="F398" t="s">
        <v>2886</v>
      </c>
      <c r="G398" t="s">
        <v>2887</v>
      </c>
      <c r="H398" t="s">
        <v>42</v>
      </c>
      <c r="I398" t="s">
        <v>2888</v>
      </c>
      <c r="J398" t="s">
        <v>2889</v>
      </c>
      <c r="K398" t="s">
        <v>2890</v>
      </c>
      <c r="L398" t="s">
        <v>142</v>
      </c>
      <c r="M398" t="s">
        <v>46</v>
      </c>
      <c r="N398" t="s">
        <v>47</v>
      </c>
      <c r="O398">
        <v>2</v>
      </c>
      <c r="P398">
        <v>1</v>
      </c>
      <c r="Q398">
        <v>2</v>
      </c>
      <c r="R398" t="s">
        <v>48</v>
      </c>
      <c r="S398" t="s">
        <v>49</v>
      </c>
      <c r="T398" s="3">
        <v>0.84</v>
      </c>
      <c r="U398" s="3">
        <v>0.23</v>
      </c>
      <c r="V398" s="3">
        <v>1.81</v>
      </c>
      <c r="W398">
        <v>1.08</v>
      </c>
      <c r="X398" t="s">
        <v>50</v>
      </c>
      <c r="Y398" s="3">
        <v>17.82</v>
      </c>
      <c r="Z398" t="s">
        <v>73</v>
      </c>
      <c r="AA398" t="s">
        <v>2240</v>
      </c>
      <c r="AB398" t="s">
        <v>53</v>
      </c>
      <c r="AC398" s="3">
        <v>1.29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f t="shared" si="12"/>
        <v>21.99</v>
      </c>
      <c r="AK398" s="3">
        <f t="shared" si="13"/>
        <v>4.1699999999999982</v>
      </c>
    </row>
    <row r="399" spans="1:37">
      <c r="A399">
        <v>10286998</v>
      </c>
      <c r="B399" t="s">
        <v>37</v>
      </c>
      <c r="C399" t="s">
        <v>2891</v>
      </c>
      <c r="E399" t="s">
        <v>2892</v>
      </c>
      <c r="F399" t="s">
        <v>2892</v>
      </c>
      <c r="G399" t="s">
        <v>2893</v>
      </c>
      <c r="H399" t="s">
        <v>42</v>
      </c>
      <c r="I399" t="s">
        <v>2894</v>
      </c>
      <c r="J399" t="s">
        <v>2895</v>
      </c>
      <c r="K399" t="s">
        <v>2896</v>
      </c>
      <c r="L399" t="s">
        <v>142</v>
      </c>
      <c r="M399" t="s">
        <v>46</v>
      </c>
      <c r="N399" t="s">
        <v>47</v>
      </c>
      <c r="O399">
        <v>6</v>
      </c>
      <c r="P399">
        <v>1</v>
      </c>
      <c r="Q399">
        <v>6</v>
      </c>
      <c r="R399" t="s">
        <v>48</v>
      </c>
      <c r="S399" t="s">
        <v>49</v>
      </c>
      <c r="T399" s="3">
        <v>0.84</v>
      </c>
      <c r="U399" s="3">
        <v>0.23</v>
      </c>
      <c r="V399" s="3">
        <v>5.29</v>
      </c>
      <c r="W399">
        <v>2.44</v>
      </c>
      <c r="X399" t="s">
        <v>50</v>
      </c>
      <c r="Y399" s="3">
        <v>16.43</v>
      </c>
      <c r="Z399" t="s">
        <v>73</v>
      </c>
      <c r="AA399" t="s">
        <v>2104</v>
      </c>
      <c r="AB399" t="s">
        <v>53</v>
      </c>
      <c r="AC399" s="3">
        <v>1.29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f t="shared" si="12"/>
        <v>24.08</v>
      </c>
      <c r="AK399" s="3">
        <f t="shared" si="13"/>
        <v>7.6499999999999986</v>
      </c>
    </row>
    <row r="400" spans="1:37">
      <c r="A400">
        <v>10287393</v>
      </c>
      <c r="B400" t="s">
        <v>37</v>
      </c>
      <c r="C400" t="s">
        <v>2897</v>
      </c>
      <c r="E400" t="s">
        <v>1977</v>
      </c>
      <c r="F400" t="s">
        <v>2898</v>
      </c>
      <c r="G400" t="s">
        <v>2899</v>
      </c>
      <c r="H400" t="s">
        <v>42</v>
      </c>
      <c r="I400" t="s">
        <v>2900</v>
      </c>
      <c r="J400" t="s">
        <v>2901</v>
      </c>
      <c r="K400" t="s">
        <v>2902</v>
      </c>
      <c r="L400" t="s">
        <v>142</v>
      </c>
      <c r="M400" t="s">
        <v>46</v>
      </c>
      <c r="N400" t="s">
        <v>47</v>
      </c>
      <c r="O400">
        <v>2</v>
      </c>
      <c r="P400">
        <v>1</v>
      </c>
      <c r="Q400">
        <v>2</v>
      </c>
      <c r="R400" t="s">
        <v>48</v>
      </c>
      <c r="S400" t="s">
        <v>49</v>
      </c>
      <c r="T400" s="3">
        <v>0.84</v>
      </c>
      <c r="U400" s="3">
        <v>0.23</v>
      </c>
      <c r="V400" s="3">
        <v>1.81</v>
      </c>
      <c r="W400">
        <v>0.88</v>
      </c>
      <c r="X400" t="s">
        <v>50</v>
      </c>
      <c r="Y400" s="3">
        <v>16.43</v>
      </c>
      <c r="Z400" t="s">
        <v>73</v>
      </c>
      <c r="AA400" t="s">
        <v>2903</v>
      </c>
      <c r="AB400" t="s">
        <v>53</v>
      </c>
      <c r="AC400" s="3">
        <v>1.29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f t="shared" si="12"/>
        <v>20.599999999999998</v>
      </c>
      <c r="AK400" s="3">
        <f t="shared" si="13"/>
        <v>4.1699999999999982</v>
      </c>
    </row>
    <row r="401" spans="1:37">
      <c r="A401">
        <v>10287391</v>
      </c>
      <c r="B401" t="s">
        <v>37</v>
      </c>
      <c r="C401" t="s">
        <v>2904</v>
      </c>
      <c r="E401" t="s">
        <v>2905</v>
      </c>
      <c r="F401" t="s">
        <v>2906</v>
      </c>
      <c r="G401" t="s">
        <v>2907</v>
      </c>
      <c r="H401" t="s">
        <v>42</v>
      </c>
      <c r="I401" t="s">
        <v>2908</v>
      </c>
      <c r="J401" t="s">
        <v>2909</v>
      </c>
      <c r="K401" t="s">
        <v>2910</v>
      </c>
      <c r="L401" t="s">
        <v>142</v>
      </c>
      <c r="M401" t="s">
        <v>46</v>
      </c>
      <c r="N401" t="s">
        <v>47</v>
      </c>
      <c r="O401">
        <v>4</v>
      </c>
      <c r="P401">
        <v>1</v>
      </c>
      <c r="Q401">
        <v>4</v>
      </c>
      <c r="R401" t="s">
        <v>48</v>
      </c>
      <c r="S401" t="s">
        <v>49</v>
      </c>
      <c r="T401" s="3">
        <v>0.84</v>
      </c>
      <c r="U401" s="3">
        <v>0.23</v>
      </c>
      <c r="V401" s="3">
        <v>3.55</v>
      </c>
      <c r="W401">
        <v>1.66</v>
      </c>
      <c r="X401" t="s">
        <v>50</v>
      </c>
      <c r="Y401" s="3">
        <v>17.82</v>
      </c>
      <c r="Z401" t="s">
        <v>73</v>
      </c>
      <c r="AA401" t="s">
        <v>2911</v>
      </c>
      <c r="AB401" t="s">
        <v>53</v>
      </c>
      <c r="AC401" s="3">
        <v>1.29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f t="shared" si="12"/>
        <v>23.73</v>
      </c>
      <c r="AK401" s="3">
        <f t="shared" si="13"/>
        <v>5.91</v>
      </c>
    </row>
    <row r="402" spans="1:37">
      <c r="A402">
        <v>10288008</v>
      </c>
      <c r="B402" t="s">
        <v>37</v>
      </c>
      <c r="C402" t="s">
        <v>2912</v>
      </c>
      <c r="E402" t="s">
        <v>2913</v>
      </c>
      <c r="F402" t="s">
        <v>2914</v>
      </c>
      <c r="G402" t="s">
        <v>2915</v>
      </c>
      <c r="H402" t="s">
        <v>42</v>
      </c>
      <c r="I402" t="s">
        <v>2916</v>
      </c>
      <c r="J402" t="s">
        <v>2917</v>
      </c>
      <c r="K402" t="s">
        <v>2918</v>
      </c>
      <c r="L402" t="s">
        <v>142</v>
      </c>
      <c r="M402" t="s">
        <v>46</v>
      </c>
      <c r="N402" t="s">
        <v>47</v>
      </c>
      <c r="O402">
        <v>2</v>
      </c>
      <c r="P402">
        <v>1</v>
      </c>
      <c r="Q402">
        <v>2</v>
      </c>
      <c r="R402" t="s">
        <v>48</v>
      </c>
      <c r="S402" t="s">
        <v>49</v>
      </c>
      <c r="T402" s="3">
        <v>0.84</v>
      </c>
      <c r="U402" s="3">
        <v>0.23</v>
      </c>
      <c r="V402" s="3">
        <v>1.81</v>
      </c>
      <c r="W402">
        <v>0.63</v>
      </c>
      <c r="X402" t="s">
        <v>50</v>
      </c>
      <c r="Y402" s="3">
        <v>17.82</v>
      </c>
      <c r="Z402" t="s">
        <v>73</v>
      </c>
      <c r="AA402" t="s">
        <v>2919</v>
      </c>
      <c r="AB402" t="s">
        <v>53</v>
      </c>
      <c r="AC402" s="3">
        <v>1.29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f t="shared" si="12"/>
        <v>21.99</v>
      </c>
      <c r="AK402" s="3">
        <f t="shared" si="13"/>
        <v>4.1699999999999982</v>
      </c>
    </row>
    <row r="403" spans="1:37">
      <c r="A403">
        <v>10287734</v>
      </c>
      <c r="B403" t="s">
        <v>37</v>
      </c>
      <c r="C403" t="s">
        <v>2920</v>
      </c>
      <c r="D403" t="s">
        <v>2921</v>
      </c>
      <c r="E403" t="s">
        <v>166</v>
      </c>
      <c r="F403" t="s">
        <v>2922</v>
      </c>
      <c r="G403" t="s">
        <v>2923</v>
      </c>
      <c r="H403" t="s">
        <v>42</v>
      </c>
      <c r="I403" t="s">
        <v>2924</v>
      </c>
      <c r="J403" t="s">
        <v>2925</v>
      </c>
      <c r="K403">
        <v>1861</v>
      </c>
      <c r="L403" t="s">
        <v>505</v>
      </c>
      <c r="M403" t="s">
        <v>46</v>
      </c>
      <c r="N403" t="s">
        <v>47</v>
      </c>
      <c r="O403">
        <v>2</v>
      </c>
      <c r="P403">
        <v>1</v>
      </c>
      <c r="Q403">
        <v>2</v>
      </c>
      <c r="R403" t="s">
        <v>48</v>
      </c>
      <c r="S403" t="s">
        <v>49</v>
      </c>
      <c r="T403" s="3">
        <v>0.84</v>
      </c>
      <c r="U403" s="3">
        <v>0.23</v>
      </c>
      <c r="V403" s="3">
        <v>1.81</v>
      </c>
      <c r="W403">
        <v>1</v>
      </c>
      <c r="X403" t="s">
        <v>50</v>
      </c>
      <c r="Y403" s="3">
        <v>10.58</v>
      </c>
      <c r="Z403" t="s">
        <v>73</v>
      </c>
      <c r="AA403" t="s">
        <v>2926</v>
      </c>
      <c r="AB403" t="s">
        <v>53</v>
      </c>
      <c r="AC403" s="3">
        <v>1.29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f t="shared" si="12"/>
        <v>14.750000000000002</v>
      </c>
      <c r="AK403" s="3">
        <f t="shared" si="13"/>
        <v>4.1700000000000017</v>
      </c>
    </row>
    <row r="404" spans="1:37">
      <c r="A404">
        <v>10287732</v>
      </c>
      <c r="B404" t="s">
        <v>37</v>
      </c>
      <c r="C404" t="s">
        <v>2927</v>
      </c>
      <c r="E404" t="s">
        <v>1647</v>
      </c>
      <c r="F404" t="s">
        <v>2928</v>
      </c>
      <c r="G404" t="s">
        <v>2929</v>
      </c>
      <c r="H404" t="s">
        <v>42</v>
      </c>
      <c r="I404" t="s">
        <v>2930</v>
      </c>
      <c r="J404" t="s">
        <v>2931</v>
      </c>
      <c r="K404">
        <v>33813</v>
      </c>
      <c r="L404" t="s">
        <v>71</v>
      </c>
      <c r="M404" t="s">
        <v>46</v>
      </c>
      <c r="N404" t="s">
        <v>47</v>
      </c>
      <c r="O404">
        <v>2</v>
      </c>
      <c r="P404">
        <v>1</v>
      </c>
      <c r="Q404">
        <v>2</v>
      </c>
      <c r="R404" t="s">
        <v>48</v>
      </c>
      <c r="S404" t="s">
        <v>49</v>
      </c>
      <c r="T404" s="3">
        <v>0.84</v>
      </c>
      <c r="U404" s="3">
        <v>0.23</v>
      </c>
      <c r="V404" s="3">
        <v>1.81</v>
      </c>
      <c r="W404">
        <v>0.88</v>
      </c>
      <c r="X404" t="s">
        <v>72</v>
      </c>
      <c r="Y404" s="3">
        <v>6.83</v>
      </c>
      <c r="Z404" t="s">
        <v>73</v>
      </c>
      <c r="AA404" t="s">
        <v>2932</v>
      </c>
      <c r="AB404" t="s">
        <v>53</v>
      </c>
      <c r="AC404" s="3">
        <v>1.29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f t="shared" si="12"/>
        <v>11.000000000000002</v>
      </c>
      <c r="AK404" s="3">
        <f t="shared" si="13"/>
        <v>4.1700000000000017</v>
      </c>
    </row>
    <row r="405" spans="1:37">
      <c r="A405">
        <v>10286508</v>
      </c>
      <c r="B405" t="s">
        <v>37</v>
      </c>
      <c r="C405" t="s">
        <v>2933</v>
      </c>
      <c r="E405" t="s">
        <v>2934</v>
      </c>
      <c r="F405" t="s">
        <v>2935</v>
      </c>
      <c r="G405" t="s">
        <v>2936</v>
      </c>
      <c r="H405" t="s">
        <v>42</v>
      </c>
      <c r="I405" t="s">
        <v>2937</v>
      </c>
      <c r="J405" t="s">
        <v>2938</v>
      </c>
      <c r="K405">
        <v>2140</v>
      </c>
      <c r="L405" t="s">
        <v>505</v>
      </c>
      <c r="M405" t="s">
        <v>46</v>
      </c>
      <c r="N405" t="s">
        <v>47</v>
      </c>
      <c r="O405">
        <v>4</v>
      </c>
      <c r="P405">
        <v>1</v>
      </c>
      <c r="Q405">
        <v>4</v>
      </c>
      <c r="R405" t="s">
        <v>48</v>
      </c>
      <c r="S405" t="s">
        <v>49</v>
      </c>
      <c r="T405" s="3">
        <v>0.84</v>
      </c>
      <c r="U405" s="3">
        <v>0.23</v>
      </c>
      <c r="V405" s="3">
        <v>3.55</v>
      </c>
      <c r="W405">
        <v>1.35</v>
      </c>
      <c r="X405" t="s">
        <v>50</v>
      </c>
      <c r="Y405" s="3">
        <v>28.6</v>
      </c>
      <c r="Z405" t="s">
        <v>73</v>
      </c>
      <c r="AA405" t="s">
        <v>2939</v>
      </c>
      <c r="AB405" t="s">
        <v>53</v>
      </c>
      <c r="AC405" s="3">
        <v>1.29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f t="shared" si="12"/>
        <v>34.51</v>
      </c>
      <c r="AK405" s="3">
        <f t="shared" si="13"/>
        <v>5.9099999999999966</v>
      </c>
    </row>
    <row r="406" spans="1:37">
      <c r="A406">
        <v>10287730</v>
      </c>
      <c r="B406" t="s">
        <v>37</v>
      </c>
      <c r="C406" t="s">
        <v>2940</v>
      </c>
      <c r="E406" t="s">
        <v>2941</v>
      </c>
      <c r="F406" t="s">
        <v>2942</v>
      </c>
      <c r="G406" t="s">
        <v>2943</v>
      </c>
      <c r="H406" t="s">
        <v>42</v>
      </c>
      <c r="I406" t="s">
        <v>2944</v>
      </c>
      <c r="J406" t="s">
        <v>2945</v>
      </c>
      <c r="K406">
        <v>71229</v>
      </c>
      <c r="L406" t="s">
        <v>71</v>
      </c>
      <c r="M406" t="s">
        <v>46</v>
      </c>
      <c r="N406" t="s">
        <v>47</v>
      </c>
      <c r="O406">
        <v>3</v>
      </c>
      <c r="P406">
        <v>1</v>
      </c>
      <c r="Q406">
        <v>3</v>
      </c>
      <c r="R406" t="s">
        <v>48</v>
      </c>
      <c r="S406" t="s">
        <v>49</v>
      </c>
      <c r="T406" s="3">
        <v>0.84</v>
      </c>
      <c r="U406" s="3">
        <v>0.23</v>
      </c>
      <c r="V406" s="3">
        <v>2.68</v>
      </c>
      <c r="W406">
        <v>1.0900000000000001</v>
      </c>
      <c r="X406" t="s">
        <v>72</v>
      </c>
      <c r="Y406" s="3">
        <v>5.44</v>
      </c>
      <c r="Z406" t="s">
        <v>73</v>
      </c>
      <c r="AA406" t="s">
        <v>2946</v>
      </c>
      <c r="AB406" t="s">
        <v>53</v>
      </c>
      <c r="AC406" s="3">
        <v>1.29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f t="shared" si="12"/>
        <v>10.48</v>
      </c>
      <c r="AK406" s="3">
        <f t="shared" si="13"/>
        <v>5.04</v>
      </c>
    </row>
    <row r="407" spans="1:37">
      <c r="A407">
        <v>10287390</v>
      </c>
      <c r="B407" t="s">
        <v>37</v>
      </c>
      <c r="C407" t="s">
        <v>2947</v>
      </c>
      <c r="E407" t="s">
        <v>2948</v>
      </c>
      <c r="F407" t="s">
        <v>2949</v>
      </c>
      <c r="G407" t="s">
        <v>2950</v>
      </c>
      <c r="H407" t="s">
        <v>42</v>
      </c>
      <c r="I407" t="s">
        <v>2951</v>
      </c>
      <c r="J407" t="s">
        <v>2952</v>
      </c>
      <c r="K407">
        <v>9160</v>
      </c>
      <c r="L407" t="s">
        <v>505</v>
      </c>
      <c r="M407" t="s">
        <v>46</v>
      </c>
      <c r="N407" t="s">
        <v>47</v>
      </c>
      <c r="O407">
        <v>6</v>
      </c>
      <c r="P407">
        <v>1</v>
      </c>
      <c r="Q407">
        <v>6</v>
      </c>
      <c r="R407" t="s">
        <v>48</v>
      </c>
      <c r="S407" t="s">
        <v>49</v>
      </c>
      <c r="T407" s="3">
        <v>0.84</v>
      </c>
      <c r="U407" s="3">
        <v>0.23</v>
      </c>
      <c r="V407" s="3">
        <v>5.29</v>
      </c>
      <c r="W407">
        <v>2.4</v>
      </c>
      <c r="X407" t="s">
        <v>50</v>
      </c>
      <c r="Y407" s="3">
        <v>9.19</v>
      </c>
      <c r="Z407" t="s">
        <v>73</v>
      </c>
      <c r="AA407" t="s">
        <v>2953</v>
      </c>
      <c r="AB407" t="s">
        <v>53</v>
      </c>
      <c r="AC407" s="3">
        <v>1.29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f t="shared" si="12"/>
        <v>16.84</v>
      </c>
      <c r="AK407" s="3">
        <f t="shared" si="13"/>
        <v>7.65</v>
      </c>
    </row>
    <row r="408" spans="1:37">
      <c r="A408">
        <v>10285061</v>
      </c>
      <c r="B408" t="s">
        <v>37</v>
      </c>
      <c r="C408" t="s">
        <v>2954</v>
      </c>
      <c r="E408" t="s">
        <v>2955</v>
      </c>
      <c r="F408" t="s">
        <v>2956</v>
      </c>
      <c r="G408" t="s">
        <v>2957</v>
      </c>
      <c r="H408" t="s">
        <v>42</v>
      </c>
      <c r="I408" t="s">
        <v>2958</v>
      </c>
      <c r="J408" t="s">
        <v>2959</v>
      </c>
      <c r="K408">
        <v>55435</v>
      </c>
      <c r="L408" t="s">
        <v>71</v>
      </c>
      <c r="M408" t="s">
        <v>46</v>
      </c>
      <c r="N408" t="s">
        <v>47</v>
      </c>
      <c r="O408">
        <v>4</v>
      </c>
      <c r="P408">
        <v>1</v>
      </c>
      <c r="Q408">
        <v>4</v>
      </c>
      <c r="R408" t="s">
        <v>48</v>
      </c>
      <c r="S408" t="s">
        <v>49</v>
      </c>
      <c r="T408" s="3">
        <v>0.84</v>
      </c>
      <c r="U408" s="3">
        <v>0.23</v>
      </c>
      <c r="V408" s="3">
        <v>3.55</v>
      </c>
      <c r="W408">
        <v>2.06</v>
      </c>
      <c r="X408" t="s">
        <v>72</v>
      </c>
      <c r="Y408" s="3">
        <v>5.44</v>
      </c>
      <c r="Z408" t="s">
        <v>73</v>
      </c>
      <c r="AA408" t="s">
        <v>2960</v>
      </c>
      <c r="AB408" t="s">
        <v>53</v>
      </c>
      <c r="AC408" s="3">
        <v>1.29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f t="shared" si="12"/>
        <v>11.350000000000001</v>
      </c>
      <c r="AK408" s="3">
        <f t="shared" si="13"/>
        <v>5.910000000000001</v>
      </c>
    </row>
    <row r="409" spans="1:37">
      <c r="A409">
        <v>10287733</v>
      </c>
      <c r="B409" t="s">
        <v>37</v>
      </c>
      <c r="C409" t="s">
        <v>2961</v>
      </c>
      <c r="E409" t="s">
        <v>2962</v>
      </c>
      <c r="F409" t="s">
        <v>2963</v>
      </c>
      <c r="G409" t="s">
        <v>2964</v>
      </c>
      <c r="H409" t="s">
        <v>42</v>
      </c>
      <c r="I409" t="s">
        <v>2965</v>
      </c>
      <c r="J409" t="s">
        <v>2966</v>
      </c>
      <c r="K409" t="s">
        <v>2967</v>
      </c>
      <c r="L409" t="s">
        <v>82</v>
      </c>
      <c r="M409" t="s">
        <v>46</v>
      </c>
      <c r="N409" t="s">
        <v>47</v>
      </c>
      <c r="O409">
        <v>2</v>
      </c>
      <c r="P409">
        <v>1</v>
      </c>
      <c r="Q409">
        <v>2</v>
      </c>
      <c r="R409" t="s">
        <v>48</v>
      </c>
      <c r="S409" t="s">
        <v>49</v>
      </c>
      <c r="T409" s="3">
        <v>0.84</v>
      </c>
      <c r="U409" s="3">
        <v>0.23</v>
      </c>
      <c r="V409" s="3">
        <v>1.81</v>
      </c>
      <c r="W409">
        <v>1.08</v>
      </c>
      <c r="X409" t="s">
        <v>50</v>
      </c>
      <c r="Y409" s="3">
        <v>9.19</v>
      </c>
      <c r="Z409" t="s">
        <v>109</v>
      </c>
      <c r="AA409" t="s">
        <v>2968</v>
      </c>
      <c r="AB409" t="s">
        <v>53</v>
      </c>
      <c r="AC409" s="3">
        <v>1.06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f t="shared" si="12"/>
        <v>13.13</v>
      </c>
      <c r="AK409" s="3">
        <f t="shared" si="13"/>
        <v>3.9400000000000013</v>
      </c>
    </row>
    <row r="410" spans="1:37">
      <c r="A410">
        <v>10286252</v>
      </c>
      <c r="B410" t="s">
        <v>37</v>
      </c>
      <c r="C410" t="s">
        <v>2969</v>
      </c>
      <c r="E410" t="s">
        <v>2970</v>
      </c>
      <c r="F410" t="s">
        <v>2971</v>
      </c>
      <c r="G410" t="s">
        <v>2972</v>
      </c>
      <c r="H410" t="s">
        <v>42</v>
      </c>
      <c r="I410" t="s">
        <v>2973</v>
      </c>
      <c r="J410" t="s">
        <v>2974</v>
      </c>
      <c r="K410" t="s">
        <v>2975</v>
      </c>
      <c r="L410" t="s">
        <v>82</v>
      </c>
      <c r="M410" t="s">
        <v>46</v>
      </c>
      <c r="N410" t="s">
        <v>47</v>
      </c>
      <c r="O410">
        <v>1</v>
      </c>
      <c r="P410">
        <v>1</v>
      </c>
      <c r="Q410">
        <v>1</v>
      </c>
      <c r="R410" t="s">
        <v>48</v>
      </c>
      <c r="S410" t="s">
        <v>49</v>
      </c>
      <c r="T410" s="3">
        <v>0.84</v>
      </c>
      <c r="U410" s="3">
        <v>0.23</v>
      </c>
      <c r="V410" s="3">
        <v>0.94</v>
      </c>
      <c r="W410">
        <v>0.59</v>
      </c>
      <c r="X410" t="s">
        <v>50</v>
      </c>
      <c r="Y410" s="3">
        <v>10.58</v>
      </c>
      <c r="Z410" t="s">
        <v>109</v>
      </c>
      <c r="AA410" t="s">
        <v>1652</v>
      </c>
      <c r="AB410" t="s">
        <v>53</v>
      </c>
      <c r="AC410" s="3">
        <v>1.06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f t="shared" si="12"/>
        <v>13.65</v>
      </c>
      <c r="AK410" s="3">
        <f t="shared" si="13"/>
        <v>3.0700000000000003</v>
      </c>
    </row>
    <row r="411" spans="1:37">
      <c r="A411">
        <v>10287387</v>
      </c>
      <c r="B411" t="s">
        <v>37</v>
      </c>
      <c r="C411" t="s">
        <v>2976</v>
      </c>
      <c r="E411" t="s">
        <v>2977</v>
      </c>
      <c r="F411" t="s">
        <v>2978</v>
      </c>
      <c r="G411" t="s">
        <v>2979</v>
      </c>
      <c r="H411" t="s">
        <v>42</v>
      </c>
      <c r="I411" t="s">
        <v>2980</v>
      </c>
      <c r="J411" t="s">
        <v>2981</v>
      </c>
      <c r="K411" t="s">
        <v>2982</v>
      </c>
      <c r="L411" t="s">
        <v>142</v>
      </c>
      <c r="M411" t="s">
        <v>46</v>
      </c>
      <c r="N411" t="s">
        <v>47</v>
      </c>
      <c r="O411">
        <v>4</v>
      </c>
      <c r="P411">
        <v>1</v>
      </c>
      <c r="Q411">
        <v>4</v>
      </c>
      <c r="R411" t="s">
        <v>48</v>
      </c>
      <c r="S411" t="s">
        <v>49</v>
      </c>
      <c r="T411" s="3">
        <v>0.84</v>
      </c>
      <c r="U411" s="3">
        <v>0.23</v>
      </c>
      <c r="V411" s="3">
        <v>3.55</v>
      </c>
      <c r="W411">
        <v>2.06</v>
      </c>
      <c r="X411" t="s">
        <v>50</v>
      </c>
      <c r="Y411" s="3">
        <v>16.43</v>
      </c>
      <c r="Z411" t="s">
        <v>73</v>
      </c>
      <c r="AA411" t="s">
        <v>931</v>
      </c>
      <c r="AB411" t="s">
        <v>53</v>
      </c>
      <c r="AC411" s="3">
        <v>1.29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f t="shared" si="12"/>
        <v>22.34</v>
      </c>
      <c r="AK411" s="3">
        <f t="shared" si="13"/>
        <v>5.91</v>
      </c>
    </row>
    <row r="412" spans="1:37">
      <c r="A412">
        <v>10285063</v>
      </c>
      <c r="B412" t="s">
        <v>37</v>
      </c>
      <c r="C412" t="s">
        <v>2983</v>
      </c>
      <c r="E412" t="s">
        <v>2984</v>
      </c>
      <c r="F412" t="s">
        <v>2985</v>
      </c>
      <c r="G412" t="s">
        <v>2986</v>
      </c>
      <c r="H412" t="s">
        <v>42</v>
      </c>
      <c r="I412" t="s">
        <v>2987</v>
      </c>
      <c r="J412" t="s">
        <v>2988</v>
      </c>
      <c r="K412">
        <v>74400</v>
      </c>
      <c r="L412" t="s">
        <v>130</v>
      </c>
      <c r="M412" t="s">
        <v>46</v>
      </c>
      <c r="N412" t="s">
        <v>47</v>
      </c>
      <c r="O412">
        <v>4</v>
      </c>
      <c r="P412">
        <v>1</v>
      </c>
      <c r="Q412">
        <v>4</v>
      </c>
      <c r="R412" t="s">
        <v>48</v>
      </c>
      <c r="S412" t="s">
        <v>49</v>
      </c>
      <c r="T412" s="3">
        <v>0.84</v>
      </c>
      <c r="U412" s="3">
        <v>0.23</v>
      </c>
      <c r="V412" s="3">
        <v>3.55</v>
      </c>
      <c r="W412">
        <v>1.66</v>
      </c>
      <c r="X412" t="s">
        <v>50</v>
      </c>
      <c r="Y412" s="3">
        <v>14.26</v>
      </c>
      <c r="Z412" t="s">
        <v>73</v>
      </c>
      <c r="AA412" t="s">
        <v>2989</v>
      </c>
      <c r="AB412" t="s">
        <v>53</v>
      </c>
      <c r="AC412" s="3">
        <v>1.29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f t="shared" si="12"/>
        <v>20.170000000000002</v>
      </c>
      <c r="AK412" s="3">
        <f t="shared" si="13"/>
        <v>5.9100000000000019</v>
      </c>
    </row>
    <row r="413" spans="1:37">
      <c r="A413">
        <v>10289064</v>
      </c>
      <c r="B413" t="s">
        <v>37</v>
      </c>
      <c r="C413" t="s">
        <v>2990</v>
      </c>
      <c r="E413" t="s">
        <v>2991</v>
      </c>
      <c r="F413" t="s">
        <v>2992</v>
      </c>
      <c r="G413" t="s">
        <v>2993</v>
      </c>
      <c r="H413" t="s">
        <v>42</v>
      </c>
      <c r="I413" t="s">
        <v>2994</v>
      </c>
      <c r="J413" t="s">
        <v>2995</v>
      </c>
      <c r="K413" t="s">
        <v>2996</v>
      </c>
      <c r="L413" t="s">
        <v>71</v>
      </c>
      <c r="M413" t="s">
        <v>46</v>
      </c>
      <c r="N413" t="s">
        <v>47</v>
      </c>
      <c r="O413">
        <v>1</v>
      </c>
      <c r="P413">
        <v>1</v>
      </c>
      <c r="Q413">
        <v>1</v>
      </c>
      <c r="R413" t="s">
        <v>48</v>
      </c>
      <c r="S413" t="s">
        <v>49</v>
      </c>
      <c r="T413" s="3">
        <v>0.84</v>
      </c>
      <c r="U413" s="3">
        <v>0.23</v>
      </c>
      <c r="V413" s="3">
        <v>0.94</v>
      </c>
      <c r="W413">
        <v>0.49</v>
      </c>
      <c r="X413" t="s">
        <v>108</v>
      </c>
      <c r="Y413" s="3">
        <v>9.3000000000000007</v>
      </c>
      <c r="Z413" t="s">
        <v>109</v>
      </c>
      <c r="AA413" t="s">
        <v>2997</v>
      </c>
      <c r="AB413" t="s">
        <v>53</v>
      </c>
      <c r="AC413" s="3">
        <v>1.06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f t="shared" si="12"/>
        <v>12.370000000000001</v>
      </c>
      <c r="AK413" s="3">
        <f t="shared" si="13"/>
        <v>3.0700000000000003</v>
      </c>
    </row>
    <row r="414" spans="1:37">
      <c r="A414">
        <v>10289066</v>
      </c>
      <c r="B414" t="s">
        <v>37</v>
      </c>
      <c r="C414" t="s">
        <v>2998</v>
      </c>
      <c r="E414" t="s">
        <v>2999</v>
      </c>
      <c r="F414" t="s">
        <v>3000</v>
      </c>
      <c r="G414" t="s">
        <v>3001</v>
      </c>
      <c r="H414" t="s">
        <v>42</v>
      </c>
      <c r="I414" t="s">
        <v>3002</v>
      </c>
      <c r="J414" t="s">
        <v>3003</v>
      </c>
      <c r="K414">
        <v>93466</v>
      </c>
      <c r="L414" t="s">
        <v>71</v>
      </c>
      <c r="M414" t="s">
        <v>46</v>
      </c>
      <c r="N414" t="s">
        <v>47</v>
      </c>
      <c r="O414">
        <v>2</v>
      </c>
      <c r="P414">
        <v>1</v>
      </c>
      <c r="Q414">
        <v>2</v>
      </c>
      <c r="R414" t="s">
        <v>48</v>
      </c>
      <c r="S414" t="s">
        <v>49</v>
      </c>
      <c r="T414" s="3">
        <v>0.84</v>
      </c>
      <c r="U414" s="3">
        <v>0.23</v>
      </c>
      <c r="V414" s="3">
        <v>1.81</v>
      </c>
      <c r="W414">
        <v>1.08</v>
      </c>
      <c r="X414" t="s">
        <v>108</v>
      </c>
      <c r="Y414" s="3">
        <v>6.53</v>
      </c>
      <c r="Z414" t="s">
        <v>109</v>
      </c>
      <c r="AA414" t="s">
        <v>2351</v>
      </c>
      <c r="AB414" t="s">
        <v>53</v>
      </c>
      <c r="AC414" s="3">
        <v>1.06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f t="shared" si="12"/>
        <v>10.47</v>
      </c>
      <c r="AK414" s="3">
        <f t="shared" si="13"/>
        <v>3.9400000000000004</v>
      </c>
    </row>
    <row r="415" spans="1:37">
      <c r="A415">
        <v>10284129</v>
      </c>
      <c r="B415" t="s">
        <v>37</v>
      </c>
      <c r="C415" t="s">
        <v>3004</v>
      </c>
      <c r="E415" t="s">
        <v>3005</v>
      </c>
      <c r="F415" t="s">
        <v>3006</v>
      </c>
      <c r="G415" t="s">
        <v>3007</v>
      </c>
      <c r="H415" t="s">
        <v>42</v>
      </c>
      <c r="I415" t="s">
        <v>3008</v>
      </c>
      <c r="J415" t="s">
        <v>3009</v>
      </c>
      <c r="K415">
        <v>65232</v>
      </c>
      <c r="L415" t="s">
        <v>71</v>
      </c>
      <c r="M415" t="s">
        <v>46</v>
      </c>
      <c r="N415" t="s">
        <v>47</v>
      </c>
      <c r="O415">
        <v>10</v>
      </c>
      <c r="P415">
        <v>1</v>
      </c>
      <c r="Q415">
        <v>10</v>
      </c>
      <c r="R415" t="s">
        <v>48</v>
      </c>
      <c r="S415" t="s">
        <v>49</v>
      </c>
      <c r="T415" s="3">
        <v>7</v>
      </c>
      <c r="U415" s="3">
        <v>0.23</v>
      </c>
      <c r="V415" s="3">
        <v>13.2</v>
      </c>
      <c r="W415">
        <v>4.5</v>
      </c>
      <c r="X415" t="s">
        <v>72</v>
      </c>
      <c r="Y415" s="3">
        <v>8</v>
      </c>
      <c r="Z415" t="s">
        <v>83</v>
      </c>
      <c r="AA415" t="s">
        <v>3010</v>
      </c>
      <c r="AB415" t="s">
        <v>53</v>
      </c>
      <c r="AC415" s="3">
        <v>1.27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f t="shared" si="12"/>
        <v>29.7</v>
      </c>
      <c r="AK415" s="3">
        <f t="shared" si="13"/>
        <v>21.7</v>
      </c>
    </row>
    <row r="416" spans="1:37">
      <c r="A416">
        <v>10285060</v>
      </c>
      <c r="B416" t="s">
        <v>37</v>
      </c>
      <c r="C416" t="s">
        <v>3011</v>
      </c>
      <c r="D416" t="s">
        <v>3012</v>
      </c>
      <c r="E416" t="s">
        <v>2977</v>
      </c>
      <c r="F416" t="s">
        <v>3013</v>
      </c>
      <c r="G416" t="s">
        <v>3014</v>
      </c>
      <c r="H416" t="s">
        <v>42</v>
      </c>
      <c r="I416" t="s">
        <v>3015</v>
      </c>
      <c r="J416" t="s">
        <v>3016</v>
      </c>
      <c r="K416" t="s">
        <v>3017</v>
      </c>
      <c r="L416" t="s">
        <v>142</v>
      </c>
      <c r="M416" t="s">
        <v>46</v>
      </c>
      <c r="N416" t="s">
        <v>47</v>
      </c>
      <c r="O416">
        <v>11</v>
      </c>
      <c r="P416">
        <v>1</v>
      </c>
      <c r="Q416">
        <v>11</v>
      </c>
      <c r="R416" t="s">
        <v>48</v>
      </c>
      <c r="S416" t="s">
        <v>49</v>
      </c>
      <c r="T416" s="3">
        <v>7</v>
      </c>
      <c r="U416" s="3">
        <v>0.23</v>
      </c>
      <c r="V416" s="3">
        <v>14.51</v>
      </c>
      <c r="W416">
        <v>5.93</v>
      </c>
      <c r="X416" t="s">
        <v>50</v>
      </c>
      <c r="Y416" s="3">
        <v>16.43</v>
      </c>
      <c r="Z416" t="s">
        <v>83</v>
      </c>
      <c r="AA416" t="s">
        <v>3018</v>
      </c>
      <c r="AB416" t="s">
        <v>53</v>
      </c>
      <c r="AC416" s="3">
        <v>1.27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f t="shared" si="12"/>
        <v>39.44</v>
      </c>
      <c r="AK416" s="3">
        <f t="shared" si="13"/>
        <v>23.009999999999998</v>
      </c>
    </row>
    <row r="417" spans="1:37">
      <c r="A417">
        <v>10289487</v>
      </c>
      <c r="B417" t="s">
        <v>37</v>
      </c>
      <c r="C417" t="s">
        <v>3019</v>
      </c>
      <c r="E417" t="s">
        <v>3020</v>
      </c>
      <c r="F417" t="s">
        <v>3021</v>
      </c>
      <c r="G417" t="s">
        <v>3022</v>
      </c>
      <c r="H417" t="s">
        <v>42</v>
      </c>
      <c r="I417" t="s">
        <v>3023</v>
      </c>
      <c r="J417" t="s">
        <v>3024</v>
      </c>
      <c r="K417">
        <v>16792</v>
      </c>
      <c r="L417" t="s">
        <v>71</v>
      </c>
      <c r="M417" t="s">
        <v>46</v>
      </c>
      <c r="N417" t="s">
        <v>47</v>
      </c>
      <c r="O417">
        <v>1</v>
      </c>
      <c r="P417">
        <v>1</v>
      </c>
      <c r="Q417">
        <v>1</v>
      </c>
      <c r="R417" t="s">
        <v>48</v>
      </c>
      <c r="S417" t="s">
        <v>49</v>
      </c>
      <c r="T417" s="3">
        <v>0.84</v>
      </c>
      <c r="U417" s="3">
        <v>0.23</v>
      </c>
      <c r="V417" s="3">
        <v>0.94</v>
      </c>
      <c r="W417">
        <v>1.7</v>
      </c>
      <c r="X417" t="s">
        <v>72</v>
      </c>
      <c r="Y417" s="3">
        <v>6.83</v>
      </c>
      <c r="Z417" t="s">
        <v>73</v>
      </c>
      <c r="AA417" t="s">
        <v>3025</v>
      </c>
      <c r="AB417" t="s">
        <v>53</v>
      </c>
      <c r="AC417" s="3">
        <v>1.29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f t="shared" si="12"/>
        <v>10.130000000000001</v>
      </c>
      <c r="AK417" s="3">
        <f t="shared" si="13"/>
        <v>3.3000000000000007</v>
      </c>
    </row>
    <row r="418" spans="1:37">
      <c r="A418">
        <v>10289485</v>
      </c>
      <c r="B418" t="s">
        <v>37</v>
      </c>
      <c r="C418" t="s">
        <v>3026</v>
      </c>
      <c r="E418" t="s">
        <v>532</v>
      </c>
      <c r="F418" t="s">
        <v>3027</v>
      </c>
      <c r="G418" t="s">
        <v>3028</v>
      </c>
      <c r="H418" t="s">
        <v>42</v>
      </c>
      <c r="I418" t="s">
        <v>3029</v>
      </c>
      <c r="J418" t="s">
        <v>3030</v>
      </c>
      <c r="K418">
        <v>13351</v>
      </c>
      <c r="L418" t="s">
        <v>71</v>
      </c>
      <c r="M418" t="s">
        <v>46</v>
      </c>
      <c r="N418" t="s">
        <v>47</v>
      </c>
      <c r="O418">
        <v>4</v>
      </c>
      <c r="P418">
        <v>1</v>
      </c>
      <c r="Q418">
        <v>4</v>
      </c>
      <c r="R418" t="s">
        <v>48</v>
      </c>
      <c r="S418" t="s">
        <v>49</v>
      </c>
      <c r="T418" s="3">
        <v>0.84</v>
      </c>
      <c r="U418" s="3">
        <v>0.23</v>
      </c>
      <c r="V418" s="3">
        <v>3.55</v>
      </c>
      <c r="W418">
        <v>1.59</v>
      </c>
      <c r="X418" t="s">
        <v>72</v>
      </c>
      <c r="Y418" s="3">
        <v>15.11</v>
      </c>
      <c r="Z418" t="s">
        <v>73</v>
      </c>
      <c r="AA418" t="s">
        <v>3031</v>
      </c>
      <c r="AB418" t="s">
        <v>53</v>
      </c>
      <c r="AC418" s="3">
        <v>1.29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f t="shared" si="12"/>
        <v>21.02</v>
      </c>
      <c r="AK418" s="3">
        <f t="shared" si="13"/>
        <v>5.91</v>
      </c>
    </row>
    <row r="419" spans="1:37">
      <c r="A419">
        <v>10289484</v>
      </c>
      <c r="B419" t="s">
        <v>37</v>
      </c>
      <c r="C419" t="s">
        <v>3032</v>
      </c>
      <c r="E419" t="s">
        <v>3033</v>
      </c>
      <c r="F419" t="s">
        <v>3034</v>
      </c>
      <c r="G419" t="s">
        <v>3035</v>
      </c>
      <c r="H419" t="s">
        <v>42</v>
      </c>
      <c r="I419" t="s">
        <v>3036</v>
      </c>
      <c r="J419" t="s">
        <v>3037</v>
      </c>
      <c r="K419" t="s">
        <v>3038</v>
      </c>
      <c r="L419" t="s">
        <v>142</v>
      </c>
      <c r="M419" t="s">
        <v>46</v>
      </c>
      <c r="N419" t="s">
        <v>47</v>
      </c>
      <c r="O419">
        <v>2</v>
      </c>
      <c r="P419">
        <v>1</v>
      </c>
      <c r="Q419">
        <v>2</v>
      </c>
      <c r="R419" t="s">
        <v>48</v>
      </c>
      <c r="S419" t="s">
        <v>49</v>
      </c>
      <c r="T419" s="3">
        <v>0.84</v>
      </c>
      <c r="U419" s="3">
        <v>0.23</v>
      </c>
      <c r="V419" s="3">
        <v>1.81</v>
      </c>
      <c r="W419">
        <v>1.08</v>
      </c>
      <c r="X419" t="s">
        <v>50</v>
      </c>
      <c r="Y419" s="3">
        <v>17.82</v>
      </c>
      <c r="Z419" t="s">
        <v>109</v>
      </c>
      <c r="AA419" t="s">
        <v>3039</v>
      </c>
      <c r="AB419" t="s">
        <v>53</v>
      </c>
      <c r="AC419" s="3">
        <v>1.06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f t="shared" si="12"/>
        <v>21.759999999999998</v>
      </c>
      <c r="AK419" s="3">
        <f t="shared" si="13"/>
        <v>3.9399999999999977</v>
      </c>
    </row>
    <row r="420" spans="1:37">
      <c r="A420">
        <v>10289486</v>
      </c>
      <c r="B420" t="s">
        <v>37</v>
      </c>
      <c r="C420" t="s">
        <v>3040</v>
      </c>
      <c r="E420" t="s">
        <v>3041</v>
      </c>
      <c r="F420" t="s">
        <v>3042</v>
      </c>
      <c r="G420" t="s">
        <v>3043</v>
      </c>
      <c r="H420" t="s">
        <v>42</v>
      </c>
      <c r="I420" t="s">
        <v>3044</v>
      </c>
      <c r="J420" t="s">
        <v>3045</v>
      </c>
      <c r="K420">
        <v>53200</v>
      </c>
      <c r="L420" t="s">
        <v>130</v>
      </c>
      <c r="M420" t="s">
        <v>46</v>
      </c>
      <c r="N420" t="s">
        <v>47</v>
      </c>
      <c r="O420">
        <v>1</v>
      </c>
      <c r="P420">
        <v>1</v>
      </c>
      <c r="Q420">
        <v>1</v>
      </c>
      <c r="R420" t="s">
        <v>48</v>
      </c>
      <c r="S420" t="s">
        <v>49</v>
      </c>
      <c r="T420" s="3">
        <v>0.84</v>
      </c>
      <c r="U420" s="3">
        <v>0.23</v>
      </c>
      <c r="V420" s="3">
        <v>0.94</v>
      </c>
      <c r="W420">
        <v>0.59</v>
      </c>
      <c r="X420" t="s">
        <v>50</v>
      </c>
      <c r="Y420" s="3">
        <v>15.65</v>
      </c>
      <c r="Z420" t="s">
        <v>109</v>
      </c>
      <c r="AA420" t="s">
        <v>2233</v>
      </c>
      <c r="AB420" t="s">
        <v>53</v>
      </c>
      <c r="AC420" s="3">
        <v>1.06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f t="shared" si="12"/>
        <v>18.720000000000002</v>
      </c>
      <c r="AK420" s="3">
        <f t="shared" si="13"/>
        <v>3.0700000000000021</v>
      </c>
    </row>
    <row r="421" spans="1:37">
      <c r="A421">
        <v>10289483</v>
      </c>
      <c r="B421" t="s">
        <v>37</v>
      </c>
      <c r="C421" t="s">
        <v>3046</v>
      </c>
      <c r="E421" t="s">
        <v>3047</v>
      </c>
      <c r="F421" t="s">
        <v>3048</v>
      </c>
      <c r="G421" t="s">
        <v>3049</v>
      </c>
      <c r="H421" t="s">
        <v>42</v>
      </c>
      <c r="I421" t="s">
        <v>3050</v>
      </c>
      <c r="J421" t="s">
        <v>3051</v>
      </c>
      <c r="K421">
        <v>31400</v>
      </c>
      <c r="L421" t="s">
        <v>130</v>
      </c>
      <c r="M421" t="s">
        <v>46</v>
      </c>
      <c r="N421" t="s">
        <v>47</v>
      </c>
      <c r="O421">
        <v>1</v>
      </c>
      <c r="P421">
        <v>1</v>
      </c>
      <c r="Q421">
        <v>1</v>
      </c>
      <c r="R421" t="s">
        <v>48</v>
      </c>
      <c r="S421" t="s">
        <v>49</v>
      </c>
      <c r="T421" s="3">
        <v>0.84</v>
      </c>
      <c r="U421" s="3">
        <v>0.23</v>
      </c>
      <c r="V421" s="3">
        <v>0.94</v>
      </c>
      <c r="W421">
        <v>0.59</v>
      </c>
      <c r="X421" t="s">
        <v>50</v>
      </c>
      <c r="Y421" s="3">
        <v>15.65</v>
      </c>
      <c r="Z421" t="s">
        <v>109</v>
      </c>
      <c r="AA421" t="s">
        <v>1652</v>
      </c>
      <c r="AB421" t="s">
        <v>53</v>
      </c>
      <c r="AC421" s="3">
        <v>1.06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f t="shared" si="12"/>
        <v>18.720000000000002</v>
      </c>
      <c r="AK421" s="3">
        <f t="shared" si="13"/>
        <v>3.0700000000000021</v>
      </c>
    </row>
    <row r="422" spans="1:37">
      <c r="A422">
        <v>10287394</v>
      </c>
      <c r="B422" t="s">
        <v>111</v>
      </c>
      <c r="C422" t="s">
        <v>3052</v>
      </c>
      <c r="E422" t="s">
        <v>2071</v>
      </c>
      <c r="F422" t="s">
        <v>3053</v>
      </c>
      <c r="G422" t="s">
        <v>3054</v>
      </c>
      <c r="H422" t="s">
        <v>117</v>
      </c>
      <c r="I422" t="s">
        <v>3055</v>
      </c>
      <c r="J422" t="s">
        <v>3056</v>
      </c>
      <c r="K422">
        <v>90451</v>
      </c>
      <c r="L422" t="s">
        <v>71</v>
      </c>
      <c r="M422" t="s">
        <v>46</v>
      </c>
      <c r="N422" t="s">
        <v>47</v>
      </c>
      <c r="O422">
        <v>189</v>
      </c>
      <c r="P422">
        <v>6</v>
      </c>
      <c r="Q422">
        <v>189</v>
      </c>
      <c r="R422" t="s">
        <v>48</v>
      </c>
      <c r="S422" t="s">
        <v>49</v>
      </c>
      <c r="T422" s="3">
        <v>7</v>
      </c>
      <c r="U422" s="3">
        <v>0.23</v>
      </c>
      <c r="V422" s="3">
        <v>111.39</v>
      </c>
      <c r="W422">
        <v>78</v>
      </c>
      <c r="X422" t="s">
        <v>72</v>
      </c>
      <c r="Y422" s="3">
        <v>65.69</v>
      </c>
      <c r="Z422" t="s">
        <v>3057</v>
      </c>
      <c r="AA422" t="s">
        <v>3058</v>
      </c>
      <c r="AB422" t="s">
        <v>53</v>
      </c>
      <c r="AC422" s="3">
        <v>11.22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f t="shared" si="12"/>
        <v>195.53</v>
      </c>
      <c r="AK422" s="3">
        <f t="shared" si="13"/>
        <v>129.84</v>
      </c>
    </row>
    <row r="423" spans="1:37">
      <c r="A423">
        <v>10289757</v>
      </c>
      <c r="B423" t="s">
        <v>37</v>
      </c>
      <c r="C423" t="s">
        <v>3059</v>
      </c>
      <c r="E423" t="s">
        <v>3060</v>
      </c>
      <c r="F423" t="s">
        <v>3061</v>
      </c>
      <c r="G423" t="s">
        <v>3062</v>
      </c>
      <c r="H423" t="s">
        <v>42</v>
      </c>
      <c r="I423" t="s">
        <v>3063</v>
      </c>
      <c r="J423" t="s">
        <v>3064</v>
      </c>
      <c r="K423" t="s">
        <v>3065</v>
      </c>
      <c r="L423" t="s">
        <v>82</v>
      </c>
      <c r="M423" t="s">
        <v>46</v>
      </c>
      <c r="N423" t="s">
        <v>47</v>
      </c>
      <c r="O423">
        <v>2</v>
      </c>
      <c r="P423">
        <v>1</v>
      </c>
      <c r="Q423">
        <v>2</v>
      </c>
      <c r="R423" t="s">
        <v>48</v>
      </c>
      <c r="S423" t="s">
        <v>49</v>
      </c>
      <c r="T423" s="3">
        <v>0.84</v>
      </c>
      <c r="U423" s="3">
        <v>0.23</v>
      </c>
      <c r="V423" s="3">
        <v>1.81</v>
      </c>
      <c r="W423">
        <v>1.08</v>
      </c>
      <c r="X423" t="s">
        <v>50</v>
      </c>
      <c r="Y423" s="3">
        <v>10.58</v>
      </c>
      <c r="Z423" t="s">
        <v>109</v>
      </c>
      <c r="AA423" t="s">
        <v>3066</v>
      </c>
      <c r="AB423" t="s">
        <v>53</v>
      </c>
      <c r="AC423" s="3">
        <v>1.06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f t="shared" si="12"/>
        <v>14.520000000000001</v>
      </c>
      <c r="AK423" s="3">
        <f t="shared" si="13"/>
        <v>3.9400000000000013</v>
      </c>
    </row>
    <row r="424" spans="1:37">
      <c r="A424">
        <v>10289488</v>
      </c>
      <c r="B424" t="s">
        <v>37</v>
      </c>
      <c r="C424" t="s">
        <v>3067</v>
      </c>
      <c r="E424" t="s">
        <v>3068</v>
      </c>
      <c r="F424" t="s">
        <v>3069</v>
      </c>
      <c r="G424" t="s">
        <v>3070</v>
      </c>
      <c r="H424" t="s">
        <v>42</v>
      </c>
      <c r="I424" t="s">
        <v>3071</v>
      </c>
      <c r="J424" t="s">
        <v>3072</v>
      </c>
      <c r="K424" t="s">
        <v>3073</v>
      </c>
      <c r="L424" t="s">
        <v>142</v>
      </c>
      <c r="M424" t="s">
        <v>46</v>
      </c>
      <c r="N424" t="s">
        <v>47</v>
      </c>
      <c r="O424">
        <v>4</v>
      </c>
      <c r="P424">
        <v>1</v>
      </c>
      <c r="Q424">
        <v>4</v>
      </c>
      <c r="R424" t="s">
        <v>48</v>
      </c>
      <c r="S424" t="s">
        <v>49</v>
      </c>
      <c r="T424" s="3">
        <v>0.84</v>
      </c>
      <c r="U424" s="3">
        <v>0.23</v>
      </c>
      <c r="V424" s="3">
        <v>3.55</v>
      </c>
      <c r="W424">
        <v>1.66</v>
      </c>
      <c r="X424" t="s">
        <v>50</v>
      </c>
      <c r="Y424" s="3">
        <v>16.43</v>
      </c>
      <c r="Z424" t="s">
        <v>83</v>
      </c>
      <c r="AA424" t="s">
        <v>459</v>
      </c>
      <c r="AB424" t="s">
        <v>53</v>
      </c>
      <c r="AC424" s="3">
        <v>1.27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f t="shared" si="12"/>
        <v>22.32</v>
      </c>
      <c r="AK424" s="3">
        <f t="shared" si="13"/>
        <v>5.8900000000000006</v>
      </c>
    </row>
    <row r="425" spans="1:37">
      <c r="A425">
        <v>10289756</v>
      </c>
      <c r="B425" t="s">
        <v>37</v>
      </c>
      <c r="C425" t="s">
        <v>3074</v>
      </c>
      <c r="E425" t="s">
        <v>3075</v>
      </c>
      <c r="F425" t="s">
        <v>3076</v>
      </c>
      <c r="G425" t="s">
        <v>3077</v>
      </c>
      <c r="H425" t="s">
        <v>42</v>
      </c>
      <c r="I425" t="s">
        <v>3078</v>
      </c>
      <c r="J425" t="s">
        <v>3079</v>
      </c>
      <c r="K425">
        <v>64572</v>
      </c>
      <c r="L425" t="s">
        <v>71</v>
      </c>
      <c r="M425" t="s">
        <v>46</v>
      </c>
      <c r="N425" t="s">
        <v>47</v>
      </c>
      <c r="O425">
        <v>5</v>
      </c>
      <c r="P425">
        <v>1</v>
      </c>
      <c r="Q425">
        <v>5</v>
      </c>
      <c r="R425" t="s">
        <v>48</v>
      </c>
      <c r="S425" t="s">
        <v>49</v>
      </c>
      <c r="T425" s="3">
        <v>0.84</v>
      </c>
      <c r="U425" s="3">
        <v>0.23</v>
      </c>
      <c r="V425" s="3">
        <v>4.42</v>
      </c>
      <c r="W425">
        <v>2.93</v>
      </c>
      <c r="X425" t="s">
        <v>72</v>
      </c>
      <c r="Y425" s="3">
        <v>6.61</v>
      </c>
      <c r="Z425" t="s">
        <v>83</v>
      </c>
      <c r="AA425" t="s">
        <v>3080</v>
      </c>
      <c r="AB425" t="s">
        <v>53</v>
      </c>
      <c r="AC425" s="3">
        <v>1.27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f t="shared" si="12"/>
        <v>13.370000000000001</v>
      </c>
      <c r="AK425" s="3">
        <f t="shared" si="13"/>
        <v>6.7600000000000007</v>
      </c>
    </row>
    <row r="426" spans="1:37">
      <c r="A426">
        <v>10290031</v>
      </c>
      <c r="B426" t="s">
        <v>37</v>
      </c>
      <c r="C426" t="s">
        <v>3081</v>
      </c>
      <c r="E426" t="s">
        <v>3082</v>
      </c>
      <c r="F426" t="s">
        <v>3083</v>
      </c>
      <c r="G426" t="s">
        <v>3084</v>
      </c>
      <c r="H426" t="s">
        <v>42</v>
      </c>
      <c r="I426" t="s">
        <v>3085</v>
      </c>
      <c r="J426" t="s">
        <v>3086</v>
      </c>
      <c r="K426" t="s">
        <v>3087</v>
      </c>
      <c r="L426" t="s">
        <v>142</v>
      </c>
      <c r="M426" t="s">
        <v>46</v>
      </c>
      <c r="N426" t="s">
        <v>47</v>
      </c>
      <c r="O426">
        <v>2</v>
      </c>
      <c r="P426">
        <v>1</v>
      </c>
      <c r="Q426">
        <v>2</v>
      </c>
      <c r="R426" t="s">
        <v>48</v>
      </c>
      <c r="S426" t="s">
        <v>49</v>
      </c>
      <c r="T426" s="3">
        <v>0.84</v>
      </c>
      <c r="U426" s="3">
        <v>0.23</v>
      </c>
      <c r="V426" s="3">
        <v>1.81</v>
      </c>
      <c r="W426">
        <v>1.08</v>
      </c>
      <c r="X426" t="s">
        <v>50</v>
      </c>
      <c r="Y426" s="3">
        <v>16.43</v>
      </c>
      <c r="Z426" t="s">
        <v>109</v>
      </c>
      <c r="AA426" t="s">
        <v>2837</v>
      </c>
      <c r="AB426" t="s">
        <v>53</v>
      </c>
      <c r="AC426" s="3">
        <v>1.06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f t="shared" si="12"/>
        <v>20.369999999999997</v>
      </c>
      <c r="AK426" s="3">
        <f t="shared" si="13"/>
        <v>3.9399999999999977</v>
      </c>
    </row>
    <row r="427" spans="1:37">
      <c r="A427">
        <v>10289253</v>
      </c>
      <c r="B427" t="s">
        <v>37</v>
      </c>
      <c r="C427" t="s">
        <v>3088</v>
      </c>
      <c r="E427" t="s">
        <v>254</v>
      </c>
      <c r="F427" t="s">
        <v>3089</v>
      </c>
      <c r="G427" t="s">
        <v>3090</v>
      </c>
      <c r="H427" t="s">
        <v>42</v>
      </c>
      <c r="I427" t="s">
        <v>3091</v>
      </c>
      <c r="J427" t="s">
        <v>3092</v>
      </c>
      <c r="K427">
        <v>28279</v>
      </c>
      <c r="L427" t="s">
        <v>71</v>
      </c>
      <c r="M427" t="s">
        <v>46</v>
      </c>
      <c r="N427" t="s">
        <v>47</v>
      </c>
      <c r="O427">
        <v>3</v>
      </c>
      <c r="P427">
        <v>1</v>
      </c>
      <c r="Q427">
        <v>3</v>
      </c>
      <c r="R427" t="s">
        <v>48</v>
      </c>
      <c r="S427" t="s">
        <v>49</v>
      </c>
      <c r="T427" s="3">
        <v>0.84</v>
      </c>
      <c r="U427" s="3">
        <v>0.23</v>
      </c>
      <c r="V427" s="3">
        <v>2.68</v>
      </c>
      <c r="W427">
        <v>1.57</v>
      </c>
      <c r="X427" t="s">
        <v>108</v>
      </c>
      <c r="Y427" s="3">
        <v>5.14</v>
      </c>
      <c r="Z427" t="s">
        <v>109</v>
      </c>
      <c r="AA427" t="s">
        <v>3093</v>
      </c>
      <c r="AB427" t="s">
        <v>53</v>
      </c>
      <c r="AC427" s="3">
        <v>1.06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f t="shared" si="12"/>
        <v>9.9499999999999993</v>
      </c>
      <c r="AK427" s="3">
        <f t="shared" si="13"/>
        <v>4.8099999999999996</v>
      </c>
    </row>
    <row r="428" spans="1:37">
      <c r="A428">
        <v>10290033</v>
      </c>
      <c r="B428" t="s">
        <v>37</v>
      </c>
      <c r="C428" t="s">
        <v>3094</v>
      </c>
      <c r="E428" t="s">
        <v>3095</v>
      </c>
      <c r="F428" t="s">
        <v>3096</v>
      </c>
      <c r="G428" t="s">
        <v>3097</v>
      </c>
      <c r="H428" t="s">
        <v>42</v>
      </c>
      <c r="I428" t="s">
        <v>3098</v>
      </c>
      <c r="J428" t="s">
        <v>3099</v>
      </c>
      <c r="K428" t="s">
        <v>3100</v>
      </c>
      <c r="L428" t="s">
        <v>82</v>
      </c>
      <c r="M428" t="s">
        <v>46</v>
      </c>
      <c r="N428" t="s">
        <v>47</v>
      </c>
      <c r="O428">
        <v>1</v>
      </c>
      <c r="P428">
        <v>1</v>
      </c>
      <c r="Q428">
        <v>1</v>
      </c>
      <c r="R428" t="s">
        <v>48</v>
      </c>
      <c r="S428" t="s">
        <v>49</v>
      </c>
      <c r="T428" s="3">
        <v>0.84</v>
      </c>
      <c r="U428" s="3">
        <v>0.23</v>
      </c>
      <c r="V428" s="3">
        <v>0.94</v>
      </c>
      <c r="W428">
        <v>2.1</v>
      </c>
      <c r="X428" t="s">
        <v>50</v>
      </c>
      <c r="Y428" s="3">
        <v>9.19</v>
      </c>
      <c r="Z428" t="s">
        <v>73</v>
      </c>
      <c r="AA428" t="s">
        <v>1671</v>
      </c>
      <c r="AB428" t="s">
        <v>53</v>
      </c>
      <c r="AC428" s="3">
        <v>1.29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f t="shared" si="12"/>
        <v>12.49</v>
      </c>
      <c r="AK428" s="3">
        <f t="shared" si="13"/>
        <v>3.3000000000000007</v>
      </c>
    </row>
    <row r="429" spans="1:37">
      <c r="A429">
        <v>10290032</v>
      </c>
      <c r="B429" t="s">
        <v>37</v>
      </c>
      <c r="C429" t="s">
        <v>3101</v>
      </c>
      <c r="E429" t="s">
        <v>453</v>
      </c>
      <c r="F429" t="s">
        <v>3102</v>
      </c>
      <c r="G429" t="s">
        <v>3103</v>
      </c>
      <c r="H429" t="s">
        <v>42</v>
      </c>
      <c r="I429" t="s">
        <v>3104</v>
      </c>
      <c r="J429" t="s">
        <v>3105</v>
      </c>
      <c r="K429" t="s">
        <v>3106</v>
      </c>
      <c r="L429" t="s">
        <v>142</v>
      </c>
      <c r="M429" t="s">
        <v>46</v>
      </c>
      <c r="N429" t="s">
        <v>47</v>
      </c>
      <c r="O429">
        <v>3</v>
      </c>
      <c r="P429">
        <v>1</v>
      </c>
      <c r="Q429">
        <v>3</v>
      </c>
      <c r="R429" t="s">
        <v>48</v>
      </c>
      <c r="S429" t="s">
        <v>49</v>
      </c>
      <c r="T429" s="3">
        <v>0.84</v>
      </c>
      <c r="U429" s="3">
        <v>0.23</v>
      </c>
      <c r="V429" s="3">
        <v>2.68</v>
      </c>
      <c r="W429">
        <v>1.22</v>
      </c>
      <c r="X429" t="s">
        <v>50</v>
      </c>
      <c r="Y429" s="3">
        <v>17.82</v>
      </c>
      <c r="Z429" t="s">
        <v>109</v>
      </c>
      <c r="AA429" t="s">
        <v>3107</v>
      </c>
      <c r="AB429" t="s">
        <v>53</v>
      </c>
      <c r="AC429" s="3">
        <v>1.06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f t="shared" si="12"/>
        <v>22.63</v>
      </c>
      <c r="AK429" s="3">
        <f t="shared" si="13"/>
        <v>4.8099999999999987</v>
      </c>
    </row>
    <row r="430" spans="1:37">
      <c r="A430">
        <v>10274233</v>
      </c>
      <c r="B430" t="s">
        <v>37</v>
      </c>
      <c r="C430" t="s">
        <v>3108</v>
      </c>
      <c r="E430" t="s">
        <v>3109</v>
      </c>
      <c r="F430" t="s">
        <v>3110</v>
      </c>
      <c r="G430" t="s">
        <v>3111</v>
      </c>
      <c r="H430" t="s">
        <v>42</v>
      </c>
      <c r="I430" t="s">
        <v>3112</v>
      </c>
      <c r="J430" t="s">
        <v>3113</v>
      </c>
      <c r="K430">
        <v>64028</v>
      </c>
      <c r="L430" t="s">
        <v>283</v>
      </c>
      <c r="M430" t="s">
        <v>46</v>
      </c>
      <c r="N430" t="s">
        <v>47</v>
      </c>
      <c r="O430">
        <v>3</v>
      </c>
      <c r="P430">
        <v>1</v>
      </c>
      <c r="Q430">
        <v>3</v>
      </c>
      <c r="R430" t="s">
        <v>48</v>
      </c>
      <c r="S430" t="s">
        <v>49</v>
      </c>
      <c r="T430" s="3">
        <v>0.84</v>
      </c>
      <c r="U430" s="3">
        <v>0.23</v>
      </c>
      <c r="V430" s="3">
        <v>2.68</v>
      </c>
      <c r="W430">
        <v>1.22</v>
      </c>
      <c r="X430" t="s">
        <v>50</v>
      </c>
      <c r="Y430" s="3">
        <v>14.98</v>
      </c>
      <c r="Z430" t="s">
        <v>73</v>
      </c>
      <c r="AA430" t="s">
        <v>3114</v>
      </c>
      <c r="AB430" t="s">
        <v>53</v>
      </c>
      <c r="AC430" s="3">
        <v>1.29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f t="shared" si="12"/>
        <v>20.02</v>
      </c>
      <c r="AK430" s="3">
        <f t="shared" si="13"/>
        <v>5.0399999999999991</v>
      </c>
    </row>
    <row r="431" spans="1:37">
      <c r="A431">
        <v>10270794</v>
      </c>
      <c r="B431" t="s">
        <v>37</v>
      </c>
      <c r="C431" t="s">
        <v>3115</v>
      </c>
      <c r="D431" t="s">
        <v>3116</v>
      </c>
      <c r="E431" t="s">
        <v>3117</v>
      </c>
      <c r="F431" t="s">
        <v>3118</v>
      </c>
      <c r="G431" t="s">
        <v>3119</v>
      </c>
      <c r="H431" t="s">
        <v>42</v>
      </c>
      <c r="I431" t="s">
        <v>3120</v>
      </c>
      <c r="J431" t="s">
        <v>3121</v>
      </c>
      <c r="K431" t="s">
        <v>3122</v>
      </c>
      <c r="L431" t="s">
        <v>91</v>
      </c>
      <c r="M431" t="s">
        <v>46</v>
      </c>
      <c r="N431" t="s">
        <v>47</v>
      </c>
      <c r="O431">
        <v>67</v>
      </c>
      <c r="P431">
        <v>3</v>
      </c>
      <c r="Q431">
        <v>58</v>
      </c>
      <c r="R431" t="s">
        <v>48</v>
      </c>
      <c r="S431" t="s">
        <v>49</v>
      </c>
      <c r="T431" s="3">
        <v>7</v>
      </c>
      <c r="U431" s="3">
        <v>0.23</v>
      </c>
      <c r="V431" s="3">
        <v>54.57</v>
      </c>
      <c r="W431">
        <v>48.44</v>
      </c>
      <c r="X431" t="s">
        <v>50</v>
      </c>
      <c r="Y431" s="3">
        <v>57.64</v>
      </c>
      <c r="Z431" t="s">
        <v>154</v>
      </c>
      <c r="AA431" t="s">
        <v>3123</v>
      </c>
      <c r="AB431" t="s">
        <v>53</v>
      </c>
      <c r="AC431" s="3">
        <v>3.68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f t="shared" si="12"/>
        <v>123.12</v>
      </c>
      <c r="AK431" s="3">
        <f t="shared" si="13"/>
        <v>65.48</v>
      </c>
    </row>
    <row r="432" spans="1:37">
      <c r="A432">
        <v>10290257</v>
      </c>
      <c r="B432" t="s">
        <v>37</v>
      </c>
      <c r="C432" t="s">
        <v>3124</v>
      </c>
      <c r="E432" t="s">
        <v>3125</v>
      </c>
      <c r="F432" t="s">
        <v>3126</v>
      </c>
      <c r="G432" t="s">
        <v>3127</v>
      </c>
      <c r="H432" t="s">
        <v>42</v>
      </c>
      <c r="I432" t="s">
        <v>3128</v>
      </c>
      <c r="J432" t="s">
        <v>3129</v>
      </c>
      <c r="K432">
        <v>2235</v>
      </c>
      <c r="L432" t="s">
        <v>1701</v>
      </c>
      <c r="M432" t="s">
        <v>46</v>
      </c>
      <c r="N432" t="s">
        <v>47</v>
      </c>
      <c r="O432">
        <v>8</v>
      </c>
      <c r="P432">
        <v>1</v>
      </c>
      <c r="Q432">
        <v>8</v>
      </c>
      <c r="R432" t="s">
        <v>48</v>
      </c>
      <c r="S432" t="s">
        <v>49</v>
      </c>
      <c r="T432" s="3">
        <v>0.84</v>
      </c>
      <c r="U432" s="3">
        <v>0.23</v>
      </c>
      <c r="V432" s="3">
        <v>7.03</v>
      </c>
      <c r="W432">
        <v>2.2599999999999998</v>
      </c>
      <c r="X432" t="s">
        <v>1702</v>
      </c>
      <c r="Y432" s="3">
        <v>39.950000000000003</v>
      </c>
      <c r="Z432" t="s">
        <v>73</v>
      </c>
      <c r="AA432" t="s">
        <v>3130</v>
      </c>
      <c r="AB432" t="s">
        <v>53</v>
      </c>
      <c r="AC432" s="3">
        <v>1.29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f t="shared" si="12"/>
        <v>49.34</v>
      </c>
      <c r="AK432" s="3">
        <f t="shared" si="13"/>
        <v>9.39</v>
      </c>
    </row>
    <row r="433" spans="1:37">
      <c r="A433">
        <v>10284483</v>
      </c>
      <c r="B433" t="s">
        <v>111</v>
      </c>
      <c r="C433" t="s">
        <v>3131</v>
      </c>
      <c r="D433" t="s">
        <v>3132</v>
      </c>
      <c r="E433" t="s">
        <v>445</v>
      </c>
      <c r="F433" t="s">
        <v>3133</v>
      </c>
      <c r="G433" t="s">
        <v>3134</v>
      </c>
      <c r="H433" t="s">
        <v>117</v>
      </c>
      <c r="I433" t="s">
        <v>3135</v>
      </c>
      <c r="J433" t="s">
        <v>3136</v>
      </c>
      <c r="K433">
        <v>8670</v>
      </c>
      <c r="L433" t="s">
        <v>505</v>
      </c>
      <c r="M433" t="s">
        <v>46</v>
      </c>
      <c r="N433" t="s">
        <v>47</v>
      </c>
      <c r="O433">
        <v>96</v>
      </c>
      <c r="P433">
        <v>2</v>
      </c>
      <c r="Q433">
        <v>96</v>
      </c>
      <c r="R433" t="s">
        <v>48</v>
      </c>
      <c r="S433" t="s">
        <v>49</v>
      </c>
      <c r="T433" s="3">
        <v>7</v>
      </c>
      <c r="U433" s="3">
        <v>0.23</v>
      </c>
      <c r="V433" s="3">
        <v>76.989999999999995</v>
      </c>
      <c r="W433">
        <v>37.5</v>
      </c>
      <c r="X433" t="s">
        <v>50</v>
      </c>
      <c r="Y433" s="3">
        <v>28.12</v>
      </c>
      <c r="Z433" t="s">
        <v>744</v>
      </c>
      <c r="AA433" t="s">
        <v>3137</v>
      </c>
      <c r="AB433" t="s">
        <v>53</v>
      </c>
      <c r="AC433" s="3">
        <v>3.74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f t="shared" si="12"/>
        <v>116.08</v>
      </c>
      <c r="AK433" s="3">
        <f t="shared" si="13"/>
        <v>87.96</v>
      </c>
    </row>
    <row r="434" spans="1:37">
      <c r="A434">
        <v>10284800</v>
      </c>
      <c r="B434" t="s">
        <v>111</v>
      </c>
      <c r="C434" t="s">
        <v>3138</v>
      </c>
      <c r="D434" t="s">
        <v>3139</v>
      </c>
      <c r="E434" t="s">
        <v>3140</v>
      </c>
      <c r="F434" t="s">
        <v>3141</v>
      </c>
      <c r="G434" t="s">
        <v>3142</v>
      </c>
      <c r="H434" t="s">
        <v>117</v>
      </c>
      <c r="I434" t="s">
        <v>3143</v>
      </c>
      <c r="J434" t="s">
        <v>3144</v>
      </c>
      <c r="K434">
        <v>74000</v>
      </c>
      <c r="L434" t="s">
        <v>130</v>
      </c>
      <c r="M434" t="s">
        <v>46</v>
      </c>
      <c r="N434" t="s">
        <v>47</v>
      </c>
      <c r="O434">
        <v>78</v>
      </c>
      <c r="P434">
        <v>3</v>
      </c>
      <c r="Q434">
        <v>78</v>
      </c>
      <c r="R434" t="s">
        <v>48</v>
      </c>
      <c r="S434" t="s">
        <v>49</v>
      </c>
      <c r="T434" s="3">
        <v>7</v>
      </c>
      <c r="U434" s="3">
        <v>0.23</v>
      </c>
      <c r="V434" s="3">
        <v>66.37</v>
      </c>
      <c r="W434">
        <v>37</v>
      </c>
      <c r="X434" t="s">
        <v>131</v>
      </c>
      <c r="Y434" s="3">
        <v>43.8</v>
      </c>
      <c r="Z434" t="s">
        <v>132</v>
      </c>
      <c r="AA434" t="s">
        <v>3145</v>
      </c>
      <c r="AB434" t="s">
        <v>53</v>
      </c>
      <c r="AC434" s="3">
        <v>5.61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f t="shared" si="12"/>
        <v>123.01</v>
      </c>
      <c r="AK434" s="3">
        <f t="shared" si="13"/>
        <v>79.210000000000008</v>
      </c>
    </row>
    <row r="435" spans="1:37">
      <c r="A435">
        <v>10284114</v>
      </c>
      <c r="B435" t="s">
        <v>111</v>
      </c>
      <c r="C435" t="s">
        <v>3146</v>
      </c>
      <c r="D435" t="s">
        <v>3147</v>
      </c>
      <c r="E435" t="s">
        <v>3148</v>
      </c>
      <c r="F435" t="s">
        <v>3149</v>
      </c>
      <c r="G435" t="s">
        <v>3150</v>
      </c>
      <c r="H435" t="s">
        <v>117</v>
      </c>
      <c r="I435" t="s">
        <v>3151</v>
      </c>
      <c r="J435" t="s">
        <v>3152</v>
      </c>
      <c r="K435">
        <v>79098</v>
      </c>
      <c r="L435" t="s">
        <v>71</v>
      </c>
      <c r="M435" t="s">
        <v>46</v>
      </c>
      <c r="N435" t="s">
        <v>47</v>
      </c>
      <c r="O435">
        <v>70</v>
      </c>
      <c r="P435">
        <v>2</v>
      </c>
      <c r="Q435">
        <v>70</v>
      </c>
      <c r="R435" t="s">
        <v>48</v>
      </c>
      <c r="S435" t="s">
        <v>49</v>
      </c>
      <c r="T435" s="3">
        <v>7</v>
      </c>
      <c r="U435" s="3">
        <v>0.23</v>
      </c>
      <c r="V435" s="3">
        <v>61.65</v>
      </c>
      <c r="W435">
        <v>30</v>
      </c>
      <c r="X435" t="s">
        <v>120</v>
      </c>
      <c r="Y435" s="3">
        <v>12.02</v>
      </c>
      <c r="Z435" t="s">
        <v>744</v>
      </c>
      <c r="AA435" t="s">
        <v>3153</v>
      </c>
      <c r="AB435" t="s">
        <v>53</v>
      </c>
      <c r="AC435" s="3">
        <v>3.74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f t="shared" si="12"/>
        <v>84.64</v>
      </c>
      <c r="AK435" s="3">
        <f t="shared" si="13"/>
        <v>72.62</v>
      </c>
    </row>
    <row r="436" spans="1:37">
      <c r="A436">
        <v>10290500</v>
      </c>
      <c r="B436" t="s">
        <v>37</v>
      </c>
      <c r="C436" t="s">
        <v>3154</v>
      </c>
      <c r="E436" t="s">
        <v>3155</v>
      </c>
      <c r="F436" t="s">
        <v>3156</v>
      </c>
      <c r="G436" t="s">
        <v>3157</v>
      </c>
      <c r="H436" t="s">
        <v>42</v>
      </c>
      <c r="I436" t="s">
        <v>3158</v>
      </c>
      <c r="J436" t="s">
        <v>3159</v>
      </c>
      <c r="K436" t="s">
        <v>3160</v>
      </c>
      <c r="L436" t="s">
        <v>142</v>
      </c>
      <c r="M436" t="s">
        <v>46</v>
      </c>
      <c r="N436" t="s">
        <v>47</v>
      </c>
      <c r="O436">
        <v>2</v>
      </c>
      <c r="P436">
        <v>1</v>
      </c>
      <c r="Q436">
        <v>2</v>
      </c>
      <c r="R436" t="s">
        <v>48</v>
      </c>
      <c r="S436" t="s">
        <v>49</v>
      </c>
      <c r="T436" s="3">
        <v>0.84</v>
      </c>
      <c r="U436" s="3">
        <v>0.23</v>
      </c>
      <c r="V436" s="3">
        <v>1.81</v>
      </c>
      <c r="W436">
        <v>0.88</v>
      </c>
      <c r="X436" t="s">
        <v>50</v>
      </c>
      <c r="Y436" s="3">
        <v>16.43</v>
      </c>
      <c r="Z436" t="s">
        <v>109</v>
      </c>
      <c r="AA436" t="s">
        <v>3161</v>
      </c>
      <c r="AB436" t="s">
        <v>53</v>
      </c>
      <c r="AC436" s="3">
        <v>1.06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f t="shared" si="12"/>
        <v>20.369999999999997</v>
      </c>
      <c r="AK436" s="3">
        <f t="shared" si="13"/>
        <v>3.9399999999999977</v>
      </c>
    </row>
    <row r="437" spans="1:37">
      <c r="A437">
        <v>10290029</v>
      </c>
      <c r="B437" t="s">
        <v>37</v>
      </c>
      <c r="C437" t="s">
        <v>3162</v>
      </c>
      <c r="E437" t="s">
        <v>3163</v>
      </c>
      <c r="F437" t="s">
        <v>1207</v>
      </c>
      <c r="G437" t="s">
        <v>3164</v>
      </c>
      <c r="H437" t="s">
        <v>42</v>
      </c>
      <c r="I437" t="s">
        <v>3165</v>
      </c>
      <c r="J437" t="s">
        <v>3166</v>
      </c>
      <c r="K437" t="s">
        <v>3167</v>
      </c>
      <c r="L437" t="s">
        <v>142</v>
      </c>
      <c r="M437" t="s">
        <v>46</v>
      </c>
      <c r="N437" t="s">
        <v>47</v>
      </c>
      <c r="O437">
        <v>2</v>
      </c>
      <c r="P437">
        <v>1</v>
      </c>
      <c r="Q437">
        <v>2</v>
      </c>
      <c r="R437" t="s">
        <v>48</v>
      </c>
      <c r="S437" t="s">
        <v>49</v>
      </c>
      <c r="T437" s="3">
        <v>0.84</v>
      </c>
      <c r="U437" s="3">
        <v>0.23</v>
      </c>
      <c r="V437" s="3">
        <v>1.81</v>
      </c>
      <c r="W437">
        <v>0.88</v>
      </c>
      <c r="X437" t="s">
        <v>50</v>
      </c>
      <c r="Y437" s="3">
        <v>16.43</v>
      </c>
      <c r="Z437" t="s">
        <v>109</v>
      </c>
      <c r="AA437" t="s">
        <v>3168</v>
      </c>
      <c r="AB437" t="s">
        <v>53</v>
      </c>
      <c r="AC437" s="3">
        <v>1.06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f t="shared" si="12"/>
        <v>20.369999999999997</v>
      </c>
      <c r="AK437" s="3">
        <f t="shared" si="13"/>
        <v>3.9399999999999977</v>
      </c>
    </row>
    <row r="438" spans="1:37">
      <c r="A438">
        <v>10290259</v>
      </c>
      <c r="B438" t="s">
        <v>37</v>
      </c>
      <c r="C438" t="s">
        <v>3169</v>
      </c>
      <c r="E438" t="s">
        <v>3170</v>
      </c>
      <c r="F438" t="s">
        <v>3171</v>
      </c>
      <c r="G438" t="s">
        <v>3172</v>
      </c>
      <c r="H438" t="s">
        <v>42</v>
      </c>
      <c r="I438" t="s">
        <v>3173</v>
      </c>
      <c r="J438" t="s">
        <v>3174</v>
      </c>
      <c r="K438">
        <v>72458</v>
      </c>
      <c r="L438" t="s">
        <v>71</v>
      </c>
      <c r="M438" t="s">
        <v>46</v>
      </c>
      <c r="N438" t="s">
        <v>47</v>
      </c>
      <c r="O438">
        <v>2</v>
      </c>
      <c r="P438">
        <v>1</v>
      </c>
      <c r="Q438">
        <v>2</v>
      </c>
      <c r="R438" t="s">
        <v>48</v>
      </c>
      <c r="S438" t="s">
        <v>49</v>
      </c>
      <c r="T438" s="3">
        <v>0.84</v>
      </c>
      <c r="U438" s="3">
        <v>0.23</v>
      </c>
      <c r="V438" s="3">
        <v>1.81</v>
      </c>
      <c r="W438">
        <v>1.08</v>
      </c>
      <c r="X438" t="s">
        <v>108</v>
      </c>
      <c r="Y438" s="3">
        <v>5.14</v>
      </c>
      <c r="Z438" t="s">
        <v>109</v>
      </c>
      <c r="AA438" t="s">
        <v>2837</v>
      </c>
      <c r="AB438" t="s">
        <v>53</v>
      </c>
      <c r="AC438" s="3">
        <v>1.06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f t="shared" si="12"/>
        <v>9.08</v>
      </c>
      <c r="AK438" s="3">
        <f t="shared" si="13"/>
        <v>3.9400000000000004</v>
      </c>
    </row>
    <row r="439" spans="1:37">
      <c r="A439">
        <v>10290034</v>
      </c>
      <c r="B439" t="s">
        <v>37</v>
      </c>
      <c r="C439" t="s">
        <v>3175</v>
      </c>
      <c r="E439" t="s">
        <v>3176</v>
      </c>
      <c r="F439" t="s">
        <v>3177</v>
      </c>
      <c r="G439" t="s">
        <v>3178</v>
      </c>
      <c r="H439" t="s">
        <v>42</v>
      </c>
      <c r="I439" t="s">
        <v>3179</v>
      </c>
      <c r="J439" t="s">
        <v>3180</v>
      </c>
      <c r="K439" t="s">
        <v>3181</v>
      </c>
      <c r="L439" t="s">
        <v>82</v>
      </c>
      <c r="M439" t="s">
        <v>46</v>
      </c>
      <c r="N439" t="s">
        <v>47</v>
      </c>
      <c r="O439">
        <v>2</v>
      </c>
      <c r="P439">
        <v>1</v>
      </c>
      <c r="Q439">
        <v>2</v>
      </c>
      <c r="R439" t="s">
        <v>48</v>
      </c>
      <c r="S439" t="s">
        <v>49</v>
      </c>
      <c r="T439" s="3">
        <v>0.84</v>
      </c>
      <c r="U439" s="3">
        <v>0.23</v>
      </c>
      <c r="V439" s="3">
        <v>1.81</v>
      </c>
      <c r="W439">
        <v>0.98</v>
      </c>
      <c r="X439" t="s">
        <v>50</v>
      </c>
      <c r="Y439" s="3">
        <v>9.19</v>
      </c>
      <c r="Z439" t="s">
        <v>109</v>
      </c>
      <c r="AA439" t="s">
        <v>3182</v>
      </c>
      <c r="AB439" t="s">
        <v>53</v>
      </c>
      <c r="AC439" s="3">
        <v>1.06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f t="shared" si="12"/>
        <v>13.13</v>
      </c>
      <c r="AK439" s="3">
        <f t="shared" si="13"/>
        <v>3.9400000000000013</v>
      </c>
    </row>
    <row r="440" spans="1:37">
      <c r="A440">
        <v>10291815</v>
      </c>
      <c r="B440" t="s">
        <v>37</v>
      </c>
      <c r="C440" t="s">
        <v>3183</v>
      </c>
      <c r="E440" t="s">
        <v>1673</v>
      </c>
      <c r="F440" t="s">
        <v>3184</v>
      </c>
      <c r="G440" t="s">
        <v>3185</v>
      </c>
      <c r="H440" t="s">
        <v>42</v>
      </c>
      <c r="I440" t="s">
        <v>3186</v>
      </c>
      <c r="J440" t="s">
        <v>3187</v>
      </c>
      <c r="K440" t="s">
        <v>3188</v>
      </c>
      <c r="L440" t="s">
        <v>142</v>
      </c>
      <c r="M440" t="s">
        <v>46</v>
      </c>
      <c r="N440" t="s">
        <v>47</v>
      </c>
      <c r="O440">
        <v>2</v>
      </c>
      <c r="P440">
        <v>1</v>
      </c>
      <c r="Q440">
        <v>2</v>
      </c>
      <c r="R440" t="s">
        <v>48</v>
      </c>
      <c r="S440" t="s">
        <v>49</v>
      </c>
      <c r="T440" s="3">
        <v>0.84</v>
      </c>
      <c r="U440" s="3">
        <v>0.23</v>
      </c>
      <c r="V440" s="3">
        <v>1.81</v>
      </c>
      <c r="W440">
        <v>3.24</v>
      </c>
      <c r="X440" t="s">
        <v>50</v>
      </c>
      <c r="Y440" s="3">
        <v>17.82</v>
      </c>
      <c r="Z440" t="s">
        <v>83</v>
      </c>
      <c r="AA440" t="s">
        <v>3189</v>
      </c>
      <c r="AB440" t="s">
        <v>53</v>
      </c>
      <c r="AC440" s="3">
        <v>1.27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f t="shared" si="12"/>
        <v>21.97</v>
      </c>
      <c r="AK440" s="3">
        <f t="shared" si="13"/>
        <v>4.1499999999999986</v>
      </c>
    </row>
    <row r="441" spans="1:37">
      <c r="A441">
        <v>10292275</v>
      </c>
      <c r="B441" t="s">
        <v>37</v>
      </c>
      <c r="C441" t="s">
        <v>3190</v>
      </c>
      <c r="E441" t="s">
        <v>247</v>
      </c>
      <c r="F441" t="s">
        <v>3191</v>
      </c>
      <c r="G441" t="s">
        <v>3192</v>
      </c>
      <c r="H441" t="s">
        <v>42</v>
      </c>
      <c r="I441" t="s">
        <v>3193</v>
      </c>
      <c r="J441" t="s">
        <v>3194</v>
      </c>
      <c r="K441" t="s">
        <v>3195</v>
      </c>
      <c r="L441" t="s">
        <v>82</v>
      </c>
      <c r="M441" t="s">
        <v>46</v>
      </c>
      <c r="N441" t="s">
        <v>47</v>
      </c>
      <c r="O441">
        <v>5</v>
      </c>
      <c r="P441">
        <v>1</v>
      </c>
      <c r="Q441">
        <v>5</v>
      </c>
      <c r="R441" t="s">
        <v>48</v>
      </c>
      <c r="S441" t="s">
        <v>49</v>
      </c>
      <c r="T441" s="3">
        <v>0.84</v>
      </c>
      <c r="U441" s="3">
        <v>0.23</v>
      </c>
      <c r="V441" s="3">
        <v>4.42</v>
      </c>
      <c r="W441">
        <v>3.26</v>
      </c>
      <c r="X441" t="s">
        <v>50</v>
      </c>
      <c r="Y441" s="3">
        <v>9.19</v>
      </c>
      <c r="Z441" t="s">
        <v>83</v>
      </c>
      <c r="AA441" t="s">
        <v>3196</v>
      </c>
      <c r="AB441" t="s">
        <v>53</v>
      </c>
      <c r="AC441" s="3">
        <v>1.27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f t="shared" si="12"/>
        <v>15.95</v>
      </c>
      <c r="AK441" s="3">
        <f t="shared" si="13"/>
        <v>6.76</v>
      </c>
    </row>
    <row r="442" spans="1:37">
      <c r="A442">
        <v>10292563</v>
      </c>
      <c r="B442" t="s">
        <v>37</v>
      </c>
      <c r="C442" t="s">
        <v>3197</v>
      </c>
      <c r="E442" t="s">
        <v>3198</v>
      </c>
      <c r="F442" t="s">
        <v>3199</v>
      </c>
      <c r="G442" t="s">
        <v>3200</v>
      </c>
      <c r="H442" t="s">
        <v>42</v>
      </c>
      <c r="I442" t="s">
        <v>3201</v>
      </c>
      <c r="J442" t="s">
        <v>3202</v>
      </c>
      <c r="K442">
        <v>27386</v>
      </c>
      <c r="L442" t="s">
        <v>71</v>
      </c>
      <c r="M442" t="s">
        <v>46</v>
      </c>
      <c r="N442" t="s">
        <v>47</v>
      </c>
      <c r="O442">
        <v>2</v>
      </c>
      <c r="P442">
        <v>1</v>
      </c>
      <c r="Q442">
        <v>2</v>
      </c>
      <c r="R442" t="s">
        <v>48</v>
      </c>
      <c r="S442" t="s">
        <v>49</v>
      </c>
      <c r="T442" s="3">
        <v>0.84</v>
      </c>
      <c r="U442" s="3">
        <v>0.23</v>
      </c>
      <c r="V442" s="3">
        <v>1.81</v>
      </c>
      <c r="W442">
        <v>1.08</v>
      </c>
      <c r="X442" t="s">
        <v>108</v>
      </c>
      <c r="Y442" s="3">
        <v>5.14</v>
      </c>
      <c r="Z442" t="s">
        <v>109</v>
      </c>
      <c r="AA442" t="s">
        <v>3203</v>
      </c>
      <c r="AB442" t="s">
        <v>53</v>
      </c>
      <c r="AC442" s="3">
        <v>1.06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f t="shared" si="12"/>
        <v>9.08</v>
      </c>
      <c r="AK442" s="3">
        <f t="shared" si="13"/>
        <v>3.9400000000000004</v>
      </c>
    </row>
    <row r="443" spans="1:37">
      <c r="A443">
        <v>10293212</v>
      </c>
      <c r="B443" t="s">
        <v>37</v>
      </c>
      <c r="C443" t="s">
        <v>3204</v>
      </c>
      <c r="E443" t="s">
        <v>3205</v>
      </c>
      <c r="F443" t="s">
        <v>3206</v>
      </c>
      <c r="G443" t="s">
        <v>3207</v>
      </c>
      <c r="H443" t="s">
        <v>42</v>
      </c>
      <c r="I443" t="s">
        <v>3208</v>
      </c>
      <c r="J443" t="s">
        <v>3209</v>
      </c>
      <c r="K443">
        <v>67000</v>
      </c>
      <c r="L443" t="s">
        <v>130</v>
      </c>
      <c r="M443" t="s">
        <v>46</v>
      </c>
      <c r="N443" t="s">
        <v>47</v>
      </c>
      <c r="O443">
        <v>2</v>
      </c>
      <c r="P443">
        <v>1</v>
      </c>
      <c r="Q443">
        <v>2</v>
      </c>
      <c r="R443" t="s">
        <v>48</v>
      </c>
      <c r="S443" t="s">
        <v>49</v>
      </c>
      <c r="T443" s="3">
        <v>0.84</v>
      </c>
      <c r="U443" s="3">
        <v>0.23</v>
      </c>
      <c r="V443" s="3">
        <v>1.81</v>
      </c>
      <c r="W443">
        <v>1.08</v>
      </c>
      <c r="X443" t="s">
        <v>50</v>
      </c>
      <c r="Y443" s="3">
        <v>15.65</v>
      </c>
      <c r="Z443" t="s">
        <v>109</v>
      </c>
      <c r="AA443" t="s">
        <v>245</v>
      </c>
      <c r="AB443" t="s">
        <v>53</v>
      </c>
      <c r="AC443" s="3">
        <v>1.06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f t="shared" si="12"/>
        <v>19.59</v>
      </c>
      <c r="AK443" s="3">
        <f t="shared" si="13"/>
        <v>3.9399999999999995</v>
      </c>
    </row>
    <row r="444" spans="1:37">
      <c r="A444">
        <v>10291818</v>
      </c>
      <c r="B444" t="s">
        <v>37</v>
      </c>
      <c r="C444" t="s">
        <v>3210</v>
      </c>
      <c r="E444" t="s">
        <v>1865</v>
      </c>
      <c r="F444" t="s">
        <v>3211</v>
      </c>
      <c r="G444" t="s">
        <v>3212</v>
      </c>
      <c r="H444" t="s">
        <v>42</v>
      </c>
      <c r="I444" t="s">
        <v>3213</v>
      </c>
      <c r="J444" t="s">
        <v>3214</v>
      </c>
      <c r="K444" t="s">
        <v>3215</v>
      </c>
      <c r="L444" t="s">
        <v>2198</v>
      </c>
      <c r="M444" t="s">
        <v>46</v>
      </c>
      <c r="N444" t="s">
        <v>47</v>
      </c>
      <c r="O444">
        <v>2</v>
      </c>
      <c r="P444">
        <v>1</v>
      </c>
      <c r="Q444">
        <v>2</v>
      </c>
      <c r="R444" t="s">
        <v>48</v>
      </c>
      <c r="S444" t="s">
        <v>49</v>
      </c>
      <c r="T444" s="3">
        <v>0.84</v>
      </c>
      <c r="U444" s="3">
        <v>0.23</v>
      </c>
      <c r="V444" s="3">
        <v>1.81</v>
      </c>
      <c r="W444">
        <v>0.88</v>
      </c>
      <c r="X444" t="s">
        <v>50</v>
      </c>
      <c r="Y444" s="3">
        <v>16.43</v>
      </c>
      <c r="Z444" t="s">
        <v>109</v>
      </c>
      <c r="AA444" t="s">
        <v>3216</v>
      </c>
      <c r="AB444" t="s">
        <v>53</v>
      </c>
      <c r="AC444" s="3">
        <v>1.06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f t="shared" si="12"/>
        <v>20.369999999999997</v>
      </c>
      <c r="AK444" s="3">
        <f t="shared" si="13"/>
        <v>3.9399999999999977</v>
      </c>
    </row>
    <row r="445" spans="1:37">
      <c r="A445">
        <v>10290503</v>
      </c>
      <c r="B445" t="s">
        <v>37</v>
      </c>
      <c r="C445" t="s">
        <v>3217</v>
      </c>
      <c r="E445" t="s">
        <v>3218</v>
      </c>
      <c r="F445" t="s">
        <v>3219</v>
      </c>
      <c r="G445" t="s">
        <v>3220</v>
      </c>
      <c r="H445" t="s">
        <v>42</v>
      </c>
      <c r="I445" t="s">
        <v>3221</v>
      </c>
      <c r="J445" t="s">
        <v>3222</v>
      </c>
      <c r="K445" t="s">
        <v>3223</v>
      </c>
      <c r="L445" t="s">
        <v>142</v>
      </c>
      <c r="M445" t="s">
        <v>46</v>
      </c>
      <c r="N445" t="s">
        <v>47</v>
      </c>
      <c r="O445">
        <v>4</v>
      </c>
      <c r="P445">
        <v>1</v>
      </c>
      <c r="Q445">
        <v>4</v>
      </c>
      <c r="R445" t="s">
        <v>48</v>
      </c>
      <c r="S445" t="s">
        <v>49</v>
      </c>
      <c r="T445" s="3">
        <v>0.84</v>
      </c>
      <c r="U445" s="3">
        <v>0.23</v>
      </c>
      <c r="V445" s="3">
        <v>3.55</v>
      </c>
      <c r="W445">
        <v>1.65</v>
      </c>
      <c r="X445" t="s">
        <v>50</v>
      </c>
      <c r="Y445" s="3">
        <v>16.43</v>
      </c>
      <c r="Z445" t="s">
        <v>83</v>
      </c>
      <c r="AA445" t="s">
        <v>3224</v>
      </c>
      <c r="AB445" t="s">
        <v>53</v>
      </c>
      <c r="AC445" s="3">
        <v>1.27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f t="shared" si="12"/>
        <v>22.32</v>
      </c>
      <c r="AK445" s="3">
        <f t="shared" si="13"/>
        <v>5.8900000000000006</v>
      </c>
    </row>
    <row r="446" spans="1:37">
      <c r="A446">
        <v>10291615</v>
      </c>
      <c r="B446" t="s">
        <v>37</v>
      </c>
      <c r="C446" t="s">
        <v>3225</v>
      </c>
      <c r="E446" t="s">
        <v>2646</v>
      </c>
      <c r="F446" t="s">
        <v>3226</v>
      </c>
      <c r="G446" t="s">
        <v>3227</v>
      </c>
      <c r="H446" t="s">
        <v>42</v>
      </c>
      <c r="I446" t="s">
        <v>3228</v>
      </c>
      <c r="J446" t="s">
        <v>3229</v>
      </c>
      <c r="K446" t="s">
        <v>3230</v>
      </c>
      <c r="L446" t="s">
        <v>82</v>
      </c>
      <c r="M446" t="s">
        <v>46</v>
      </c>
      <c r="N446" t="s">
        <v>47</v>
      </c>
      <c r="O446">
        <v>2</v>
      </c>
      <c r="P446">
        <v>1</v>
      </c>
      <c r="Q446">
        <v>2</v>
      </c>
      <c r="R446" t="s">
        <v>48</v>
      </c>
      <c r="S446" t="s">
        <v>49</v>
      </c>
      <c r="T446" s="3">
        <v>0.84</v>
      </c>
      <c r="U446" s="3">
        <v>0.23</v>
      </c>
      <c r="V446" s="3">
        <v>1.81</v>
      </c>
      <c r="W446">
        <v>0.88</v>
      </c>
      <c r="X446" t="s">
        <v>50</v>
      </c>
      <c r="Y446" s="3">
        <v>9.19</v>
      </c>
      <c r="Z446" t="s">
        <v>109</v>
      </c>
      <c r="AA446" t="s">
        <v>3231</v>
      </c>
      <c r="AB446" t="s">
        <v>53</v>
      </c>
      <c r="AC446" s="3">
        <v>1.06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f t="shared" si="12"/>
        <v>13.13</v>
      </c>
      <c r="AK446" s="3">
        <f t="shared" si="13"/>
        <v>3.9400000000000013</v>
      </c>
    </row>
    <row r="447" spans="1:37">
      <c r="A447">
        <v>10291814</v>
      </c>
      <c r="B447" t="s">
        <v>37</v>
      </c>
      <c r="C447" t="s">
        <v>3232</v>
      </c>
      <c r="E447" t="s">
        <v>3233</v>
      </c>
      <c r="F447" t="s">
        <v>3234</v>
      </c>
      <c r="G447" t="s">
        <v>3235</v>
      </c>
      <c r="H447" t="s">
        <v>42</v>
      </c>
      <c r="I447" t="s">
        <v>3236</v>
      </c>
      <c r="J447" t="s">
        <v>3237</v>
      </c>
      <c r="K447" t="s">
        <v>3238</v>
      </c>
      <c r="L447" t="s">
        <v>275</v>
      </c>
      <c r="M447" t="s">
        <v>46</v>
      </c>
      <c r="N447" t="s">
        <v>47</v>
      </c>
      <c r="O447">
        <v>3</v>
      </c>
      <c r="P447">
        <v>1</v>
      </c>
      <c r="Q447">
        <v>3</v>
      </c>
      <c r="R447" t="s">
        <v>48</v>
      </c>
      <c r="S447" t="s">
        <v>49</v>
      </c>
      <c r="T447" s="3">
        <v>0.84</v>
      </c>
      <c r="U447" s="3">
        <v>0.23</v>
      </c>
      <c r="V447" s="3">
        <v>2.68</v>
      </c>
      <c r="W447">
        <v>1.1399999999999999</v>
      </c>
      <c r="X447" t="s">
        <v>50</v>
      </c>
      <c r="Y447" s="3">
        <v>16.43</v>
      </c>
      <c r="Z447" t="s">
        <v>109</v>
      </c>
      <c r="AA447" t="s">
        <v>3239</v>
      </c>
      <c r="AB447" t="s">
        <v>53</v>
      </c>
      <c r="AC447" s="3">
        <v>1.06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f t="shared" si="12"/>
        <v>21.24</v>
      </c>
      <c r="AK447" s="3">
        <f t="shared" si="13"/>
        <v>4.8099999999999987</v>
      </c>
    </row>
    <row r="448" spans="1:37">
      <c r="A448">
        <v>10291078</v>
      </c>
      <c r="B448" t="s">
        <v>37</v>
      </c>
      <c r="C448" t="s">
        <v>3240</v>
      </c>
      <c r="D448" t="s">
        <v>3241</v>
      </c>
      <c r="E448" t="s">
        <v>2941</v>
      </c>
      <c r="F448" t="s">
        <v>3242</v>
      </c>
      <c r="G448" t="s">
        <v>3243</v>
      </c>
      <c r="H448" t="s">
        <v>42</v>
      </c>
      <c r="I448" t="s">
        <v>3244</v>
      </c>
      <c r="J448" t="s">
        <v>3245</v>
      </c>
      <c r="K448" t="s">
        <v>3246</v>
      </c>
      <c r="L448" t="s">
        <v>142</v>
      </c>
      <c r="M448" t="s">
        <v>46</v>
      </c>
      <c r="N448" t="s">
        <v>47</v>
      </c>
      <c r="O448">
        <v>2</v>
      </c>
      <c r="P448">
        <v>1</v>
      </c>
      <c r="Q448">
        <v>2</v>
      </c>
      <c r="R448" t="s">
        <v>48</v>
      </c>
      <c r="S448" t="s">
        <v>49</v>
      </c>
      <c r="T448" s="3">
        <v>0.84</v>
      </c>
      <c r="U448" s="3">
        <v>0.23</v>
      </c>
      <c r="V448" s="3">
        <v>1.81</v>
      </c>
      <c r="W448">
        <v>1.08</v>
      </c>
      <c r="X448" t="s">
        <v>50</v>
      </c>
      <c r="Y448" s="3">
        <v>16.43</v>
      </c>
      <c r="Z448" t="s">
        <v>109</v>
      </c>
      <c r="AA448" t="s">
        <v>3247</v>
      </c>
      <c r="AB448" t="s">
        <v>53</v>
      </c>
      <c r="AC448" s="3">
        <v>1.06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f t="shared" si="12"/>
        <v>20.369999999999997</v>
      </c>
      <c r="AK448" s="3">
        <f t="shared" si="13"/>
        <v>3.9399999999999977</v>
      </c>
    </row>
    <row r="449" spans="1:37">
      <c r="A449">
        <v>10291091</v>
      </c>
      <c r="B449" t="s">
        <v>37</v>
      </c>
      <c r="C449" t="s">
        <v>3248</v>
      </c>
      <c r="E449" t="s">
        <v>3249</v>
      </c>
      <c r="F449" t="s">
        <v>3250</v>
      </c>
      <c r="G449" t="s">
        <v>3251</v>
      </c>
      <c r="H449" t="s">
        <v>42</v>
      </c>
      <c r="I449" t="s">
        <v>3252</v>
      </c>
      <c r="J449" t="s">
        <v>3253</v>
      </c>
      <c r="K449">
        <v>2200</v>
      </c>
      <c r="L449" t="s">
        <v>505</v>
      </c>
      <c r="M449" t="s">
        <v>46</v>
      </c>
      <c r="N449" t="s">
        <v>47</v>
      </c>
      <c r="O449">
        <v>5</v>
      </c>
      <c r="P449">
        <v>1</v>
      </c>
      <c r="Q449">
        <v>5</v>
      </c>
      <c r="R449" t="s">
        <v>48</v>
      </c>
      <c r="S449" t="s">
        <v>49</v>
      </c>
      <c r="T449" s="3">
        <v>0.84</v>
      </c>
      <c r="U449" s="3">
        <v>0.23</v>
      </c>
      <c r="V449" s="3">
        <v>4.42</v>
      </c>
      <c r="W449">
        <v>1.8</v>
      </c>
      <c r="X449" t="s">
        <v>50</v>
      </c>
      <c r="Y449" s="3">
        <v>9.19</v>
      </c>
      <c r="Z449" t="s">
        <v>83</v>
      </c>
      <c r="AA449" t="s">
        <v>3254</v>
      </c>
      <c r="AB449" t="s">
        <v>53</v>
      </c>
      <c r="AC449" s="3">
        <v>1.27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f t="shared" si="12"/>
        <v>15.95</v>
      </c>
      <c r="AK449" s="3">
        <f t="shared" si="13"/>
        <v>6.76</v>
      </c>
    </row>
    <row r="450" spans="1:37">
      <c r="A450">
        <v>10291093</v>
      </c>
      <c r="B450" t="s">
        <v>37</v>
      </c>
      <c r="C450" t="s">
        <v>3255</v>
      </c>
      <c r="E450" t="s">
        <v>3256</v>
      </c>
      <c r="F450" t="s">
        <v>3257</v>
      </c>
      <c r="G450" t="s">
        <v>3258</v>
      </c>
      <c r="H450" t="s">
        <v>42</v>
      </c>
      <c r="I450" t="s">
        <v>3259</v>
      </c>
      <c r="J450" t="s">
        <v>3260</v>
      </c>
      <c r="K450" t="s">
        <v>3261</v>
      </c>
      <c r="L450" t="s">
        <v>142</v>
      </c>
      <c r="M450" t="s">
        <v>46</v>
      </c>
      <c r="N450" t="s">
        <v>47</v>
      </c>
      <c r="O450">
        <v>2</v>
      </c>
      <c r="P450">
        <v>1</v>
      </c>
      <c r="Q450">
        <v>2</v>
      </c>
      <c r="R450" t="s">
        <v>48</v>
      </c>
      <c r="S450" t="s">
        <v>49</v>
      </c>
      <c r="T450" s="3">
        <v>0.84</v>
      </c>
      <c r="U450" s="3">
        <v>0.23</v>
      </c>
      <c r="V450" s="3">
        <v>1.81</v>
      </c>
      <c r="W450">
        <v>1.08</v>
      </c>
      <c r="X450" t="s">
        <v>50</v>
      </c>
      <c r="Y450" s="3">
        <v>16.43</v>
      </c>
      <c r="Z450" t="s">
        <v>109</v>
      </c>
      <c r="AA450" t="s">
        <v>3262</v>
      </c>
      <c r="AB450" t="s">
        <v>53</v>
      </c>
      <c r="AC450" s="3">
        <v>1.06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f t="shared" ref="AJ450:AJ513" si="14">AI450+AH450+AG450+AF450+AE450+AD450+AC450+Y450+V450+U450+T450</f>
        <v>20.369999999999997</v>
      </c>
      <c r="AK450" s="3">
        <f t="shared" ref="AK450:AK513" si="15">AJ450-Y450</f>
        <v>3.9399999999999977</v>
      </c>
    </row>
    <row r="451" spans="1:37">
      <c r="A451">
        <v>10291075</v>
      </c>
      <c r="B451" t="s">
        <v>37</v>
      </c>
      <c r="C451" t="s">
        <v>3263</v>
      </c>
      <c r="E451" t="s">
        <v>3264</v>
      </c>
      <c r="F451" t="s">
        <v>3265</v>
      </c>
      <c r="G451" t="s">
        <v>3266</v>
      </c>
      <c r="H451" t="s">
        <v>42</v>
      </c>
      <c r="I451" t="s">
        <v>3267</v>
      </c>
      <c r="J451" t="s">
        <v>3268</v>
      </c>
      <c r="K451">
        <v>1785</v>
      </c>
      <c r="L451" t="s">
        <v>505</v>
      </c>
      <c r="M451" t="s">
        <v>46</v>
      </c>
      <c r="N451" t="s">
        <v>47</v>
      </c>
      <c r="O451">
        <v>3</v>
      </c>
      <c r="P451">
        <v>1</v>
      </c>
      <c r="Q451">
        <v>3</v>
      </c>
      <c r="R451" t="s">
        <v>48</v>
      </c>
      <c r="S451" t="s">
        <v>49</v>
      </c>
      <c r="T451" s="3">
        <v>0.84</v>
      </c>
      <c r="U451" s="3">
        <v>0.23</v>
      </c>
      <c r="V451" s="3">
        <v>2.68</v>
      </c>
      <c r="W451">
        <v>1.57</v>
      </c>
      <c r="X451" t="s">
        <v>50</v>
      </c>
      <c r="Y451" s="3">
        <v>9.19</v>
      </c>
      <c r="Z451" t="s">
        <v>109</v>
      </c>
      <c r="AA451" t="s">
        <v>3269</v>
      </c>
      <c r="AB451" t="s">
        <v>53</v>
      </c>
      <c r="AC451" s="3">
        <v>1.06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f t="shared" si="14"/>
        <v>14</v>
      </c>
      <c r="AK451" s="3">
        <f t="shared" si="15"/>
        <v>4.8100000000000005</v>
      </c>
    </row>
    <row r="452" spans="1:37">
      <c r="A452">
        <v>10292564</v>
      </c>
      <c r="B452" t="s">
        <v>37</v>
      </c>
      <c r="C452" t="s">
        <v>3270</v>
      </c>
      <c r="E452" t="s">
        <v>3271</v>
      </c>
      <c r="F452" t="s">
        <v>3272</v>
      </c>
      <c r="G452" t="s">
        <v>3273</v>
      </c>
      <c r="H452" t="s">
        <v>42</v>
      </c>
      <c r="I452" t="s">
        <v>3274</v>
      </c>
      <c r="J452" t="s">
        <v>3275</v>
      </c>
      <c r="K452">
        <v>32312</v>
      </c>
      <c r="L452" t="s">
        <v>71</v>
      </c>
      <c r="M452" t="s">
        <v>46</v>
      </c>
      <c r="N452" t="s">
        <v>47</v>
      </c>
      <c r="O452">
        <v>3</v>
      </c>
      <c r="P452">
        <v>1</v>
      </c>
      <c r="Q452">
        <v>3</v>
      </c>
      <c r="R452" t="s">
        <v>48</v>
      </c>
      <c r="S452" t="s">
        <v>49</v>
      </c>
      <c r="T452" s="3">
        <v>0.84</v>
      </c>
      <c r="U452" s="3">
        <v>0.23</v>
      </c>
      <c r="V452" s="3">
        <v>2.68</v>
      </c>
      <c r="W452">
        <v>1.47</v>
      </c>
      <c r="X452" t="s">
        <v>108</v>
      </c>
      <c r="Y452" s="3">
        <v>5.14</v>
      </c>
      <c r="Z452" t="s">
        <v>109</v>
      </c>
      <c r="AA452" t="s">
        <v>3276</v>
      </c>
      <c r="AB452" t="s">
        <v>53</v>
      </c>
      <c r="AC452" s="3">
        <v>1.06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f t="shared" si="14"/>
        <v>9.9499999999999993</v>
      </c>
      <c r="AK452" s="3">
        <f t="shared" si="15"/>
        <v>4.8099999999999996</v>
      </c>
    </row>
    <row r="453" spans="1:37">
      <c r="A453">
        <v>10292561</v>
      </c>
      <c r="B453" t="s">
        <v>37</v>
      </c>
      <c r="C453" t="s">
        <v>3277</v>
      </c>
      <c r="E453" t="s">
        <v>3278</v>
      </c>
      <c r="F453" t="s">
        <v>3279</v>
      </c>
      <c r="G453" t="s">
        <v>3280</v>
      </c>
      <c r="H453" t="s">
        <v>42</v>
      </c>
      <c r="I453" t="s">
        <v>3281</v>
      </c>
      <c r="J453" t="s">
        <v>3282</v>
      </c>
      <c r="K453">
        <v>2500</v>
      </c>
      <c r="L453" t="s">
        <v>403</v>
      </c>
      <c r="M453" t="s">
        <v>46</v>
      </c>
      <c r="N453" t="s">
        <v>47</v>
      </c>
      <c r="O453">
        <v>5</v>
      </c>
      <c r="P453">
        <v>1</v>
      </c>
      <c r="Q453">
        <v>5</v>
      </c>
      <c r="R453" t="s">
        <v>48</v>
      </c>
      <c r="S453" t="s">
        <v>49</v>
      </c>
      <c r="T453" s="3">
        <v>0.84</v>
      </c>
      <c r="U453" s="3">
        <v>0.23</v>
      </c>
      <c r="V453" s="3">
        <v>4.42</v>
      </c>
      <c r="W453">
        <v>1.8</v>
      </c>
      <c r="X453" t="s">
        <v>50</v>
      </c>
      <c r="Y453" s="3">
        <v>12.09</v>
      </c>
      <c r="Z453" t="s">
        <v>73</v>
      </c>
      <c r="AA453" t="s">
        <v>2505</v>
      </c>
      <c r="AB453" t="s">
        <v>53</v>
      </c>
      <c r="AC453" s="3">
        <v>1.29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f t="shared" si="14"/>
        <v>18.869999999999997</v>
      </c>
      <c r="AK453" s="3">
        <f t="shared" si="15"/>
        <v>6.7799999999999976</v>
      </c>
    </row>
    <row r="454" spans="1:37">
      <c r="A454">
        <v>10293434</v>
      </c>
      <c r="B454" t="s">
        <v>37</v>
      </c>
      <c r="C454" t="s">
        <v>3283</v>
      </c>
      <c r="E454" t="s">
        <v>664</v>
      </c>
      <c r="F454" t="s">
        <v>3284</v>
      </c>
      <c r="G454" t="s">
        <v>3285</v>
      </c>
      <c r="H454" t="s">
        <v>42</v>
      </c>
      <c r="I454" t="s">
        <v>3286</v>
      </c>
      <c r="J454" t="s">
        <v>3287</v>
      </c>
      <c r="K454" t="s">
        <v>3288</v>
      </c>
      <c r="L454" t="s">
        <v>142</v>
      </c>
      <c r="M454" t="s">
        <v>46</v>
      </c>
      <c r="N454" t="s">
        <v>47</v>
      </c>
      <c r="O454">
        <v>3</v>
      </c>
      <c r="P454">
        <v>1</v>
      </c>
      <c r="Q454">
        <v>3</v>
      </c>
      <c r="R454" t="s">
        <v>48</v>
      </c>
      <c r="S454" t="s">
        <v>49</v>
      </c>
      <c r="T454" s="3">
        <v>0.84</v>
      </c>
      <c r="U454" s="3">
        <v>0.23</v>
      </c>
      <c r="V454" s="3">
        <v>2.68</v>
      </c>
      <c r="W454">
        <v>0.88</v>
      </c>
      <c r="X454" t="s">
        <v>50</v>
      </c>
      <c r="Y454" s="3">
        <v>16.43</v>
      </c>
      <c r="Z454" t="s">
        <v>73</v>
      </c>
      <c r="AA454" t="s">
        <v>3289</v>
      </c>
      <c r="AB454" t="s">
        <v>53</v>
      </c>
      <c r="AC454" s="3">
        <v>1.29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f t="shared" si="14"/>
        <v>21.47</v>
      </c>
      <c r="AK454" s="3">
        <f t="shared" si="15"/>
        <v>5.0399999999999991</v>
      </c>
    </row>
    <row r="455" spans="1:37">
      <c r="A455">
        <v>10291072</v>
      </c>
      <c r="B455" t="s">
        <v>37</v>
      </c>
      <c r="C455" t="s">
        <v>3290</v>
      </c>
      <c r="E455" t="s">
        <v>3291</v>
      </c>
      <c r="F455" t="s">
        <v>3292</v>
      </c>
      <c r="G455" t="s">
        <v>3293</v>
      </c>
      <c r="H455" t="s">
        <v>42</v>
      </c>
      <c r="I455" t="s">
        <v>3294</v>
      </c>
      <c r="J455" t="s">
        <v>3295</v>
      </c>
      <c r="K455" t="s">
        <v>3296</v>
      </c>
      <c r="L455" t="s">
        <v>142</v>
      </c>
      <c r="M455" t="s">
        <v>46</v>
      </c>
      <c r="N455" t="s">
        <v>47</v>
      </c>
      <c r="O455">
        <v>1</v>
      </c>
      <c r="P455">
        <v>1</v>
      </c>
      <c r="Q455">
        <v>1</v>
      </c>
      <c r="R455" t="s">
        <v>48</v>
      </c>
      <c r="S455" t="s">
        <v>49</v>
      </c>
      <c r="T455" s="3">
        <v>0.84</v>
      </c>
      <c r="U455" s="3">
        <v>0.23</v>
      </c>
      <c r="V455" s="3">
        <v>0.94</v>
      </c>
      <c r="W455">
        <v>1.7</v>
      </c>
      <c r="X455" t="s">
        <v>50</v>
      </c>
      <c r="Y455" s="3">
        <v>17.82</v>
      </c>
      <c r="Z455" t="s">
        <v>83</v>
      </c>
      <c r="AA455" t="s">
        <v>3025</v>
      </c>
      <c r="AB455" t="s">
        <v>53</v>
      </c>
      <c r="AC455" s="3">
        <v>1.27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f t="shared" si="14"/>
        <v>21.1</v>
      </c>
      <c r="AK455" s="3">
        <f t="shared" si="15"/>
        <v>3.2800000000000011</v>
      </c>
    </row>
    <row r="456" spans="1:37">
      <c r="A456">
        <v>10291087</v>
      </c>
      <c r="B456" t="s">
        <v>37</v>
      </c>
      <c r="C456" t="s">
        <v>3297</v>
      </c>
      <c r="E456" t="s">
        <v>1688</v>
      </c>
      <c r="F456" t="s">
        <v>3298</v>
      </c>
      <c r="G456" t="s">
        <v>3299</v>
      </c>
      <c r="H456" t="s">
        <v>42</v>
      </c>
      <c r="I456" t="s">
        <v>3300</v>
      </c>
      <c r="J456" t="s">
        <v>3301</v>
      </c>
      <c r="K456" t="s">
        <v>3302</v>
      </c>
      <c r="L456" t="s">
        <v>142</v>
      </c>
      <c r="M456" t="s">
        <v>46</v>
      </c>
      <c r="N456" t="s">
        <v>47</v>
      </c>
      <c r="O456">
        <v>1</v>
      </c>
      <c r="P456">
        <v>1</v>
      </c>
      <c r="Q456">
        <v>1</v>
      </c>
      <c r="R456" t="s">
        <v>48</v>
      </c>
      <c r="S456" t="s">
        <v>49</v>
      </c>
      <c r="T456" s="3">
        <v>0.84</v>
      </c>
      <c r="U456" s="3">
        <v>0.23</v>
      </c>
      <c r="V456" s="3">
        <v>0.94</v>
      </c>
      <c r="W456">
        <v>2.1</v>
      </c>
      <c r="X456" t="s">
        <v>50</v>
      </c>
      <c r="Y456" s="3">
        <v>16.43</v>
      </c>
      <c r="Z456" t="s">
        <v>83</v>
      </c>
      <c r="AA456" t="s">
        <v>1671</v>
      </c>
      <c r="AB456" t="s">
        <v>53</v>
      </c>
      <c r="AC456" s="3">
        <v>1.27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f t="shared" si="14"/>
        <v>19.71</v>
      </c>
      <c r="AK456" s="3">
        <f t="shared" si="15"/>
        <v>3.2800000000000011</v>
      </c>
    </row>
    <row r="457" spans="1:37">
      <c r="A457">
        <v>10293591</v>
      </c>
      <c r="B457" t="s">
        <v>37</v>
      </c>
      <c r="C457" t="s">
        <v>3303</v>
      </c>
      <c r="E457" t="s">
        <v>3304</v>
      </c>
      <c r="F457" t="s">
        <v>3305</v>
      </c>
      <c r="G457" t="s">
        <v>3306</v>
      </c>
      <c r="H457" t="s">
        <v>42</v>
      </c>
      <c r="I457" t="s">
        <v>3307</v>
      </c>
      <c r="J457" t="s">
        <v>3308</v>
      </c>
      <c r="K457">
        <v>65830</v>
      </c>
      <c r="L457" t="s">
        <v>71</v>
      </c>
      <c r="M457" t="s">
        <v>46</v>
      </c>
      <c r="N457" t="s">
        <v>47</v>
      </c>
      <c r="O457">
        <v>1</v>
      </c>
      <c r="P457">
        <v>1</v>
      </c>
      <c r="Q457">
        <v>1</v>
      </c>
      <c r="R457" t="s">
        <v>48</v>
      </c>
      <c r="S457" t="s">
        <v>49</v>
      </c>
      <c r="T457" s="3">
        <v>0.84</v>
      </c>
      <c r="U457" s="3">
        <v>0.23</v>
      </c>
      <c r="V457" s="3">
        <v>0.94</v>
      </c>
      <c r="W457">
        <v>3.1</v>
      </c>
      <c r="X457" t="s">
        <v>72</v>
      </c>
      <c r="Y457" s="3">
        <v>8</v>
      </c>
      <c r="Z457" t="s">
        <v>83</v>
      </c>
      <c r="AA457" t="s">
        <v>894</v>
      </c>
      <c r="AB457" t="s">
        <v>53</v>
      </c>
      <c r="AC457" s="3">
        <v>1.27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f t="shared" si="14"/>
        <v>11.28</v>
      </c>
      <c r="AK457" s="3">
        <f t="shared" si="15"/>
        <v>3.2799999999999994</v>
      </c>
    </row>
    <row r="458" spans="1:37">
      <c r="A458">
        <v>10292562</v>
      </c>
      <c r="B458" t="s">
        <v>37</v>
      </c>
      <c r="C458" t="s">
        <v>3309</v>
      </c>
      <c r="E458" t="s">
        <v>3310</v>
      </c>
      <c r="F458" t="s">
        <v>3311</v>
      </c>
      <c r="G458" t="s">
        <v>3312</v>
      </c>
      <c r="H458" t="s">
        <v>42</v>
      </c>
      <c r="I458" t="s">
        <v>3313</v>
      </c>
      <c r="J458" t="s">
        <v>3314</v>
      </c>
      <c r="K458">
        <v>95679</v>
      </c>
      <c r="L458" t="s">
        <v>71</v>
      </c>
      <c r="M458" t="s">
        <v>46</v>
      </c>
      <c r="N458" t="s">
        <v>47</v>
      </c>
      <c r="O458">
        <v>1</v>
      </c>
      <c r="P458">
        <v>1</v>
      </c>
      <c r="Q458">
        <v>1</v>
      </c>
      <c r="R458" t="s">
        <v>48</v>
      </c>
      <c r="S458" t="s">
        <v>49</v>
      </c>
      <c r="T458" s="3">
        <v>0.84</v>
      </c>
      <c r="U458" s="3">
        <v>0.23</v>
      </c>
      <c r="V458" s="3">
        <v>0.94</v>
      </c>
      <c r="W458">
        <v>0.49</v>
      </c>
      <c r="X458" t="s">
        <v>108</v>
      </c>
      <c r="Y458" s="3">
        <v>5.14</v>
      </c>
      <c r="Z458" t="s">
        <v>109</v>
      </c>
      <c r="AA458" t="s">
        <v>793</v>
      </c>
      <c r="AB458" t="s">
        <v>53</v>
      </c>
      <c r="AC458" s="3">
        <v>1.06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f t="shared" si="14"/>
        <v>8.2099999999999991</v>
      </c>
      <c r="AK458" s="3">
        <f t="shared" si="15"/>
        <v>3.0699999999999994</v>
      </c>
    </row>
    <row r="459" spans="1:37">
      <c r="A459">
        <v>10290722</v>
      </c>
      <c r="B459" t="s">
        <v>37</v>
      </c>
      <c r="C459" t="s">
        <v>3315</v>
      </c>
      <c r="E459" t="s">
        <v>3316</v>
      </c>
      <c r="F459" t="s">
        <v>3317</v>
      </c>
      <c r="G459" t="s">
        <v>3318</v>
      </c>
      <c r="H459" t="s">
        <v>42</v>
      </c>
      <c r="I459" t="s">
        <v>3319</v>
      </c>
      <c r="J459" t="s">
        <v>3320</v>
      </c>
      <c r="K459" t="s">
        <v>3321</v>
      </c>
      <c r="L459" t="s">
        <v>142</v>
      </c>
      <c r="M459" t="s">
        <v>46</v>
      </c>
      <c r="N459" t="s">
        <v>47</v>
      </c>
      <c r="O459">
        <v>1</v>
      </c>
      <c r="P459">
        <v>1</v>
      </c>
      <c r="Q459">
        <v>1</v>
      </c>
      <c r="R459" t="s">
        <v>48</v>
      </c>
      <c r="S459" t="s">
        <v>49</v>
      </c>
      <c r="T459" s="3">
        <v>0.84</v>
      </c>
      <c r="U459" s="3">
        <v>0.23</v>
      </c>
      <c r="V459" s="3">
        <v>0.94</v>
      </c>
      <c r="W459">
        <v>0.59</v>
      </c>
      <c r="X459" t="s">
        <v>50</v>
      </c>
      <c r="Y459" s="3">
        <v>16.43</v>
      </c>
      <c r="Z459" t="s">
        <v>109</v>
      </c>
      <c r="AA459" t="s">
        <v>3322</v>
      </c>
      <c r="AB459" t="s">
        <v>53</v>
      </c>
      <c r="AC459" s="3">
        <v>1.06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f t="shared" si="14"/>
        <v>19.5</v>
      </c>
      <c r="AK459" s="3">
        <f t="shared" si="15"/>
        <v>3.0700000000000003</v>
      </c>
    </row>
    <row r="460" spans="1:37">
      <c r="A460">
        <v>10293211</v>
      </c>
      <c r="B460" t="s">
        <v>37</v>
      </c>
      <c r="C460" t="s">
        <v>3323</v>
      </c>
      <c r="E460" t="s">
        <v>3324</v>
      </c>
      <c r="F460" t="s">
        <v>3325</v>
      </c>
      <c r="G460" t="s">
        <v>3326</v>
      </c>
      <c r="H460" t="s">
        <v>42</v>
      </c>
      <c r="I460" t="s">
        <v>3327</v>
      </c>
      <c r="J460" t="s">
        <v>3328</v>
      </c>
      <c r="K460">
        <v>4417</v>
      </c>
      <c r="L460" t="s">
        <v>369</v>
      </c>
      <c r="M460" t="s">
        <v>46</v>
      </c>
      <c r="N460" t="s">
        <v>47</v>
      </c>
      <c r="O460">
        <v>1</v>
      </c>
      <c r="P460">
        <v>1</v>
      </c>
      <c r="Q460">
        <v>1</v>
      </c>
      <c r="R460" t="s">
        <v>48</v>
      </c>
      <c r="S460" t="s">
        <v>49</v>
      </c>
      <c r="T460" s="3">
        <v>0.84</v>
      </c>
      <c r="U460" s="3">
        <v>0.23</v>
      </c>
      <c r="V460" s="3">
        <v>0.94</v>
      </c>
      <c r="W460">
        <v>0.59</v>
      </c>
      <c r="X460" t="s">
        <v>50</v>
      </c>
      <c r="Y460" s="3">
        <v>10.58</v>
      </c>
      <c r="Z460" t="s">
        <v>109</v>
      </c>
      <c r="AA460" t="s">
        <v>862</v>
      </c>
      <c r="AB460" t="s">
        <v>53</v>
      </c>
      <c r="AC460" s="3">
        <v>1.06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f t="shared" si="14"/>
        <v>13.65</v>
      </c>
      <c r="AK460" s="3">
        <f t="shared" si="15"/>
        <v>3.0700000000000003</v>
      </c>
    </row>
    <row r="461" spans="1:37">
      <c r="A461">
        <v>10291817</v>
      </c>
      <c r="B461" t="s">
        <v>37</v>
      </c>
      <c r="C461" t="s">
        <v>3329</v>
      </c>
      <c r="E461" t="s">
        <v>3330</v>
      </c>
      <c r="F461" t="s">
        <v>3331</v>
      </c>
      <c r="G461" t="s">
        <v>3332</v>
      </c>
      <c r="H461" t="s">
        <v>42</v>
      </c>
      <c r="I461" t="s">
        <v>3333</v>
      </c>
      <c r="J461" t="s">
        <v>3334</v>
      </c>
      <c r="K461" t="s">
        <v>3335</v>
      </c>
      <c r="L461" t="s">
        <v>142</v>
      </c>
      <c r="M461" t="s">
        <v>46</v>
      </c>
      <c r="N461" t="s">
        <v>47</v>
      </c>
      <c r="O461">
        <v>1</v>
      </c>
      <c r="P461">
        <v>1</v>
      </c>
      <c r="Q461">
        <v>1</v>
      </c>
      <c r="R461" t="s">
        <v>48</v>
      </c>
      <c r="S461" t="s">
        <v>49</v>
      </c>
      <c r="T461" s="3">
        <v>0.84</v>
      </c>
      <c r="U461" s="3">
        <v>0.23</v>
      </c>
      <c r="V461" s="3">
        <v>0.94</v>
      </c>
      <c r="W461">
        <v>0.59</v>
      </c>
      <c r="X461" t="s">
        <v>50</v>
      </c>
      <c r="Y461" s="3">
        <v>16.43</v>
      </c>
      <c r="Z461" t="s">
        <v>109</v>
      </c>
      <c r="AA461" t="s">
        <v>2623</v>
      </c>
      <c r="AB461" t="s">
        <v>53</v>
      </c>
      <c r="AC461" s="3">
        <v>1.06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f t="shared" si="14"/>
        <v>19.5</v>
      </c>
      <c r="AK461" s="3">
        <f t="shared" si="15"/>
        <v>3.0700000000000003</v>
      </c>
    </row>
    <row r="462" spans="1:37">
      <c r="A462">
        <v>10291082</v>
      </c>
      <c r="B462" t="s">
        <v>37</v>
      </c>
      <c r="C462" t="s">
        <v>3336</v>
      </c>
      <c r="E462" t="s">
        <v>3337</v>
      </c>
      <c r="F462" t="s">
        <v>3338</v>
      </c>
      <c r="G462" t="s">
        <v>3339</v>
      </c>
      <c r="H462" t="s">
        <v>42</v>
      </c>
      <c r="I462" t="s">
        <v>3340</v>
      </c>
      <c r="J462" t="s">
        <v>3341</v>
      </c>
      <c r="K462" t="s">
        <v>3342</v>
      </c>
      <c r="L462" t="s">
        <v>142</v>
      </c>
      <c r="M462" t="s">
        <v>46</v>
      </c>
      <c r="N462" t="s">
        <v>47</v>
      </c>
      <c r="O462">
        <v>1</v>
      </c>
      <c r="P462">
        <v>1</v>
      </c>
      <c r="Q462">
        <v>1</v>
      </c>
      <c r="R462" t="s">
        <v>48</v>
      </c>
      <c r="S462" t="s">
        <v>49</v>
      </c>
      <c r="T462" s="3">
        <v>0.84</v>
      </c>
      <c r="U462" s="3">
        <v>0.23</v>
      </c>
      <c r="V462" s="3">
        <v>0.94</v>
      </c>
      <c r="W462">
        <v>0.59</v>
      </c>
      <c r="X462" t="s">
        <v>50</v>
      </c>
      <c r="Y462" s="3">
        <v>17.82</v>
      </c>
      <c r="Z462" t="s">
        <v>109</v>
      </c>
      <c r="AA462" t="s">
        <v>996</v>
      </c>
      <c r="AB462" t="s">
        <v>53</v>
      </c>
      <c r="AC462" s="3">
        <v>1.06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f t="shared" si="14"/>
        <v>20.89</v>
      </c>
      <c r="AK462" s="3">
        <f t="shared" si="15"/>
        <v>3.0700000000000003</v>
      </c>
    </row>
    <row r="463" spans="1:37">
      <c r="A463">
        <v>10293018</v>
      </c>
      <c r="B463" t="s">
        <v>37</v>
      </c>
      <c r="C463" t="s">
        <v>3343</v>
      </c>
      <c r="E463" t="s">
        <v>2235</v>
      </c>
      <c r="F463" t="s">
        <v>1763</v>
      </c>
      <c r="G463" t="s">
        <v>3344</v>
      </c>
      <c r="H463" t="s">
        <v>42</v>
      </c>
      <c r="I463" t="s">
        <v>3345</v>
      </c>
      <c r="J463" t="s">
        <v>3346</v>
      </c>
      <c r="K463" t="s">
        <v>3347</v>
      </c>
      <c r="L463" t="s">
        <v>142</v>
      </c>
      <c r="M463" t="s">
        <v>46</v>
      </c>
      <c r="N463" t="s">
        <v>47</v>
      </c>
      <c r="O463">
        <v>1</v>
      </c>
      <c r="P463">
        <v>1</v>
      </c>
      <c r="Q463">
        <v>1</v>
      </c>
      <c r="R463" t="s">
        <v>48</v>
      </c>
      <c r="S463" t="s">
        <v>49</v>
      </c>
      <c r="T463" s="3">
        <v>0.84</v>
      </c>
      <c r="U463" s="3">
        <v>0.23</v>
      </c>
      <c r="V463" s="3">
        <v>0.94</v>
      </c>
      <c r="W463">
        <v>0.49</v>
      </c>
      <c r="X463" t="s">
        <v>50</v>
      </c>
      <c r="Y463" s="3">
        <v>16.43</v>
      </c>
      <c r="Z463" t="s">
        <v>109</v>
      </c>
      <c r="AA463" t="s">
        <v>3348</v>
      </c>
      <c r="AB463" t="s">
        <v>53</v>
      </c>
      <c r="AC463" s="3">
        <v>1.06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f t="shared" si="14"/>
        <v>19.5</v>
      </c>
      <c r="AK463" s="3">
        <f t="shared" si="15"/>
        <v>3.0700000000000003</v>
      </c>
    </row>
    <row r="464" spans="1:37">
      <c r="A464">
        <v>10290501</v>
      </c>
      <c r="B464" t="s">
        <v>37</v>
      </c>
      <c r="C464" t="s">
        <v>3349</v>
      </c>
      <c r="E464" t="s">
        <v>3350</v>
      </c>
      <c r="F464" t="s">
        <v>3351</v>
      </c>
      <c r="G464" t="s">
        <v>3352</v>
      </c>
      <c r="H464" t="s">
        <v>42</v>
      </c>
      <c r="I464" t="s">
        <v>3353</v>
      </c>
      <c r="J464" t="s">
        <v>3354</v>
      </c>
      <c r="K464">
        <v>1370</v>
      </c>
      <c r="L464" t="s">
        <v>505</v>
      </c>
      <c r="M464" t="s">
        <v>46</v>
      </c>
      <c r="N464" t="s">
        <v>47</v>
      </c>
      <c r="O464">
        <v>1</v>
      </c>
      <c r="P464">
        <v>1</v>
      </c>
      <c r="Q464">
        <v>1</v>
      </c>
      <c r="R464" t="s">
        <v>48</v>
      </c>
      <c r="S464" t="s">
        <v>49</v>
      </c>
      <c r="T464" s="3">
        <v>0.84</v>
      </c>
      <c r="U464" s="3">
        <v>0.23</v>
      </c>
      <c r="V464" s="3">
        <v>0.94</v>
      </c>
      <c r="W464">
        <v>0.24</v>
      </c>
      <c r="X464" t="s">
        <v>50</v>
      </c>
      <c r="Y464" s="3">
        <v>10.58</v>
      </c>
      <c r="Z464" t="s">
        <v>109</v>
      </c>
      <c r="AA464" t="s">
        <v>213</v>
      </c>
      <c r="AB464" t="s">
        <v>53</v>
      </c>
      <c r="AC464" s="3">
        <v>1.06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f t="shared" si="14"/>
        <v>13.65</v>
      </c>
      <c r="AK464" s="3">
        <f t="shared" si="15"/>
        <v>3.0700000000000003</v>
      </c>
    </row>
    <row r="465" spans="1:37">
      <c r="A465">
        <v>10292817</v>
      </c>
      <c r="B465" t="s">
        <v>37</v>
      </c>
      <c r="C465" t="s">
        <v>3355</v>
      </c>
      <c r="E465" t="s">
        <v>985</v>
      </c>
      <c r="F465" t="s">
        <v>3356</v>
      </c>
      <c r="G465" t="s">
        <v>3357</v>
      </c>
      <c r="H465" t="s">
        <v>42</v>
      </c>
      <c r="I465" t="s">
        <v>3358</v>
      </c>
      <c r="J465" t="s">
        <v>3359</v>
      </c>
      <c r="K465">
        <v>39130</v>
      </c>
      <c r="L465" t="s">
        <v>71</v>
      </c>
      <c r="M465" t="s">
        <v>46</v>
      </c>
      <c r="N465" t="s">
        <v>47</v>
      </c>
      <c r="O465">
        <v>1</v>
      </c>
      <c r="P465">
        <v>1</v>
      </c>
      <c r="Q465">
        <v>1</v>
      </c>
      <c r="R465" t="s">
        <v>48</v>
      </c>
      <c r="S465" t="s">
        <v>49</v>
      </c>
      <c r="T465" s="3">
        <v>0.84</v>
      </c>
      <c r="U465" s="3">
        <v>0.23</v>
      </c>
      <c r="V465" s="3">
        <v>0.94</v>
      </c>
      <c r="W465">
        <v>0.24</v>
      </c>
      <c r="X465" t="s">
        <v>108</v>
      </c>
      <c r="Y465" s="3">
        <v>6.53</v>
      </c>
      <c r="Z465" t="s">
        <v>109</v>
      </c>
      <c r="AA465" t="s">
        <v>736</v>
      </c>
      <c r="AB465" t="s">
        <v>53</v>
      </c>
      <c r="AC465" s="3">
        <v>1.06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f t="shared" si="14"/>
        <v>9.6</v>
      </c>
      <c r="AK465" s="3">
        <f t="shared" si="15"/>
        <v>3.0699999999999994</v>
      </c>
    </row>
    <row r="466" spans="1:37">
      <c r="A466">
        <v>10293213</v>
      </c>
      <c r="B466" t="s">
        <v>37</v>
      </c>
      <c r="C466" t="s">
        <v>3360</v>
      </c>
      <c r="E466" t="s">
        <v>3361</v>
      </c>
      <c r="F466" t="s">
        <v>3362</v>
      </c>
      <c r="G466" t="s">
        <v>3363</v>
      </c>
      <c r="H466" t="s">
        <v>42</v>
      </c>
      <c r="I466" t="s">
        <v>3364</v>
      </c>
      <c r="J466" t="s">
        <v>3365</v>
      </c>
      <c r="K466" t="s">
        <v>3366</v>
      </c>
      <c r="L466" t="s">
        <v>142</v>
      </c>
      <c r="M466" t="s">
        <v>46</v>
      </c>
      <c r="N466" t="s">
        <v>47</v>
      </c>
      <c r="O466">
        <v>1</v>
      </c>
      <c r="P466">
        <v>1</v>
      </c>
      <c r="Q466">
        <v>1</v>
      </c>
      <c r="R466" t="s">
        <v>48</v>
      </c>
      <c r="S466" t="s">
        <v>49</v>
      </c>
      <c r="T466" s="3">
        <v>0.84</v>
      </c>
      <c r="U466" s="3">
        <v>0.23</v>
      </c>
      <c r="V466" s="3">
        <v>0.94</v>
      </c>
      <c r="W466">
        <v>0.55000000000000004</v>
      </c>
      <c r="X466" t="s">
        <v>50</v>
      </c>
      <c r="Y466" s="3">
        <v>16.43</v>
      </c>
      <c r="Z466" t="s">
        <v>73</v>
      </c>
      <c r="AA466" t="s">
        <v>3367</v>
      </c>
      <c r="AB466" t="s">
        <v>53</v>
      </c>
      <c r="AC466" s="3">
        <v>1.29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f t="shared" si="14"/>
        <v>19.73</v>
      </c>
      <c r="AK466" s="3">
        <f t="shared" si="15"/>
        <v>3.3000000000000007</v>
      </c>
    </row>
    <row r="467" spans="1:37">
      <c r="A467">
        <v>10291614</v>
      </c>
      <c r="B467" t="s">
        <v>37</v>
      </c>
      <c r="C467" t="s">
        <v>3368</v>
      </c>
      <c r="E467" t="s">
        <v>500</v>
      </c>
      <c r="F467" t="s">
        <v>3369</v>
      </c>
      <c r="G467" t="s">
        <v>3370</v>
      </c>
      <c r="H467" t="s">
        <v>42</v>
      </c>
      <c r="I467" t="s">
        <v>3371</v>
      </c>
      <c r="J467" t="s">
        <v>3372</v>
      </c>
      <c r="K467">
        <v>65929</v>
      </c>
      <c r="L467" t="s">
        <v>71</v>
      </c>
      <c r="M467" t="s">
        <v>46</v>
      </c>
      <c r="N467" t="s">
        <v>47</v>
      </c>
      <c r="O467">
        <v>3</v>
      </c>
      <c r="P467">
        <v>1</v>
      </c>
      <c r="Q467">
        <v>3</v>
      </c>
      <c r="R467" t="s">
        <v>48</v>
      </c>
      <c r="S467" t="s">
        <v>49</v>
      </c>
      <c r="T467" s="3">
        <v>0.84</v>
      </c>
      <c r="U467" s="3">
        <v>0.23</v>
      </c>
      <c r="V467" s="3">
        <v>2.68</v>
      </c>
      <c r="W467">
        <v>3.39</v>
      </c>
      <c r="X467" t="s">
        <v>72</v>
      </c>
      <c r="Y467" s="3">
        <v>16.32</v>
      </c>
      <c r="Z467" t="s">
        <v>83</v>
      </c>
      <c r="AA467" t="s">
        <v>3373</v>
      </c>
      <c r="AB467" t="s">
        <v>53</v>
      </c>
      <c r="AC467" s="3">
        <v>1.27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f t="shared" si="14"/>
        <v>21.34</v>
      </c>
      <c r="AK467" s="3">
        <f t="shared" si="15"/>
        <v>5.0199999999999996</v>
      </c>
    </row>
    <row r="468" spans="1:37">
      <c r="A468">
        <v>10291816</v>
      </c>
      <c r="B468" t="s">
        <v>37</v>
      </c>
      <c r="C468" t="s">
        <v>3374</v>
      </c>
      <c r="E468" t="s">
        <v>3375</v>
      </c>
      <c r="F468" t="s">
        <v>3376</v>
      </c>
      <c r="G468" t="s">
        <v>3377</v>
      </c>
      <c r="H468" t="s">
        <v>42</v>
      </c>
      <c r="I468" t="s">
        <v>3378</v>
      </c>
      <c r="J468" t="s">
        <v>3379</v>
      </c>
      <c r="K468">
        <v>5020</v>
      </c>
      <c r="L468" t="s">
        <v>618</v>
      </c>
      <c r="M468" t="s">
        <v>46</v>
      </c>
      <c r="N468" t="s">
        <v>47</v>
      </c>
      <c r="O468">
        <v>4</v>
      </c>
      <c r="P468">
        <v>1</v>
      </c>
      <c r="Q468">
        <v>4</v>
      </c>
      <c r="R468" t="s">
        <v>48</v>
      </c>
      <c r="S468" t="s">
        <v>49</v>
      </c>
      <c r="T468" s="3">
        <v>0.84</v>
      </c>
      <c r="U468" s="3">
        <v>0.23</v>
      </c>
      <c r="V468" s="3">
        <v>3.55</v>
      </c>
      <c r="W468">
        <v>2.97</v>
      </c>
      <c r="X468" t="s">
        <v>50</v>
      </c>
      <c r="Y468" s="3">
        <v>9.19</v>
      </c>
      <c r="Z468" t="s">
        <v>83</v>
      </c>
      <c r="AA468" t="s">
        <v>3380</v>
      </c>
      <c r="AB468" t="s">
        <v>53</v>
      </c>
      <c r="AC468" s="3">
        <v>1.27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f t="shared" si="14"/>
        <v>15.079999999999998</v>
      </c>
      <c r="AK468" s="3">
        <f t="shared" si="15"/>
        <v>5.8899999999999988</v>
      </c>
    </row>
    <row r="469" spans="1:37">
      <c r="A469">
        <v>10291819</v>
      </c>
      <c r="B469" t="s">
        <v>37</v>
      </c>
      <c r="C469" t="s">
        <v>3381</v>
      </c>
      <c r="E469" t="s">
        <v>3382</v>
      </c>
      <c r="F469" t="s">
        <v>3383</v>
      </c>
      <c r="G469" t="s">
        <v>3384</v>
      </c>
      <c r="H469" t="s">
        <v>42</v>
      </c>
      <c r="I469" t="s">
        <v>3385</v>
      </c>
      <c r="J469" t="s">
        <v>3386</v>
      </c>
      <c r="K469">
        <v>8872</v>
      </c>
      <c r="L469" t="s">
        <v>45</v>
      </c>
      <c r="M469" t="s">
        <v>46</v>
      </c>
      <c r="N469" t="s">
        <v>47</v>
      </c>
      <c r="O469">
        <v>1</v>
      </c>
      <c r="P469">
        <v>1</v>
      </c>
      <c r="Q469">
        <v>1</v>
      </c>
      <c r="R469" t="s">
        <v>48</v>
      </c>
      <c r="S469" t="s">
        <v>49</v>
      </c>
      <c r="T469" s="3">
        <v>0.84</v>
      </c>
      <c r="U469" s="3">
        <v>0.23</v>
      </c>
      <c r="V469" s="3">
        <v>0.94</v>
      </c>
      <c r="W469">
        <v>1.5</v>
      </c>
      <c r="X469" t="s">
        <v>3387</v>
      </c>
      <c r="Y469" s="3">
        <v>33.090000000000003</v>
      </c>
      <c r="Z469" t="s">
        <v>73</v>
      </c>
      <c r="AA469" t="s">
        <v>259</v>
      </c>
      <c r="AB469" t="s">
        <v>53</v>
      </c>
      <c r="AC469" s="3">
        <v>1.29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f t="shared" si="14"/>
        <v>36.39</v>
      </c>
      <c r="AK469" s="3">
        <f t="shared" si="15"/>
        <v>3.2999999999999972</v>
      </c>
    </row>
    <row r="470" spans="1:37">
      <c r="A470">
        <v>10291085</v>
      </c>
      <c r="B470" t="s">
        <v>37</v>
      </c>
      <c r="C470" t="s">
        <v>3388</v>
      </c>
      <c r="E470" t="s">
        <v>3389</v>
      </c>
      <c r="F470" t="s">
        <v>3390</v>
      </c>
      <c r="G470" t="s">
        <v>3391</v>
      </c>
      <c r="H470" t="s">
        <v>42</v>
      </c>
      <c r="I470" t="s">
        <v>3392</v>
      </c>
      <c r="J470" t="s">
        <v>3393</v>
      </c>
      <c r="K470">
        <v>5000</v>
      </c>
      <c r="L470" t="s">
        <v>505</v>
      </c>
      <c r="M470" t="s">
        <v>46</v>
      </c>
      <c r="N470" t="s">
        <v>47</v>
      </c>
      <c r="O470">
        <v>1</v>
      </c>
      <c r="P470">
        <v>1</v>
      </c>
      <c r="Q470">
        <v>1</v>
      </c>
      <c r="R470" t="s">
        <v>48</v>
      </c>
      <c r="S470" t="s">
        <v>49</v>
      </c>
      <c r="T470" s="3">
        <v>0.84</v>
      </c>
      <c r="U470" s="3">
        <v>0.23</v>
      </c>
      <c r="V470" s="3">
        <v>0.94</v>
      </c>
      <c r="W470">
        <v>0.59</v>
      </c>
      <c r="X470" t="s">
        <v>50</v>
      </c>
      <c r="Y470" s="3">
        <v>9.19</v>
      </c>
      <c r="Z470" t="s">
        <v>109</v>
      </c>
      <c r="AA470" t="s">
        <v>1119</v>
      </c>
      <c r="AB470" t="s">
        <v>53</v>
      </c>
      <c r="AC470" s="3">
        <v>1.06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f t="shared" si="14"/>
        <v>12.26</v>
      </c>
      <c r="AK470" s="3">
        <f t="shared" si="15"/>
        <v>3.0700000000000003</v>
      </c>
    </row>
    <row r="471" spans="1:37">
      <c r="A471">
        <v>10285623</v>
      </c>
      <c r="B471" t="s">
        <v>37</v>
      </c>
      <c r="C471" t="s">
        <v>3394</v>
      </c>
      <c r="E471" t="s">
        <v>372</v>
      </c>
      <c r="F471" t="s">
        <v>3395</v>
      </c>
      <c r="G471" t="s">
        <v>3396</v>
      </c>
      <c r="H471" t="s">
        <v>42</v>
      </c>
      <c r="I471" t="s">
        <v>3397</v>
      </c>
      <c r="J471" t="s">
        <v>3398</v>
      </c>
      <c r="K471">
        <v>73337</v>
      </c>
      <c r="L471" t="s">
        <v>71</v>
      </c>
      <c r="M471" t="s">
        <v>46</v>
      </c>
      <c r="N471" t="s">
        <v>47</v>
      </c>
      <c r="O471">
        <v>12</v>
      </c>
      <c r="P471">
        <v>1</v>
      </c>
      <c r="Q471">
        <v>12</v>
      </c>
      <c r="R471" t="s">
        <v>48</v>
      </c>
      <c r="S471" t="s">
        <v>49</v>
      </c>
      <c r="T471" s="3">
        <v>7</v>
      </c>
      <c r="U471" s="3">
        <v>0.23</v>
      </c>
      <c r="V471" s="3">
        <v>15.82</v>
      </c>
      <c r="W471">
        <v>5.33</v>
      </c>
      <c r="X471" t="s">
        <v>72</v>
      </c>
      <c r="Y471" s="3">
        <v>7.46</v>
      </c>
      <c r="Z471" t="s">
        <v>83</v>
      </c>
      <c r="AA471" t="s">
        <v>3399</v>
      </c>
      <c r="AB471" t="s">
        <v>53</v>
      </c>
      <c r="AC471" s="3">
        <v>1.27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f t="shared" si="14"/>
        <v>31.78</v>
      </c>
      <c r="AK471" s="3">
        <f t="shared" si="15"/>
        <v>24.32</v>
      </c>
    </row>
    <row r="472" spans="1:37">
      <c r="A472">
        <v>10294048</v>
      </c>
      <c r="B472" t="s">
        <v>37</v>
      </c>
      <c r="C472" t="s">
        <v>3400</v>
      </c>
      <c r="E472" t="s">
        <v>3401</v>
      </c>
      <c r="F472" t="s">
        <v>3402</v>
      </c>
      <c r="G472" t="s">
        <v>3403</v>
      </c>
      <c r="H472" t="s">
        <v>42</v>
      </c>
      <c r="I472" t="s">
        <v>3404</v>
      </c>
      <c r="J472" t="s">
        <v>3405</v>
      </c>
      <c r="K472">
        <v>2970</v>
      </c>
      <c r="L472" t="s">
        <v>505</v>
      </c>
      <c r="M472" t="s">
        <v>46</v>
      </c>
      <c r="N472" t="s">
        <v>47</v>
      </c>
      <c r="O472">
        <v>4</v>
      </c>
      <c r="P472">
        <v>1</v>
      </c>
      <c r="Q472">
        <v>4</v>
      </c>
      <c r="R472" t="s">
        <v>48</v>
      </c>
      <c r="S472" t="s">
        <v>49</v>
      </c>
      <c r="T472" s="3">
        <v>0.84</v>
      </c>
      <c r="U472" s="3">
        <v>0.23</v>
      </c>
      <c r="V472" s="3">
        <v>3.55</v>
      </c>
      <c r="W472">
        <v>1.66</v>
      </c>
      <c r="X472" t="s">
        <v>50</v>
      </c>
      <c r="Y472" s="3">
        <v>9.19</v>
      </c>
      <c r="Z472" t="s">
        <v>73</v>
      </c>
      <c r="AA472" t="s">
        <v>583</v>
      </c>
      <c r="AB472" t="s">
        <v>53</v>
      </c>
      <c r="AC472" s="3">
        <v>1.29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f t="shared" si="14"/>
        <v>15.100000000000001</v>
      </c>
      <c r="AK472" s="3">
        <f t="shared" si="15"/>
        <v>5.9100000000000019</v>
      </c>
    </row>
    <row r="473" spans="1:37">
      <c r="A473">
        <v>10294296</v>
      </c>
      <c r="B473" t="s">
        <v>37</v>
      </c>
      <c r="C473" t="s">
        <v>3406</v>
      </c>
      <c r="E473" t="s">
        <v>3407</v>
      </c>
      <c r="F473" t="s">
        <v>3408</v>
      </c>
      <c r="G473" t="s">
        <v>3409</v>
      </c>
      <c r="H473" t="s">
        <v>42</v>
      </c>
      <c r="I473" t="s">
        <v>3410</v>
      </c>
      <c r="J473" t="s">
        <v>3411</v>
      </c>
      <c r="K473" t="s">
        <v>3412</v>
      </c>
      <c r="L473" t="s">
        <v>142</v>
      </c>
      <c r="M473" t="s">
        <v>46</v>
      </c>
      <c r="N473" t="s">
        <v>47</v>
      </c>
      <c r="O473">
        <v>4</v>
      </c>
      <c r="P473">
        <v>1</v>
      </c>
      <c r="Q473">
        <v>4</v>
      </c>
      <c r="R473" t="s">
        <v>48</v>
      </c>
      <c r="S473" t="s">
        <v>49</v>
      </c>
      <c r="T473" s="3">
        <v>0.84</v>
      </c>
      <c r="U473" s="3">
        <v>0.23</v>
      </c>
      <c r="V473" s="3">
        <v>3.55</v>
      </c>
      <c r="W473">
        <v>1.66</v>
      </c>
      <c r="X473" t="s">
        <v>50</v>
      </c>
      <c r="Y473" s="3">
        <v>16.43</v>
      </c>
      <c r="Z473" t="s">
        <v>73</v>
      </c>
      <c r="AA473" t="s">
        <v>583</v>
      </c>
      <c r="AB473" t="s">
        <v>53</v>
      </c>
      <c r="AC473" s="3">
        <v>1.29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f t="shared" si="14"/>
        <v>22.34</v>
      </c>
      <c r="AK473" s="3">
        <f t="shared" si="15"/>
        <v>5.91</v>
      </c>
    </row>
    <row r="474" spans="1:37">
      <c r="A474">
        <v>10279672</v>
      </c>
      <c r="B474" t="s">
        <v>37</v>
      </c>
      <c r="C474" t="s">
        <v>3413</v>
      </c>
      <c r="E474" t="s">
        <v>657</v>
      </c>
      <c r="F474" t="s">
        <v>3414</v>
      </c>
      <c r="G474" t="s">
        <v>3415</v>
      </c>
      <c r="H474" t="s">
        <v>42</v>
      </c>
      <c r="I474" t="s">
        <v>3416</v>
      </c>
      <c r="J474" t="s">
        <v>3417</v>
      </c>
      <c r="K474">
        <v>22769</v>
      </c>
      <c r="L474" t="s">
        <v>71</v>
      </c>
      <c r="M474" t="s">
        <v>46</v>
      </c>
      <c r="N474" t="s">
        <v>47</v>
      </c>
      <c r="O474">
        <v>1</v>
      </c>
      <c r="P474">
        <v>1</v>
      </c>
      <c r="Q474">
        <v>1</v>
      </c>
      <c r="R474" t="s">
        <v>48</v>
      </c>
      <c r="S474" t="s">
        <v>49</v>
      </c>
      <c r="T474" s="3">
        <v>0.84</v>
      </c>
      <c r="U474" s="3">
        <v>0.23</v>
      </c>
      <c r="V474" s="3">
        <v>0.94</v>
      </c>
      <c r="W474">
        <v>0.59</v>
      </c>
      <c r="X474" t="s">
        <v>108</v>
      </c>
      <c r="Y474" s="3">
        <v>5.14</v>
      </c>
      <c r="Z474" t="s">
        <v>109</v>
      </c>
      <c r="AA474" t="s">
        <v>996</v>
      </c>
      <c r="AB474" t="s">
        <v>53</v>
      </c>
      <c r="AC474" s="3">
        <v>1.06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f t="shared" si="14"/>
        <v>8.2099999999999991</v>
      </c>
      <c r="AK474" s="3">
        <f t="shared" si="15"/>
        <v>3.0699999999999994</v>
      </c>
    </row>
    <row r="475" spans="1:37">
      <c r="A475">
        <v>10291365</v>
      </c>
      <c r="B475" t="s">
        <v>111</v>
      </c>
      <c r="C475" t="s">
        <v>3418</v>
      </c>
      <c r="D475" t="s">
        <v>3419</v>
      </c>
      <c r="E475" t="s">
        <v>437</v>
      </c>
      <c r="F475" t="s">
        <v>3420</v>
      </c>
      <c r="G475" t="s">
        <v>3421</v>
      </c>
      <c r="H475" t="s">
        <v>117</v>
      </c>
      <c r="I475" t="s">
        <v>3422</v>
      </c>
      <c r="J475" t="s">
        <v>3423</v>
      </c>
      <c r="K475">
        <v>33330</v>
      </c>
      <c r="L475" t="s">
        <v>71</v>
      </c>
      <c r="M475" t="s">
        <v>46</v>
      </c>
      <c r="N475" t="s">
        <v>47</v>
      </c>
      <c r="O475">
        <v>49</v>
      </c>
      <c r="P475">
        <v>1</v>
      </c>
      <c r="Q475">
        <v>49</v>
      </c>
      <c r="R475" t="s">
        <v>48</v>
      </c>
      <c r="S475" t="s">
        <v>49</v>
      </c>
      <c r="T475" s="3">
        <v>7</v>
      </c>
      <c r="U475" s="3">
        <v>0.23</v>
      </c>
      <c r="V475" s="3">
        <v>48.99</v>
      </c>
      <c r="W475">
        <v>19</v>
      </c>
      <c r="X475" t="s">
        <v>72</v>
      </c>
      <c r="Y475" s="3">
        <v>15.1</v>
      </c>
      <c r="Z475" t="s">
        <v>51</v>
      </c>
      <c r="AA475" t="s">
        <v>3424</v>
      </c>
      <c r="AB475" t="s">
        <v>53</v>
      </c>
      <c r="AC475" s="3">
        <v>1.87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f t="shared" si="14"/>
        <v>73.190000000000012</v>
      </c>
      <c r="AK475" s="3">
        <f t="shared" si="15"/>
        <v>58.090000000000011</v>
      </c>
    </row>
    <row r="476" spans="1:37">
      <c r="A476">
        <v>10294047</v>
      </c>
      <c r="B476" t="s">
        <v>37</v>
      </c>
      <c r="C476" t="s">
        <v>3425</v>
      </c>
      <c r="E476" t="s">
        <v>3426</v>
      </c>
      <c r="F476" t="s">
        <v>3427</v>
      </c>
      <c r="G476" t="s">
        <v>3428</v>
      </c>
      <c r="H476" t="s">
        <v>42</v>
      </c>
      <c r="I476" t="s">
        <v>3429</v>
      </c>
      <c r="J476" t="s">
        <v>3430</v>
      </c>
      <c r="K476" t="s">
        <v>3431</v>
      </c>
      <c r="L476" t="s">
        <v>82</v>
      </c>
      <c r="M476" t="s">
        <v>46</v>
      </c>
      <c r="N476" t="s">
        <v>47</v>
      </c>
      <c r="O476">
        <v>2</v>
      </c>
      <c r="P476">
        <v>1</v>
      </c>
      <c r="Q476">
        <v>2</v>
      </c>
      <c r="R476" t="s">
        <v>48</v>
      </c>
      <c r="S476" t="s">
        <v>49</v>
      </c>
      <c r="T476" s="3">
        <v>0.84</v>
      </c>
      <c r="U476" s="3">
        <v>0.23</v>
      </c>
      <c r="V476" s="3">
        <v>1.81</v>
      </c>
      <c r="W476">
        <v>1.08</v>
      </c>
      <c r="X476" t="s">
        <v>50</v>
      </c>
      <c r="Y476" s="3">
        <v>9.19</v>
      </c>
      <c r="Z476" t="s">
        <v>109</v>
      </c>
      <c r="AA476" t="s">
        <v>3432</v>
      </c>
      <c r="AB476" t="s">
        <v>53</v>
      </c>
      <c r="AC476" s="3">
        <v>1.06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f t="shared" si="14"/>
        <v>13.13</v>
      </c>
      <c r="AK476" s="3">
        <f t="shared" si="15"/>
        <v>3.9400000000000013</v>
      </c>
    </row>
    <row r="477" spans="1:37">
      <c r="A477">
        <v>10294295</v>
      </c>
      <c r="B477" t="s">
        <v>37</v>
      </c>
      <c r="C477" t="s">
        <v>3433</v>
      </c>
      <c r="E477" t="s">
        <v>2653</v>
      </c>
      <c r="F477" t="s">
        <v>3434</v>
      </c>
      <c r="G477" t="s">
        <v>3435</v>
      </c>
      <c r="H477" t="s">
        <v>42</v>
      </c>
      <c r="I477" t="s">
        <v>3436</v>
      </c>
      <c r="J477" t="s">
        <v>3437</v>
      </c>
      <c r="K477">
        <v>52223</v>
      </c>
      <c r="L477" t="s">
        <v>71</v>
      </c>
      <c r="M477" t="s">
        <v>46</v>
      </c>
      <c r="N477" t="s">
        <v>47</v>
      </c>
      <c r="O477">
        <v>2</v>
      </c>
      <c r="P477">
        <v>1</v>
      </c>
      <c r="Q477">
        <v>2</v>
      </c>
      <c r="R477" t="s">
        <v>48</v>
      </c>
      <c r="S477" t="s">
        <v>49</v>
      </c>
      <c r="T477" s="3">
        <v>0.84</v>
      </c>
      <c r="U477" s="3">
        <v>0.23</v>
      </c>
      <c r="V477" s="3">
        <v>1.81</v>
      </c>
      <c r="W477">
        <v>0.88</v>
      </c>
      <c r="X477" t="s">
        <v>108</v>
      </c>
      <c r="Y477" s="3">
        <v>5.14</v>
      </c>
      <c r="Z477" t="s">
        <v>109</v>
      </c>
      <c r="AA477" t="s">
        <v>3438</v>
      </c>
      <c r="AB477" t="s">
        <v>53</v>
      </c>
      <c r="AC477" s="3">
        <v>1.06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f t="shared" si="14"/>
        <v>9.08</v>
      </c>
      <c r="AK477" s="3">
        <f t="shared" si="15"/>
        <v>3.9400000000000004</v>
      </c>
    </row>
    <row r="478" spans="1:37">
      <c r="A478">
        <v>10294574</v>
      </c>
      <c r="B478" t="s">
        <v>37</v>
      </c>
      <c r="C478" t="s">
        <v>3439</v>
      </c>
      <c r="E478" t="s">
        <v>657</v>
      </c>
      <c r="F478" t="s">
        <v>3440</v>
      </c>
      <c r="G478" t="s">
        <v>3441</v>
      </c>
      <c r="H478" t="s">
        <v>42</v>
      </c>
      <c r="I478" t="s">
        <v>3442</v>
      </c>
      <c r="J478" t="s">
        <v>3443</v>
      </c>
      <c r="K478">
        <v>80799</v>
      </c>
      <c r="L478" t="s">
        <v>71</v>
      </c>
      <c r="M478" t="s">
        <v>46</v>
      </c>
      <c r="N478" t="s">
        <v>47</v>
      </c>
      <c r="O478">
        <v>1</v>
      </c>
      <c r="P478">
        <v>1</v>
      </c>
      <c r="Q478">
        <v>1</v>
      </c>
      <c r="R478" t="s">
        <v>48</v>
      </c>
      <c r="S478" t="s">
        <v>49</v>
      </c>
      <c r="T478" s="3">
        <v>0.84</v>
      </c>
      <c r="U478" s="3">
        <v>0.23</v>
      </c>
      <c r="V478" s="3">
        <v>0.94</v>
      </c>
      <c r="W478">
        <v>1.05</v>
      </c>
      <c r="X478" t="s">
        <v>72</v>
      </c>
      <c r="Y478" s="3">
        <v>6.83</v>
      </c>
      <c r="Z478" t="s">
        <v>73</v>
      </c>
      <c r="AA478" t="s">
        <v>3444</v>
      </c>
      <c r="AB478" t="s">
        <v>53</v>
      </c>
      <c r="AC478" s="3">
        <v>1.29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f t="shared" si="14"/>
        <v>10.130000000000001</v>
      </c>
      <c r="AK478" s="3">
        <f t="shared" si="15"/>
        <v>3.3000000000000007</v>
      </c>
    </row>
    <row r="479" spans="1:37">
      <c r="A479">
        <v>10294576</v>
      </c>
      <c r="B479" t="s">
        <v>37</v>
      </c>
      <c r="C479" t="s">
        <v>3445</v>
      </c>
      <c r="E479" t="s">
        <v>2526</v>
      </c>
      <c r="F479" t="s">
        <v>1743</v>
      </c>
      <c r="G479" t="s">
        <v>3446</v>
      </c>
      <c r="H479" t="s">
        <v>42</v>
      </c>
      <c r="I479" t="s">
        <v>3447</v>
      </c>
      <c r="J479" t="s">
        <v>3448</v>
      </c>
      <c r="K479" t="s">
        <v>3449</v>
      </c>
      <c r="L479" t="s">
        <v>142</v>
      </c>
      <c r="M479" t="s">
        <v>46</v>
      </c>
      <c r="N479" t="s">
        <v>47</v>
      </c>
      <c r="O479">
        <v>3</v>
      </c>
      <c r="P479">
        <v>1</v>
      </c>
      <c r="Q479">
        <v>3</v>
      </c>
      <c r="R479" t="s">
        <v>48</v>
      </c>
      <c r="S479" t="s">
        <v>49</v>
      </c>
      <c r="T479" s="3">
        <v>0.84</v>
      </c>
      <c r="U479" s="3">
        <v>0.23</v>
      </c>
      <c r="V479" s="3">
        <v>2.68</v>
      </c>
      <c r="W479">
        <v>0.88</v>
      </c>
      <c r="X479" t="s">
        <v>50</v>
      </c>
      <c r="Y479" s="3">
        <v>16.43</v>
      </c>
      <c r="Z479" t="s">
        <v>73</v>
      </c>
      <c r="AA479" t="s">
        <v>3450</v>
      </c>
      <c r="AB479" t="s">
        <v>53</v>
      </c>
      <c r="AC479" s="3">
        <v>1.29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f t="shared" si="14"/>
        <v>21.47</v>
      </c>
      <c r="AK479" s="3">
        <f t="shared" si="15"/>
        <v>5.0399999999999991</v>
      </c>
    </row>
    <row r="480" spans="1:37">
      <c r="A480">
        <v>10294577</v>
      </c>
      <c r="B480" t="s">
        <v>37</v>
      </c>
      <c r="C480" t="s">
        <v>3451</v>
      </c>
      <c r="E480" t="s">
        <v>3264</v>
      </c>
      <c r="F480" t="s">
        <v>3452</v>
      </c>
      <c r="G480" t="s">
        <v>3453</v>
      </c>
      <c r="H480" t="s">
        <v>42</v>
      </c>
      <c r="I480" t="s">
        <v>3454</v>
      </c>
      <c r="J480" t="s">
        <v>3455</v>
      </c>
      <c r="K480">
        <v>81377</v>
      </c>
      <c r="L480" t="s">
        <v>71</v>
      </c>
      <c r="M480" t="s">
        <v>46</v>
      </c>
      <c r="N480" t="s">
        <v>47</v>
      </c>
      <c r="O480">
        <v>1</v>
      </c>
      <c r="P480">
        <v>1</v>
      </c>
      <c r="Q480">
        <v>1</v>
      </c>
      <c r="R480" t="s">
        <v>48</v>
      </c>
      <c r="S480" t="s">
        <v>49</v>
      </c>
      <c r="T480" s="3">
        <v>0.84</v>
      </c>
      <c r="U480" s="3">
        <v>0.23</v>
      </c>
      <c r="V480" s="3">
        <v>0.94</v>
      </c>
      <c r="W480">
        <v>1.1200000000000001</v>
      </c>
      <c r="X480" t="s">
        <v>72</v>
      </c>
      <c r="Y480" s="3">
        <v>6.83</v>
      </c>
      <c r="Z480" t="s">
        <v>73</v>
      </c>
      <c r="AA480" t="s">
        <v>3456</v>
      </c>
      <c r="AB480" t="s">
        <v>53</v>
      </c>
      <c r="AC480" s="3">
        <v>1.29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f t="shared" si="14"/>
        <v>10.130000000000001</v>
      </c>
      <c r="AK480" s="3">
        <f t="shared" si="15"/>
        <v>3.3000000000000007</v>
      </c>
    </row>
    <row r="481" spans="1:37">
      <c r="A481">
        <v>10294570</v>
      </c>
      <c r="B481" t="s">
        <v>37</v>
      </c>
      <c r="C481" t="s">
        <v>3457</v>
      </c>
      <c r="E481" t="s">
        <v>351</v>
      </c>
      <c r="F481" t="s">
        <v>3458</v>
      </c>
      <c r="G481" t="s">
        <v>3459</v>
      </c>
      <c r="H481" t="s">
        <v>42</v>
      </c>
      <c r="I481" t="s">
        <v>3460</v>
      </c>
      <c r="J481" t="s">
        <v>3461</v>
      </c>
      <c r="K481">
        <v>92353</v>
      </c>
      <c r="L481" t="s">
        <v>71</v>
      </c>
      <c r="M481" t="s">
        <v>46</v>
      </c>
      <c r="N481" t="s">
        <v>47</v>
      </c>
      <c r="O481">
        <v>1</v>
      </c>
      <c r="P481">
        <v>1</v>
      </c>
      <c r="Q481">
        <v>1</v>
      </c>
      <c r="R481" t="s">
        <v>48</v>
      </c>
      <c r="S481" t="s">
        <v>49</v>
      </c>
      <c r="T481" s="3">
        <v>0.84</v>
      </c>
      <c r="U481" s="3">
        <v>0.23</v>
      </c>
      <c r="V481" s="3">
        <v>0.94</v>
      </c>
      <c r="W481">
        <v>0.59</v>
      </c>
      <c r="X481" t="s">
        <v>108</v>
      </c>
      <c r="Y481" s="3">
        <v>5.14</v>
      </c>
      <c r="Z481" t="s">
        <v>109</v>
      </c>
      <c r="AA481" t="s">
        <v>1776</v>
      </c>
      <c r="AB481" t="s">
        <v>53</v>
      </c>
      <c r="AC481" s="3">
        <v>1.06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f t="shared" si="14"/>
        <v>8.2099999999999991</v>
      </c>
      <c r="AK481" s="3">
        <f t="shared" si="15"/>
        <v>3.0699999999999994</v>
      </c>
    </row>
    <row r="482" spans="1:37">
      <c r="A482">
        <v>10294573</v>
      </c>
      <c r="B482" t="s">
        <v>37</v>
      </c>
      <c r="C482" t="s">
        <v>3462</v>
      </c>
      <c r="E482" t="s">
        <v>2492</v>
      </c>
      <c r="F482" t="s">
        <v>3463</v>
      </c>
      <c r="G482" t="s">
        <v>3464</v>
      </c>
      <c r="H482" t="s">
        <v>42</v>
      </c>
      <c r="I482" t="s">
        <v>3465</v>
      </c>
      <c r="J482" t="s">
        <v>3466</v>
      </c>
      <c r="K482" t="s">
        <v>3467</v>
      </c>
      <c r="L482" t="s">
        <v>142</v>
      </c>
      <c r="M482" t="s">
        <v>46</v>
      </c>
      <c r="N482" t="s">
        <v>47</v>
      </c>
      <c r="O482">
        <v>2</v>
      </c>
      <c r="P482">
        <v>1</v>
      </c>
      <c r="Q482">
        <v>2</v>
      </c>
      <c r="R482" t="s">
        <v>48</v>
      </c>
      <c r="S482" t="s">
        <v>49</v>
      </c>
      <c r="T482" s="3">
        <v>0.84</v>
      </c>
      <c r="U482" s="3">
        <v>0.23</v>
      </c>
      <c r="V482" s="3">
        <v>1.81</v>
      </c>
      <c r="W482">
        <v>1.08</v>
      </c>
      <c r="X482" t="s">
        <v>50</v>
      </c>
      <c r="Y482" s="3">
        <v>16.43</v>
      </c>
      <c r="Z482" t="s">
        <v>73</v>
      </c>
      <c r="AA482" t="s">
        <v>3468</v>
      </c>
      <c r="AB482" t="s">
        <v>53</v>
      </c>
      <c r="AC482" s="3">
        <v>1.29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f t="shared" si="14"/>
        <v>20.599999999999998</v>
      </c>
      <c r="AK482" s="3">
        <f t="shared" si="15"/>
        <v>4.1699999999999982</v>
      </c>
    </row>
    <row r="483" spans="1:37">
      <c r="A483">
        <v>10291366</v>
      </c>
      <c r="B483" t="s">
        <v>111</v>
      </c>
      <c r="C483" t="s">
        <v>3469</v>
      </c>
      <c r="E483" t="s">
        <v>2071</v>
      </c>
      <c r="F483" t="s">
        <v>3470</v>
      </c>
      <c r="G483" t="s">
        <v>3471</v>
      </c>
      <c r="H483" t="s">
        <v>117</v>
      </c>
      <c r="I483" t="s">
        <v>3472</v>
      </c>
      <c r="J483" t="s">
        <v>1050</v>
      </c>
      <c r="K483">
        <v>38350</v>
      </c>
      <c r="L483" t="s">
        <v>71</v>
      </c>
      <c r="M483" t="s">
        <v>46</v>
      </c>
      <c r="N483" t="s">
        <v>47</v>
      </c>
      <c r="O483">
        <v>227</v>
      </c>
      <c r="P483">
        <v>6</v>
      </c>
      <c r="Q483">
        <v>227</v>
      </c>
      <c r="R483" t="s">
        <v>48</v>
      </c>
      <c r="S483" t="s">
        <v>49</v>
      </c>
      <c r="T483" s="3">
        <v>7</v>
      </c>
      <c r="U483" s="3">
        <v>0.23</v>
      </c>
      <c r="V483" s="3">
        <v>125.07</v>
      </c>
      <c r="W483">
        <v>102</v>
      </c>
      <c r="X483" t="s">
        <v>72</v>
      </c>
      <c r="Y483" s="3">
        <v>56.57</v>
      </c>
      <c r="Z483" t="s">
        <v>3473</v>
      </c>
      <c r="AA483" t="s">
        <v>3474</v>
      </c>
      <c r="AB483" t="s">
        <v>53</v>
      </c>
      <c r="AC483" s="3">
        <v>13.56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f t="shared" si="14"/>
        <v>202.42999999999998</v>
      </c>
      <c r="AK483" s="3">
        <f t="shared" si="15"/>
        <v>145.85999999999999</v>
      </c>
    </row>
    <row r="484" spans="1:37">
      <c r="A484">
        <v>10294298</v>
      </c>
      <c r="B484" t="s">
        <v>37</v>
      </c>
      <c r="C484" t="s">
        <v>3475</v>
      </c>
      <c r="E484" t="s">
        <v>500</v>
      </c>
      <c r="F484" t="s">
        <v>3476</v>
      </c>
      <c r="G484" t="s">
        <v>3477</v>
      </c>
      <c r="H484" t="s">
        <v>42</v>
      </c>
      <c r="I484" t="s">
        <v>3478</v>
      </c>
      <c r="J484" t="s">
        <v>3479</v>
      </c>
      <c r="K484">
        <v>27419</v>
      </c>
      <c r="L484" t="s">
        <v>71</v>
      </c>
      <c r="M484" t="s">
        <v>46</v>
      </c>
      <c r="N484" t="s">
        <v>47</v>
      </c>
      <c r="O484">
        <v>1</v>
      </c>
      <c r="P484">
        <v>1</v>
      </c>
      <c r="Q484">
        <v>1</v>
      </c>
      <c r="R484" t="s">
        <v>48</v>
      </c>
      <c r="S484" t="s">
        <v>49</v>
      </c>
      <c r="T484" s="3">
        <v>0.84</v>
      </c>
      <c r="U484" s="3">
        <v>0.23</v>
      </c>
      <c r="V484" s="3">
        <v>0.94</v>
      </c>
      <c r="W484">
        <v>0.59</v>
      </c>
      <c r="X484" t="s">
        <v>108</v>
      </c>
      <c r="Y484" s="3">
        <v>5.14</v>
      </c>
      <c r="Z484" t="s">
        <v>109</v>
      </c>
      <c r="AA484" t="s">
        <v>267</v>
      </c>
      <c r="AB484" t="s">
        <v>53</v>
      </c>
      <c r="AC484" s="3">
        <v>1.06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f t="shared" si="14"/>
        <v>8.2099999999999991</v>
      </c>
      <c r="AK484" s="3">
        <f t="shared" si="15"/>
        <v>3.0699999999999994</v>
      </c>
    </row>
    <row r="485" spans="1:37">
      <c r="A485">
        <v>10295088</v>
      </c>
      <c r="B485" t="s">
        <v>37</v>
      </c>
      <c r="C485" t="s">
        <v>3480</v>
      </c>
      <c r="E485" t="s">
        <v>2684</v>
      </c>
      <c r="F485" t="s">
        <v>3481</v>
      </c>
      <c r="G485" t="s">
        <v>3482</v>
      </c>
      <c r="H485" t="s">
        <v>42</v>
      </c>
      <c r="I485" t="s">
        <v>3483</v>
      </c>
      <c r="J485" t="s">
        <v>3484</v>
      </c>
      <c r="K485" t="s">
        <v>3485</v>
      </c>
      <c r="L485" t="s">
        <v>142</v>
      </c>
      <c r="M485" t="s">
        <v>46</v>
      </c>
      <c r="N485" t="s">
        <v>47</v>
      </c>
      <c r="O485">
        <v>1</v>
      </c>
      <c r="P485">
        <v>1</v>
      </c>
      <c r="Q485">
        <v>1</v>
      </c>
      <c r="R485" t="s">
        <v>48</v>
      </c>
      <c r="S485" t="s">
        <v>49</v>
      </c>
      <c r="T485" s="3">
        <v>0.84</v>
      </c>
      <c r="U485" s="3">
        <v>0.23</v>
      </c>
      <c r="V485" s="3">
        <v>0.94</v>
      </c>
      <c r="W485">
        <v>0.59</v>
      </c>
      <c r="X485" t="s">
        <v>50</v>
      </c>
      <c r="Y485" s="3">
        <v>16.43</v>
      </c>
      <c r="Z485" t="s">
        <v>109</v>
      </c>
      <c r="AA485" t="s">
        <v>3486</v>
      </c>
      <c r="AB485" t="s">
        <v>53</v>
      </c>
      <c r="AC485" s="3">
        <v>1.06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f t="shared" si="14"/>
        <v>19.5</v>
      </c>
      <c r="AK485" s="3">
        <f t="shared" si="15"/>
        <v>3.0700000000000003</v>
      </c>
    </row>
    <row r="486" spans="1:37">
      <c r="A486">
        <v>10295082</v>
      </c>
      <c r="B486" t="s">
        <v>37</v>
      </c>
      <c r="C486" t="s">
        <v>3487</v>
      </c>
      <c r="E486" t="s">
        <v>3488</v>
      </c>
      <c r="F486" t="s">
        <v>3489</v>
      </c>
      <c r="G486" t="s">
        <v>3490</v>
      </c>
      <c r="H486" t="s">
        <v>42</v>
      </c>
      <c r="I486" t="s">
        <v>3491</v>
      </c>
      <c r="J486" t="s">
        <v>3492</v>
      </c>
      <c r="K486">
        <v>64546</v>
      </c>
      <c r="L486" t="s">
        <v>71</v>
      </c>
      <c r="M486" t="s">
        <v>46</v>
      </c>
      <c r="N486" t="s">
        <v>47</v>
      </c>
      <c r="O486">
        <v>7</v>
      </c>
      <c r="P486">
        <v>1</v>
      </c>
      <c r="Q486">
        <v>7</v>
      </c>
      <c r="R486" t="s">
        <v>48</v>
      </c>
      <c r="S486" t="s">
        <v>49</v>
      </c>
      <c r="T486" s="3">
        <v>0.84</v>
      </c>
      <c r="U486" s="3">
        <v>0.23</v>
      </c>
      <c r="V486" s="3">
        <v>6.16</v>
      </c>
      <c r="W486">
        <v>2.54</v>
      </c>
      <c r="X486" t="s">
        <v>72</v>
      </c>
      <c r="Y486" s="3">
        <v>6.83</v>
      </c>
      <c r="Z486" t="s">
        <v>73</v>
      </c>
      <c r="AA486" t="s">
        <v>3493</v>
      </c>
      <c r="AB486" t="s">
        <v>53</v>
      </c>
      <c r="AC486" s="3">
        <v>1.29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f t="shared" si="14"/>
        <v>15.350000000000001</v>
      </c>
      <c r="AK486" s="3">
        <f t="shared" si="15"/>
        <v>8.5200000000000014</v>
      </c>
    </row>
    <row r="487" spans="1:37">
      <c r="A487">
        <v>10294297</v>
      </c>
      <c r="B487" t="s">
        <v>111</v>
      </c>
      <c r="C487" t="s">
        <v>3494</v>
      </c>
      <c r="D487" t="s">
        <v>3495</v>
      </c>
      <c r="E487" t="s">
        <v>3496</v>
      </c>
      <c r="F487" t="s">
        <v>3497</v>
      </c>
      <c r="G487" t="s">
        <v>3498</v>
      </c>
      <c r="H487" t="s">
        <v>117</v>
      </c>
      <c r="I487" t="s">
        <v>3499</v>
      </c>
      <c r="J487" t="s">
        <v>3500</v>
      </c>
      <c r="K487" t="s">
        <v>3501</v>
      </c>
      <c r="L487" t="s">
        <v>229</v>
      </c>
      <c r="M487" t="s">
        <v>46</v>
      </c>
      <c r="N487" t="s">
        <v>47</v>
      </c>
      <c r="O487">
        <v>51</v>
      </c>
      <c r="P487">
        <v>1</v>
      </c>
      <c r="Q487">
        <v>51</v>
      </c>
      <c r="R487" t="s">
        <v>48</v>
      </c>
      <c r="S487" t="s">
        <v>49</v>
      </c>
      <c r="T487" s="3">
        <v>7</v>
      </c>
      <c r="U487" s="3">
        <v>0.23</v>
      </c>
      <c r="V487" s="3">
        <v>50.44</v>
      </c>
      <c r="W487">
        <v>16</v>
      </c>
      <c r="X487" t="s">
        <v>50</v>
      </c>
      <c r="Y487" s="3">
        <v>20.440000000000001</v>
      </c>
      <c r="Z487" t="s">
        <v>51</v>
      </c>
      <c r="AA487" t="s">
        <v>3502</v>
      </c>
      <c r="AB487" t="s">
        <v>53</v>
      </c>
      <c r="AC487" s="3">
        <v>1.87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f t="shared" si="14"/>
        <v>79.98</v>
      </c>
      <c r="AK487" s="3">
        <f t="shared" si="15"/>
        <v>59.540000000000006</v>
      </c>
    </row>
    <row r="488" spans="1:37">
      <c r="A488">
        <v>10295084</v>
      </c>
      <c r="B488" t="s">
        <v>37</v>
      </c>
      <c r="C488" t="s">
        <v>3503</v>
      </c>
      <c r="E488" t="s">
        <v>3504</v>
      </c>
      <c r="F488" t="s">
        <v>3505</v>
      </c>
      <c r="G488" t="s">
        <v>3506</v>
      </c>
      <c r="H488" t="s">
        <v>42</v>
      </c>
      <c r="I488" t="s">
        <v>3507</v>
      </c>
      <c r="J488" t="s">
        <v>3508</v>
      </c>
      <c r="K488" t="s">
        <v>3509</v>
      </c>
      <c r="L488" t="s">
        <v>142</v>
      </c>
      <c r="M488" t="s">
        <v>46</v>
      </c>
      <c r="N488" t="s">
        <v>47</v>
      </c>
      <c r="O488">
        <v>1</v>
      </c>
      <c r="P488">
        <v>1</v>
      </c>
      <c r="Q488">
        <v>1</v>
      </c>
      <c r="R488" t="s">
        <v>48</v>
      </c>
      <c r="S488" t="s">
        <v>49</v>
      </c>
      <c r="T488" s="3">
        <v>0.84</v>
      </c>
      <c r="U488" s="3">
        <v>0.23</v>
      </c>
      <c r="V488" s="3">
        <v>0.94</v>
      </c>
      <c r="W488">
        <v>0.49</v>
      </c>
      <c r="X488" t="s">
        <v>50</v>
      </c>
      <c r="Y488" s="3">
        <v>17.82</v>
      </c>
      <c r="Z488" t="s">
        <v>109</v>
      </c>
      <c r="AA488" t="s">
        <v>3510</v>
      </c>
      <c r="AB488" t="s">
        <v>53</v>
      </c>
      <c r="AC488" s="3">
        <v>1.06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f t="shared" si="14"/>
        <v>20.89</v>
      </c>
      <c r="AK488" s="3">
        <f t="shared" si="15"/>
        <v>3.0700000000000003</v>
      </c>
    </row>
    <row r="489" spans="1:37">
      <c r="A489">
        <v>10295086</v>
      </c>
      <c r="B489" t="s">
        <v>37</v>
      </c>
      <c r="C489" t="s">
        <v>3511</v>
      </c>
      <c r="E489" t="s">
        <v>3512</v>
      </c>
      <c r="F489" t="s">
        <v>3513</v>
      </c>
      <c r="G489" t="s">
        <v>3514</v>
      </c>
      <c r="H489" t="s">
        <v>42</v>
      </c>
      <c r="I489" t="s">
        <v>3515</v>
      </c>
      <c r="J489" t="s">
        <v>3516</v>
      </c>
      <c r="K489">
        <v>13587</v>
      </c>
      <c r="L489" t="s">
        <v>71</v>
      </c>
      <c r="M489" t="s">
        <v>46</v>
      </c>
      <c r="N489" t="s">
        <v>47</v>
      </c>
      <c r="O489">
        <v>2</v>
      </c>
      <c r="P489">
        <v>1</v>
      </c>
      <c r="Q489">
        <v>2</v>
      </c>
      <c r="R489" t="s">
        <v>48</v>
      </c>
      <c r="S489" t="s">
        <v>49</v>
      </c>
      <c r="T489" s="3">
        <v>0.84</v>
      </c>
      <c r="U489" s="3">
        <v>0.23</v>
      </c>
      <c r="V489" s="3">
        <v>1.81</v>
      </c>
      <c r="W489">
        <v>1.08</v>
      </c>
      <c r="X489" t="s">
        <v>72</v>
      </c>
      <c r="Y489" s="3">
        <v>6.83</v>
      </c>
      <c r="Z489" t="s">
        <v>73</v>
      </c>
      <c r="AA489" t="s">
        <v>3517</v>
      </c>
      <c r="AB489" t="s">
        <v>53</v>
      </c>
      <c r="AC489" s="3">
        <v>1.29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f t="shared" si="14"/>
        <v>11.000000000000002</v>
      </c>
      <c r="AK489" s="3">
        <f t="shared" si="15"/>
        <v>4.1700000000000017</v>
      </c>
    </row>
    <row r="490" spans="1:37">
      <c r="A490">
        <v>10295087</v>
      </c>
      <c r="B490" t="s">
        <v>37</v>
      </c>
      <c r="C490" t="s">
        <v>3518</v>
      </c>
      <c r="E490" t="s">
        <v>336</v>
      </c>
      <c r="F490" t="s">
        <v>3519</v>
      </c>
      <c r="G490" t="s">
        <v>3520</v>
      </c>
      <c r="H490" t="s">
        <v>42</v>
      </c>
      <c r="I490" t="s">
        <v>3521</v>
      </c>
      <c r="J490" t="s">
        <v>3522</v>
      </c>
      <c r="K490" t="s">
        <v>3523</v>
      </c>
      <c r="L490" t="s">
        <v>142</v>
      </c>
      <c r="M490" t="s">
        <v>46</v>
      </c>
      <c r="N490" t="s">
        <v>47</v>
      </c>
      <c r="O490">
        <v>2</v>
      </c>
      <c r="P490">
        <v>1</v>
      </c>
      <c r="Q490">
        <v>2</v>
      </c>
      <c r="R490" t="s">
        <v>48</v>
      </c>
      <c r="S490" t="s">
        <v>49</v>
      </c>
      <c r="T490" s="3">
        <v>0.84</v>
      </c>
      <c r="U490" s="3">
        <v>0.23</v>
      </c>
      <c r="V490" s="3">
        <v>1.81</v>
      </c>
      <c r="W490">
        <v>0.88</v>
      </c>
      <c r="X490" t="s">
        <v>50</v>
      </c>
      <c r="Y490" s="3">
        <v>17.82</v>
      </c>
      <c r="Z490" t="s">
        <v>73</v>
      </c>
      <c r="AA490" t="s">
        <v>3524</v>
      </c>
      <c r="AB490" t="s">
        <v>53</v>
      </c>
      <c r="AC490" s="3">
        <v>1.29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f t="shared" si="14"/>
        <v>21.99</v>
      </c>
      <c r="AK490" s="3">
        <f t="shared" si="15"/>
        <v>4.1699999999999982</v>
      </c>
    </row>
    <row r="491" spans="1:37">
      <c r="A491">
        <v>10283772</v>
      </c>
      <c r="B491" t="s">
        <v>111</v>
      </c>
      <c r="C491" t="s">
        <v>3525</v>
      </c>
      <c r="D491" t="s">
        <v>3526</v>
      </c>
      <c r="E491" t="s">
        <v>3527</v>
      </c>
      <c r="F491" t="s">
        <v>3528</v>
      </c>
      <c r="G491" t="s">
        <v>3529</v>
      </c>
      <c r="H491" t="s">
        <v>117</v>
      </c>
      <c r="I491" t="s">
        <v>3530</v>
      </c>
      <c r="J491" t="s">
        <v>3531</v>
      </c>
      <c r="K491">
        <v>81543</v>
      </c>
      <c r="L491" t="s">
        <v>71</v>
      </c>
      <c r="M491" t="s">
        <v>46</v>
      </c>
      <c r="N491" t="s">
        <v>47</v>
      </c>
      <c r="O491">
        <v>88</v>
      </c>
      <c r="P491">
        <v>2</v>
      </c>
      <c r="Q491">
        <v>88</v>
      </c>
      <c r="R491" t="s">
        <v>48</v>
      </c>
      <c r="S491" t="s">
        <v>49</v>
      </c>
      <c r="T491" s="3">
        <v>7</v>
      </c>
      <c r="U491" s="3">
        <v>0.23</v>
      </c>
      <c r="V491" s="3">
        <v>72.27</v>
      </c>
      <c r="W491">
        <v>38.5</v>
      </c>
      <c r="X491" t="s">
        <v>120</v>
      </c>
      <c r="Y491" s="3">
        <v>12.65</v>
      </c>
      <c r="Z491" t="s">
        <v>744</v>
      </c>
      <c r="AA491" t="s">
        <v>3532</v>
      </c>
      <c r="AB491" t="s">
        <v>53</v>
      </c>
      <c r="AC491" s="3">
        <v>3.74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f t="shared" si="14"/>
        <v>95.89</v>
      </c>
      <c r="AK491" s="3">
        <f t="shared" si="15"/>
        <v>83.24</v>
      </c>
    </row>
    <row r="492" spans="1:37">
      <c r="A492">
        <v>10294856</v>
      </c>
      <c r="B492" t="s">
        <v>37</v>
      </c>
      <c r="C492" t="s">
        <v>3533</v>
      </c>
      <c r="E492" t="s">
        <v>3534</v>
      </c>
      <c r="F492" t="s">
        <v>3534</v>
      </c>
      <c r="G492" t="s">
        <v>3535</v>
      </c>
      <c r="H492" t="s">
        <v>42</v>
      </c>
      <c r="I492" t="s">
        <v>3536</v>
      </c>
      <c r="J492" t="s">
        <v>3537</v>
      </c>
      <c r="K492" t="s">
        <v>3538</v>
      </c>
      <c r="L492" t="s">
        <v>142</v>
      </c>
      <c r="M492" t="s">
        <v>46</v>
      </c>
      <c r="N492" t="s">
        <v>47</v>
      </c>
      <c r="O492">
        <v>3</v>
      </c>
      <c r="P492">
        <v>1</v>
      </c>
      <c r="Q492">
        <v>3</v>
      </c>
      <c r="R492" t="s">
        <v>48</v>
      </c>
      <c r="S492" t="s">
        <v>49</v>
      </c>
      <c r="T492" s="3">
        <v>0.84</v>
      </c>
      <c r="U492" s="3">
        <v>0.23</v>
      </c>
      <c r="V492" s="3">
        <v>2.68</v>
      </c>
      <c r="W492">
        <v>1.45</v>
      </c>
      <c r="X492" t="s">
        <v>50</v>
      </c>
      <c r="Y492" s="3">
        <v>16.43</v>
      </c>
      <c r="Z492" t="s">
        <v>73</v>
      </c>
      <c r="AA492" t="s">
        <v>3539</v>
      </c>
      <c r="AB492" t="s">
        <v>53</v>
      </c>
      <c r="AC492" s="3">
        <v>1.29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f t="shared" si="14"/>
        <v>21.47</v>
      </c>
      <c r="AK492" s="3">
        <f t="shared" si="15"/>
        <v>5.0399999999999991</v>
      </c>
    </row>
    <row r="493" spans="1:37">
      <c r="A493">
        <v>10295327</v>
      </c>
      <c r="B493" t="s">
        <v>37</v>
      </c>
      <c r="C493" t="s">
        <v>3540</v>
      </c>
      <c r="E493" t="s">
        <v>1135</v>
      </c>
      <c r="F493" t="s">
        <v>3541</v>
      </c>
      <c r="G493" t="s">
        <v>3542</v>
      </c>
      <c r="H493" t="s">
        <v>42</v>
      </c>
      <c r="I493" t="s">
        <v>3543</v>
      </c>
      <c r="J493" t="s">
        <v>3544</v>
      </c>
      <c r="K493">
        <v>22529</v>
      </c>
      <c r="L493" t="s">
        <v>71</v>
      </c>
      <c r="M493" t="s">
        <v>46</v>
      </c>
      <c r="N493" t="s">
        <v>47</v>
      </c>
      <c r="O493">
        <v>4</v>
      </c>
      <c r="P493">
        <v>1</v>
      </c>
      <c r="Q493">
        <v>4</v>
      </c>
      <c r="R493" t="s">
        <v>48</v>
      </c>
      <c r="S493" t="s">
        <v>49</v>
      </c>
      <c r="T493" s="3">
        <v>0.84</v>
      </c>
      <c r="U493" s="3">
        <v>0.23</v>
      </c>
      <c r="V493" s="3">
        <v>3.55</v>
      </c>
      <c r="W493">
        <v>2.06</v>
      </c>
      <c r="X493" t="s">
        <v>72</v>
      </c>
      <c r="Y493" s="3">
        <v>5.44</v>
      </c>
      <c r="Z493" t="s">
        <v>73</v>
      </c>
      <c r="AA493" t="s">
        <v>327</v>
      </c>
      <c r="AB493" t="s">
        <v>53</v>
      </c>
      <c r="AC493" s="3">
        <v>1.29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f t="shared" si="14"/>
        <v>11.350000000000001</v>
      </c>
      <c r="AK493" s="3">
        <f t="shared" si="15"/>
        <v>5.910000000000001</v>
      </c>
    </row>
    <row r="494" spans="1:37">
      <c r="A494">
        <v>10295588</v>
      </c>
      <c r="B494" t="s">
        <v>37</v>
      </c>
      <c r="C494" t="s">
        <v>3545</v>
      </c>
      <c r="E494" t="s">
        <v>86</v>
      </c>
      <c r="F494" t="s">
        <v>3546</v>
      </c>
      <c r="G494" t="s">
        <v>3547</v>
      </c>
      <c r="H494" t="s">
        <v>42</v>
      </c>
      <c r="I494" t="s">
        <v>3548</v>
      </c>
      <c r="J494" t="s">
        <v>3549</v>
      </c>
      <c r="K494">
        <v>4800</v>
      </c>
      <c r="L494" t="s">
        <v>45</v>
      </c>
      <c r="M494" t="s">
        <v>46</v>
      </c>
      <c r="N494" t="s">
        <v>47</v>
      </c>
      <c r="O494">
        <v>4</v>
      </c>
      <c r="P494">
        <v>1</v>
      </c>
      <c r="Q494">
        <v>4</v>
      </c>
      <c r="R494" t="s">
        <v>48</v>
      </c>
      <c r="S494" t="s">
        <v>49</v>
      </c>
      <c r="T494" s="3">
        <v>0.84</v>
      </c>
      <c r="U494" s="3">
        <v>0.23</v>
      </c>
      <c r="V494" s="3">
        <v>3.55</v>
      </c>
      <c r="W494">
        <v>2.14</v>
      </c>
      <c r="X494" t="s">
        <v>50</v>
      </c>
      <c r="Y494" s="3">
        <v>93.5</v>
      </c>
      <c r="Z494" t="s">
        <v>73</v>
      </c>
      <c r="AA494" t="s">
        <v>3550</v>
      </c>
      <c r="AB494" t="s">
        <v>53</v>
      </c>
      <c r="AC494" s="3">
        <v>1.29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f t="shared" si="14"/>
        <v>99.410000000000011</v>
      </c>
      <c r="AK494" s="3">
        <f t="shared" si="15"/>
        <v>5.9100000000000108</v>
      </c>
    </row>
    <row r="495" spans="1:37">
      <c r="A495">
        <v>10295471</v>
      </c>
      <c r="B495" t="s">
        <v>37</v>
      </c>
      <c r="C495" t="s">
        <v>3551</v>
      </c>
      <c r="E495" t="s">
        <v>240</v>
      </c>
      <c r="F495" t="s">
        <v>3552</v>
      </c>
      <c r="G495" t="s">
        <v>3553</v>
      </c>
      <c r="H495" t="s">
        <v>42</v>
      </c>
      <c r="I495" t="s">
        <v>3554</v>
      </c>
      <c r="J495" t="s">
        <v>3555</v>
      </c>
      <c r="K495" t="s">
        <v>3556</v>
      </c>
      <c r="L495" t="s">
        <v>142</v>
      </c>
      <c r="M495" t="s">
        <v>46</v>
      </c>
      <c r="N495" t="s">
        <v>47</v>
      </c>
      <c r="O495">
        <v>3</v>
      </c>
      <c r="P495">
        <v>1</v>
      </c>
      <c r="Q495">
        <v>3</v>
      </c>
      <c r="R495" t="s">
        <v>48</v>
      </c>
      <c r="S495" t="s">
        <v>49</v>
      </c>
      <c r="T495" s="3">
        <v>0.84</v>
      </c>
      <c r="U495" s="3">
        <v>0.23</v>
      </c>
      <c r="V495" s="3">
        <v>2.68</v>
      </c>
      <c r="W495">
        <v>0.87</v>
      </c>
      <c r="X495" t="s">
        <v>50</v>
      </c>
      <c r="Y495" s="3">
        <v>16.43</v>
      </c>
      <c r="Z495" t="s">
        <v>109</v>
      </c>
      <c r="AA495" t="s">
        <v>3557</v>
      </c>
      <c r="AB495" t="s">
        <v>53</v>
      </c>
      <c r="AC495" s="3">
        <v>1.06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f t="shared" si="14"/>
        <v>21.24</v>
      </c>
      <c r="AK495" s="3">
        <f t="shared" si="15"/>
        <v>4.8099999999999987</v>
      </c>
    </row>
    <row r="496" spans="1:37">
      <c r="A496">
        <v>10295332</v>
      </c>
      <c r="B496" t="s">
        <v>37</v>
      </c>
      <c r="C496" t="s">
        <v>3558</v>
      </c>
      <c r="E496" t="s">
        <v>3559</v>
      </c>
      <c r="F496" t="s">
        <v>3560</v>
      </c>
      <c r="G496" t="s">
        <v>3561</v>
      </c>
      <c r="H496" t="s">
        <v>42</v>
      </c>
      <c r="I496" t="s">
        <v>3562</v>
      </c>
      <c r="J496" t="s">
        <v>3563</v>
      </c>
      <c r="K496" t="s">
        <v>3564</v>
      </c>
      <c r="L496" t="s">
        <v>142</v>
      </c>
      <c r="M496" t="s">
        <v>46</v>
      </c>
      <c r="N496" t="s">
        <v>47</v>
      </c>
      <c r="O496">
        <v>7</v>
      </c>
      <c r="P496">
        <v>1</v>
      </c>
      <c r="Q496">
        <v>7</v>
      </c>
      <c r="R496" t="s">
        <v>48</v>
      </c>
      <c r="S496" t="s">
        <v>49</v>
      </c>
      <c r="T496" s="3">
        <v>0.84</v>
      </c>
      <c r="U496" s="3">
        <v>0.23</v>
      </c>
      <c r="V496" s="3">
        <v>6.16</v>
      </c>
      <c r="W496">
        <v>3.41</v>
      </c>
      <c r="X496" t="s">
        <v>50</v>
      </c>
      <c r="Y496" s="3">
        <v>16.43</v>
      </c>
      <c r="Z496" t="s">
        <v>73</v>
      </c>
      <c r="AA496" t="s">
        <v>3565</v>
      </c>
      <c r="AB496" t="s">
        <v>53</v>
      </c>
      <c r="AC496" s="3">
        <v>1.29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f t="shared" si="14"/>
        <v>24.95</v>
      </c>
      <c r="AK496" s="3">
        <f t="shared" si="15"/>
        <v>8.52</v>
      </c>
    </row>
    <row r="497" spans="1:37">
      <c r="A497">
        <v>10295328</v>
      </c>
      <c r="B497" t="s">
        <v>37</v>
      </c>
      <c r="C497" t="s">
        <v>3566</v>
      </c>
      <c r="E497" t="s">
        <v>3567</v>
      </c>
      <c r="F497" t="s">
        <v>3568</v>
      </c>
      <c r="G497" t="s">
        <v>3569</v>
      </c>
      <c r="H497" t="s">
        <v>42</v>
      </c>
      <c r="I497" t="s">
        <v>3570</v>
      </c>
      <c r="J497" t="s">
        <v>3571</v>
      </c>
      <c r="K497" t="s">
        <v>3572</v>
      </c>
      <c r="L497" t="s">
        <v>142</v>
      </c>
      <c r="M497" t="s">
        <v>46</v>
      </c>
      <c r="N497" t="s">
        <v>47</v>
      </c>
      <c r="O497">
        <v>4</v>
      </c>
      <c r="P497">
        <v>1</v>
      </c>
      <c r="Q497">
        <v>4</v>
      </c>
      <c r="R497" t="s">
        <v>48</v>
      </c>
      <c r="S497" t="s">
        <v>49</v>
      </c>
      <c r="T497" s="3">
        <v>0.84</v>
      </c>
      <c r="U497" s="3">
        <v>0.23</v>
      </c>
      <c r="V497" s="3">
        <v>3.55</v>
      </c>
      <c r="W497">
        <v>2.06</v>
      </c>
      <c r="X497" t="s">
        <v>50</v>
      </c>
      <c r="Y497" s="3">
        <v>16.43</v>
      </c>
      <c r="Z497" t="s">
        <v>73</v>
      </c>
      <c r="AA497" t="s">
        <v>327</v>
      </c>
      <c r="AB497" t="s">
        <v>53</v>
      </c>
      <c r="AC497" s="3">
        <v>1.29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f t="shared" si="14"/>
        <v>22.34</v>
      </c>
      <c r="AK497" s="3">
        <f t="shared" si="15"/>
        <v>5.91</v>
      </c>
    </row>
    <row r="498" spans="1:37">
      <c r="A498">
        <v>10292032</v>
      </c>
      <c r="B498" t="s">
        <v>37</v>
      </c>
      <c r="C498" t="s">
        <v>3573</v>
      </c>
      <c r="E498" t="s">
        <v>3574</v>
      </c>
      <c r="F498" t="s">
        <v>3575</v>
      </c>
      <c r="G498" t="s">
        <v>3576</v>
      </c>
      <c r="H498" t="s">
        <v>42</v>
      </c>
      <c r="I498" t="s">
        <v>3577</v>
      </c>
      <c r="J498" t="s">
        <v>3578</v>
      </c>
      <c r="K498" t="s">
        <v>3579</v>
      </c>
      <c r="L498" t="s">
        <v>82</v>
      </c>
      <c r="M498" t="s">
        <v>46</v>
      </c>
      <c r="N498" t="s">
        <v>47</v>
      </c>
      <c r="O498">
        <v>19</v>
      </c>
      <c r="P498">
        <v>1</v>
      </c>
      <c r="Q498">
        <v>19</v>
      </c>
      <c r="R498" t="s">
        <v>48</v>
      </c>
      <c r="S498" t="s">
        <v>49</v>
      </c>
      <c r="T498" s="3">
        <v>7</v>
      </c>
      <c r="U498" s="3">
        <v>0.23</v>
      </c>
      <c r="V498" s="3">
        <v>23.19</v>
      </c>
      <c r="W498">
        <v>8.65</v>
      </c>
      <c r="X498" t="s">
        <v>50</v>
      </c>
      <c r="Y498" s="3">
        <v>10.58</v>
      </c>
      <c r="Z498" t="s">
        <v>83</v>
      </c>
      <c r="AA498" t="s">
        <v>3580</v>
      </c>
      <c r="AB498" t="s">
        <v>53</v>
      </c>
      <c r="AC498" s="3">
        <v>1.27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f t="shared" si="14"/>
        <v>42.269999999999996</v>
      </c>
      <c r="AK498" s="3">
        <f t="shared" si="15"/>
        <v>31.689999999999998</v>
      </c>
    </row>
    <row r="499" spans="1:37">
      <c r="A499">
        <v>10298662</v>
      </c>
      <c r="B499" t="s">
        <v>37</v>
      </c>
      <c r="C499" t="s">
        <v>3581</v>
      </c>
      <c r="E499" t="s">
        <v>3582</v>
      </c>
      <c r="F499" t="s">
        <v>3583</v>
      </c>
      <c r="G499" t="s">
        <v>3584</v>
      </c>
      <c r="H499" t="s">
        <v>42</v>
      </c>
      <c r="I499" t="s">
        <v>3585</v>
      </c>
      <c r="J499" t="s">
        <v>3586</v>
      </c>
      <c r="K499">
        <v>51107</v>
      </c>
      <c r="L499" t="s">
        <v>71</v>
      </c>
      <c r="M499" t="s">
        <v>46</v>
      </c>
      <c r="N499" t="s">
        <v>47</v>
      </c>
      <c r="O499">
        <v>4</v>
      </c>
      <c r="P499">
        <v>1</v>
      </c>
      <c r="Q499">
        <v>4</v>
      </c>
      <c r="R499" t="s">
        <v>48</v>
      </c>
      <c r="S499" t="s">
        <v>49</v>
      </c>
      <c r="T499" s="3">
        <v>0.84</v>
      </c>
      <c r="U499" s="3">
        <v>0.23</v>
      </c>
      <c r="V499" s="3">
        <v>3.55</v>
      </c>
      <c r="W499">
        <v>2.06</v>
      </c>
      <c r="X499" t="s">
        <v>72</v>
      </c>
      <c r="Y499" s="3">
        <v>5.44</v>
      </c>
      <c r="Z499" t="s">
        <v>73</v>
      </c>
      <c r="AA499" t="s">
        <v>1694</v>
      </c>
      <c r="AB499" t="s">
        <v>53</v>
      </c>
      <c r="AC499" s="3">
        <v>1.29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f t="shared" si="14"/>
        <v>11.350000000000001</v>
      </c>
      <c r="AK499" s="3">
        <f t="shared" si="15"/>
        <v>5.910000000000001</v>
      </c>
    </row>
    <row r="500" spans="1:37">
      <c r="A500">
        <v>10296238</v>
      </c>
      <c r="B500" t="s">
        <v>37</v>
      </c>
      <c r="C500" t="s">
        <v>3587</v>
      </c>
      <c r="D500" t="s">
        <v>3588</v>
      </c>
      <c r="E500" t="s">
        <v>3589</v>
      </c>
      <c r="F500" t="s">
        <v>3590</v>
      </c>
      <c r="G500" t="s">
        <v>3591</v>
      </c>
      <c r="H500" t="s">
        <v>42</v>
      </c>
      <c r="I500" t="s">
        <v>3592</v>
      </c>
      <c r="J500" t="s">
        <v>3593</v>
      </c>
      <c r="K500">
        <v>35075</v>
      </c>
      <c r="L500" t="s">
        <v>71</v>
      </c>
      <c r="M500" t="s">
        <v>46</v>
      </c>
      <c r="N500" t="s">
        <v>47</v>
      </c>
      <c r="O500">
        <v>4</v>
      </c>
      <c r="P500">
        <v>1</v>
      </c>
      <c r="Q500">
        <v>4</v>
      </c>
      <c r="R500" t="s">
        <v>48</v>
      </c>
      <c r="S500" t="s">
        <v>49</v>
      </c>
      <c r="T500" s="3">
        <v>0.84</v>
      </c>
      <c r="U500" s="3">
        <v>0.23</v>
      </c>
      <c r="V500" s="3">
        <v>3.55</v>
      </c>
      <c r="W500">
        <v>1.76</v>
      </c>
      <c r="X500" t="s">
        <v>72</v>
      </c>
      <c r="Y500" s="3">
        <v>5.44</v>
      </c>
      <c r="Z500" t="s">
        <v>73</v>
      </c>
      <c r="AA500" t="s">
        <v>3594</v>
      </c>
      <c r="AB500" t="s">
        <v>53</v>
      </c>
      <c r="AC500" s="3">
        <v>1.29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f t="shared" si="14"/>
        <v>11.350000000000001</v>
      </c>
      <c r="AK500" s="3">
        <f t="shared" si="15"/>
        <v>5.910000000000001</v>
      </c>
    </row>
    <row r="501" spans="1:37">
      <c r="A501">
        <v>10299354</v>
      </c>
      <c r="B501" t="s">
        <v>37</v>
      </c>
      <c r="C501" t="s">
        <v>3595</v>
      </c>
      <c r="E501" t="s">
        <v>3596</v>
      </c>
      <c r="F501" t="s">
        <v>3597</v>
      </c>
      <c r="G501" t="s">
        <v>3598</v>
      </c>
      <c r="H501" t="s">
        <v>42</v>
      </c>
      <c r="I501" t="s">
        <v>3599</v>
      </c>
      <c r="J501" t="s">
        <v>3600</v>
      </c>
      <c r="K501">
        <v>1745</v>
      </c>
      <c r="L501" t="s">
        <v>505</v>
      </c>
      <c r="M501" t="s">
        <v>46</v>
      </c>
      <c r="N501" t="s">
        <v>47</v>
      </c>
      <c r="O501">
        <v>3</v>
      </c>
      <c r="P501">
        <v>1</v>
      </c>
      <c r="Q501">
        <v>3</v>
      </c>
      <c r="R501" t="s">
        <v>48</v>
      </c>
      <c r="S501" t="s">
        <v>49</v>
      </c>
      <c r="T501" s="3">
        <v>0.84</v>
      </c>
      <c r="U501" s="3">
        <v>0.23</v>
      </c>
      <c r="V501" s="3">
        <v>2.68</v>
      </c>
      <c r="W501">
        <v>1.28</v>
      </c>
      <c r="X501" t="s">
        <v>50</v>
      </c>
      <c r="Y501" s="3">
        <v>10.58</v>
      </c>
      <c r="Z501" t="s">
        <v>73</v>
      </c>
      <c r="AA501" t="s">
        <v>3601</v>
      </c>
      <c r="AB501" t="s">
        <v>53</v>
      </c>
      <c r="AC501" s="3">
        <v>1.29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f t="shared" si="14"/>
        <v>15.620000000000001</v>
      </c>
      <c r="AK501" s="3">
        <f t="shared" si="15"/>
        <v>5.0400000000000009</v>
      </c>
    </row>
    <row r="502" spans="1:37">
      <c r="A502">
        <v>10299352</v>
      </c>
      <c r="B502" t="s">
        <v>37</v>
      </c>
      <c r="C502" t="s">
        <v>3602</v>
      </c>
      <c r="E502" t="s">
        <v>687</v>
      </c>
      <c r="F502" t="s">
        <v>3603</v>
      </c>
      <c r="G502" t="s">
        <v>3604</v>
      </c>
      <c r="H502" t="s">
        <v>42</v>
      </c>
      <c r="I502" t="s">
        <v>3605</v>
      </c>
      <c r="J502" t="s">
        <v>3606</v>
      </c>
      <c r="K502">
        <v>97276</v>
      </c>
      <c r="L502" t="s">
        <v>71</v>
      </c>
      <c r="M502" t="s">
        <v>46</v>
      </c>
      <c r="N502" t="s">
        <v>47</v>
      </c>
      <c r="O502">
        <v>3</v>
      </c>
      <c r="P502">
        <v>1</v>
      </c>
      <c r="Q502">
        <v>3</v>
      </c>
      <c r="R502" t="s">
        <v>48</v>
      </c>
      <c r="S502" t="s">
        <v>49</v>
      </c>
      <c r="T502" s="3">
        <v>0.84</v>
      </c>
      <c r="U502" s="3">
        <v>0.23</v>
      </c>
      <c r="V502" s="3">
        <v>2.68</v>
      </c>
      <c r="W502">
        <v>1.65</v>
      </c>
      <c r="X502" t="s">
        <v>72</v>
      </c>
      <c r="Y502" s="3">
        <v>5.44</v>
      </c>
      <c r="Z502" t="s">
        <v>73</v>
      </c>
      <c r="AA502" t="s">
        <v>3607</v>
      </c>
      <c r="AB502" t="s">
        <v>53</v>
      </c>
      <c r="AC502" s="3">
        <v>1.29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f t="shared" si="14"/>
        <v>10.48</v>
      </c>
      <c r="AK502" s="3">
        <f t="shared" si="15"/>
        <v>5.04</v>
      </c>
    </row>
    <row r="503" spans="1:37">
      <c r="A503">
        <v>10297344</v>
      </c>
      <c r="B503" t="s">
        <v>37</v>
      </c>
      <c r="C503" t="s">
        <v>3608</v>
      </c>
      <c r="E503" t="s">
        <v>3609</v>
      </c>
      <c r="F503" t="s">
        <v>3610</v>
      </c>
      <c r="G503" t="s">
        <v>3611</v>
      </c>
      <c r="H503" t="s">
        <v>42</v>
      </c>
      <c r="I503" t="s">
        <v>3612</v>
      </c>
      <c r="J503" t="s">
        <v>3613</v>
      </c>
      <c r="K503" t="s">
        <v>3614</v>
      </c>
      <c r="L503" t="s">
        <v>82</v>
      </c>
      <c r="M503" t="s">
        <v>46</v>
      </c>
      <c r="N503" t="s">
        <v>47</v>
      </c>
      <c r="O503">
        <v>5</v>
      </c>
      <c r="P503">
        <v>1</v>
      </c>
      <c r="Q503">
        <v>5</v>
      </c>
      <c r="R503" t="s">
        <v>48</v>
      </c>
      <c r="S503" t="s">
        <v>49</v>
      </c>
      <c r="T503" s="3">
        <v>0.84</v>
      </c>
      <c r="U503" s="3">
        <v>0.23</v>
      </c>
      <c r="V503" s="3">
        <v>4.42</v>
      </c>
      <c r="W503">
        <v>1.71</v>
      </c>
      <c r="X503" t="s">
        <v>50</v>
      </c>
      <c r="Y503" s="3">
        <v>9.19</v>
      </c>
      <c r="Z503" t="s">
        <v>73</v>
      </c>
      <c r="AA503" t="s">
        <v>3615</v>
      </c>
      <c r="AB503" t="s">
        <v>53</v>
      </c>
      <c r="AC503" s="3">
        <v>1.29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f t="shared" si="14"/>
        <v>15.97</v>
      </c>
      <c r="AK503" s="3">
        <f t="shared" si="15"/>
        <v>6.7800000000000011</v>
      </c>
    </row>
    <row r="504" spans="1:37">
      <c r="A504">
        <v>10297133</v>
      </c>
      <c r="B504" t="s">
        <v>37</v>
      </c>
      <c r="C504" t="s">
        <v>3616</v>
      </c>
      <c r="E504" t="s">
        <v>3617</v>
      </c>
      <c r="F504" t="s">
        <v>3618</v>
      </c>
      <c r="G504" t="s">
        <v>3619</v>
      </c>
      <c r="H504" t="s">
        <v>42</v>
      </c>
      <c r="I504" t="s">
        <v>3620</v>
      </c>
      <c r="J504" t="s">
        <v>3621</v>
      </c>
      <c r="K504">
        <v>9186</v>
      </c>
      <c r="L504" t="s">
        <v>369</v>
      </c>
      <c r="M504" t="s">
        <v>46</v>
      </c>
      <c r="N504" t="s">
        <v>47</v>
      </c>
      <c r="O504">
        <v>5</v>
      </c>
      <c r="P504">
        <v>1</v>
      </c>
      <c r="Q504">
        <v>5</v>
      </c>
      <c r="R504" t="s">
        <v>48</v>
      </c>
      <c r="S504" t="s">
        <v>49</v>
      </c>
      <c r="T504" s="3">
        <v>0.84</v>
      </c>
      <c r="U504" s="3">
        <v>0.23</v>
      </c>
      <c r="V504" s="3">
        <v>4.42</v>
      </c>
      <c r="W504">
        <v>2.2000000000000002</v>
      </c>
      <c r="X504" t="s">
        <v>50</v>
      </c>
      <c r="Y504" s="3">
        <v>9.19</v>
      </c>
      <c r="Z504" t="s">
        <v>83</v>
      </c>
      <c r="AA504" t="s">
        <v>3622</v>
      </c>
      <c r="AB504" t="s">
        <v>53</v>
      </c>
      <c r="AC504" s="3">
        <v>1.27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f t="shared" si="14"/>
        <v>15.95</v>
      </c>
      <c r="AK504" s="3">
        <f t="shared" si="15"/>
        <v>6.76</v>
      </c>
    </row>
    <row r="505" spans="1:37">
      <c r="A505">
        <v>10296842</v>
      </c>
      <c r="B505" t="s">
        <v>37</v>
      </c>
      <c r="C505" t="s">
        <v>3623</v>
      </c>
      <c r="E505" t="s">
        <v>3624</v>
      </c>
      <c r="F505" t="s">
        <v>3625</v>
      </c>
      <c r="G505" t="s">
        <v>3626</v>
      </c>
      <c r="H505" t="s">
        <v>42</v>
      </c>
      <c r="I505" t="s">
        <v>3627</v>
      </c>
      <c r="J505" t="s">
        <v>3628</v>
      </c>
      <c r="K505" t="s">
        <v>3629</v>
      </c>
      <c r="L505" t="s">
        <v>275</v>
      </c>
      <c r="M505" t="s">
        <v>46</v>
      </c>
      <c r="N505" t="s">
        <v>47</v>
      </c>
      <c r="O505">
        <v>5</v>
      </c>
      <c r="P505">
        <v>1</v>
      </c>
      <c r="Q505">
        <v>5</v>
      </c>
      <c r="R505" t="s">
        <v>48</v>
      </c>
      <c r="S505" t="s">
        <v>49</v>
      </c>
      <c r="T505" s="3">
        <v>0.84</v>
      </c>
      <c r="U505" s="3">
        <v>0.23</v>
      </c>
      <c r="V505" s="3">
        <v>4.42</v>
      </c>
      <c r="W505">
        <v>2.5499999999999998</v>
      </c>
      <c r="X505" t="s">
        <v>50</v>
      </c>
      <c r="Y505" s="3">
        <v>16.43</v>
      </c>
      <c r="Z505" t="s">
        <v>73</v>
      </c>
      <c r="AA505" t="s">
        <v>3630</v>
      </c>
      <c r="AB505" t="s">
        <v>53</v>
      </c>
      <c r="AC505" s="3">
        <v>1.29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f t="shared" si="14"/>
        <v>23.21</v>
      </c>
      <c r="AK505" s="3">
        <f t="shared" si="15"/>
        <v>6.7800000000000011</v>
      </c>
    </row>
    <row r="506" spans="1:37">
      <c r="A506">
        <v>10298656</v>
      </c>
      <c r="B506" t="s">
        <v>37</v>
      </c>
      <c r="C506" t="s">
        <v>3631</v>
      </c>
      <c r="E506" t="s">
        <v>1712</v>
      </c>
      <c r="F506" t="s">
        <v>3632</v>
      </c>
      <c r="G506" t="s">
        <v>3633</v>
      </c>
      <c r="H506" t="s">
        <v>42</v>
      </c>
      <c r="I506" t="s">
        <v>3634</v>
      </c>
      <c r="J506" t="s">
        <v>3635</v>
      </c>
      <c r="K506">
        <v>34314</v>
      </c>
      <c r="L506" t="s">
        <v>71</v>
      </c>
      <c r="M506" t="s">
        <v>46</v>
      </c>
      <c r="N506" t="s">
        <v>47</v>
      </c>
      <c r="O506">
        <v>3</v>
      </c>
      <c r="P506">
        <v>1</v>
      </c>
      <c r="Q506">
        <v>3</v>
      </c>
      <c r="R506" t="s">
        <v>48</v>
      </c>
      <c r="S506" t="s">
        <v>49</v>
      </c>
      <c r="T506" s="3">
        <v>0.84</v>
      </c>
      <c r="U506" s="3">
        <v>0.23</v>
      </c>
      <c r="V506" s="3">
        <v>2.68</v>
      </c>
      <c r="W506">
        <v>1.57</v>
      </c>
      <c r="X506" t="s">
        <v>72</v>
      </c>
      <c r="Y506" s="3">
        <v>5.44</v>
      </c>
      <c r="Z506" t="s">
        <v>73</v>
      </c>
      <c r="AA506" t="s">
        <v>3636</v>
      </c>
      <c r="AB506" t="s">
        <v>53</v>
      </c>
      <c r="AC506" s="3">
        <v>1.29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f t="shared" si="14"/>
        <v>10.48</v>
      </c>
      <c r="AK506" s="3">
        <f t="shared" si="15"/>
        <v>5.04</v>
      </c>
    </row>
    <row r="507" spans="1:37">
      <c r="A507">
        <v>10298470</v>
      </c>
      <c r="B507" t="s">
        <v>37</v>
      </c>
      <c r="C507" t="s">
        <v>3637</v>
      </c>
      <c r="E507" t="s">
        <v>3638</v>
      </c>
      <c r="F507" t="s">
        <v>3639</v>
      </c>
      <c r="G507" t="s">
        <v>3640</v>
      </c>
      <c r="H507" t="s">
        <v>42</v>
      </c>
      <c r="I507" t="s">
        <v>3641</v>
      </c>
      <c r="J507" t="s">
        <v>3642</v>
      </c>
      <c r="K507" t="s">
        <v>3643</v>
      </c>
      <c r="L507" t="s">
        <v>82</v>
      </c>
      <c r="M507" t="s">
        <v>46</v>
      </c>
      <c r="N507" t="s">
        <v>47</v>
      </c>
      <c r="O507">
        <v>3</v>
      </c>
      <c r="P507">
        <v>1</v>
      </c>
      <c r="Q507">
        <v>3</v>
      </c>
      <c r="R507" t="s">
        <v>48</v>
      </c>
      <c r="S507" t="s">
        <v>49</v>
      </c>
      <c r="T507" s="3">
        <v>0.84</v>
      </c>
      <c r="U507" s="3">
        <v>0.23</v>
      </c>
      <c r="V507" s="3">
        <v>2.68</v>
      </c>
      <c r="W507">
        <v>0.88</v>
      </c>
      <c r="X507" t="s">
        <v>50</v>
      </c>
      <c r="Y507" s="3">
        <v>10.58</v>
      </c>
      <c r="Z507" t="s">
        <v>73</v>
      </c>
      <c r="AA507" t="s">
        <v>3644</v>
      </c>
      <c r="AB507" t="s">
        <v>53</v>
      </c>
      <c r="AC507" s="3">
        <v>1.29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f t="shared" si="14"/>
        <v>15.620000000000001</v>
      </c>
      <c r="AK507" s="3">
        <f t="shared" si="15"/>
        <v>5.0400000000000009</v>
      </c>
    </row>
    <row r="508" spans="1:37">
      <c r="A508">
        <v>10298660</v>
      </c>
      <c r="B508" t="s">
        <v>37</v>
      </c>
      <c r="C508" t="s">
        <v>3645</v>
      </c>
      <c r="E508" t="s">
        <v>3646</v>
      </c>
      <c r="F508" t="s">
        <v>3647</v>
      </c>
      <c r="G508" t="s">
        <v>3648</v>
      </c>
      <c r="H508" t="s">
        <v>42</v>
      </c>
      <c r="I508" t="s">
        <v>3649</v>
      </c>
      <c r="J508" t="s">
        <v>3650</v>
      </c>
      <c r="K508" t="s">
        <v>3651</v>
      </c>
      <c r="L508" t="s">
        <v>142</v>
      </c>
      <c r="M508" t="s">
        <v>46</v>
      </c>
      <c r="N508" t="s">
        <v>47</v>
      </c>
      <c r="O508">
        <v>3</v>
      </c>
      <c r="P508">
        <v>1</v>
      </c>
      <c r="Q508">
        <v>3</v>
      </c>
      <c r="R508" t="s">
        <v>48</v>
      </c>
      <c r="S508" t="s">
        <v>49</v>
      </c>
      <c r="T508" s="3">
        <v>0.84</v>
      </c>
      <c r="U508" s="3">
        <v>0.23</v>
      </c>
      <c r="V508" s="3">
        <v>2.68</v>
      </c>
      <c r="W508">
        <v>0.5</v>
      </c>
      <c r="X508" t="s">
        <v>50</v>
      </c>
      <c r="Y508" s="3">
        <v>16.43</v>
      </c>
      <c r="Z508" t="s">
        <v>109</v>
      </c>
      <c r="AA508" t="s">
        <v>3652</v>
      </c>
      <c r="AB508" t="s">
        <v>53</v>
      </c>
      <c r="AC508" s="3">
        <v>1.06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f t="shared" si="14"/>
        <v>21.24</v>
      </c>
      <c r="AK508" s="3">
        <f t="shared" si="15"/>
        <v>4.8099999999999987</v>
      </c>
    </row>
    <row r="509" spans="1:37">
      <c r="A509">
        <v>10295592</v>
      </c>
      <c r="B509" t="s">
        <v>37</v>
      </c>
      <c r="C509" t="s">
        <v>3653</v>
      </c>
      <c r="E509" t="s">
        <v>857</v>
      </c>
      <c r="F509" t="s">
        <v>3654</v>
      </c>
      <c r="G509" t="s">
        <v>3655</v>
      </c>
      <c r="H509" t="s">
        <v>42</v>
      </c>
      <c r="I509" t="s">
        <v>3656</v>
      </c>
      <c r="J509" t="s">
        <v>3657</v>
      </c>
      <c r="K509">
        <v>49811</v>
      </c>
      <c r="L509" t="s">
        <v>71</v>
      </c>
      <c r="M509" t="s">
        <v>46</v>
      </c>
      <c r="N509" t="s">
        <v>47</v>
      </c>
      <c r="O509">
        <v>4</v>
      </c>
      <c r="P509">
        <v>1</v>
      </c>
      <c r="Q509">
        <v>4</v>
      </c>
      <c r="R509" t="s">
        <v>48</v>
      </c>
      <c r="S509" t="s">
        <v>49</v>
      </c>
      <c r="T509" s="3">
        <v>0.84</v>
      </c>
      <c r="U509" s="3">
        <v>0.23</v>
      </c>
      <c r="V509" s="3">
        <v>3.55</v>
      </c>
      <c r="W509">
        <v>1.64</v>
      </c>
      <c r="X509" t="s">
        <v>72</v>
      </c>
      <c r="Y509" s="3">
        <v>5.44</v>
      </c>
      <c r="Z509" t="s">
        <v>73</v>
      </c>
      <c r="AA509" t="s">
        <v>3658</v>
      </c>
      <c r="AB509" t="s">
        <v>53</v>
      </c>
      <c r="AC509" s="3">
        <v>1.29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f t="shared" si="14"/>
        <v>11.350000000000001</v>
      </c>
      <c r="AK509" s="3">
        <f t="shared" si="15"/>
        <v>5.910000000000001</v>
      </c>
    </row>
    <row r="510" spans="1:37">
      <c r="A510">
        <v>10296235</v>
      </c>
      <c r="B510" t="s">
        <v>37</v>
      </c>
      <c r="C510" t="s">
        <v>3659</v>
      </c>
      <c r="E510" t="s">
        <v>3660</v>
      </c>
      <c r="F510" t="s">
        <v>3661</v>
      </c>
      <c r="G510" t="s">
        <v>3662</v>
      </c>
      <c r="H510" t="s">
        <v>42</v>
      </c>
      <c r="I510" t="s">
        <v>3663</v>
      </c>
      <c r="J510" t="s">
        <v>3664</v>
      </c>
      <c r="K510">
        <v>3600</v>
      </c>
      <c r="L510" t="s">
        <v>505</v>
      </c>
      <c r="M510" t="s">
        <v>46</v>
      </c>
      <c r="N510" t="s">
        <v>47</v>
      </c>
      <c r="O510">
        <v>5</v>
      </c>
      <c r="P510">
        <v>1</v>
      </c>
      <c r="Q510">
        <v>5</v>
      </c>
      <c r="R510" t="s">
        <v>48</v>
      </c>
      <c r="S510" t="s">
        <v>49</v>
      </c>
      <c r="T510" s="3">
        <v>0.84</v>
      </c>
      <c r="U510" s="3">
        <v>0.23</v>
      </c>
      <c r="V510" s="3">
        <v>4.42</v>
      </c>
      <c r="W510">
        <v>2.21</v>
      </c>
      <c r="X510" t="s">
        <v>50</v>
      </c>
      <c r="Y510" s="3">
        <v>9.19</v>
      </c>
      <c r="Z510" t="s">
        <v>73</v>
      </c>
      <c r="AA510" t="s">
        <v>3665</v>
      </c>
      <c r="AB510" t="s">
        <v>53</v>
      </c>
      <c r="AC510" s="3">
        <v>1.29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f t="shared" si="14"/>
        <v>15.97</v>
      </c>
      <c r="AK510" s="3">
        <f t="shared" si="15"/>
        <v>6.7800000000000011</v>
      </c>
    </row>
    <row r="511" spans="1:37">
      <c r="A511">
        <v>10296236</v>
      </c>
      <c r="B511" t="s">
        <v>37</v>
      </c>
      <c r="C511" t="s">
        <v>3666</v>
      </c>
      <c r="E511" t="s">
        <v>2038</v>
      </c>
      <c r="F511" t="s">
        <v>3667</v>
      </c>
      <c r="G511" t="s">
        <v>3668</v>
      </c>
      <c r="H511" t="s">
        <v>42</v>
      </c>
      <c r="I511" t="s">
        <v>3669</v>
      </c>
      <c r="J511" t="s">
        <v>3670</v>
      </c>
      <c r="K511" t="s">
        <v>3671</v>
      </c>
      <c r="L511" t="s">
        <v>142</v>
      </c>
      <c r="M511" t="s">
        <v>46</v>
      </c>
      <c r="N511" t="s">
        <v>47</v>
      </c>
      <c r="O511">
        <v>4</v>
      </c>
      <c r="P511">
        <v>1</v>
      </c>
      <c r="Q511">
        <v>4</v>
      </c>
      <c r="R511" t="s">
        <v>48</v>
      </c>
      <c r="S511" t="s">
        <v>49</v>
      </c>
      <c r="T511" s="3">
        <v>0.84</v>
      </c>
      <c r="U511" s="3">
        <v>0.23</v>
      </c>
      <c r="V511" s="3">
        <v>3.55</v>
      </c>
      <c r="W511">
        <v>2.06</v>
      </c>
      <c r="X511" t="s">
        <v>50</v>
      </c>
      <c r="Y511" s="3">
        <v>16.43</v>
      </c>
      <c r="Z511" t="s">
        <v>73</v>
      </c>
      <c r="AA511" t="s">
        <v>327</v>
      </c>
      <c r="AB511" t="s">
        <v>53</v>
      </c>
      <c r="AC511" s="3">
        <v>1.29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f t="shared" si="14"/>
        <v>22.34</v>
      </c>
      <c r="AK511" s="3">
        <f t="shared" si="15"/>
        <v>5.91</v>
      </c>
    </row>
    <row r="512" spans="1:37">
      <c r="A512">
        <v>10296434</v>
      </c>
      <c r="B512" t="s">
        <v>37</v>
      </c>
      <c r="C512" t="s">
        <v>3672</v>
      </c>
      <c r="E512" t="s">
        <v>3673</v>
      </c>
      <c r="F512" t="s">
        <v>3674</v>
      </c>
      <c r="G512" t="s">
        <v>3675</v>
      </c>
      <c r="H512" t="s">
        <v>42</v>
      </c>
      <c r="I512" t="s">
        <v>3676</v>
      </c>
      <c r="J512" t="s">
        <v>3677</v>
      </c>
      <c r="K512" t="s">
        <v>3678</v>
      </c>
      <c r="L512" t="s">
        <v>82</v>
      </c>
      <c r="M512" t="s">
        <v>46</v>
      </c>
      <c r="N512" t="s">
        <v>47</v>
      </c>
      <c r="O512">
        <v>5</v>
      </c>
      <c r="P512">
        <v>1</v>
      </c>
      <c r="Q512">
        <v>5</v>
      </c>
      <c r="R512" t="s">
        <v>48</v>
      </c>
      <c r="S512" t="s">
        <v>49</v>
      </c>
      <c r="T512" s="3">
        <v>0.84</v>
      </c>
      <c r="U512" s="3">
        <v>0.23</v>
      </c>
      <c r="V512" s="3">
        <v>4.42</v>
      </c>
      <c r="W512">
        <v>1.72</v>
      </c>
      <c r="X512" t="s">
        <v>50</v>
      </c>
      <c r="Y512" s="3">
        <v>9.19</v>
      </c>
      <c r="Z512" t="s">
        <v>73</v>
      </c>
      <c r="AA512" t="s">
        <v>3679</v>
      </c>
      <c r="AB512" t="s">
        <v>53</v>
      </c>
      <c r="AC512" s="3">
        <v>1.29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f t="shared" si="14"/>
        <v>15.97</v>
      </c>
      <c r="AK512" s="3">
        <f t="shared" si="15"/>
        <v>6.7800000000000011</v>
      </c>
    </row>
    <row r="513" spans="1:37">
      <c r="A513">
        <v>10296432</v>
      </c>
      <c r="B513" t="s">
        <v>37</v>
      </c>
      <c r="C513" t="s">
        <v>3680</v>
      </c>
      <c r="E513" t="s">
        <v>3681</v>
      </c>
      <c r="F513" t="s">
        <v>3682</v>
      </c>
      <c r="G513" t="s">
        <v>3683</v>
      </c>
      <c r="H513" t="s">
        <v>42</v>
      </c>
      <c r="I513" t="s">
        <v>3684</v>
      </c>
      <c r="J513" t="s">
        <v>3685</v>
      </c>
      <c r="K513">
        <v>3500</v>
      </c>
      <c r="L513" t="s">
        <v>505</v>
      </c>
      <c r="M513" t="s">
        <v>46</v>
      </c>
      <c r="N513" t="s">
        <v>47</v>
      </c>
      <c r="O513">
        <v>4</v>
      </c>
      <c r="P513">
        <v>1</v>
      </c>
      <c r="Q513">
        <v>4</v>
      </c>
      <c r="R513" t="s">
        <v>48</v>
      </c>
      <c r="S513" t="s">
        <v>49</v>
      </c>
      <c r="T513" s="3">
        <v>0.84</v>
      </c>
      <c r="U513" s="3">
        <v>0.23</v>
      </c>
      <c r="V513" s="3">
        <v>3.55</v>
      </c>
      <c r="W513">
        <v>1.72</v>
      </c>
      <c r="X513" t="s">
        <v>50</v>
      </c>
      <c r="Y513" s="3">
        <v>9.19</v>
      </c>
      <c r="Z513" t="s">
        <v>73</v>
      </c>
      <c r="AA513" t="s">
        <v>3686</v>
      </c>
      <c r="AB513" t="s">
        <v>53</v>
      </c>
      <c r="AC513" s="3">
        <v>1.29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f t="shared" si="14"/>
        <v>15.100000000000001</v>
      </c>
      <c r="AK513" s="3">
        <f t="shared" si="15"/>
        <v>5.9100000000000019</v>
      </c>
    </row>
    <row r="514" spans="1:37">
      <c r="A514">
        <v>10300086</v>
      </c>
      <c r="B514" t="s">
        <v>37</v>
      </c>
      <c r="C514" t="s">
        <v>3687</v>
      </c>
      <c r="E514" t="s">
        <v>3688</v>
      </c>
      <c r="F514" t="s">
        <v>3689</v>
      </c>
      <c r="G514" t="s">
        <v>3690</v>
      </c>
      <c r="H514" t="s">
        <v>42</v>
      </c>
      <c r="I514" t="s">
        <v>3691</v>
      </c>
      <c r="J514" t="s">
        <v>3692</v>
      </c>
      <c r="K514">
        <v>60596</v>
      </c>
      <c r="L514" t="s">
        <v>71</v>
      </c>
      <c r="M514" t="s">
        <v>46</v>
      </c>
      <c r="N514" t="s">
        <v>47</v>
      </c>
      <c r="O514">
        <v>1</v>
      </c>
      <c r="P514">
        <v>1</v>
      </c>
      <c r="Q514">
        <v>1</v>
      </c>
      <c r="R514" t="s">
        <v>48</v>
      </c>
      <c r="S514" t="s">
        <v>49</v>
      </c>
      <c r="T514" s="3">
        <v>0.84</v>
      </c>
      <c r="U514" s="3">
        <v>0.23</v>
      </c>
      <c r="V514" s="3">
        <v>0.94</v>
      </c>
      <c r="W514">
        <v>0.59</v>
      </c>
      <c r="X514" t="s">
        <v>108</v>
      </c>
      <c r="Y514" s="3">
        <v>5.14</v>
      </c>
      <c r="Z514" t="s">
        <v>109</v>
      </c>
      <c r="AA514" t="s">
        <v>184</v>
      </c>
      <c r="AB514" t="s">
        <v>53</v>
      </c>
      <c r="AC514" s="3">
        <v>1.06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f t="shared" ref="AJ514:AJ577" si="16">AI514+AH514+AG514+AF514+AE514+AD514+AC514+Y514+V514+U514+T514</f>
        <v>8.2099999999999991</v>
      </c>
      <c r="AK514" s="3">
        <f t="shared" ref="AK514:AK577" si="17">AJ514-Y514</f>
        <v>3.0699999999999994</v>
      </c>
    </row>
    <row r="515" spans="1:37">
      <c r="A515">
        <v>10298663</v>
      </c>
      <c r="B515" t="s">
        <v>37</v>
      </c>
      <c r="C515" t="s">
        <v>3693</v>
      </c>
      <c r="E515" t="s">
        <v>2114</v>
      </c>
      <c r="F515" t="s">
        <v>1838</v>
      </c>
      <c r="G515" t="s">
        <v>3694</v>
      </c>
      <c r="H515" t="s">
        <v>42</v>
      </c>
      <c r="I515" t="s">
        <v>3695</v>
      </c>
      <c r="J515" t="s">
        <v>3696</v>
      </c>
      <c r="K515" t="s">
        <v>3697</v>
      </c>
      <c r="L515" t="s">
        <v>142</v>
      </c>
      <c r="M515" t="s">
        <v>46</v>
      </c>
      <c r="N515" t="s">
        <v>47</v>
      </c>
      <c r="O515">
        <v>1</v>
      </c>
      <c r="P515">
        <v>1</v>
      </c>
      <c r="Q515">
        <v>1</v>
      </c>
      <c r="R515" t="s">
        <v>48</v>
      </c>
      <c r="S515" t="s">
        <v>49</v>
      </c>
      <c r="T515" s="3">
        <v>0.84</v>
      </c>
      <c r="U515" s="3">
        <v>0.23</v>
      </c>
      <c r="V515" s="3">
        <v>0.94</v>
      </c>
      <c r="W515">
        <v>0.59</v>
      </c>
      <c r="X515" t="s">
        <v>50</v>
      </c>
      <c r="Y515" s="3">
        <v>16.43</v>
      </c>
      <c r="Z515" t="s">
        <v>109</v>
      </c>
      <c r="AA515" t="s">
        <v>1776</v>
      </c>
      <c r="AB515" t="s">
        <v>53</v>
      </c>
      <c r="AC515" s="3">
        <v>1.06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f t="shared" si="16"/>
        <v>19.5</v>
      </c>
      <c r="AK515" s="3">
        <f t="shared" si="17"/>
        <v>3.0700000000000003</v>
      </c>
    </row>
    <row r="516" spans="1:37">
      <c r="A516">
        <v>10297540</v>
      </c>
      <c r="B516" t="s">
        <v>37</v>
      </c>
      <c r="C516" t="s">
        <v>3698</v>
      </c>
      <c r="E516" t="s">
        <v>3699</v>
      </c>
      <c r="F516" t="s">
        <v>3699</v>
      </c>
      <c r="G516" t="s">
        <v>3700</v>
      </c>
      <c r="H516" t="s">
        <v>42</v>
      </c>
      <c r="I516" t="s">
        <v>3701</v>
      </c>
      <c r="J516" t="s">
        <v>3702</v>
      </c>
      <c r="K516" t="s">
        <v>3703</v>
      </c>
      <c r="L516" t="s">
        <v>142</v>
      </c>
      <c r="M516" t="s">
        <v>46</v>
      </c>
      <c r="N516" t="s">
        <v>47</v>
      </c>
      <c r="O516">
        <v>1</v>
      </c>
      <c r="P516">
        <v>1</v>
      </c>
      <c r="Q516">
        <v>1</v>
      </c>
      <c r="R516" t="s">
        <v>48</v>
      </c>
      <c r="S516" t="s">
        <v>49</v>
      </c>
      <c r="T516" s="3">
        <v>0.84</v>
      </c>
      <c r="U516" s="3">
        <v>0.23</v>
      </c>
      <c r="V516" s="3">
        <v>0.94</v>
      </c>
      <c r="W516">
        <v>0.49</v>
      </c>
      <c r="X516" t="s">
        <v>50</v>
      </c>
      <c r="Y516" s="3">
        <v>16.43</v>
      </c>
      <c r="Z516" t="s">
        <v>109</v>
      </c>
      <c r="AA516" t="s">
        <v>1385</v>
      </c>
      <c r="AB516" t="s">
        <v>53</v>
      </c>
      <c r="AC516" s="3">
        <v>1.06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f t="shared" si="16"/>
        <v>19.5</v>
      </c>
      <c r="AK516" s="3">
        <f t="shared" si="17"/>
        <v>3.0700000000000003</v>
      </c>
    </row>
    <row r="517" spans="1:37">
      <c r="A517">
        <v>10298659</v>
      </c>
      <c r="B517" t="s">
        <v>37</v>
      </c>
      <c r="C517" t="s">
        <v>3704</v>
      </c>
      <c r="E517" t="s">
        <v>3705</v>
      </c>
      <c r="F517" t="s">
        <v>3706</v>
      </c>
      <c r="G517" t="s">
        <v>3707</v>
      </c>
      <c r="H517" t="s">
        <v>42</v>
      </c>
      <c r="I517" t="s">
        <v>3708</v>
      </c>
      <c r="J517" t="s">
        <v>3709</v>
      </c>
      <c r="K517">
        <v>55122</v>
      </c>
      <c r="L517" t="s">
        <v>71</v>
      </c>
      <c r="M517" t="s">
        <v>46</v>
      </c>
      <c r="N517" t="s">
        <v>47</v>
      </c>
      <c r="O517">
        <v>2</v>
      </c>
      <c r="P517">
        <v>1</v>
      </c>
      <c r="Q517">
        <v>2</v>
      </c>
      <c r="R517" t="s">
        <v>48</v>
      </c>
      <c r="S517" t="s">
        <v>49</v>
      </c>
      <c r="T517" s="3">
        <v>0.84</v>
      </c>
      <c r="U517" s="3">
        <v>0.23</v>
      </c>
      <c r="V517" s="3">
        <v>1.81</v>
      </c>
      <c r="W517">
        <v>1.08</v>
      </c>
      <c r="X517" t="s">
        <v>72</v>
      </c>
      <c r="Y517" s="3">
        <v>5.44</v>
      </c>
      <c r="Z517" t="s">
        <v>73</v>
      </c>
      <c r="AA517" t="s">
        <v>862</v>
      </c>
      <c r="AB517" t="s">
        <v>53</v>
      </c>
      <c r="AC517" s="3">
        <v>1.29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f t="shared" si="16"/>
        <v>9.6100000000000012</v>
      </c>
      <c r="AK517" s="3">
        <f t="shared" si="17"/>
        <v>4.1700000000000008</v>
      </c>
    </row>
    <row r="518" spans="1:37">
      <c r="A518">
        <v>10298039</v>
      </c>
      <c r="B518" t="s">
        <v>37</v>
      </c>
      <c r="C518" t="s">
        <v>3710</v>
      </c>
      <c r="E518" t="s">
        <v>3711</v>
      </c>
      <c r="F518" t="s">
        <v>3712</v>
      </c>
      <c r="G518" t="s">
        <v>3713</v>
      </c>
      <c r="H518" t="s">
        <v>42</v>
      </c>
      <c r="I518" t="s">
        <v>3714</v>
      </c>
      <c r="J518" t="s">
        <v>3715</v>
      </c>
      <c r="K518">
        <v>22525</v>
      </c>
      <c r="L518" t="s">
        <v>71</v>
      </c>
      <c r="M518" t="s">
        <v>46</v>
      </c>
      <c r="N518" t="s">
        <v>47</v>
      </c>
      <c r="O518">
        <v>2</v>
      </c>
      <c r="P518">
        <v>1</v>
      </c>
      <c r="Q518">
        <v>2</v>
      </c>
      <c r="R518" t="s">
        <v>48</v>
      </c>
      <c r="S518" t="s">
        <v>49</v>
      </c>
      <c r="T518" s="3">
        <v>0.84</v>
      </c>
      <c r="U518" s="3">
        <v>0.23</v>
      </c>
      <c r="V518" s="3">
        <v>1.81</v>
      </c>
      <c r="W518">
        <v>1.08</v>
      </c>
      <c r="X518" t="s">
        <v>72</v>
      </c>
      <c r="Y518" s="3">
        <v>5.44</v>
      </c>
      <c r="Z518" t="s">
        <v>73</v>
      </c>
      <c r="AA518" t="s">
        <v>3716</v>
      </c>
      <c r="AB518" t="s">
        <v>53</v>
      </c>
      <c r="AC518" s="3">
        <v>1.29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f t="shared" si="16"/>
        <v>9.6100000000000012</v>
      </c>
      <c r="AK518" s="3">
        <f t="shared" si="17"/>
        <v>4.1700000000000008</v>
      </c>
    </row>
    <row r="519" spans="1:37">
      <c r="A519">
        <v>10298249</v>
      </c>
      <c r="B519" t="s">
        <v>37</v>
      </c>
      <c r="C519" t="s">
        <v>3717</v>
      </c>
      <c r="E519" t="s">
        <v>809</v>
      </c>
      <c r="F519" t="s">
        <v>3718</v>
      </c>
      <c r="G519" t="s">
        <v>3719</v>
      </c>
      <c r="H519" t="s">
        <v>42</v>
      </c>
      <c r="I519" t="s">
        <v>3720</v>
      </c>
      <c r="J519" t="s">
        <v>3721</v>
      </c>
      <c r="K519">
        <v>3910</v>
      </c>
      <c r="L519" t="s">
        <v>505</v>
      </c>
      <c r="M519" t="s">
        <v>46</v>
      </c>
      <c r="N519" t="s">
        <v>47</v>
      </c>
      <c r="O519">
        <v>2</v>
      </c>
      <c r="P519">
        <v>1</v>
      </c>
      <c r="Q519">
        <v>2</v>
      </c>
      <c r="R519" t="s">
        <v>48</v>
      </c>
      <c r="S519" t="s">
        <v>49</v>
      </c>
      <c r="T519" s="3">
        <v>0.84</v>
      </c>
      <c r="U519" s="3">
        <v>0.23</v>
      </c>
      <c r="V519" s="3">
        <v>1.81</v>
      </c>
      <c r="W519">
        <v>1.08</v>
      </c>
      <c r="X519" t="s">
        <v>50</v>
      </c>
      <c r="Y519" s="3">
        <v>9.19</v>
      </c>
      <c r="Z519" t="s">
        <v>73</v>
      </c>
      <c r="AA519" t="s">
        <v>3722</v>
      </c>
      <c r="AB519" t="s">
        <v>53</v>
      </c>
      <c r="AC519" s="3">
        <v>1.29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f t="shared" si="16"/>
        <v>13.360000000000001</v>
      </c>
      <c r="AK519" s="3">
        <f t="shared" si="17"/>
        <v>4.1700000000000017</v>
      </c>
    </row>
    <row r="520" spans="1:37">
      <c r="A520">
        <v>10296239</v>
      </c>
      <c r="B520" t="s">
        <v>37</v>
      </c>
      <c r="C520" t="s">
        <v>3723</v>
      </c>
      <c r="E520" t="s">
        <v>3646</v>
      </c>
      <c r="F520" t="s">
        <v>3724</v>
      </c>
      <c r="G520" t="s">
        <v>3725</v>
      </c>
      <c r="H520" t="s">
        <v>42</v>
      </c>
      <c r="I520" t="s">
        <v>3726</v>
      </c>
      <c r="J520" t="s">
        <v>3727</v>
      </c>
      <c r="K520" t="s">
        <v>3728</v>
      </c>
      <c r="L520" t="s">
        <v>142</v>
      </c>
      <c r="M520" t="s">
        <v>46</v>
      </c>
      <c r="N520" t="s">
        <v>47</v>
      </c>
      <c r="O520">
        <v>2</v>
      </c>
      <c r="P520">
        <v>1</v>
      </c>
      <c r="Q520">
        <v>2</v>
      </c>
      <c r="R520" t="s">
        <v>48</v>
      </c>
      <c r="S520" t="s">
        <v>49</v>
      </c>
      <c r="T520" s="3">
        <v>0.84</v>
      </c>
      <c r="U520" s="3">
        <v>0.23</v>
      </c>
      <c r="V520" s="3">
        <v>1.81</v>
      </c>
      <c r="W520">
        <v>0.98</v>
      </c>
      <c r="X520" t="s">
        <v>50</v>
      </c>
      <c r="Y520" s="3">
        <v>16.43</v>
      </c>
      <c r="Z520" t="s">
        <v>109</v>
      </c>
      <c r="AA520" t="s">
        <v>3729</v>
      </c>
      <c r="AB520" t="s">
        <v>53</v>
      </c>
      <c r="AC520" s="3">
        <v>1.06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f t="shared" si="16"/>
        <v>20.369999999999997</v>
      </c>
      <c r="AK520" s="3">
        <f t="shared" si="17"/>
        <v>3.9399999999999977</v>
      </c>
    </row>
    <row r="521" spans="1:37">
      <c r="A521">
        <v>10298248</v>
      </c>
      <c r="B521" t="s">
        <v>37</v>
      </c>
      <c r="C521" t="s">
        <v>3730</v>
      </c>
      <c r="E521" t="s">
        <v>3731</v>
      </c>
      <c r="F521" t="s">
        <v>3732</v>
      </c>
      <c r="G521" t="s">
        <v>3733</v>
      </c>
      <c r="H521" t="s">
        <v>42</v>
      </c>
      <c r="I521" t="s">
        <v>3734</v>
      </c>
      <c r="J521" t="s">
        <v>3735</v>
      </c>
      <c r="K521">
        <v>7318</v>
      </c>
      <c r="L521" t="s">
        <v>369</v>
      </c>
      <c r="M521" t="s">
        <v>46</v>
      </c>
      <c r="N521" t="s">
        <v>47</v>
      </c>
      <c r="O521">
        <v>2</v>
      </c>
      <c r="P521">
        <v>1</v>
      </c>
      <c r="Q521">
        <v>2</v>
      </c>
      <c r="R521" t="s">
        <v>48</v>
      </c>
      <c r="S521" t="s">
        <v>49</v>
      </c>
      <c r="T521" s="3">
        <v>0.84</v>
      </c>
      <c r="U521" s="3">
        <v>0.23</v>
      </c>
      <c r="V521" s="3">
        <v>1.81</v>
      </c>
      <c r="W521">
        <v>1</v>
      </c>
      <c r="X521" t="s">
        <v>50</v>
      </c>
      <c r="Y521" s="3">
        <v>9.19</v>
      </c>
      <c r="Z521" t="s">
        <v>109</v>
      </c>
      <c r="AA521" t="s">
        <v>3736</v>
      </c>
      <c r="AB521" t="s">
        <v>53</v>
      </c>
      <c r="AC521" s="3">
        <v>1.06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f t="shared" si="16"/>
        <v>13.13</v>
      </c>
      <c r="AK521" s="3">
        <f t="shared" si="17"/>
        <v>3.9400000000000013</v>
      </c>
    </row>
    <row r="522" spans="1:37">
      <c r="A522">
        <v>10298337</v>
      </c>
      <c r="B522" t="s">
        <v>37</v>
      </c>
      <c r="C522" t="s">
        <v>3737</v>
      </c>
      <c r="E522" t="s">
        <v>3738</v>
      </c>
      <c r="F522" t="s">
        <v>3739</v>
      </c>
      <c r="G522" t="s">
        <v>3740</v>
      </c>
      <c r="H522" t="s">
        <v>42</v>
      </c>
      <c r="I522" t="s">
        <v>3741</v>
      </c>
      <c r="J522" t="s">
        <v>3742</v>
      </c>
      <c r="K522" t="s">
        <v>3743</v>
      </c>
      <c r="L522" t="s">
        <v>142</v>
      </c>
      <c r="M522" t="s">
        <v>46</v>
      </c>
      <c r="N522" t="s">
        <v>47</v>
      </c>
      <c r="O522">
        <v>2</v>
      </c>
      <c r="P522">
        <v>1</v>
      </c>
      <c r="Q522">
        <v>2</v>
      </c>
      <c r="R522" t="s">
        <v>48</v>
      </c>
      <c r="S522" t="s">
        <v>49</v>
      </c>
      <c r="T522" s="3">
        <v>0.84</v>
      </c>
      <c r="U522" s="3">
        <v>0.23</v>
      </c>
      <c r="V522" s="3">
        <v>1.81</v>
      </c>
      <c r="W522">
        <v>1.08</v>
      </c>
      <c r="X522" t="s">
        <v>50</v>
      </c>
      <c r="Y522" s="3">
        <v>16.43</v>
      </c>
      <c r="Z522" t="s">
        <v>109</v>
      </c>
      <c r="AA522" t="s">
        <v>3744</v>
      </c>
      <c r="AB522" t="s">
        <v>53</v>
      </c>
      <c r="AC522" s="3">
        <v>1.06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f t="shared" si="16"/>
        <v>20.369999999999997</v>
      </c>
      <c r="AK522" s="3">
        <f t="shared" si="17"/>
        <v>3.9399999999999977</v>
      </c>
    </row>
    <row r="523" spans="1:37">
      <c r="A523">
        <v>10299356</v>
      </c>
      <c r="B523" t="s">
        <v>37</v>
      </c>
      <c r="C523" t="s">
        <v>3745</v>
      </c>
      <c r="E523" t="s">
        <v>3746</v>
      </c>
      <c r="F523" t="s">
        <v>3747</v>
      </c>
      <c r="G523" t="s">
        <v>3748</v>
      </c>
      <c r="H523" t="s">
        <v>42</v>
      </c>
      <c r="I523" t="s">
        <v>3749</v>
      </c>
      <c r="J523" t="s">
        <v>3750</v>
      </c>
      <c r="K523">
        <v>83371</v>
      </c>
      <c r="L523" t="s">
        <v>71</v>
      </c>
      <c r="M523" t="s">
        <v>46</v>
      </c>
      <c r="N523" t="s">
        <v>47</v>
      </c>
      <c r="O523">
        <v>6</v>
      </c>
      <c r="P523">
        <v>1</v>
      </c>
      <c r="Q523">
        <v>6</v>
      </c>
      <c r="R523" t="s">
        <v>48</v>
      </c>
      <c r="S523" t="s">
        <v>49</v>
      </c>
      <c r="T523" s="3">
        <v>0.84</v>
      </c>
      <c r="U523" s="3">
        <v>0.23</v>
      </c>
      <c r="V523" s="3">
        <v>5.29</v>
      </c>
      <c r="W523">
        <v>2.62</v>
      </c>
      <c r="X523" t="s">
        <v>72</v>
      </c>
      <c r="Y523" s="3">
        <v>15.15</v>
      </c>
      <c r="Z523" t="s">
        <v>73</v>
      </c>
      <c r="AA523" t="s">
        <v>3751</v>
      </c>
      <c r="AB523" t="s">
        <v>53</v>
      </c>
      <c r="AC523" s="3">
        <v>1.29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f t="shared" si="16"/>
        <v>22.8</v>
      </c>
      <c r="AK523" s="3">
        <f t="shared" si="17"/>
        <v>7.65</v>
      </c>
    </row>
    <row r="524" spans="1:37">
      <c r="A524">
        <v>10295334</v>
      </c>
      <c r="B524" t="s">
        <v>37</v>
      </c>
      <c r="C524" t="s">
        <v>3752</v>
      </c>
      <c r="E524" t="s">
        <v>3753</v>
      </c>
      <c r="F524" t="s">
        <v>3754</v>
      </c>
      <c r="G524" t="s">
        <v>3755</v>
      </c>
      <c r="H524" t="s">
        <v>42</v>
      </c>
      <c r="I524" t="s">
        <v>3756</v>
      </c>
      <c r="J524" t="s">
        <v>3757</v>
      </c>
      <c r="K524">
        <v>80809</v>
      </c>
      <c r="L524" t="s">
        <v>71</v>
      </c>
      <c r="M524" t="s">
        <v>46</v>
      </c>
      <c r="N524" t="s">
        <v>47</v>
      </c>
      <c r="O524">
        <v>2</v>
      </c>
      <c r="P524">
        <v>1</v>
      </c>
      <c r="Q524">
        <v>2</v>
      </c>
      <c r="R524" t="s">
        <v>48</v>
      </c>
      <c r="S524" t="s">
        <v>49</v>
      </c>
      <c r="T524" s="3">
        <v>0.84</v>
      </c>
      <c r="U524" s="3">
        <v>0.23</v>
      </c>
      <c r="V524" s="3">
        <v>1.81</v>
      </c>
      <c r="W524">
        <v>1.99</v>
      </c>
      <c r="X524" t="s">
        <v>72</v>
      </c>
      <c r="Y524" s="3">
        <v>5.43</v>
      </c>
      <c r="Z524" t="s">
        <v>83</v>
      </c>
      <c r="AA524" t="s">
        <v>3758</v>
      </c>
      <c r="AB524" t="s">
        <v>53</v>
      </c>
      <c r="AC524" s="3">
        <v>1.27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f t="shared" si="16"/>
        <v>9.58</v>
      </c>
      <c r="AK524" s="3">
        <f t="shared" si="17"/>
        <v>4.1500000000000004</v>
      </c>
    </row>
    <row r="525" spans="1:37">
      <c r="A525">
        <v>10297132</v>
      </c>
      <c r="B525" t="s">
        <v>37</v>
      </c>
      <c r="C525" t="s">
        <v>3759</v>
      </c>
      <c r="E525" t="s">
        <v>1330</v>
      </c>
      <c r="F525" t="s">
        <v>3760</v>
      </c>
      <c r="G525" t="s">
        <v>3761</v>
      </c>
      <c r="H525" t="s">
        <v>42</v>
      </c>
      <c r="I525" t="s">
        <v>3762</v>
      </c>
      <c r="J525" t="s">
        <v>3763</v>
      </c>
      <c r="K525">
        <v>40545</v>
      </c>
      <c r="L525" t="s">
        <v>71</v>
      </c>
      <c r="M525" t="s">
        <v>46</v>
      </c>
      <c r="N525" t="s">
        <v>47</v>
      </c>
      <c r="O525">
        <v>4</v>
      </c>
      <c r="P525">
        <v>1</v>
      </c>
      <c r="Q525">
        <v>4</v>
      </c>
      <c r="R525" t="s">
        <v>48</v>
      </c>
      <c r="S525" t="s">
        <v>49</v>
      </c>
      <c r="T525" s="3">
        <v>0.84</v>
      </c>
      <c r="U525" s="3">
        <v>0.23</v>
      </c>
      <c r="V525" s="3">
        <v>3.55</v>
      </c>
      <c r="W525">
        <v>3.98</v>
      </c>
      <c r="X525" t="s">
        <v>72</v>
      </c>
      <c r="Y525" s="3">
        <v>6.61</v>
      </c>
      <c r="Z525" t="s">
        <v>73</v>
      </c>
      <c r="AA525" t="s">
        <v>3764</v>
      </c>
      <c r="AB525" t="s">
        <v>53</v>
      </c>
      <c r="AC525" s="3">
        <v>1.29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f t="shared" si="16"/>
        <v>12.52</v>
      </c>
      <c r="AK525" s="3">
        <f t="shared" si="17"/>
        <v>5.9099999999999993</v>
      </c>
    </row>
    <row r="526" spans="1:37">
      <c r="A526">
        <v>10295591</v>
      </c>
      <c r="B526" t="s">
        <v>37</v>
      </c>
      <c r="C526" t="s">
        <v>3765</v>
      </c>
      <c r="E526" t="s">
        <v>2284</v>
      </c>
      <c r="F526" t="s">
        <v>3766</v>
      </c>
      <c r="G526" t="s">
        <v>3767</v>
      </c>
      <c r="H526" t="s">
        <v>42</v>
      </c>
      <c r="I526" t="s">
        <v>3768</v>
      </c>
      <c r="J526" t="s">
        <v>3769</v>
      </c>
      <c r="K526" t="s">
        <v>3770</v>
      </c>
      <c r="L526" t="s">
        <v>142</v>
      </c>
      <c r="M526" t="s">
        <v>46</v>
      </c>
      <c r="N526" t="s">
        <v>47</v>
      </c>
      <c r="O526">
        <v>2</v>
      </c>
      <c r="P526">
        <v>1</v>
      </c>
      <c r="Q526">
        <v>2</v>
      </c>
      <c r="R526" t="s">
        <v>48</v>
      </c>
      <c r="S526" t="s">
        <v>49</v>
      </c>
      <c r="T526" s="3">
        <v>0.84</v>
      </c>
      <c r="U526" s="3">
        <v>0.23</v>
      </c>
      <c r="V526" s="3">
        <v>1.81</v>
      </c>
      <c r="W526">
        <v>0.89</v>
      </c>
      <c r="X526" t="s">
        <v>50</v>
      </c>
      <c r="Y526" s="3">
        <v>16.43</v>
      </c>
      <c r="Z526" t="s">
        <v>73</v>
      </c>
      <c r="AA526" t="s">
        <v>3771</v>
      </c>
      <c r="AB526" t="s">
        <v>53</v>
      </c>
      <c r="AC526" s="3">
        <v>1.29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f t="shared" si="16"/>
        <v>20.599999999999998</v>
      </c>
      <c r="AK526" s="3">
        <f t="shared" si="17"/>
        <v>4.1699999999999982</v>
      </c>
    </row>
    <row r="527" spans="1:37">
      <c r="A527">
        <v>10298666</v>
      </c>
      <c r="B527" t="s">
        <v>37</v>
      </c>
      <c r="C527" t="s">
        <v>3772</v>
      </c>
      <c r="E527" t="s">
        <v>657</v>
      </c>
      <c r="F527" t="s">
        <v>2086</v>
      </c>
      <c r="G527" t="s">
        <v>3773</v>
      </c>
      <c r="H527" t="s">
        <v>42</v>
      </c>
      <c r="I527" t="s">
        <v>3774</v>
      </c>
      <c r="J527" t="s">
        <v>3775</v>
      </c>
      <c r="K527" t="s">
        <v>3776</v>
      </c>
      <c r="L527" t="s">
        <v>142</v>
      </c>
      <c r="M527" t="s">
        <v>46</v>
      </c>
      <c r="N527" t="s">
        <v>47</v>
      </c>
      <c r="O527">
        <v>2</v>
      </c>
      <c r="P527">
        <v>1</v>
      </c>
      <c r="Q527">
        <v>2</v>
      </c>
      <c r="R527" t="s">
        <v>48</v>
      </c>
      <c r="S527" t="s">
        <v>49</v>
      </c>
      <c r="T527" s="3">
        <v>0.84</v>
      </c>
      <c r="U527" s="3">
        <v>0.23</v>
      </c>
      <c r="V527" s="3">
        <v>1.81</v>
      </c>
      <c r="W527">
        <v>1</v>
      </c>
      <c r="X527" t="s">
        <v>50</v>
      </c>
      <c r="Y527" s="3">
        <v>16.43</v>
      </c>
      <c r="Z527" t="s">
        <v>73</v>
      </c>
      <c r="AA527" t="s">
        <v>3777</v>
      </c>
      <c r="AB527" t="s">
        <v>53</v>
      </c>
      <c r="AC527" s="3">
        <v>1.29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f t="shared" si="16"/>
        <v>20.599999999999998</v>
      </c>
      <c r="AK527" s="3">
        <f t="shared" si="17"/>
        <v>4.1699999999999982</v>
      </c>
    </row>
    <row r="528" spans="1:37">
      <c r="A528">
        <v>10299139</v>
      </c>
      <c r="B528" t="s">
        <v>37</v>
      </c>
      <c r="C528" t="s">
        <v>3778</v>
      </c>
      <c r="E528" t="s">
        <v>3779</v>
      </c>
      <c r="F528" t="s">
        <v>3780</v>
      </c>
      <c r="G528" t="s">
        <v>3781</v>
      </c>
      <c r="H528" t="s">
        <v>42</v>
      </c>
      <c r="I528" t="s">
        <v>3782</v>
      </c>
      <c r="J528" t="s">
        <v>3783</v>
      </c>
      <c r="K528">
        <v>85276</v>
      </c>
      <c r="L528" t="s">
        <v>71</v>
      </c>
      <c r="M528" t="s">
        <v>46</v>
      </c>
      <c r="N528" t="s">
        <v>47</v>
      </c>
      <c r="O528">
        <v>5</v>
      </c>
      <c r="P528">
        <v>1</v>
      </c>
      <c r="Q528">
        <v>5</v>
      </c>
      <c r="R528" t="s">
        <v>48</v>
      </c>
      <c r="S528" t="s">
        <v>49</v>
      </c>
      <c r="T528" s="3">
        <v>0.84</v>
      </c>
      <c r="U528" s="3">
        <v>0.23</v>
      </c>
      <c r="V528" s="3">
        <v>4.42</v>
      </c>
      <c r="W528">
        <v>5.0599999999999996</v>
      </c>
      <c r="X528" t="s">
        <v>72</v>
      </c>
      <c r="Y528" s="3">
        <v>7.46</v>
      </c>
      <c r="Z528" t="s">
        <v>83</v>
      </c>
      <c r="AA528" t="s">
        <v>3784</v>
      </c>
      <c r="AB528" t="s">
        <v>53</v>
      </c>
      <c r="AC528" s="3">
        <v>1.27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f t="shared" si="16"/>
        <v>14.22</v>
      </c>
      <c r="AK528" s="3">
        <f t="shared" si="17"/>
        <v>6.7600000000000007</v>
      </c>
    </row>
    <row r="529" spans="1:37">
      <c r="A529">
        <v>10298472</v>
      </c>
      <c r="B529" t="s">
        <v>37</v>
      </c>
      <c r="C529" t="s">
        <v>3785</v>
      </c>
      <c r="E529" t="s">
        <v>3786</v>
      </c>
      <c r="F529" t="s">
        <v>3787</v>
      </c>
      <c r="G529" t="s">
        <v>3788</v>
      </c>
      <c r="H529" t="s">
        <v>42</v>
      </c>
      <c r="I529" t="s">
        <v>3789</v>
      </c>
      <c r="J529" t="s">
        <v>3790</v>
      </c>
      <c r="K529">
        <v>1640</v>
      </c>
      <c r="L529" t="s">
        <v>505</v>
      </c>
      <c r="M529" t="s">
        <v>46</v>
      </c>
      <c r="N529" t="s">
        <v>47</v>
      </c>
      <c r="O529">
        <v>4</v>
      </c>
      <c r="P529">
        <v>1</v>
      </c>
      <c r="Q529">
        <v>4</v>
      </c>
      <c r="R529" t="s">
        <v>48</v>
      </c>
      <c r="S529" t="s">
        <v>49</v>
      </c>
      <c r="T529" s="3">
        <v>0.84</v>
      </c>
      <c r="U529" s="3">
        <v>0.23</v>
      </c>
      <c r="V529" s="3">
        <v>3.55</v>
      </c>
      <c r="W529">
        <v>2.06</v>
      </c>
      <c r="X529" t="s">
        <v>50</v>
      </c>
      <c r="Y529" s="3">
        <v>9.19</v>
      </c>
      <c r="Z529" t="s">
        <v>73</v>
      </c>
      <c r="AA529" t="s">
        <v>990</v>
      </c>
      <c r="AB529" t="s">
        <v>53</v>
      </c>
      <c r="AC529" s="3">
        <v>1.29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f t="shared" si="16"/>
        <v>15.100000000000001</v>
      </c>
      <c r="AK529" s="3">
        <f t="shared" si="17"/>
        <v>5.9100000000000019</v>
      </c>
    </row>
    <row r="530" spans="1:37">
      <c r="A530">
        <v>10297342</v>
      </c>
      <c r="B530" t="s">
        <v>37</v>
      </c>
      <c r="C530" t="s">
        <v>3791</v>
      </c>
      <c r="E530" t="s">
        <v>1830</v>
      </c>
      <c r="F530" t="s">
        <v>3792</v>
      </c>
      <c r="G530" t="s">
        <v>3793</v>
      </c>
      <c r="H530" t="s">
        <v>42</v>
      </c>
      <c r="I530" t="s">
        <v>3794</v>
      </c>
      <c r="J530" t="s">
        <v>3795</v>
      </c>
      <c r="K530" t="s">
        <v>3796</v>
      </c>
      <c r="L530" t="s">
        <v>82</v>
      </c>
      <c r="M530" t="s">
        <v>46</v>
      </c>
      <c r="N530" t="s">
        <v>47</v>
      </c>
      <c r="O530">
        <v>2</v>
      </c>
      <c r="P530">
        <v>1</v>
      </c>
      <c r="Q530">
        <v>2</v>
      </c>
      <c r="R530" t="s">
        <v>48</v>
      </c>
      <c r="S530" t="s">
        <v>49</v>
      </c>
      <c r="T530" s="3">
        <v>0.84</v>
      </c>
      <c r="U530" s="3">
        <v>0.23</v>
      </c>
      <c r="V530" s="3">
        <v>1.81</v>
      </c>
      <c r="W530">
        <v>0.88</v>
      </c>
      <c r="X530" t="s">
        <v>50</v>
      </c>
      <c r="Y530" s="3">
        <v>9.19</v>
      </c>
      <c r="Z530" t="s">
        <v>109</v>
      </c>
      <c r="AA530" t="s">
        <v>3797</v>
      </c>
      <c r="AB530" t="s">
        <v>53</v>
      </c>
      <c r="AC530" s="3">
        <v>1.06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f t="shared" si="16"/>
        <v>13.13</v>
      </c>
      <c r="AK530" s="3">
        <f t="shared" si="17"/>
        <v>3.9400000000000013</v>
      </c>
    </row>
    <row r="531" spans="1:37">
      <c r="A531">
        <v>10299603</v>
      </c>
      <c r="B531" t="s">
        <v>37</v>
      </c>
      <c r="C531" t="s">
        <v>3798</v>
      </c>
      <c r="E531" t="s">
        <v>2284</v>
      </c>
      <c r="F531" t="s">
        <v>2285</v>
      </c>
      <c r="G531" t="s">
        <v>3799</v>
      </c>
      <c r="H531" t="s">
        <v>42</v>
      </c>
      <c r="I531" t="s">
        <v>3800</v>
      </c>
      <c r="J531" t="s">
        <v>3801</v>
      </c>
      <c r="K531" t="s">
        <v>2289</v>
      </c>
      <c r="L531" t="s">
        <v>91</v>
      </c>
      <c r="M531" t="s">
        <v>46</v>
      </c>
      <c r="N531" t="s">
        <v>47</v>
      </c>
      <c r="O531">
        <v>3</v>
      </c>
      <c r="P531">
        <v>1</v>
      </c>
      <c r="Q531">
        <v>3</v>
      </c>
      <c r="R531" t="s">
        <v>48</v>
      </c>
      <c r="S531" t="s">
        <v>49</v>
      </c>
      <c r="T531" s="3">
        <v>0.84</v>
      </c>
      <c r="U531" s="3">
        <v>0.23</v>
      </c>
      <c r="V531" s="3">
        <v>2.68</v>
      </c>
      <c r="W531">
        <v>1.27</v>
      </c>
      <c r="X531" t="s">
        <v>50</v>
      </c>
      <c r="Y531" s="3">
        <v>16.43</v>
      </c>
      <c r="Z531" t="s">
        <v>73</v>
      </c>
      <c r="AA531" t="s">
        <v>3802</v>
      </c>
      <c r="AB531" t="s">
        <v>53</v>
      </c>
      <c r="AC531" s="3">
        <v>1.29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f t="shared" si="16"/>
        <v>21.47</v>
      </c>
      <c r="AK531" s="3">
        <f t="shared" si="17"/>
        <v>5.0399999999999991</v>
      </c>
    </row>
    <row r="532" spans="1:37">
      <c r="A532">
        <v>10260517</v>
      </c>
      <c r="B532" t="s">
        <v>37</v>
      </c>
      <c r="C532" t="s">
        <v>3803</v>
      </c>
      <c r="E532" t="s">
        <v>3804</v>
      </c>
      <c r="F532" t="s">
        <v>3805</v>
      </c>
      <c r="G532" t="s">
        <v>3806</v>
      </c>
      <c r="H532" t="s">
        <v>42</v>
      </c>
      <c r="I532" t="s">
        <v>3807</v>
      </c>
      <c r="J532" t="s">
        <v>3808</v>
      </c>
      <c r="K532" t="s">
        <v>3809</v>
      </c>
      <c r="L532" t="s">
        <v>91</v>
      </c>
      <c r="M532" t="s">
        <v>46</v>
      </c>
      <c r="N532" t="s">
        <v>47</v>
      </c>
      <c r="O532">
        <v>4</v>
      </c>
      <c r="P532">
        <v>1</v>
      </c>
      <c r="Q532">
        <v>4</v>
      </c>
      <c r="R532" t="s">
        <v>48</v>
      </c>
      <c r="S532" t="s">
        <v>49</v>
      </c>
      <c r="T532" s="3">
        <v>0.84</v>
      </c>
      <c r="U532" s="3">
        <v>0.23</v>
      </c>
      <c r="V532" s="3">
        <v>3.55</v>
      </c>
      <c r="W532">
        <v>2.06</v>
      </c>
      <c r="X532" t="s">
        <v>50</v>
      </c>
      <c r="Y532" s="3">
        <v>16.43</v>
      </c>
      <c r="Z532" t="s">
        <v>73</v>
      </c>
      <c r="AA532" t="s">
        <v>966</v>
      </c>
      <c r="AB532" t="s">
        <v>53</v>
      </c>
      <c r="AC532" s="3">
        <v>1.29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f t="shared" si="16"/>
        <v>22.34</v>
      </c>
      <c r="AK532" s="3">
        <f t="shared" si="17"/>
        <v>5.91</v>
      </c>
    </row>
    <row r="533" spans="1:37">
      <c r="A533">
        <v>10296844</v>
      </c>
      <c r="B533" t="s">
        <v>37</v>
      </c>
      <c r="C533" t="s">
        <v>3810</v>
      </c>
      <c r="E533" t="s">
        <v>1736</v>
      </c>
      <c r="F533" t="s">
        <v>3811</v>
      </c>
      <c r="G533" t="s">
        <v>3812</v>
      </c>
      <c r="H533" t="s">
        <v>42</v>
      </c>
      <c r="I533" t="s">
        <v>3813</v>
      </c>
      <c r="J533" t="s">
        <v>3814</v>
      </c>
      <c r="K533">
        <v>9160</v>
      </c>
      <c r="L533" t="s">
        <v>505</v>
      </c>
      <c r="M533" t="s">
        <v>46</v>
      </c>
      <c r="N533" t="s">
        <v>47</v>
      </c>
      <c r="O533">
        <v>1</v>
      </c>
      <c r="P533">
        <v>1</v>
      </c>
      <c r="Q533">
        <v>1</v>
      </c>
      <c r="R533" t="s">
        <v>48</v>
      </c>
      <c r="S533" t="s">
        <v>49</v>
      </c>
      <c r="T533" s="3">
        <v>0.84</v>
      </c>
      <c r="U533" s="3">
        <v>0.23</v>
      </c>
      <c r="V533" s="3">
        <v>0.94</v>
      </c>
      <c r="W533">
        <v>0.59</v>
      </c>
      <c r="X533" t="s">
        <v>50</v>
      </c>
      <c r="Y533" s="3">
        <v>9.19</v>
      </c>
      <c r="Z533" t="s">
        <v>109</v>
      </c>
      <c r="AA533" t="s">
        <v>1059</v>
      </c>
      <c r="AB533" t="s">
        <v>53</v>
      </c>
      <c r="AC533" s="3">
        <v>1.06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f t="shared" si="16"/>
        <v>12.26</v>
      </c>
      <c r="AK533" s="3">
        <f t="shared" si="17"/>
        <v>3.0700000000000003</v>
      </c>
    </row>
    <row r="534" spans="1:37">
      <c r="A534">
        <v>10260516</v>
      </c>
      <c r="B534" t="s">
        <v>37</v>
      </c>
      <c r="C534" t="s">
        <v>3815</v>
      </c>
      <c r="E534" t="s">
        <v>3804</v>
      </c>
      <c r="F534" t="s">
        <v>3816</v>
      </c>
      <c r="G534" t="s">
        <v>3817</v>
      </c>
      <c r="H534" t="s">
        <v>42</v>
      </c>
      <c r="I534" t="s">
        <v>3818</v>
      </c>
      <c r="J534" t="s">
        <v>3808</v>
      </c>
      <c r="K534" t="s">
        <v>3809</v>
      </c>
      <c r="L534" t="s">
        <v>91</v>
      </c>
      <c r="M534" t="s">
        <v>46</v>
      </c>
      <c r="N534" t="s">
        <v>47</v>
      </c>
      <c r="O534">
        <v>4</v>
      </c>
      <c r="P534">
        <v>1</v>
      </c>
      <c r="Q534">
        <v>4</v>
      </c>
      <c r="R534" t="s">
        <v>48</v>
      </c>
      <c r="S534" t="s">
        <v>49</v>
      </c>
      <c r="T534" s="3">
        <v>0.84</v>
      </c>
      <c r="U534" s="3">
        <v>0.23</v>
      </c>
      <c r="V534" s="3">
        <v>3.55</v>
      </c>
      <c r="W534">
        <v>2.06</v>
      </c>
      <c r="X534" t="s">
        <v>50</v>
      </c>
      <c r="Y534" s="3">
        <v>16.43</v>
      </c>
      <c r="Z534" t="s">
        <v>73</v>
      </c>
      <c r="AA534" t="s">
        <v>498</v>
      </c>
      <c r="AB534" t="s">
        <v>53</v>
      </c>
      <c r="AC534" s="3">
        <v>1.29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f t="shared" si="16"/>
        <v>22.34</v>
      </c>
      <c r="AK534" s="3">
        <f t="shared" si="17"/>
        <v>5.91</v>
      </c>
    </row>
    <row r="535" spans="1:37">
      <c r="A535">
        <v>10297130</v>
      </c>
      <c r="B535" t="s">
        <v>37</v>
      </c>
      <c r="C535" t="s">
        <v>3819</v>
      </c>
      <c r="E535" t="s">
        <v>657</v>
      </c>
      <c r="F535" t="s">
        <v>3820</v>
      </c>
      <c r="G535" t="s">
        <v>3821</v>
      </c>
      <c r="H535" t="s">
        <v>42</v>
      </c>
      <c r="I535" t="s">
        <v>3822</v>
      </c>
      <c r="J535" t="s">
        <v>3823</v>
      </c>
      <c r="K535">
        <v>30900</v>
      </c>
      <c r="L535" t="s">
        <v>71</v>
      </c>
      <c r="M535" t="s">
        <v>46</v>
      </c>
      <c r="N535" t="s">
        <v>47</v>
      </c>
      <c r="O535">
        <v>1</v>
      </c>
      <c r="P535">
        <v>1</v>
      </c>
      <c r="Q535">
        <v>1</v>
      </c>
      <c r="R535" t="s">
        <v>48</v>
      </c>
      <c r="S535" t="s">
        <v>49</v>
      </c>
      <c r="T535" s="3">
        <v>0.84</v>
      </c>
      <c r="U535" s="3">
        <v>0.23</v>
      </c>
      <c r="V535" s="3">
        <v>0.94</v>
      </c>
      <c r="W535">
        <v>0.59</v>
      </c>
      <c r="X535" t="s">
        <v>108</v>
      </c>
      <c r="Y535" s="3">
        <v>5.14</v>
      </c>
      <c r="Z535" t="s">
        <v>109</v>
      </c>
      <c r="AA535" t="s">
        <v>1059</v>
      </c>
      <c r="AB535" t="s">
        <v>53</v>
      </c>
      <c r="AC535" s="3">
        <v>1.06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f t="shared" si="16"/>
        <v>8.2099999999999991</v>
      </c>
      <c r="AK535" s="3">
        <f t="shared" si="17"/>
        <v>3.0699999999999994</v>
      </c>
    </row>
    <row r="536" spans="1:37">
      <c r="A536">
        <v>10297134</v>
      </c>
      <c r="B536" t="s">
        <v>37</v>
      </c>
      <c r="C536" t="s">
        <v>3824</v>
      </c>
      <c r="E536" t="s">
        <v>3825</v>
      </c>
      <c r="F536" t="s">
        <v>3826</v>
      </c>
      <c r="G536" t="s">
        <v>3827</v>
      </c>
      <c r="H536" t="s">
        <v>42</v>
      </c>
      <c r="I536" t="s">
        <v>3828</v>
      </c>
      <c r="J536" t="s">
        <v>3829</v>
      </c>
      <c r="K536">
        <v>68161</v>
      </c>
      <c r="L536" t="s">
        <v>71</v>
      </c>
      <c r="M536" t="s">
        <v>46</v>
      </c>
      <c r="N536" t="s">
        <v>47</v>
      </c>
      <c r="O536">
        <v>1</v>
      </c>
      <c r="P536">
        <v>1</v>
      </c>
      <c r="Q536">
        <v>1</v>
      </c>
      <c r="R536" t="s">
        <v>48</v>
      </c>
      <c r="S536" t="s">
        <v>49</v>
      </c>
      <c r="T536" s="3">
        <v>0.84</v>
      </c>
      <c r="U536" s="3">
        <v>0.23</v>
      </c>
      <c r="V536" s="3">
        <v>0.94</v>
      </c>
      <c r="W536">
        <v>0.59</v>
      </c>
      <c r="X536" t="s">
        <v>108</v>
      </c>
      <c r="Y536" s="3">
        <v>5.14</v>
      </c>
      <c r="Z536" t="s">
        <v>109</v>
      </c>
      <c r="AA536" t="s">
        <v>1059</v>
      </c>
      <c r="AB536" t="s">
        <v>53</v>
      </c>
      <c r="AC536" s="3">
        <v>1.06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f t="shared" si="16"/>
        <v>8.2099999999999991</v>
      </c>
      <c r="AK536" s="3">
        <f t="shared" si="17"/>
        <v>3.0699999999999994</v>
      </c>
    </row>
    <row r="537" spans="1:37">
      <c r="A537">
        <v>10287392</v>
      </c>
      <c r="B537" t="s">
        <v>37</v>
      </c>
      <c r="C537" t="s">
        <v>3830</v>
      </c>
      <c r="E537" t="s">
        <v>1094</v>
      </c>
      <c r="F537" t="s">
        <v>3831</v>
      </c>
      <c r="G537" t="s">
        <v>3832</v>
      </c>
      <c r="H537" t="s">
        <v>42</v>
      </c>
      <c r="I537" t="s">
        <v>3833</v>
      </c>
      <c r="J537" t="s">
        <v>3834</v>
      </c>
      <c r="K537">
        <v>2452</v>
      </c>
      <c r="L537" t="s">
        <v>618</v>
      </c>
      <c r="M537" t="s">
        <v>46</v>
      </c>
      <c r="N537" t="s">
        <v>47</v>
      </c>
      <c r="O537">
        <v>4</v>
      </c>
      <c r="P537">
        <v>1</v>
      </c>
      <c r="Q537">
        <v>4</v>
      </c>
      <c r="R537" t="s">
        <v>48</v>
      </c>
      <c r="S537" t="s">
        <v>49</v>
      </c>
      <c r="T537" s="3">
        <v>0.84</v>
      </c>
      <c r="U537" s="3">
        <v>0.23</v>
      </c>
      <c r="V537" s="3">
        <v>3.55</v>
      </c>
      <c r="W537">
        <v>2.13</v>
      </c>
      <c r="X537" t="s">
        <v>50</v>
      </c>
      <c r="Y537" s="3">
        <v>9.19</v>
      </c>
      <c r="Z537" t="s">
        <v>73</v>
      </c>
      <c r="AA537" t="s">
        <v>3835</v>
      </c>
      <c r="AB537" t="s">
        <v>53</v>
      </c>
      <c r="AC537" s="3">
        <v>1.29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f t="shared" si="16"/>
        <v>15.100000000000001</v>
      </c>
      <c r="AK537" s="3">
        <f t="shared" si="17"/>
        <v>5.9100000000000019</v>
      </c>
    </row>
    <row r="538" spans="1:37">
      <c r="A538">
        <v>10299607</v>
      </c>
      <c r="B538" t="s">
        <v>37</v>
      </c>
      <c r="C538" t="s">
        <v>3836</v>
      </c>
      <c r="E538" t="s">
        <v>933</v>
      </c>
      <c r="F538" t="s">
        <v>3837</v>
      </c>
      <c r="G538" t="s">
        <v>3838</v>
      </c>
      <c r="H538" t="s">
        <v>42</v>
      </c>
      <c r="I538" t="s">
        <v>3839</v>
      </c>
      <c r="J538" t="s">
        <v>3840</v>
      </c>
      <c r="K538">
        <v>70178</v>
      </c>
      <c r="L538" t="s">
        <v>71</v>
      </c>
      <c r="M538" t="s">
        <v>46</v>
      </c>
      <c r="N538" t="s">
        <v>47</v>
      </c>
      <c r="O538">
        <v>1</v>
      </c>
      <c r="P538">
        <v>1</v>
      </c>
      <c r="Q538">
        <v>1</v>
      </c>
      <c r="R538" t="s">
        <v>48</v>
      </c>
      <c r="S538" t="s">
        <v>49</v>
      </c>
      <c r="T538" s="3">
        <v>0.84</v>
      </c>
      <c r="U538" s="3">
        <v>0.23</v>
      </c>
      <c r="V538" s="3">
        <v>0.94</v>
      </c>
      <c r="W538">
        <v>0.59</v>
      </c>
      <c r="X538" t="s">
        <v>108</v>
      </c>
      <c r="Y538" s="3">
        <v>5.14</v>
      </c>
      <c r="Z538" t="s">
        <v>109</v>
      </c>
      <c r="AA538" t="s">
        <v>3486</v>
      </c>
      <c r="AB538" t="s">
        <v>53</v>
      </c>
      <c r="AC538" s="3">
        <v>1.06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f t="shared" si="16"/>
        <v>8.2099999999999991</v>
      </c>
      <c r="AK538" s="3">
        <f t="shared" si="17"/>
        <v>3.0699999999999994</v>
      </c>
    </row>
    <row r="539" spans="1:37">
      <c r="A539">
        <v>10297131</v>
      </c>
      <c r="B539" t="s">
        <v>37</v>
      </c>
      <c r="C539" t="s">
        <v>3841</v>
      </c>
      <c r="E539" t="s">
        <v>3842</v>
      </c>
      <c r="F539" t="s">
        <v>2175</v>
      </c>
      <c r="G539" t="s">
        <v>3843</v>
      </c>
      <c r="H539" t="s">
        <v>42</v>
      </c>
      <c r="I539" t="s">
        <v>3844</v>
      </c>
      <c r="J539" t="s">
        <v>3845</v>
      </c>
      <c r="K539" t="s">
        <v>3846</v>
      </c>
      <c r="L539" t="s">
        <v>142</v>
      </c>
      <c r="M539" t="s">
        <v>46</v>
      </c>
      <c r="N539" t="s">
        <v>47</v>
      </c>
      <c r="O539">
        <v>1</v>
      </c>
      <c r="P539">
        <v>1</v>
      </c>
      <c r="Q539">
        <v>1</v>
      </c>
      <c r="R539" t="s">
        <v>48</v>
      </c>
      <c r="S539" t="s">
        <v>49</v>
      </c>
      <c r="T539" s="3">
        <v>0.84</v>
      </c>
      <c r="U539" s="3">
        <v>0.23</v>
      </c>
      <c r="V539" s="3">
        <v>0.94</v>
      </c>
      <c r="W539">
        <v>0.55000000000000004</v>
      </c>
      <c r="X539" t="s">
        <v>50</v>
      </c>
      <c r="Y539" s="3">
        <v>16.43</v>
      </c>
      <c r="Z539" t="s">
        <v>109</v>
      </c>
      <c r="AA539" t="s">
        <v>3847</v>
      </c>
      <c r="AB539" t="s">
        <v>53</v>
      </c>
      <c r="AC539" s="3">
        <v>1.06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f t="shared" si="16"/>
        <v>19.5</v>
      </c>
      <c r="AK539" s="3">
        <f t="shared" si="17"/>
        <v>3.0700000000000003</v>
      </c>
    </row>
    <row r="540" spans="1:37">
      <c r="A540">
        <v>10289065</v>
      </c>
      <c r="B540" t="s">
        <v>37</v>
      </c>
      <c r="C540" t="s">
        <v>3848</v>
      </c>
      <c r="E540" t="s">
        <v>254</v>
      </c>
      <c r="F540" t="s">
        <v>3849</v>
      </c>
      <c r="G540" t="s">
        <v>3850</v>
      </c>
      <c r="H540" t="s">
        <v>42</v>
      </c>
      <c r="I540" t="s">
        <v>3851</v>
      </c>
      <c r="J540" t="s">
        <v>3852</v>
      </c>
      <c r="K540">
        <v>67434</v>
      </c>
      <c r="L540" t="s">
        <v>71</v>
      </c>
      <c r="M540" t="s">
        <v>46</v>
      </c>
      <c r="N540" t="s">
        <v>47</v>
      </c>
      <c r="O540">
        <v>5</v>
      </c>
      <c r="P540">
        <v>1</v>
      </c>
      <c r="Q540">
        <v>5</v>
      </c>
      <c r="R540" t="s">
        <v>48</v>
      </c>
      <c r="S540" t="s">
        <v>49</v>
      </c>
      <c r="T540" s="3">
        <v>0.84</v>
      </c>
      <c r="U540" s="3">
        <v>0.23</v>
      </c>
      <c r="V540" s="3">
        <v>4.42</v>
      </c>
      <c r="W540">
        <v>2.2000000000000002</v>
      </c>
      <c r="X540" t="s">
        <v>72</v>
      </c>
      <c r="Y540" s="3">
        <v>6.83</v>
      </c>
      <c r="Z540" t="s">
        <v>73</v>
      </c>
      <c r="AA540" t="s">
        <v>3622</v>
      </c>
      <c r="AB540" t="s">
        <v>53</v>
      </c>
      <c r="AC540" s="3">
        <v>1.29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f t="shared" si="16"/>
        <v>13.610000000000001</v>
      </c>
      <c r="AK540" s="3">
        <f t="shared" si="17"/>
        <v>6.7800000000000011</v>
      </c>
    </row>
    <row r="541" spans="1:37">
      <c r="A541">
        <v>10295331</v>
      </c>
      <c r="B541" t="s">
        <v>37</v>
      </c>
      <c r="C541" t="s">
        <v>3853</v>
      </c>
      <c r="E541" t="s">
        <v>1221</v>
      </c>
      <c r="F541" t="s">
        <v>3854</v>
      </c>
      <c r="G541" t="s">
        <v>3855</v>
      </c>
      <c r="H541" t="s">
        <v>42</v>
      </c>
      <c r="I541" t="s">
        <v>3856</v>
      </c>
      <c r="J541" t="s">
        <v>3857</v>
      </c>
      <c r="K541" t="s">
        <v>3858</v>
      </c>
      <c r="L541" t="s">
        <v>142</v>
      </c>
      <c r="M541" t="s">
        <v>46</v>
      </c>
      <c r="N541" t="s">
        <v>47</v>
      </c>
      <c r="O541">
        <v>1</v>
      </c>
      <c r="P541">
        <v>1</v>
      </c>
      <c r="Q541">
        <v>1</v>
      </c>
      <c r="R541" t="s">
        <v>48</v>
      </c>
      <c r="S541" t="s">
        <v>49</v>
      </c>
      <c r="T541" s="3">
        <v>0.84</v>
      </c>
      <c r="U541" s="3">
        <v>0.23</v>
      </c>
      <c r="V541" s="3">
        <v>0.94</v>
      </c>
      <c r="W541">
        <v>0.55000000000000004</v>
      </c>
      <c r="X541" t="s">
        <v>50</v>
      </c>
      <c r="Y541" s="3">
        <v>16.43</v>
      </c>
      <c r="Z541" t="s">
        <v>109</v>
      </c>
      <c r="AA541" t="s">
        <v>3859</v>
      </c>
      <c r="AB541" t="s">
        <v>53</v>
      </c>
      <c r="AC541" s="3">
        <v>1.06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f t="shared" si="16"/>
        <v>19.5</v>
      </c>
      <c r="AK541" s="3">
        <f t="shared" si="17"/>
        <v>3.0700000000000003</v>
      </c>
    </row>
    <row r="542" spans="1:37">
      <c r="A542">
        <v>10290502</v>
      </c>
      <c r="B542" t="s">
        <v>37</v>
      </c>
      <c r="C542" t="s">
        <v>3860</v>
      </c>
      <c r="E542" t="s">
        <v>515</v>
      </c>
      <c r="F542" t="s">
        <v>3861</v>
      </c>
      <c r="G542" t="s">
        <v>3862</v>
      </c>
      <c r="H542" t="s">
        <v>42</v>
      </c>
      <c r="I542" t="s">
        <v>3863</v>
      </c>
      <c r="J542" t="s">
        <v>3864</v>
      </c>
      <c r="K542" t="s">
        <v>3865</v>
      </c>
      <c r="L542" t="s">
        <v>3866</v>
      </c>
      <c r="M542" t="s">
        <v>46</v>
      </c>
      <c r="N542" t="s">
        <v>47</v>
      </c>
      <c r="O542">
        <v>3</v>
      </c>
      <c r="P542">
        <v>1</v>
      </c>
      <c r="Q542">
        <v>3</v>
      </c>
      <c r="R542" t="s">
        <v>48</v>
      </c>
      <c r="S542" t="s">
        <v>49</v>
      </c>
      <c r="T542" s="3">
        <v>0.84</v>
      </c>
      <c r="U542" s="3">
        <v>0.23</v>
      </c>
      <c r="V542" s="3">
        <v>2.68</v>
      </c>
      <c r="W542">
        <v>1.37</v>
      </c>
      <c r="X542" t="s">
        <v>100</v>
      </c>
      <c r="Y542" s="3">
        <v>32.770000000000003</v>
      </c>
      <c r="Z542" t="s">
        <v>73</v>
      </c>
      <c r="AA542" t="s">
        <v>3867</v>
      </c>
      <c r="AB542" t="s">
        <v>53</v>
      </c>
      <c r="AC542" s="3">
        <v>1.29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f t="shared" si="16"/>
        <v>37.81</v>
      </c>
      <c r="AK542" s="3">
        <f t="shared" si="17"/>
        <v>5.0399999999999991</v>
      </c>
    </row>
    <row r="543" spans="1:37">
      <c r="A543">
        <v>10299350</v>
      </c>
      <c r="B543" t="s">
        <v>37</v>
      </c>
      <c r="C543" t="s">
        <v>3868</v>
      </c>
      <c r="E543" t="s">
        <v>3869</v>
      </c>
      <c r="F543" t="s">
        <v>3870</v>
      </c>
      <c r="G543" t="s">
        <v>3871</v>
      </c>
      <c r="H543" t="s">
        <v>42</v>
      </c>
      <c r="I543" t="s">
        <v>3872</v>
      </c>
      <c r="J543" t="s">
        <v>3873</v>
      </c>
      <c r="K543" t="s">
        <v>3874</v>
      </c>
      <c r="L543" t="s">
        <v>142</v>
      </c>
      <c r="M543" t="s">
        <v>46</v>
      </c>
      <c r="N543" t="s">
        <v>47</v>
      </c>
      <c r="O543">
        <v>1</v>
      </c>
      <c r="P543">
        <v>1</v>
      </c>
      <c r="Q543">
        <v>1</v>
      </c>
      <c r="R543" t="s">
        <v>48</v>
      </c>
      <c r="S543" t="s">
        <v>49</v>
      </c>
      <c r="T543" s="3">
        <v>0.84</v>
      </c>
      <c r="U543" s="3">
        <v>0.23</v>
      </c>
      <c r="V543" s="3">
        <v>0.94</v>
      </c>
      <c r="W543">
        <v>0.49</v>
      </c>
      <c r="X543" t="s">
        <v>50</v>
      </c>
      <c r="Y543" s="3">
        <v>16.43</v>
      </c>
      <c r="Z543" t="s">
        <v>109</v>
      </c>
      <c r="AA543" t="s">
        <v>870</v>
      </c>
      <c r="AB543" t="s">
        <v>53</v>
      </c>
      <c r="AC543" s="3">
        <v>1.06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f t="shared" si="16"/>
        <v>19.5</v>
      </c>
      <c r="AK543" s="3">
        <f t="shared" si="17"/>
        <v>3.0700000000000003</v>
      </c>
    </row>
    <row r="544" spans="1:37">
      <c r="A544">
        <v>10295333</v>
      </c>
      <c r="B544" t="s">
        <v>37</v>
      </c>
      <c r="C544" t="s">
        <v>3875</v>
      </c>
      <c r="E544" t="s">
        <v>173</v>
      </c>
      <c r="F544" t="s">
        <v>3876</v>
      </c>
      <c r="G544" t="s">
        <v>3877</v>
      </c>
      <c r="H544" t="s">
        <v>42</v>
      </c>
      <c r="I544" t="s">
        <v>3878</v>
      </c>
      <c r="J544" t="s">
        <v>3879</v>
      </c>
      <c r="K544">
        <v>55124</v>
      </c>
      <c r="L544" t="s">
        <v>71</v>
      </c>
      <c r="M544" t="s">
        <v>46</v>
      </c>
      <c r="N544" t="s">
        <v>47</v>
      </c>
      <c r="O544">
        <v>1</v>
      </c>
      <c r="P544">
        <v>1</v>
      </c>
      <c r="Q544">
        <v>1</v>
      </c>
      <c r="R544" t="s">
        <v>48</v>
      </c>
      <c r="S544" t="s">
        <v>49</v>
      </c>
      <c r="T544" s="3">
        <v>0.84</v>
      </c>
      <c r="U544" s="3">
        <v>0.23</v>
      </c>
      <c r="V544" s="3">
        <v>0.94</v>
      </c>
      <c r="W544">
        <v>0.25</v>
      </c>
      <c r="X544" t="s">
        <v>108</v>
      </c>
      <c r="Y544" s="3">
        <v>5.14</v>
      </c>
      <c r="Z544" t="s">
        <v>109</v>
      </c>
      <c r="AA544" t="s">
        <v>3880</v>
      </c>
      <c r="AB544" t="s">
        <v>53</v>
      </c>
      <c r="AC544" s="3">
        <v>1.06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f t="shared" si="16"/>
        <v>8.2099999999999991</v>
      </c>
      <c r="AK544" s="3">
        <f t="shared" si="17"/>
        <v>3.0699999999999994</v>
      </c>
    </row>
    <row r="545" spans="1:37">
      <c r="A545">
        <v>10295330</v>
      </c>
      <c r="B545" t="s">
        <v>37</v>
      </c>
      <c r="C545" t="s">
        <v>3881</v>
      </c>
      <c r="E545" t="s">
        <v>1438</v>
      </c>
      <c r="F545" t="s">
        <v>3882</v>
      </c>
      <c r="G545" t="s">
        <v>3883</v>
      </c>
      <c r="H545" t="s">
        <v>42</v>
      </c>
      <c r="I545" t="s">
        <v>3884</v>
      </c>
      <c r="J545" t="s">
        <v>3885</v>
      </c>
      <c r="K545" t="s">
        <v>3886</v>
      </c>
      <c r="L545" t="s">
        <v>142</v>
      </c>
      <c r="M545" t="s">
        <v>46</v>
      </c>
      <c r="N545" t="s">
        <v>47</v>
      </c>
      <c r="O545">
        <v>1</v>
      </c>
      <c r="P545">
        <v>1</v>
      </c>
      <c r="Q545">
        <v>1</v>
      </c>
      <c r="R545" t="s">
        <v>48</v>
      </c>
      <c r="S545" t="s">
        <v>49</v>
      </c>
      <c r="T545" s="3">
        <v>0.84</v>
      </c>
      <c r="U545" s="3">
        <v>0.23</v>
      </c>
      <c r="V545" s="3">
        <v>0.94</v>
      </c>
      <c r="W545">
        <v>0.59</v>
      </c>
      <c r="X545" t="s">
        <v>50</v>
      </c>
      <c r="Y545" s="3">
        <v>16.43</v>
      </c>
      <c r="Z545" t="s">
        <v>109</v>
      </c>
      <c r="AA545" t="s">
        <v>996</v>
      </c>
      <c r="AB545" t="s">
        <v>53</v>
      </c>
      <c r="AC545" s="3">
        <v>1.06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f t="shared" si="16"/>
        <v>19.5</v>
      </c>
      <c r="AK545" s="3">
        <f t="shared" si="17"/>
        <v>3.0700000000000003</v>
      </c>
    </row>
    <row r="546" spans="1:37">
      <c r="A546">
        <v>10298664</v>
      </c>
      <c r="B546" t="s">
        <v>37</v>
      </c>
      <c r="C546" t="s">
        <v>3887</v>
      </c>
      <c r="E546" t="s">
        <v>1438</v>
      </c>
      <c r="F546" t="s">
        <v>3888</v>
      </c>
      <c r="G546" t="s">
        <v>3889</v>
      </c>
      <c r="H546" t="s">
        <v>42</v>
      </c>
      <c r="I546" t="s">
        <v>3890</v>
      </c>
      <c r="J546" t="s">
        <v>3891</v>
      </c>
      <c r="K546" t="s">
        <v>3892</v>
      </c>
      <c r="L546" t="s">
        <v>142</v>
      </c>
      <c r="M546" t="s">
        <v>46</v>
      </c>
      <c r="N546" t="s">
        <v>47</v>
      </c>
      <c r="O546">
        <v>6</v>
      </c>
      <c r="P546">
        <v>1</v>
      </c>
      <c r="Q546">
        <v>6</v>
      </c>
      <c r="R546" t="s">
        <v>48</v>
      </c>
      <c r="S546" t="s">
        <v>49</v>
      </c>
      <c r="T546" s="3">
        <v>0.84</v>
      </c>
      <c r="U546" s="3">
        <v>0.23</v>
      </c>
      <c r="V546" s="3">
        <v>5.29</v>
      </c>
      <c r="W546">
        <v>2.44</v>
      </c>
      <c r="X546" t="s">
        <v>50</v>
      </c>
      <c r="Y546" s="3">
        <v>16.43</v>
      </c>
      <c r="Z546" t="s">
        <v>73</v>
      </c>
      <c r="AA546" t="s">
        <v>3893</v>
      </c>
      <c r="AB546" t="s">
        <v>53</v>
      </c>
      <c r="AC546" s="3">
        <v>1.29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f t="shared" si="16"/>
        <v>24.08</v>
      </c>
      <c r="AK546" s="3">
        <f t="shared" si="17"/>
        <v>7.6499999999999986</v>
      </c>
    </row>
    <row r="547" spans="1:37">
      <c r="A547">
        <v>10296431</v>
      </c>
      <c r="B547" t="s">
        <v>37</v>
      </c>
      <c r="C547" t="s">
        <v>3894</v>
      </c>
      <c r="E547" t="s">
        <v>3895</v>
      </c>
      <c r="F547" t="s">
        <v>3896</v>
      </c>
      <c r="G547" t="s">
        <v>3897</v>
      </c>
      <c r="H547" t="s">
        <v>42</v>
      </c>
      <c r="I547" t="s">
        <v>3898</v>
      </c>
      <c r="J547" t="s">
        <v>3899</v>
      </c>
      <c r="K547">
        <v>48145</v>
      </c>
      <c r="L547" t="s">
        <v>71</v>
      </c>
      <c r="M547" t="s">
        <v>46</v>
      </c>
      <c r="N547" t="s">
        <v>47</v>
      </c>
      <c r="O547">
        <v>1</v>
      </c>
      <c r="P547">
        <v>1</v>
      </c>
      <c r="Q547">
        <v>1</v>
      </c>
      <c r="R547" t="s">
        <v>48</v>
      </c>
      <c r="S547" t="s">
        <v>49</v>
      </c>
      <c r="T547" s="3">
        <v>0.84</v>
      </c>
      <c r="U547" s="3">
        <v>0.23</v>
      </c>
      <c r="V547" s="3">
        <v>0.94</v>
      </c>
      <c r="W547">
        <v>1.1200000000000001</v>
      </c>
      <c r="X547" t="s">
        <v>72</v>
      </c>
      <c r="Y547" s="3">
        <v>5.44</v>
      </c>
      <c r="Z547" t="s">
        <v>73</v>
      </c>
      <c r="AA547" t="s">
        <v>1754</v>
      </c>
      <c r="AB547" t="s">
        <v>53</v>
      </c>
      <c r="AC547" s="3">
        <v>1.29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f t="shared" si="16"/>
        <v>8.74</v>
      </c>
      <c r="AK547" s="3">
        <f t="shared" si="17"/>
        <v>3.3</v>
      </c>
    </row>
    <row r="548" spans="1:37">
      <c r="A548">
        <v>10261758</v>
      </c>
      <c r="B548" t="s">
        <v>37</v>
      </c>
      <c r="C548" t="s">
        <v>3900</v>
      </c>
      <c r="E548" t="s">
        <v>1736</v>
      </c>
      <c r="F548" t="s">
        <v>3901</v>
      </c>
      <c r="G548" t="s">
        <v>3902</v>
      </c>
      <c r="H548" t="s">
        <v>42</v>
      </c>
      <c r="I548" t="s">
        <v>3903</v>
      </c>
      <c r="J548" t="s">
        <v>3904</v>
      </c>
      <c r="K548" t="s">
        <v>3905</v>
      </c>
      <c r="L548" t="s">
        <v>275</v>
      </c>
      <c r="M548" t="s">
        <v>46</v>
      </c>
      <c r="N548" t="s">
        <v>47</v>
      </c>
      <c r="O548">
        <v>1</v>
      </c>
      <c r="P548">
        <v>1</v>
      </c>
      <c r="Q548">
        <v>1</v>
      </c>
      <c r="R548" t="s">
        <v>48</v>
      </c>
      <c r="S548" t="s">
        <v>49</v>
      </c>
      <c r="T548" s="3">
        <v>0.84</v>
      </c>
      <c r="U548" s="3">
        <v>0.23</v>
      </c>
      <c r="V548" s="3">
        <v>0.94</v>
      </c>
      <c r="W548">
        <v>1.5</v>
      </c>
      <c r="X548" t="s">
        <v>50</v>
      </c>
      <c r="Y548" s="3">
        <v>16.43</v>
      </c>
      <c r="Z548" t="s">
        <v>73</v>
      </c>
      <c r="AA548" t="s">
        <v>297</v>
      </c>
      <c r="AB548" t="s">
        <v>53</v>
      </c>
      <c r="AC548" s="3">
        <v>1.29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f t="shared" si="16"/>
        <v>19.73</v>
      </c>
      <c r="AK548" s="3">
        <f t="shared" si="17"/>
        <v>3.3000000000000007</v>
      </c>
    </row>
    <row r="549" spans="1:37">
      <c r="A549">
        <v>10298838</v>
      </c>
      <c r="B549" t="s">
        <v>37</v>
      </c>
      <c r="C549" t="s">
        <v>3906</v>
      </c>
      <c r="E549" t="s">
        <v>3596</v>
      </c>
      <c r="F549" t="s">
        <v>3907</v>
      </c>
      <c r="G549" t="s">
        <v>3908</v>
      </c>
      <c r="H549" t="s">
        <v>42</v>
      </c>
      <c r="I549" t="s">
        <v>3909</v>
      </c>
      <c r="J549" t="s">
        <v>3910</v>
      </c>
      <c r="K549">
        <v>30900</v>
      </c>
      <c r="L549" t="s">
        <v>130</v>
      </c>
      <c r="M549" t="s">
        <v>46</v>
      </c>
      <c r="N549" t="s">
        <v>47</v>
      </c>
      <c r="O549">
        <v>1</v>
      </c>
      <c r="P549">
        <v>1</v>
      </c>
      <c r="Q549">
        <v>1</v>
      </c>
      <c r="R549" t="s">
        <v>48</v>
      </c>
      <c r="S549" t="s">
        <v>49</v>
      </c>
      <c r="T549" s="3">
        <v>0.84</v>
      </c>
      <c r="U549" s="3">
        <v>0.23</v>
      </c>
      <c r="V549" s="3">
        <v>0.94</v>
      </c>
      <c r="W549">
        <v>2.5</v>
      </c>
      <c r="X549" t="s">
        <v>50</v>
      </c>
      <c r="Y549" s="3">
        <v>14.26</v>
      </c>
      <c r="Z549" t="s">
        <v>83</v>
      </c>
      <c r="AA549" t="s">
        <v>821</v>
      </c>
      <c r="AB549" t="s">
        <v>53</v>
      </c>
      <c r="AC549" s="3">
        <v>1.27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f t="shared" si="16"/>
        <v>17.54</v>
      </c>
      <c r="AK549" s="3">
        <f t="shared" si="17"/>
        <v>3.2799999999999994</v>
      </c>
    </row>
    <row r="550" spans="1:37">
      <c r="A550">
        <v>10297539</v>
      </c>
      <c r="B550" t="s">
        <v>37</v>
      </c>
      <c r="C550" t="s">
        <v>3911</v>
      </c>
      <c r="E550" t="s">
        <v>657</v>
      </c>
      <c r="F550" t="s">
        <v>3912</v>
      </c>
      <c r="G550" t="s">
        <v>3913</v>
      </c>
      <c r="H550" t="s">
        <v>42</v>
      </c>
      <c r="I550" t="s">
        <v>3914</v>
      </c>
      <c r="J550" t="s">
        <v>3915</v>
      </c>
      <c r="K550" t="s">
        <v>3916</v>
      </c>
      <c r="L550" t="s">
        <v>142</v>
      </c>
      <c r="M550" t="s">
        <v>46</v>
      </c>
      <c r="N550" t="s">
        <v>47</v>
      </c>
      <c r="O550">
        <v>9</v>
      </c>
      <c r="P550">
        <v>1</v>
      </c>
      <c r="Q550">
        <v>9</v>
      </c>
      <c r="R550" t="s">
        <v>48</v>
      </c>
      <c r="S550" t="s">
        <v>49</v>
      </c>
      <c r="T550" s="3">
        <v>0.84</v>
      </c>
      <c r="U550" s="3">
        <v>0.23</v>
      </c>
      <c r="V550" s="3">
        <v>7.9</v>
      </c>
      <c r="W550">
        <v>3.79</v>
      </c>
      <c r="X550" t="s">
        <v>50</v>
      </c>
      <c r="Y550" s="3">
        <v>16.43</v>
      </c>
      <c r="Z550" t="s">
        <v>73</v>
      </c>
      <c r="AA550" t="s">
        <v>3917</v>
      </c>
      <c r="AB550" t="s">
        <v>53</v>
      </c>
      <c r="AC550" s="3">
        <v>1.29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f t="shared" si="16"/>
        <v>26.689999999999998</v>
      </c>
      <c r="AK550" s="3">
        <f t="shared" si="17"/>
        <v>10.259999999999998</v>
      </c>
    </row>
    <row r="551" spans="1:37">
      <c r="A551">
        <v>10296237</v>
      </c>
      <c r="B551" t="s">
        <v>37</v>
      </c>
      <c r="C551" t="s">
        <v>3918</v>
      </c>
      <c r="E551" t="s">
        <v>3919</v>
      </c>
      <c r="F551" t="s">
        <v>3920</v>
      </c>
      <c r="G551" t="s">
        <v>3921</v>
      </c>
      <c r="H551" t="s">
        <v>42</v>
      </c>
      <c r="I551" t="s">
        <v>3922</v>
      </c>
      <c r="J551" t="s">
        <v>3923</v>
      </c>
      <c r="K551">
        <v>9002</v>
      </c>
      <c r="L551" t="s">
        <v>3924</v>
      </c>
      <c r="M551" t="s">
        <v>46</v>
      </c>
      <c r="N551" t="s">
        <v>47</v>
      </c>
      <c r="O551">
        <v>1</v>
      </c>
      <c r="P551">
        <v>1</v>
      </c>
      <c r="Q551">
        <v>1</v>
      </c>
      <c r="R551" t="s">
        <v>48</v>
      </c>
      <c r="S551" t="s">
        <v>49</v>
      </c>
      <c r="T551" s="3">
        <v>0.84</v>
      </c>
      <c r="U551" s="3">
        <v>0.23</v>
      </c>
      <c r="V551" s="3">
        <v>0.94</v>
      </c>
      <c r="W551">
        <v>0.59</v>
      </c>
      <c r="X551" t="s">
        <v>100</v>
      </c>
      <c r="Y551" s="3">
        <v>22</v>
      </c>
      <c r="Z551" t="s">
        <v>109</v>
      </c>
      <c r="AA551" t="s">
        <v>862</v>
      </c>
      <c r="AB551" t="s">
        <v>53</v>
      </c>
      <c r="AC551" s="3">
        <v>1.06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f t="shared" si="16"/>
        <v>25.07</v>
      </c>
      <c r="AK551" s="3">
        <f t="shared" si="17"/>
        <v>3.0700000000000003</v>
      </c>
    </row>
    <row r="552" spans="1:37">
      <c r="A552">
        <v>10295472</v>
      </c>
      <c r="B552" t="s">
        <v>37</v>
      </c>
      <c r="C552" t="s">
        <v>3925</v>
      </c>
      <c r="D552" t="s">
        <v>3926</v>
      </c>
      <c r="E552" t="s">
        <v>3927</v>
      </c>
      <c r="F552" t="s">
        <v>3928</v>
      </c>
      <c r="G552" t="s">
        <v>3929</v>
      </c>
      <c r="H552" t="s">
        <v>42</v>
      </c>
      <c r="I552" t="s">
        <v>3930</v>
      </c>
      <c r="J552" t="s">
        <v>3931</v>
      </c>
      <c r="K552">
        <v>78262</v>
      </c>
      <c r="L552" t="s">
        <v>71</v>
      </c>
      <c r="M552" t="s">
        <v>46</v>
      </c>
      <c r="N552" t="s">
        <v>47</v>
      </c>
      <c r="O552">
        <v>4</v>
      </c>
      <c r="P552">
        <v>1</v>
      </c>
      <c r="Q552">
        <v>4</v>
      </c>
      <c r="R552" t="s">
        <v>48</v>
      </c>
      <c r="S552" t="s">
        <v>49</v>
      </c>
      <c r="T552" s="3">
        <v>0.84</v>
      </c>
      <c r="U552" s="3">
        <v>0.23</v>
      </c>
      <c r="V552" s="3">
        <v>3.55</v>
      </c>
      <c r="W552">
        <v>2.06</v>
      </c>
      <c r="X552" t="s">
        <v>72</v>
      </c>
      <c r="Y552" s="3">
        <v>6.83</v>
      </c>
      <c r="Z552" t="s">
        <v>73</v>
      </c>
      <c r="AA552" t="s">
        <v>931</v>
      </c>
      <c r="AB552" t="s">
        <v>53</v>
      </c>
      <c r="AC552" s="3">
        <v>1.29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f t="shared" si="16"/>
        <v>12.740000000000002</v>
      </c>
      <c r="AK552" s="3">
        <f t="shared" si="17"/>
        <v>5.9100000000000019</v>
      </c>
    </row>
    <row r="553" spans="1:37">
      <c r="A553">
        <v>10298251</v>
      </c>
      <c r="B553" t="s">
        <v>37</v>
      </c>
      <c r="C553" t="s">
        <v>3932</v>
      </c>
      <c r="E553" t="s">
        <v>3933</v>
      </c>
      <c r="F553" t="s">
        <v>3934</v>
      </c>
      <c r="G553" t="s">
        <v>3935</v>
      </c>
      <c r="H553" t="s">
        <v>42</v>
      </c>
      <c r="I553" t="s">
        <v>3936</v>
      </c>
      <c r="J553" t="s">
        <v>3937</v>
      </c>
      <c r="K553">
        <v>3505</v>
      </c>
      <c r="L553" t="s">
        <v>369</v>
      </c>
      <c r="M553" t="s">
        <v>46</v>
      </c>
      <c r="N553" t="s">
        <v>47</v>
      </c>
      <c r="O553">
        <v>1</v>
      </c>
      <c r="P553">
        <v>1</v>
      </c>
      <c r="Q553">
        <v>1</v>
      </c>
      <c r="R553" t="s">
        <v>48</v>
      </c>
      <c r="S553" t="s">
        <v>49</v>
      </c>
      <c r="T553" s="3">
        <v>0.84</v>
      </c>
      <c r="U553" s="3">
        <v>0.23</v>
      </c>
      <c r="V553" s="3">
        <v>0.94</v>
      </c>
      <c r="W553">
        <v>1.05</v>
      </c>
      <c r="X553" t="s">
        <v>50</v>
      </c>
      <c r="Y553" s="3">
        <v>9.19</v>
      </c>
      <c r="Z553" t="s">
        <v>73</v>
      </c>
      <c r="AA553" t="s">
        <v>3444</v>
      </c>
      <c r="AB553" t="s">
        <v>53</v>
      </c>
      <c r="AC553" s="3">
        <v>1.29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f t="shared" si="16"/>
        <v>12.49</v>
      </c>
      <c r="AK553" s="3">
        <f t="shared" si="17"/>
        <v>3.3000000000000007</v>
      </c>
    </row>
    <row r="554" spans="1:37">
      <c r="A554">
        <v>10298250</v>
      </c>
      <c r="B554" t="s">
        <v>37</v>
      </c>
      <c r="C554" t="s">
        <v>3938</v>
      </c>
      <c r="E554" t="s">
        <v>3939</v>
      </c>
      <c r="F554" t="s">
        <v>3940</v>
      </c>
      <c r="G554" t="s">
        <v>3941</v>
      </c>
      <c r="H554" t="s">
        <v>42</v>
      </c>
      <c r="I554" t="s">
        <v>3942</v>
      </c>
      <c r="J554" t="s">
        <v>3943</v>
      </c>
      <c r="K554">
        <v>2430</v>
      </c>
      <c r="L554" t="s">
        <v>505</v>
      </c>
      <c r="M554" t="s">
        <v>46</v>
      </c>
      <c r="N554" t="s">
        <v>47</v>
      </c>
      <c r="O554">
        <v>9</v>
      </c>
      <c r="P554">
        <v>1</v>
      </c>
      <c r="Q554">
        <v>9</v>
      </c>
      <c r="R554" t="s">
        <v>48</v>
      </c>
      <c r="S554" t="s">
        <v>49</v>
      </c>
      <c r="T554" s="3">
        <v>0.84</v>
      </c>
      <c r="U554" s="3">
        <v>0.23</v>
      </c>
      <c r="V554" s="3">
        <v>7.9</v>
      </c>
      <c r="W554">
        <v>3.79</v>
      </c>
      <c r="X554" t="s">
        <v>50</v>
      </c>
      <c r="Y554" s="3">
        <v>9.19</v>
      </c>
      <c r="Z554" t="s">
        <v>83</v>
      </c>
      <c r="AA554" t="s">
        <v>3944</v>
      </c>
      <c r="AB554" t="s">
        <v>53</v>
      </c>
      <c r="AC554" s="3">
        <v>1.27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f t="shared" si="16"/>
        <v>19.43</v>
      </c>
      <c r="AK554" s="3">
        <f t="shared" si="17"/>
        <v>10.24</v>
      </c>
    </row>
    <row r="555" spans="1:37">
      <c r="A555">
        <v>10298473</v>
      </c>
      <c r="B555" t="s">
        <v>37</v>
      </c>
      <c r="C555" t="s">
        <v>3945</v>
      </c>
      <c r="E555" t="s">
        <v>3946</v>
      </c>
      <c r="F555" t="s">
        <v>3947</v>
      </c>
      <c r="G555" t="s">
        <v>3948</v>
      </c>
      <c r="H555" t="s">
        <v>42</v>
      </c>
      <c r="I555" t="s">
        <v>3949</v>
      </c>
      <c r="J555" t="s">
        <v>3950</v>
      </c>
      <c r="K555">
        <v>70567</v>
      </c>
      <c r="L555" t="s">
        <v>71</v>
      </c>
      <c r="M555" t="s">
        <v>46</v>
      </c>
      <c r="N555" t="s">
        <v>47</v>
      </c>
      <c r="O555">
        <v>4</v>
      </c>
      <c r="P555">
        <v>1</v>
      </c>
      <c r="Q555">
        <v>4</v>
      </c>
      <c r="R555" t="s">
        <v>48</v>
      </c>
      <c r="S555" t="s">
        <v>49</v>
      </c>
      <c r="T555" s="3">
        <v>0.84</v>
      </c>
      <c r="U555" s="3">
        <v>0.23</v>
      </c>
      <c r="V555" s="3">
        <v>3.55</v>
      </c>
      <c r="W555">
        <v>1.66</v>
      </c>
      <c r="X555" t="s">
        <v>72</v>
      </c>
      <c r="Y555" s="3">
        <v>5.44</v>
      </c>
      <c r="Z555" t="s">
        <v>73</v>
      </c>
      <c r="AA555" t="s">
        <v>583</v>
      </c>
      <c r="AB555" t="s">
        <v>53</v>
      </c>
      <c r="AC555" s="3">
        <v>1.29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f t="shared" si="16"/>
        <v>11.350000000000001</v>
      </c>
      <c r="AK555" s="3">
        <f t="shared" si="17"/>
        <v>5.910000000000001</v>
      </c>
    </row>
    <row r="556" spans="1:37">
      <c r="A556">
        <v>10300528</v>
      </c>
      <c r="B556" t="s">
        <v>37</v>
      </c>
      <c r="C556" t="s">
        <v>3951</v>
      </c>
      <c r="E556" t="s">
        <v>3952</v>
      </c>
      <c r="F556" t="s">
        <v>3953</v>
      </c>
      <c r="G556" t="s">
        <v>3954</v>
      </c>
      <c r="H556" t="s">
        <v>42</v>
      </c>
      <c r="I556" t="s">
        <v>3955</v>
      </c>
      <c r="J556" t="s">
        <v>3956</v>
      </c>
      <c r="K556">
        <v>64014</v>
      </c>
      <c r="L556" t="s">
        <v>283</v>
      </c>
      <c r="M556" t="s">
        <v>46</v>
      </c>
      <c r="N556" t="s">
        <v>47</v>
      </c>
      <c r="O556">
        <v>3</v>
      </c>
      <c r="P556">
        <v>1</v>
      </c>
      <c r="Q556">
        <v>3</v>
      </c>
      <c r="R556" t="s">
        <v>48</v>
      </c>
      <c r="S556" t="s">
        <v>49</v>
      </c>
      <c r="T556" s="3">
        <v>0.84</v>
      </c>
      <c r="U556" s="3">
        <v>0.23</v>
      </c>
      <c r="V556" s="3">
        <v>2.68</v>
      </c>
      <c r="W556">
        <v>1.45</v>
      </c>
      <c r="X556" t="s">
        <v>50</v>
      </c>
      <c r="Y556" s="3">
        <v>14.98</v>
      </c>
      <c r="Z556" t="s">
        <v>109</v>
      </c>
      <c r="AA556" t="s">
        <v>3957</v>
      </c>
      <c r="AB556" t="s">
        <v>53</v>
      </c>
      <c r="AC556" s="3">
        <v>1.06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f t="shared" si="16"/>
        <v>19.79</v>
      </c>
      <c r="AK556" s="3">
        <f t="shared" si="17"/>
        <v>4.8099999999999987</v>
      </c>
    </row>
    <row r="557" spans="1:37">
      <c r="A557">
        <v>10300897</v>
      </c>
      <c r="B557" t="s">
        <v>37</v>
      </c>
      <c r="C557" t="s">
        <v>3958</v>
      </c>
      <c r="E557" t="s">
        <v>1932</v>
      </c>
      <c r="F557" t="s">
        <v>548</v>
      </c>
      <c r="G557" t="s">
        <v>3959</v>
      </c>
      <c r="H557" t="s">
        <v>42</v>
      </c>
      <c r="I557" t="s">
        <v>3960</v>
      </c>
      <c r="J557" t="s">
        <v>3961</v>
      </c>
      <c r="K557" t="s">
        <v>3962</v>
      </c>
      <c r="L557" t="s">
        <v>142</v>
      </c>
      <c r="M557" t="s">
        <v>46</v>
      </c>
      <c r="N557" t="s">
        <v>47</v>
      </c>
      <c r="O557">
        <v>4</v>
      </c>
      <c r="P557">
        <v>1</v>
      </c>
      <c r="Q557">
        <v>4</v>
      </c>
      <c r="R557" t="s">
        <v>48</v>
      </c>
      <c r="S557" t="s">
        <v>49</v>
      </c>
      <c r="T557" s="3">
        <v>0.84</v>
      </c>
      <c r="U557" s="3">
        <v>0.23</v>
      </c>
      <c r="V557" s="3">
        <v>3.55</v>
      </c>
      <c r="W557">
        <v>2.06</v>
      </c>
      <c r="X557" t="s">
        <v>50</v>
      </c>
      <c r="Y557" s="3">
        <v>16.43</v>
      </c>
      <c r="Z557" t="s">
        <v>73</v>
      </c>
      <c r="AA557" t="s">
        <v>327</v>
      </c>
      <c r="AB557" t="s">
        <v>53</v>
      </c>
      <c r="AC557" s="3">
        <v>1.29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f t="shared" si="16"/>
        <v>22.34</v>
      </c>
      <c r="AK557" s="3">
        <f t="shared" si="17"/>
        <v>5.91</v>
      </c>
    </row>
    <row r="558" spans="1:37">
      <c r="A558">
        <v>10297343</v>
      </c>
      <c r="B558" t="s">
        <v>37</v>
      </c>
      <c r="C558" t="s">
        <v>3963</v>
      </c>
      <c r="E558" t="s">
        <v>3964</v>
      </c>
      <c r="F558" t="s">
        <v>3965</v>
      </c>
      <c r="G558" t="s">
        <v>3966</v>
      </c>
      <c r="H558" t="s">
        <v>42</v>
      </c>
      <c r="I558" t="s">
        <v>3967</v>
      </c>
      <c r="J558" t="s">
        <v>3968</v>
      </c>
      <c r="K558" t="s">
        <v>3969</v>
      </c>
      <c r="L558" t="s">
        <v>82</v>
      </c>
      <c r="M558" t="s">
        <v>46</v>
      </c>
      <c r="N558" t="s">
        <v>47</v>
      </c>
      <c r="O558">
        <v>1</v>
      </c>
      <c r="P558">
        <v>1</v>
      </c>
      <c r="Q558">
        <v>1</v>
      </c>
      <c r="R558" t="s">
        <v>48</v>
      </c>
      <c r="S558" t="s">
        <v>49</v>
      </c>
      <c r="T558" s="3">
        <v>0.84</v>
      </c>
      <c r="U558" s="3">
        <v>0.23</v>
      </c>
      <c r="V558" s="3">
        <v>0.94</v>
      </c>
      <c r="W558">
        <v>0.59</v>
      </c>
      <c r="X558" t="s">
        <v>50</v>
      </c>
      <c r="Y558" s="3">
        <v>9.19</v>
      </c>
      <c r="Z558" t="s">
        <v>109</v>
      </c>
      <c r="AA558" t="s">
        <v>862</v>
      </c>
      <c r="AB558" t="s">
        <v>53</v>
      </c>
      <c r="AC558" s="3">
        <v>1.06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f t="shared" si="16"/>
        <v>12.26</v>
      </c>
      <c r="AK558" s="3">
        <f t="shared" si="17"/>
        <v>3.0700000000000003</v>
      </c>
    </row>
    <row r="559" spans="1:37">
      <c r="A559">
        <v>10295473</v>
      </c>
      <c r="B559" t="s">
        <v>37</v>
      </c>
      <c r="C559" t="s">
        <v>3970</v>
      </c>
      <c r="E559" t="s">
        <v>1984</v>
      </c>
      <c r="F559" t="s">
        <v>3971</v>
      </c>
      <c r="G559" t="s">
        <v>3972</v>
      </c>
      <c r="H559" t="s">
        <v>42</v>
      </c>
      <c r="I559" t="s">
        <v>3973</v>
      </c>
      <c r="J559" t="s">
        <v>3974</v>
      </c>
      <c r="K559">
        <v>12011</v>
      </c>
      <c r="L559" t="s">
        <v>3975</v>
      </c>
      <c r="M559" t="s">
        <v>46</v>
      </c>
      <c r="N559" t="s">
        <v>47</v>
      </c>
      <c r="O559">
        <v>1</v>
      </c>
      <c r="P559">
        <v>1</v>
      </c>
      <c r="Q559">
        <v>1</v>
      </c>
      <c r="R559" t="s">
        <v>48</v>
      </c>
      <c r="S559" t="s">
        <v>49</v>
      </c>
      <c r="T559" s="3">
        <v>0.84</v>
      </c>
      <c r="U559" s="3">
        <v>0.23</v>
      </c>
      <c r="V559" s="3">
        <v>0.94</v>
      </c>
      <c r="W559">
        <v>0.3</v>
      </c>
      <c r="X559" t="s">
        <v>100</v>
      </c>
      <c r="Y559" s="3">
        <v>22</v>
      </c>
      <c r="Z559" t="s">
        <v>109</v>
      </c>
      <c r="AA559" t="s">
        <v>1406</v>
      </c>
      <c r="AB559" t="s">
        <v>53</v>
      </c>
      <c r="AC559" s="3">
        <v>1.06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f t="shared" si="16"/>
        <v>25.07</v>
      </c>
      <c r="AK559" s="3">
        <f t="shared" si="17"/>
        <v>3.0700000000000003</v>
      </c>
    </row>
    <row r="560" spans="1:37">
      <c r="A560">
        <v>10300527</v>
      </c>
      <c r="B560" t="s">
        <v>37</v>
      </c>
      <c r="C560" t="s">
        <v>3976</v>
      </c>
      <c r="E560" t="s">
        <v>3977</v>
      </c>
      <c r="F560" t="s">
        <v>3978</v>
      </c>
      <c r="G560" t="s">
        <v>3979</v>
      </c>
      <c r="H560" t="s">
        <v>42</v>
      </c>
      <c r="I560" t="s">
        <v>3980</v>
      </c>
      <c r="J560" t="s">
        <v>3981</v>
      </c>
      <c r="K560">
        <v>9764</v>
      </c>
      <c r="L560" t="s">
        <v>369</v>
      </c>
      <c r="M560" t="s">
        <v>46</v>
      </c>
      <c r="N560" t="s">
        <v>47</v>
      </c>
      <c r="O560">
        <v>4</v>
      </c>
      <c r="P560">
        <v>1</v>
      </c>
      <c r="Q560">
        <v>4</v>
      </c>
      <c r="R560" t="s">
        <v>48</v>
      </c>
      <c r="S560" t="s">
        <v>49</v>
      </c>
      <c r="T560" s="3">
        <v>0.84</v>
      </c>
      <c r="U560" s="3">
        <v>0.23</v>
      </c>
      <c r="V560" s="3">
        <v>3.55</v>
      </c>
      <c r="W560">
        <v>1.98</v>
      </c>
      <c r="X560" t="s">
        <v>50</v>
      </c>
      <c r="Y560" s="3">
        <v>9.19</v>
      </c>
      <c r="Z560" t="s">
        <v>73</v>
      </c>
      <c r="AA560" t="s">
        <v>3982</v>
      </c>
      <c r="AB560" t="s">
        <v>53</v>
      </c>
      <c r="AC560" s="3">
        <v>1.29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f t="shared" si="16"/>
        <v>15.100000000000001</v>
      </c>
      <c r="AK560" s="3">
        <f t="shared" si="17"/>
        <v>5.9100000000000019</v>
      </c>
    </row>
    <row r="561" spans="1:37">
      <c r="A561">
        <v>10300321</v>
      </c>
      <c r="B561" t="s">
        <v>37</v>
      </c>
      <c r="C561" t="s">
        <v>3983</v>
      </c>
      <c r="D561" t="s">
        <v>3984</v>
      </c>
      <c r="E561" t="s">
        <v>3985</v>
      </c>
      <c r="F561" t="s">
        <v>3986</v>
      </c>
      <c r="G561" t="s">
        <v>3987</v>
      </c>
      <c r="H561" t="s">
        <v>42</v>
      </c>
      <c r="I561" t="s">
        <v>3988</v>
      </c>
      <c r="J561" t="s">
        <v>3989</v>
      </c>
      <c r="K561">
        <v>68165</v>
      </c>
      <c r="L561" t="s">
        <v>71</v>
      </c>
      <c r="M561" t="s">
        <v>46</v>
      </c>
      <c r="N561" t="s">
        <v>47</v>
      </c>
      <c r="O561">
        <v>5</v>
      </c>
      <c r="P561">
        <v>1</v>
      </c>
      <c r="Q561">
        <v>5</v>
      </c>
      <c r="R561" t="s">
        <v>48</v>
      </c>
      <c r="S561" t="s">
        <v>49</v>
      </c>
      <c r="T561" s="3">
        <v>0.84</v>
      </c>
      <c r="U561" s="3">
        <v>0.23</v>
      </c>
      <c r="V561" s="3">
        <v>4.42</v>
      </c>
      <c r="W561">
        <v>2.06</v>
      </c>
      <c r="X561" t="s">
        <v>72</v>
      </c>
      <c r="Y561" s="3">
        <v>5.44</v>
      </c>
      <c r="Z561" t="s">
        <v>73</v>
      </c>
      <c r="AA561" t="s">
        <v>3990</v>
      </c>
      <c r="AB561" t="s">
        <v>53</v>
      </c>
      <c r="AC561" s="3">
        <v>1.29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f t="shared" si="16"/>
        <v>12.22</v>
      </c>
      <c r="AK561" s="3">
        <f t="shared" si="17"/>
        <v>6.78</v>
      </c>
    </row>
    <row r="562" spans="1:37">
      <c r="A562">
        <v>10297701</v>
      </c>
      <c r="B562" t="s">
        <v>37</v>
      </c>
      <c r="C562" t="s">
        <v>3991</v>
      </c>
      <c r="E562" t="s">
        <v>3992</v>
      </c>
      <c r="F562" t="s">
        <v>3993</v>
      </c>
      <c r="G562" t="s">
        <v>3994</v>
      </c>
      <c r="H562" t="s">
        <v>42</v>
      </c>
      <c r="I562" t="s">
        <v>3995</v>
      </c>
      <c r="J562" t="s">
        <v>3996</v>
      </c>
      <c r="K562" t="s">
        <v>3997</v>
      </c>
      <c r="L562" t="s">
        <v>142</v>
      </c>
      <c r="M562" t="s">
        <v>46</v>
      </c>
      <c r="N562" t="s">
        <v>47</v>
      </c>
      <c r="O562">
        <v>1</v>
      </c>
      <c r="P562">
        <v>1</v>
      </c>
      <c r="Q562">
        <v>1</v>
      </c>
      <c r="R562" t="s">
        <v>48</v>
      </c>
      <c r="S562" t="s">
        <v>49</v>
      </c>
      <c r="T562" s="3">
        <v>0.84</v>
      </c>
      <c r="U562" s="3">
        <v>0.23</v>
      </c>
      <c r="V562" s="3">
        <v>0.94</v>
      </c>
      <c r="W562">
        <v>0.49</v>
      </c>
      <c r="X562" t="s">
        <v>50</v>
      </c>
      <c r="Y562" s="3">
        <v>16.43</v>
      </c>
      <c r="Z562" t="s">
        <v>109</v>
      </c>
      <c r="AA562" t="s">
        <v>3998</v>
      </c>
      <c r="AB562" t="s">
        <v>53</v>
      </c>
      <c r="AC562" s="3">
        <v>1.06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f t="shared" si="16"/>
        <v>19.5</v>
      </c>
      <c r="AK562" s="3">
        <f t="shared" si="17"/>
        <v>3.0700000000000003</v>
      </c>
    </row>
    <row r="563" spans="1:37">
      <c r="A563">
        <v>10300898</v>
      </c>
      <c r="B563" t="s">
        <v>37</v>
      </c>
      <c r="C563" t="s">
        <v>3999</v>
      </c>
      <c r="E563" t="s">
        <v>3731</v>
      </c>
      <c r="F563" t="s">
        <v>4000</v>
      </c>
      <c r="G563" t="s">
        <v>4001</v>
      </c>
      <c r="H563" t="s">
        <v>42</v>
      </c>
      <c r="I563" t="s">
        <v>4002</v>
      </c>
      <c r="J563" t="s">
        <v>4003</v>
      </c>
      <c r="K563">
        <v>84405</v>
      </c>
      <c r="L563" t="s">
        <v>71</v>
      </c>
      <c r="M563" t="s">
        <v>46</v>
      </c>
      <c r="N563" t="s">
        <v>47</v>
      </c>
      <c r="O563">
        <v>3</v>
      </c>
      <c r="P563">
        <v>1</v>
      </c>
      <c r="Q563">
        <v>3</v>
      </c>
      <c r="R563" t="s">
        <v>48</v>
      </c>
      <c r="S563" t="s">
        <v>49</v>
      </c>
      <c r="T563" s="3">
        <v>0.84</v>
      </c>
      <c r="U563" s="3">
        <v>0.23</v>
      </c>
      <c r="V563" s="3">
        <v>2.68</v>
      </c>
      <c r="W563">
        <v>2.63</v>
      </c>
      <c r="X563" t="s">
        <v>72</v>
      </c>
      <c r="Y563" s="3">
        <v>6.61</v>
      </c>
      <c r="Z563" t="s">
        <v>83</v>
      </c>
      <c r="AA563" t="s">
        <v>4004</v>
      </c>
      <c r="AB563" t="s">
        <v>53</v>
      </c>
      <c r="AC563" s="3">
        <v>1.27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f t="shared" si="16"/>
        <v>11.63</v>
      </c>
      <c r="AK563" s="3">
        <f t="shared" si="17"/>
        <v>5.0200000000000005</v>
      </c>
    </row>
    <row r="564" spans="1:37">
      <c r="A564">
        <v>10295593</v>
      </c>
      <c r="B564" t="s">
        <v>37</v>
      </c>
      <c r="C564" t="s">
        <v>4005</v>
      </c>
      <c r="E564" t="s">
        <v>4006</v>
      </c>
      <c r="F564" t="s">
        <v>4007</v>
      </c>
      <c r="G564" t="s">
        <v>4008</v>
      </c>
      <c r="H564" t="s">
        <v>42</v>
      </c>
      <c r="I564" t="s">
        <v>4009</v>
      </c>
      <c r="J564" t="s">
        <v>4010</v>
      </c>
      <c r="K564">
        <v>31515</v>
      </c>
      <c r="L564" t="s">
        <v>71</v>
      </c>
      <c r="M564" t="s">
        <v>46</v>
      </c>
      <c r="N564" t="s">
        <v>47</v>
      </c>
      <c r="O564">
        <v>1</v>
      </c>
      <c r="P564">
        <v>1</v>
      </c>
      <c r="Q564">
        <v>1</v>
      </c>
      <c r="R564" t="s">
        <v>48</v>
      </c>
      <c r="S564" t="s">
        <v>49</v>
      </c>
      <c r="T564" s="3">
        <v>0.84</v>
      </c>
      <c r="U564" s="3">
        <v>0.23</v>
      </c>
      <c r="V564" s="3">
        <v>0.94</v>
      </c>
      <c r="W564">
        <v>0.49</v>
      </c>
      <c r="X564" t="s">
        <v>108</v>
      </c>
      <c r="Y564" s="3">
        <v>6.53</v>
      </c>
      <c r="Z564" t="s">
        <v>109</v>
      </c>
      <c r="AA564" t="s">
        <v>3348</v>
      </c>
      <c r="AB564" t="s">
        <v>53</v>
      </c>
      <c r="AC564" s="3">
        <v>1.06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f t="shared" si="16"/>
        <v>9.6</v>
      </c>
      <c r="AK564" s="3">
        <f t="shared" si="17"/>
        <v>3.0699999999999994</v>
      </c>
    </row>
    <row r="565" spans="1:37">
      <c r="A565">
        <v>10281492</v>
      </c>
      <c r="B565" t="s">
        <v>37</v>
      </c>
      <c r="C565" t="s">
        <v>4011</v>
      </c>
      <c r="E565" t="s">
        <v>4012</v>
      </c>
      <c r="F565" t="s">
        <v>4013</v>
      </c>
      <c r="G565" t="s">
        <v>4014</v>
      </c>
      <c r="H565" t="s">
        <v>42</v>
      </c>
      <c r="I565" t="s">
        <v>4015</v>
      </c>
      <c r="J565" t="s">
        <v>4016</v>
      </c>
      <c r="K565">
        <v>50020</v>
      </c>
      <c r="L565" t="s">
        <v>91</v>
      </c>
      <c r="M565" t="s">
        <v>46</v>
      </c>
      <c r="N565" t="s">
        <v>47</v>
      </c>
      <c r="O565">
        <v>1</v>
      </c>
      <c r="P565">
        <v>1</v>
      </c>
      <c r="Q565">
        <v>1</v>
      </c>
      <c r="R565" t="s">
        <v>48</v>
      </c>
      <c r="S565" t="s">
        <v>49</v>
      </c>
      <c r="T565" s="3">
        <v>0.84</v>
      </c>
      <c r="U565" s="3">
        <v>0.23</v>
      </c>
      <c r="V565" s="3">
        <v>0.94</v>
      </c>
      <c r="W565">
        <v>2.1</v>
      </c>
      <c r="X565" t="s">
        <v>50</v>
      </c>
      <c r="Y565" s="3">
        <v>16.43</v>
      </c>
      <c r="Z565" t="s">
        <v>73</v>
      </c>
      <c r="AA565" t="s">
        <v>4017</v>
      </c>
      <c r="AB565" t="s">
        <v>53</v>
      </c>
      <c r="AC565" s="3">
        <v>1.29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f t="shared" si="16"/>
        <v>19.73</v>
      </c>
      <c r="AK565" s="3">
        <f t="shared" si="17"/>
        <v>3.3000000000000007</v>
      </c>
    </row>
    <row r="566" spans="1:37">
      <c r="A566">
        <v>10297538</v>
      </c>
      <c r="B566" t="s">
        <v>37</v>
      </c>
      <c r="C566" t="s">
        <v>4018</v>
      </c>
      <c r="E566" t="s">
        <v>4019</v>
      </c>
      <c r="F566" t="s">
        <v>4020</v>
      </c>
      <c r="G566" t="s">
        <v>4021</v>
      </c>
      <c r="H566" t="s">
        <v>42</v>
      </c>
      <c r="I566" t="s">
        <v>4022</v>
      </c>
      <c r="J566" t="s">
        <v>4023</v>
      </c>
      <c r="K566" t="s">
        <v>4024</v>
      </c>
      <c r="L566" t="s">
        <v>142</v>
      </c>
      <c r="M566" t="s">
        <v>46</v>
      </c>
      <c r="N566" t="s">
        <v>47</v>
      </c>
      <c r="O566">
        <v>1</v>
      </c>
      <c r="P566">
        <v>1</v>
      </c>
      <c r="Q566">
        <v>1</v>
      </c>
      <c r="R566" t="s">
        <v>48</v>
      </c>
      <c r="S566" t="s">
        <v>49</v>
      </c>
      <c r="T566" s="3">
        <v>0.84</v>
      </c>
      <c r="U566" s="3">
        <v>0.23</v>
      </c>
      <c r="V566" s="3">
        <v>0.94</v>
      </c>
      <c r="W566">
        <v>3.1</v>
      </c>
      <c r="X566" t="s">
        <v>50</v>
      </c>
      <c r="Y566" s="3">
        <v>16.43</v>
      </c>
      <c r="Z566" t="s">
        <v>83</v>
      </c>
      <c r="AA566" t="s">
        <v>1679</v>
      </c>
      <c r="AB566" t="s">
        <v>53</v>
      </c>
      <c r="AC566" s="3">
        <v>1.27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f t="shared" si="16"/>
        <v>19.71</v>
      </c>
      <c r="AK566" s="3">
        <f t="shared" si="17"/>
        <v>3.2800000000000011</v>
      </c>
    </row>
    <row r="567" spans="1:37">
      <c r="A567">
        <v>10299605</v>
      </c>
      <c r="B567" t="s">
        <v>37</v>
      </c>
      <c r="C567" t="s">
        <v>4025</v>
      </c>
      <c r="D567" t="s">
        <v>4026</v>
      </c>
      <c r="E567" t="s">
        <v>3869</v>
      </c>
      <c r="F567" t="s">
        <v>1743</v>
      </c>
      <c r="G567" t="s">
        <v>4027</v>
      </c>
      <c r="H567" t="s">
        <v>42</v>
      </c>
      <c r="I567" t="s">
        <v>4028</v>
      </c>
      <c r="J567" t="s">
        <v>4029</v>
      </c>
      <c r="K567" t="s">
        <v>4030</v>
      </c>
      <c r="L567" t="s">
        <v>142</v>
      </c>
      <c r="M567" t="s">
        <v>46</v>
      </c>
      <c r="N567" t="s">
        <v>47</v>
      </c>
      <c r="O567">
        <v>1</v>
      </c>
      <c r="P567">
        <v>1</v>
      </c>
      <c r="Q567">
        <v>1</v>
      </c>
      <c r="R567" t="s">
        <v>48</v>
      </c>
      <c r="S567" t="s">
        <v>49</v>
      </c>
      <c r="T567" s="3">
        <v>0.84</v>
      </c>
      <c r="U567" s="3">
        <v>0.23</v>
      </c>
      <c r="V567" s="3">
        <v>0.94</v>
      </c>
      <c r="W567">
        <v>3.1</v>
      </c>
      <c r="X567" t="s">
        <v>50</v>
      </c>
      <c r="Y567" s="3">
        <v>16.43</v>
      </c>
      <c r="Z567" t="s">
        <v>83</v>
      </c>
      <c r="AA567" t="s">
        <v>4031</v>
      </c>
      <c r="AB567" t="s">
        <v>53</v>
      </c>
      <c r="AC567" s="3">
        <v>1.27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f t="shared" si="16"/>
        <v>19.71</v>
      </c>
      <c r="AK567" s="3">
        <f t="shared" si="17"/>
        <v>3.2800000000000011</v>
      </c>
    </row>
    <row r="568" spans="1:37">
      <c r="A568">
        <v>10298252</v>
      </c>
      <c r="B568" t="s">
        <v>37</v>
      </c>
      <c r="C568" t="s">
        <v>4032</v>
      </c>
      <c r="E568" t="s">
        <v>4033</v>
      </c>
      <c r="F568" t="s">
        <v>4034</v>
      </c>
      <c r="G568" t="s">
        <v>4035</v>
      </c>
      <c r="H568" t="s">
        <v>42</v>
      </c>
      <c r="I568" t="s">
        <v>4036</v>
      </c>
      <c r="J568" t="s">
        <v>4037</v>
      </c>
      <c r="K568" t="s">
        <v>4038</v>
      </c>
      <c r="L568" t="s">
        <v>82</v>
      </c>
      <c r="M568" t="s">
        <v>46</v>
      </c>
      <c r="N568" t="s">
        <v>47</v>
      </c>
      <c r="O568">
        <v>1</v>
      </c>
      <c r="P568">
        <v>1</v>
      </c>
      <c r="Q568">
        <v>1</v>
      </c>
      <c r="R568" t="s">
        <v>48</v>
      </c>
      <c r="S568" t="s">
        <v>49</v>
      </c>
      <c r="T568" s="3">
        <v>0.84</v>
      </c>
      <c r="U568" s="3">
        <v>0.23</v>
      </c>
      <c r="V568" s="3">
        <v>0.94</v>
      </c>
      <c r="W568">
        <v>3.1</v>
      </c>
      <c r="X568" t="s">
        <v>50</v>
      </c>
      <c r="Y568" s="3">
        <v>9.19</v>
      </c>
      <c r="Z568" t="s">
        <v>83</v>
      </c>
      <c r="AA568" t="s">
        <v>1679</v>
      </c>
      <c r="AB568" t="s">
        <v>53</v>
      </c>
      <c r="AC568" s="3">
        <v>1.27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f t="shared" si="16"/>
        <v>12.469999999999999</v>
      </c>
      <c r="AK568" s="3">
        <f t="shared" si="17"/>
        <v>3.2799999999999994</v>
      </c>
    </row>
    <row r="569" spans="1:37">
      <c r="A569">
        <v>10299609</v>
      </c>
      <c r="B569" t="s">
        <v>37</v>
      </c>
      <c r="C569" t="s">
        <v>4039</v>
      </c>
      <c r="E569" t="s">
        <v>1527</v>
      </c>
      <c r="F569" t="s">
        <v>4040</v>
      </c>
      <c r="G569" t="s">
        <v>4041</v>
      </c>
      <c r="H569" t="s">
        <v>42</v>
      </c>
      <c r="I569" t="s">
        <v>4042</v>
      </c>
      <c r="J569" t="s">
        <v>4043</v>
      </c>
      <c r="K569">
        <v>48329</v>
      </c>
      <c r="L569" t="s">
        <v>71</v>
      </c>
      <c r="M569" t="s">
        <v>46</v>
      </c>
      <c r="N569" t="s">
        <v>47</v>
      </c>
      <c r="O569">
        <v>5</v>
      </c>
      <c r="P569">
        <v>1</v>
      </c>
      <c r="Q569">
        <v>5</v>
      </c>
      <c r="R569" t="s">
        <v>48</v>
      </c>
      <c r="S569" t="s">
        <v>49</v>
      </c>
      <c r="T569" s="3">
        <v>0.84</v>
      </c>
      <c r="U569" s="3">
        <v>0.23</v>
      </c>
      <c r="V569" s="3">
        <v>4.42</v>
      </c>
      <c r="W569">
        <v>2.5499999999999998</v>
      </c>
      <c r="X569" t="s">
        <v>72</v>
      </c>
      <c r="Y569" s="3">
        <v>6.83</v>
      </c>
      <c r="Z569" t="s">
        <v>73</v>
      </c>
      <c r="AA569" t="s">
        <v>4044</v>
      </c>
      <c r="AB569" t="s">
        <v>53</v>
      </c>
      <c r="AC569" s="3">
        <v>1.29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f t="shared" si="16"/>
        <v>13.610000000000001</v>
      </c>
      <c r="AK569" s="3">
        <f t="shared" si="17"/>
        <v>6.7800000000000011</v>
      </c>
    </row>
    <row r="570" spans="1:37">
      <c r="A570">
        <v>10301577</v>
      </c>
      <c r="B570" t="s">
        <v>37</v>
      </c>
      <c r="C570" t="s">
        <v>4045</v>
      </c>
      <c r="E570" t="s">
        <v>2064</v>
      </c>
      <c r="F570" t="s">
        <v>4046</v>
      </c>
      <c r="G570" t="s">
        <v>4047</v>
      </c>
      <c r="H570" t="s">
        <v>42</v>
      </c>
      <c r="I570" t="s">
        <v>4048</v>
      </c>
      <c r="J570" t="s">
        <v>4049</v>
      </c>
      <c r="K570" t="s">
        <v>4050</v>
      </c>
      <c r="L570" t="s">
        <v>142</v>
      </c>
      <c r="M570" t="s">
        <v>46</v>
      </c>
      <c r="N570" t="s">
        <v>47</v>
      </c>
      <c r="O570">
        <v>1</v>
      </c>
      <c r="P570">
        <v>1</v>
      </c>
      <c r="Q570">
        <v>1</v>
      </c>
      <c r="R570" t="s">
        <v>48</v>
      </c>
      <c r="S570" t="s">
        <v>49</v>
      </c>
      <c r="T570" s="3">
        <v>0.84</v>
      </c>
      <c r="U570" s="3">
        <v>0.23</v>
      </c>
      <c r="V570" s="3">
        <v>0.94</v>
      </c>
      <c r="W570">
        <v>3.1</v>
      </c>
      <c r="X570" t="s">
        <v>50</v>
      </c>
      <c r="Y570" s="3">
        <v>16.43</v>
      </c>
      <c r="Z570" t="s">
        <v>83</v>
      </c>
      <c r="AA570" t="s">
        <v>894</v>
      </c>
      <c r="AB570" t="s">
        <v>53</v>
      </c>
      <c r="AC570" s="3">
        <v>1.27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f t="shared" si="16"/>
        <v>19.71</v>
      </c>
      <c r="AK570" s="3">
        <f t="shared" si="17"/>
        <v>3.2800000000000011</v>
      </c>
    </row>
    <row r="571" spans="1:37">
      <c r="A571">
        <v>10301581</v>
      </c>
      <c r="B571" t="s">
        <v>37</v>
      </c>
      <c r="C571" t="s">
        <v>4051</v>
      </c>
      <c r="E571" t="s">
        <v>1470</v>
      </c>
      <c r="F571" t="s">
        <v>4052</v>
      </c>
      <c r="G571" t="s">
        <v>4053</v>
      </c>
      <c r="H571" t="s">
        <v>42</v>
      </c>
      <c r="I571" t="s">
        <v>4054</v>
      </c>
      <c r="J571" t="s">
        <v>4055</v>
      </c>
      <c r="K571">
        <v>91126</v>
      </c>
      <c r="L571" t="s">
        <v>71</v>
      </c>
      <c r="M571" t="s">
        <v>46</v>
      </c>
      <c r="N571" t="s">
        <v>47</v>
      </c>
      <c r="O571">
        <v>1</v>
      </c>
      <c r="P571">
        <v>1</v>
      </c>
      <c r="Q571">
        <v>1</v>
      </c>
      <c r="R571" t="s">
        <v>48</v>
      </c>
      <c r="S571" t="s">
        <v>49</v>
      </c>
      <c r="T571" s="3">
        <v>0.84</v>
      </c>
      <c r="U571" s="3">
        <v>0.23</v>
      </c>
      <c r="V571" s="3">
        <v>0.94</v>
      </c>
      <c r="W571">
        <v>1.5</v>
      </c>
      <c r="X571" t="s">
        <v>72</v>
      </c>
      <c r="Y571" s="3">
        <v>16.399999999999999</v>
      </c>
      <c r="Z571" t="s">
        <v>73</v>
      </c>
      <c r="AA571" t="s">
        <v>178</v>
      </c>
      <c r="AB571" t="s">
        <v>53</v>
      </c>
      <c r="AC571" s="3">
        <v>1.29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f t="shared" si="16"/>
        <v>19.7</v>
      </c>
      <c r="AK571" s="3">
        <f t="shared" si="17"/>
        <v>3.3000000000000007</v>
      </c>
    </row>
    <row r="572" spans="1:37">
      <c r="A572">
        <v>10301387</v>
      </c>
      <c r="B572" t="s">
        <v>37</v>
      </c>
      <c r="C572" t="s">
        <v>4056</v>
      </c>
      <c r="E572" t="s">
        <v>687</v>
      </c>
      <c r="F572" t="s">
        <v>4057</v>
      </c>
      <c r="G572" t="s">
        <v>4058</v>
      </c>
      <c r="H572" t="s">
        <v>42</v>
      </c>
      <c r="I572" t="s">
        <v>4059</v>
      </c>
      <c r="J572" t="s">
        <v>4060</v>
      </c>
      <c r="K572">
        <v>70329</v>
      </c>
      <c r="L572" t="s">
        <v>71</v>
      </c>
      <c r="M572" t="s">
        <v>46</v>
      </c>
      <c r="N572" t="s">
        <v>47</v>
      </c>
      <c r="O572">
        <v>1</v>
      </c>
      <c r="P572">
        <v>1</v>
      </c>
      <c r="Q572">
        <v>1</v>
      </c>
      <c r="R572" t="s">
        <v>48</v>
      </c>
      <c r="S572" t="s">
        <v>49</v>
      </c>
      <c r="T572" s="3">
        <v>0.84</v>
      </c>
      <c r="U572" s="3">
        <v>0.23</v>
      </c>
      <c r="V572" s="3">
        <v>0.94</v>
      </c>
      <c r="W572">
        <v>1.5</v>
      </c>
      <c r="X572" t="s">
        <v>72</v>
      </c>
      <c r="Y572" s="3">
        <v>5.44</v>
      </c>
      <c r="Z572" t="s">
        <v>73</v>
      </c>
      <c r="AA572" t="s">
        <v>259</v>
      </c>
      <c r="AB572" t="s">
        <v>53</v>
      </c>
      <c r="AC572" s="3">
        <v>1.29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f t="shared" si="16"/>
        <v>8.74</v>
      </c>
      <c r="AK572" s="3">
        <f t="shared" si="17"/>
        <v>3.3</v>
      </c>
    </row>
    <row r="573" spans="1:37">
      <c r="A573">
        <v>10300320</v>
      </c>
      <c r="B573" t="s">
        <v>37</v>
      </c>
      <c r="C573" t="s">
        <v>4061</v>
      </c>
      <c r="E573" t="s">
        <v>4062</v>
      </c>
      <c r="F573" t="s">
        <v>4063</v>
      </c>
      <c r="G573" t="s">
        <v>4064</v>
      </c>
      <c r="H573" t="s">
        <v>42</v>
      </c>
      <c r="I573" t="s">
        <v>4065</v>
      </c>
      <c r="J573" t="s">
        <v>4066</v>
      </c>
      <c r="K573" t="s">
        <v>4067</v>
      </c>
      <c r="L573" t="s">
        <v>275</v>
      </c>
      <c r="M573" t="s">
        <v>46</v>
      </c>
      <c r="N573" t="s">
        <v>47</v>
      </c>
      <c r="O573">
        <v>1</v>
      </c>
      <c r="P573">
        <v>1</v>
      </c>
      <c r="Q573">
        <v>1</v>
      </c>
      <c r="R573" t="s">
        <v>48</v>
      </c>
      <c r="S573" t="s">
        <v>49</v>
      </c>
      <c r="T573" s="3">
        <v>0.84</v>
      </c>
      <c r="U573" s="3">
        <v>0.23</v>
      </c>
      <c r="V573" s="3">
        <v>0.94</v>
      </c>
      <c r="W573">
        <v>0.36</v>
      </c>
      <c r="X573" t="s">
        <v>50</v>
      </c>
      <c r="Y573" s="3">
        <v>16.43</v>
      </c>
      <c r="Z573" t="s">
        <v>109</v>
      </c>
      <c r="AA573" t="s">
        <v>4068</v>
      </c>
      <c r="AB573" t="s">
        <v>53</v>
      </c>
      <c r="AC573" s="3">
        <v>1.06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f t="shared" si="16"/>
        <v>19.5</v>
      </c>
      <c r="AK573" s="3">
        <f t="shared" si="17"/>
        <v>3.0700000000000003</v>
      </c>
    </row>
    <row r="574" spans="1:37">
      <c r="A574">
        <v>10299803</v>
      </c>
      <c r="B574" t="s">
        <v>37</v>
      </c>
      <c r="C574" t="s">
        <v>4069</v>
      </c>
      <c r="E574" t="s">
        <v>4070</v>
      </c>
      <c r="F574" t="s">
        <v>4071</v>
      </c>
      <c r="G574" t="s">
        <v>4072</v>
      </c>
      <c r="H574" t="s">
        <v>42</v>
      </c>
      <c r="I574" t="s">
        <v>4073</v>
      </c>
      <c r="J574" t="s">
        <v>4074</v>
      </c>
      <c r="K574" t="s">
        <v>4075</v>
      </c>
      <c r="L574" t="s">
        <v>142</v>
      </c>
      <c r="M574" t="s">
        <v>46</v>
      </c>
      <c r="N574" t="s">
        <v>47</v>
      </c>
      <c r="O574">
        <v>5</v>
      </c>
      <c r="P574">
        <v>1</v>
      </c>
      <c r="Q574">
        <v>5</v>
      </c>
      <c r="R574" t="s">
        <v>48</v>
      </c>
      <c r="S574" t="s">
        <v>49</v>
      </c>
      <c r="T574" s="3">
        <v>0.84</v>
      </c>
      <c r="U574" s="3">
        <v>0.23</v>
      </c>
      <c r="V574" s="3">
        <v>4.42</v>
      </c>
      <c r="W574">
        <v>2.2000000000000002</v>
      </c>
      <c r="X574" t="s">
        <v>50</v>
      </c>
      <c r="Y574" s="3">
        <v>17.82</v>
      </c>
      <c r="Z574" t="s">
        <v>73</v>
      </c>
      <c r="AA574" t="s">
        <v>3622</v>
      </c>
      <c r="AB574" t="s">
        <v>53</v>
      </c>
      <c r="AC574" s="3">
        <v>1.29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f t="shared" si="16"/>
        <v>24.6</v>
      </c>
      <c r="AK574" s="3">
        <f t="shared" si="17"/>
        <v>6.7800000000000011</v>
      </c>
    </row>
    <row r="575" spans="1:37">
      <c r="A575">
        <v>10300319</v>
      </c>
      <c r="B575" t="s">
        <v>37</v>
      </c>
      <c r="C575" t="s">
        <v>4076</v>
      </c>
      <c r="E575" t="s">
        <v>4077</v>
      </c>
      <c r="F575" t="s">
        <v>4078</v>
      </c>
      <c r="G575" t="s">
        <v>4079</v>
      </c>
      <c r="H575" t="s">
        <v>42</v>
      </c>
      <c r="I575" t="s">
        <v>4080</v>
      </c>
      <c r="J575" t="s">
        <v>4081</v>
      </c>
      <c r="K575">
        <v>51379</v>
      </c>
      <c r="L575" t="s">
        <v>71</v>
      </c>
      <c r="M575" t="s">
        <v>46</v>
      </c>
      <c r="N575" t="s">
        <v>47</v>
      </c>
      <c r="O575">
        <v>1</v>
      </c>
      <c r="P575">
        <v>1</v>
      </c>
      <c r="Q575">
        <v>1</v>
      </c>
      <c r="R575" t="s">
        <v>48</v>
      </c>
      <c r="S575" t="s">
        <v>49</v>
      </c>
      <c r="T575" s="3">
        <v>0.84</v>
      </c>
      <c r="U575" s="3">
        <v>0.23</v>
      </c>
      <c r="V575" s="3">
        <v>0.94</v>
      </c>
      <c r="W575">
        <v>0.24</v>
      </c>
      <c r="X575" t="s">
        <v>108</v>
      </c>
      <c r="Y575" s="3">
        <v>5.14</v>
      </c>
      <c r="Z575" t="s">
        <v>109</v>
      </c>
      <c r="AA575" t="s">
        <v>736</v>
      </c>
      <c r="AB575" t="s">
        <v>53</v>
      </c>
      <c r="AC575" s="3">
        <v>1.06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f t="shared" si="16"/>
        <v>8.2099999999999991</v>
      </c>
      <c r="AK575" s="3">
        <f t="shared" si="17"/>
        <v>3.0699999999999994</v>
      </c>
    </row>
    <row r="576" spans="1:37">
      <c r="A576">
        <v>10301385</v>
      </c>
      <c r="B576" t="s">
        <v>37</v>
      </c>
      <c r="C576" t="s">
        <v>4082</v>
      </c>
      <c r="E576" t="s">
        <v>1647</v>
      </c>
      <c r="F576" t="s">
        <v>4083</v>
      </c>
      <c r="G576" t="s">
        <v>4084</v>
      </c>
      <c r="H576" t="s">
        <v>42</v>
      </c>
      <c r="I576" t="s">
        <v>4085</v>
      </c>
      <c r="J576" t="s">
        <v>4086</v>
      </c>
      <c r="K576">
        <v>83607</v>
      </c>
      <c r="L576" t="s">
        <v>71</v>
      </c>
      <c r="M576" t="s">
        <v>46</v>
      </c>
      <c r="N576" t="s">
        <v>47</v>
      </c>
      <c r="O576">
        <v>1</v>
      </c>
      <c r="P576">
        <v>1</v>
      </c>
      <c r="Q576">
        <v>1</v>
      </c>
      <c r="R576" t="s">
        <v>48</v>
      </c>
      <c r="S576" t="s">
        <v>49</v>
      </c>
      <c r="T576" s="3">
        <v>0.84</v>
      </c>
      <c r="U576" s="3">
        <v>0.23</v>
      </c>
      <c r="V576" s="3">
        <v>0.94</v>
      </c>
      <c r="W576">
        <v>1.5</v>
      </c>
      <c r="X576" t="s">
        <v>72</v>
      </c>
      <c r="Y576" s="3">
        <v>5.44</v>
      </c>
      <c r="Z576" t="s">
        <v>73</v>
      </c>
      <c r="AA576" t="s">
        <v>848</v>
      </c>
      <c r="AB576" t="s">
        <v>53</v>
      </c>
      <c r="AC576" s="3">
        <v>1.29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f t="shared" si="16"/>
        <v>8.74</v>
      </c>
      <c r="AK576" s="3">
        <f t="shared" si="17"/>
        <v>3.3</v>
      </c>
    </row>
    <row r="577" spans="1:37">
      <c r="A577">
        <v>10300085</v>
      </c>
      <c r="B577" t="s">
        <v>37</v>
      </c>
      <c r="C577" t="s">
        <v>4087</v>
      </c>
      <c r="E577" t="s">
        <v>1462</v>
      </c>
      <c r="F577" t="s">
        <v>4088</v>
      </c>
      <c r="G577" t="s">
        <v>4089</v>
      </c>
      <c r="H577" t="s">
        <v>42</v>
      </c>
      <c r="I577" t="s">
        <v>4090</v>
      </c>
      <c r="J577" t="s">
        <v>4091</v>
      </c>
      <c r="K577">
        <v>70619</v>
      </c>
      <c r="L577" t="s">
        <v>71</v>
      </c>
      <c r="M577" t="s">
        <v>46</v>
      </c>
      <c r="N577" t="s">
        <v>47</v>
      </c>
      <c r="O577">
        <v>4</v>
      </c>
      <c r="P577">
        <v>1</v>
      </c>
      <c r="Q577">
        <v>4</v>
      </c>
      <c r="R577" t="s">
        <v>48</v>
      </c>
      <c r="S577" t="s">
        <v>49</v>
      </c>
      <c r="T577" s="3">
        <v>0.84</v>
      </c>
      <c r="U577" s="3">
        <v>0.23</v>
      </c>
      <c r="V577" s="3">
        <v>3.55</v>
      </c>
      <c r="W577">
        <v>1.66</v>
      </c>
      <c r="X577" t="s">
        <v>72</v>
      </c>
      <c r="Y577" s="3">
        <v>6.83</v>
      </c>
      <c r="Z577" t="s">
        <v>73</v>
      </c>
      <c r="AA577" t="s">
        <v>538</v>
      </c>
      <c r="AB577" t="s">
        <v>53</v>
      </c>
      <c r="AC577" s="3">
        <v>1.29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f t="shared" si="16"/>
        <v>12.740000000000002</v>
      </c>
      <c r="AK577" s="3">
        <f t="shared" si="17"/>
        <v>5.9100000000000019</v>
      </c>
    </row>
    <row r="578" spans="1:37">
      <c r="A578">
        <v>10301102</v>
      </c>
      <c r="B578" t="s">
        <v>37</v>
      </c>
      <c r="C578" t="s">
        <v>4092</v>
      </c>
      <c r="E578" t="s">
        <v>240</v>
      </c>
      <c r="F578" t="s">
        <v>4093</v>
      </c>
      <c r="G578" t="s">
        <v>4094</v>
      </c>
      <c r="H578" t="s">
        <v>42</v>
      </c>
      <c r="I578" t="s">
        <v>4095</v>
      </c>
      <c r="J578" t="s">
        <v>4096</v>
      </c>
      <c r="K578">
        <v>1050</v>
      </c>
      <c r="L578" t="s">
        <v>505</v>
      </c>
      <c r="M578" t="s">
        <v>46</v>
      </c>
      <c r="N578" t="s">
        <v>47</v>
      </c>
      <c r="O578">
        <v>1</v>
      </c>
      <c r="P578">
        <v>1</v>
      </c>
      <c r="Q578">
        <v>1</v>
      </c>
      <c r="R578" t="s">
        <v>48</v>
      </c>
      <c r="S578" t="s">
        <v>49</v>
      </c>
      <c r="T578" s="3">
        <v>0.84</v>
      </c>
      <c r="U578" s="3">
        <v>0.23</v>
      </c>
      <c r="V578" s="3">
        <v>0.94</v>
      </c>
      <c r="W578">
        <v>0.59</v>
      </c>
      <c r="X578" t="s">
        <v>50</v>
      </c>
      <c r="Y578" s="3">
        <v>9.19</v>
      </c>
      <c r="Z578" t="s">
        <v>109</v>
      </c>
      <c r="AA578" t="s">
        <v>2233</v>
      </c>
      <c r="AB578" t="s">
        <v>53</v>
      </c>
      <c r="AC578" s="3">
        <v>1.06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f t="shared" ref="AJ578:AJ641" si="18">AI578+AH578+AG578+AF578+AE578+AD578+AC578+Y578+V578+U578+T578</f>
        <v>12.26</v>
      </c>
      <c r="AK578" s="3">
        <f t="shared" ref="AK578:AK641" si="19">AJ578-Y578</f>
        <v>3.0700000000000003</v>
      </c>
    </row>
    <row r="579" spans="1:37">
      <c r="A579">
        <v>10301579</v>
      </c>
      <c r="B579" t="s">
        <v>37</v>
      </c>
      <c r="C579" t="s">
        <v>4097</v>
      </c>
      <c r="E579" t="s">
        <v>4098</v>
      </c>
      <c r="F579" t="s">
        <v>4099</v>
      </c>
      <c r="G579" t="s">
        <v>4100</v>
      </c>
      <c r="H579" t="s">
        <v>42</v>
      </c>
      <c r="I579" t="s">
        <v>4101</v>
      </c>
      <c r="J579" t="s">
        <v>4102</v>
      </c>
      <c r="K579">
        <v>1050</v>
      </c>
      <c r="L579" t="s">
        <v>505</v>
      </c>
      <c r="M579" t="s">
        <v>46</v>
      </c>
      <c r="N579" t="s">
        <v>47</v>
      </c>
      <c r="O579">
        <v>1</v>
      </c>
      <c r="P579">
        <v>1</v>
      </c>
      <c r="Q579">
        <v>1</v>
      </c>
      <c r="R579" t="s">
        <v>48</v>
      </c>
      <c r="S579" t="s">
        <v>49</v>
      </c>
      <c r="T579" s="3">
        <v>0.84</v>
      </c>
      <c r="U579" s="3">
        <v>0.23</v>
      </c>
      <c r="V579" s="3">
        <v>0.94</v>
      </c>
      <c r="W579">
        <v>0.59</v>
      </c>
      <c r="X579" t="s">
        <v>50</v>
      </c>
      <c r="Y579" s="3">
        <v>9.19</v>
      </c>
      <c r="Z579" t="s">
        <v>109</v>
      </c>
      <c r="AA579" t="s">
        <v>1966</v>
      </c>
      <c r="AB579" t="s">
        <v>53</v>
      </c>
      <c r="AC579" s="3">
        <v>1.06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f t="shared" si="18"/>
        <v>12.26</v>
      </c>
      <c r="AK579" s="3">
        <f t="shared" si="19"/>
        <v>3.0700000000000003</v>
      </c>
    </row>
    <row r="580" spans="1:37">
      <c r="A580">
        <v>10300084</v>
      </c>
      <c r="B580" t="s">
        <v>37</v>
      </c>
      <c r="C580" t="s">
        <v>4103</v>
      </c>
      <c r="E580" t="s">
        <v>1647</v>
      </c>
      <c r="F580" t="s">
        <v>4104</v>
      </c>
      <c r="G580" t="s">
        <v>4105</v>
      </c>
      <c r="H580" t="s">
        <v>42</v>
      </c>
      <c r="I580" t="s">
        <v>4106</v>
      </c>
      <c r="J580" t="s">
        <v>4107</v>
      </c>
      <c r="K580">
        <v>4978</v>
      </c>
      <c r="L580" t="s">
        <v>369</v>
      </c>
      <c r="M580" t="s">
        <v>46</v>
      </c>
      <c r="N580" t="s">
        <v>47</v>
      </c>
      <c r="O580">
        <v>7</v>
      </c>
      <c r="P580">
        <v>1</v>
      </c>
      <c r="Q580">
        <v>7</v>
      </c>
      <c r="R580" t="s">
        <v>48</v>
      </c>
      <c r="S580" t="s">
        <v>49</v>
      </c>
      <c r="T580" s="3">
        <v>0.84</v>
      </c>
      <c r="U580" s="3">
        <v>0.23</v>
      </c>
      <c r="V580" s="3">
        <v>6.16</v>
      </c>
      <c r="W580">
        <v>3.01</v>
      </c>
      <c r="X580" t="s">
        <v>50</v>
      </c>
      <c r="Y580" s="3">
        <v>10.58</v>
      </c>
      <c r="Z580" t="s">
        <v>73</v>
      </c>
      <c r="AA580" t="s">
        <v>4108</v>
      </c>
      <c r="AB580" t="s">
        <v>53</v>
      </c>
      <c r="AC580" s="3">
        <v>1.29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f t="shared" si="18"/>
        <v>19.100000000000001</v>
      </c>
      <c r="AK580" s="3">
        <f t="shared" si="19"/>
        <v>8.5200000000000014</v>
      </c>
    </row>
    <row r="581" spans="1:37">
      <c r="A581">
        <v>10299802</v>
      </c>
      <c r="B581" t="s">
        <v>37</v>
      </c>
      <c r="C581" t="s">
        <v>4109</v>
      </c>
      <c r="E581" t="s">
        <v>4110</v>
      </c>
      <c r="F581" t="s">
        <v>4111</v>
      </c>
      <c r="G581" t="s">
        <v>4112</v>
      </c>
      <c r="H581" t="s">
        <v>42</v>
      </c>
      <c r="I581" t="s">
        <v>4113</v>
      </c>
      <c r="J581" t="s">
        <v>4114</v>
      </c>
      <c r="K581">
        <v>4979</v>
      </c>
      <c r="L581" t="s">
        <v>369</v>
      </c>
      <c r="M581" t="s">
        <v>46</v>
      </c>
      <c r="N581" t="s">
        <v>47</v>
      </c>
      <c r="O581">
        <v>4</v>
      </c>
      <c r="P581">
        <v>1</v>
      </c>
      <c r="Q581">
        <v>4</v>
      </c>
      <c r="R581" t="s">
        <v>48</v>
      </c>
      <c r="S581" t="s">
        <v>49</v>
      </c>
      <c r="T581" s="3">
        <v>0.84</v>
      </c>
      <c r="U581" s="3">
        <v>0.23</v>
      </c>
      <c r="V581" s="3">
        <v>3.55</v>
      </c>
      <c r="W581">
        <v>1.78</v>
      </c>
      <c r="X581" t="s">
        <v>50</v>
      </c>
      <c r="Y581" s="3">
        <v>10.58</v>
      </c>
      <c r="Z581" t="s">
        <v>73</v>
      </c>
      <c r="AA581" t="s">
        <v>4115</v>
      </c>
      <c r="AB581" t="s">
        <v>53</v>
      </c>
      <c r="AC581" s="3">
        <v>1.29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f t="shared" si="18"/>
        <v>16.490000000000002</v>
      </c>
      <c r="AK581" s="3">
        <f t="shared" si="19"/>
        <v>5.9100000000000019</v>
      </c>
    </row>
    <row r="582" spans="1:37">
      <c r="A582">
        <v>10301384</v>
      </c>
      <c r="B582" t="s">
        <v>37</v>
      </c>
      <c r="C582" t="s">
        <v>4116</v>
      </c>
      <c r="E582" t="s">
        <v>4117</v>
      </c>
      <c r="F582" t="s">
        <v>4118</v>
      </c>
      <c r="G582" t="s">
        <v>4119</v>
      </c>
      <c r="H582" t="s">
        <v>42</v>
      </c>
      <c r="I582" t="s">
        <v>4120</v>
      </c>
      <c r="J582" t="s">
        <v>4121</v>
      </c>
      <c r="K582">
        <v>76150</v>
      </c>
      <c r="L582" t="s">
        <v>130</v>
      </c>
      <c r="M582" t="s">
        <v>46</v>
      </c>
      <c r="N582" t="s">
        <v>47</v>
      </c>
      <c r="O582">
        <v>6</v>
      </c>
      <c r="P582">
        <v>1</v>
      </c>
      <c r="Q582">
        <v>6</v>
      </c>
      <c r="R582" t="s">
        <v>48</v>
      </c>
      <c r="S582" t="s">
        <v>49</v>
      </c>
      <c r="T582" s="3">
        <v>0.84</v>
      </c>
      <c r="U582" s="3">
        <v>0.23</v>
      </c>
      <c r="V582" s="3">
        <v>5.29</v>
      </c>
      <c r="W582">
        <v>2.17</v>
      </c>
      <c r="X582" t="s">
        <v>50</v>
      </c>
      <c r="Y582" s="3">
        <v>14.26</v>
      </c>
      <c r="Z582" t="s">
        <v>83</v>
      </c>
      <c r="AA582" t="s">
        <v>4122</v>
      </c>
      <c r="AB582" t="s">
        <v>53</v>
      </c>
      <c r="AC582" s="3">
        <v>1.27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f t="shared" si="18"/>
        <v>21.89</v>
      </c>
      <c r="AK582" s="3">
        <f t="shared" si="19"/>
        <v>7.6300000000000008</v>
      </c>
    </row>
    <row r="583" spans="1:37">
      <c r="A583">
        <v>10301104</v>
      </c>
      <c r="B583" t="s">
        <v>37</v>
      </c>
      <c r="C583" t="s">
        <v>4123</v>
      </c>
      <c r="E583" t="s">
        <v>4124</v>
      </c>
      <c r="F583" t="s">
        <v>4125</v>
      </c>
      <c r="G583" t="s">
        <v>4126</v>
      </c>
      <c r="H583" t="s">
        <v>42</v>
      </c>
      <c r="I583" t="s">
        <v>4127</v>
      </c>
      <c r="J583" t="s">
        <v>4128</v>
      </c>
      <c r="K583" t="s">
        <v>4129</v>
      </c>
      <c r="L583" t="s">
        <v>82</v>
      </c>
      <c r="M583" t="s">
        <v>46</v>
      </c>
      <c r="N583" t="s">
        <v>47</v>
      </c>
      <c r="O583">
        <v>5</v>
      </c>
      <c r="P583">
        <v>1</v>
      </c>
      <c r="Q583">
        <v>5</v>
      </c>
      <c r="R583" t="s">
        <v>48</v>
      </c>
      <c r="S583" t="s">
        <v>49</v>
      </c>
      <c r="T583" s="3">
        <v>0.84</v>
      </c>
      <c r="U583" s="3">
        <v>0.23</v>
      </c>
      <c r="V583" s="3">
        <v>4.42</v>
      </c>
      <c r="W583">
        <v>2.2000000000000002</v>
      </c>
      <c r="X583" t="s">
        <v>50</v>
      </c>
      <c r="Y583" s="3">
        <v>9.19</v>
      </c>
      <c r="Z583" t="s">
        <v>83</v>
      </c>
      <c r="AA583" t="s">
        <v>4130</v>
      </c>
      <c r="AB583" t="s">
        <v>53</v>
      </c>
      <c r="AC583" s="3">
        <v>1.27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f t="shared" si="18"/>
        <v>15.95</v>
      </c>
      <c r="AK583" s="3">
        <f t="shared" si="19"/>
        <v>6.76</v>
      </c>
    </row>
    <row r="584" spans="1:37">
      <c r="A584">
        <v>10302349</v>
      </c>
      <c r="B584" t="s">
        <v>37</v>
      </c>
      <c r="C584" t="s">
        <v>4131</v>
      </c>
      <c r="E584" t="s">
        <v>3304</v>
      </c>
      <c r="F584" t="s">
        <v>4132</v>
      </c>
      <c r="G584" t="s">
        <v>4133</v>
      </c>
      <c r="H584" t="s">
        <v>42</v>
      </c>
      <c r="I584" t="s">
        <v>4134</v>
      </c>
      <c r="J584" t="s">
        <v>4135</v>
      </c>
      <c r="K584">
        <v>1600</v>
      </c>
      <c r="L584" t="s">
        <v>505</v>
      </c>
      <c r="M584" t="s">
        <v>46</v>
      </c>
      <c r="N584" t="s">
        <v>47</v>
      </c>
      <c r="O584">
        <v>6</v>
      </c>
      <c r="P584">
        <v>1</v>
      </c>
      <c r="Q584">
        <v>6</v>
      </c>
      <c r="R584" t="s">
        <v>48</v>
      </c>
      <c r="S584" t="s">
        <v>49</v>
      </c>
      <c r="T584" s="3">
        <v>0.84</v>
      </c>
      <c r="U584" s="3">
        <v>0.23</v>
      </c>
      <c r="V584" s="3">
        <v>5.29</v>
      </c>
      <c r="W584">
        <v>2.8</v>
      </c>
      <c r="X584" t="s">
        <v>50</v>
      </c>
      <c r="Y584" s="3">
        <v>9.19</v>
      </c>
      <c r="Z584" t="s">
        <v>83</v>
      </c>
      <c r="AA584" t="s">
        <v>4136</v>
      </c>
      <c r="AB584" t="s">
        <v>53</v>
      </c>
      <c r="AC584" s="3">
        <v>1.27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f t="shared" si="18"/>
        <v>16.82</v>
      </c>
      <c r="AK584" s="3">
        <f t="shared" si="19"/>
        <v>7.6300000000000008</v>
      </c>
    </row>
    <row r="585" spans="1:37">
      <c r="A585">
        <v>10302542</v>
      </c>
      <c r="B585" t="s">
        <v>37</v>
      </c>
      <c r="C585" t="s">
        <v>4137</v>
      </c>
      <c r="E585" t="s">
        <v>1244</v>
      </c>
      <c r="F585" t="s">
        <v>4138</v>
      </c>
      <c r="G585" t="s">
        <v>4139</v>
      </c>
      <c r="H585" t="s">
        <v>42</v>
      </c>
      <c r="I585" t="s">
        <v>4140</v>
      </c>
      <c r="J585" t="s">
        <v>4141</v>
      </c>
      <c r="K585">
        <v>92637</v>
      </c>
      <c r="L585" t="s">
        <v>71</v>
      </c>
      <c r="M585" t="s">
        <v>46</v>
      </c>
      <c r="N585" t="s">
        <v>47</v>
      </c>
      <c r="O585">
        <v>4</v>
      </c>
      <c r="P585">
        <v>1</v>
      </c>
      <c r="Q585">
        <v>4</v>
      </c>
      <c r="R585" t="s">
        <v>48</v>
      </c>
      <c r="S585" t="s">
        <v>49</v>
      </c>
      <c r="T585" s="3">
        <v>0.84</v>
      </c>
      <c r="U585" s="3">
        <v>0.23</v>
      </c>
      <c r="V585" s="3">
        <v>3.55</v>
      </c>
      <c r="W585">
        <v>1.9</v>
      </c>
      <c r="X585" t="s">
        <v>72</v>
      </c>
      <c r="Y585" s="3">
        <v>5.44</v>
      </c>
      <c r="Z585" t="s">
        <v>73</v>
      </c>
      <c r="AA585" t="s">
        <v>4142</v>
      </c>
      <c r="AB585" t="s">
        <v>53</v>
      </c>
      <c r="AC585" s="3">
        <v>1.29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f t="shared" si="18"/>
        <v>11.350000000000001</v>
      </c>
      <c r="AK585" s="3">
        <f t="shared" si="19"/>
        <v>5.910000000000001</v>
      </c>
    </row>
    <row r="586" spans="1:37">
      <c r="A586">
        <v>10301100</v>
      </c>
      <c r="B586" t="s">
        <v>37</v>
      </c>
      <c r="C586" t="s">
        <v>4143</v>
      </c>
      <c r="E586" t="s">
        <v>4144</v>
      </c>
      <c r="F586" t="s">
        <v>4145</v>
      </c>
      <c r="G586" t="s">
        <v>4146</v>
      </c>
      <c r="H586" t="s">
        <v>42</v>
      </c>
      <c r="I586" t="s">
        <v>4147</v>
      </c>
      <c r="J586" t="s">
        <v>4148</v>
      </c>
      <c r="K586" t="s">
        <v>4149</v>
      </c>
      <c r="L586" t="s">
        <v>142</v>
      </c>
      <c r="M586" t="s">
        <v>46</v>
      </c>
      <c r="N586" t="s">
        <v>47</v>
      </c>
      <c r="O586">
        <v>4</v>
      </c>
      <c r="P586">
        <v>1</v>
      </c>
      <c r="Q586">
        <v>4</v>
      </c>
      <c r="R586" t="s">
        <v>48</v>
      </c>
      <c r="S586" t="s">
        <v>49</v>
      </c>
      <c r="T586" s="3">
        <v>0.84</v>
      </c>
      <c r="U586" s="3">
        <v>0.23</v>
      </c>
      <c r="V586" s="3">
        <v>3.55</v>
      </c>
      <c r="W586">
        <v>1.66</v>
      </c>
      <c r="X586" t="s">
        <v>50</v>
      </c>
      <c r="Y586" s="3">
        <v>16.43</v>
      </c>
      <c r="Z586" t="s">
        <v>73</v>
      </c>
      <c r="AA586" t="s">
        <v>538</v>
      </c>
      <c r="AB586" t="s">
        <v>53</v>
      </c>
      <c r="AC586" s="3">
        <v>1.29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f t="shared" si="18"/>
        <v>22.34</v>
      </c>
      <c r="AK586" s="3">
        <f t="shared" si="19"/>
        <v>5.91</v>
      </c>
    </row>
    <row r="587" spans="1:37">
      <c r="A587">
        <v>10302890</v>
      </c>
      <c r="B587" t="s">
        <v>37</v>
      </c>
      <c r="C587" t="s">
        <v>4150</v>
      </c>
      <c r="E587" t="s">
        <v>643</v>
      </c>
      <c r="F587" t="s">
        <v>4151</v>
      </c>
      <c r="G587" t="s">
        <v>4152</v>
      </c>
      <c r="H587" t="s">
        <v>42</v>
      </c>
      <c r="I587" t="s">
        <v>4153</v>
      </c>
      <c r="J587" t="s">
        <v>4154</v>
      </c>
      <c r="K587">
        <v>48455</v>
      </c>
      <c r="L587" t="s">
        <v>71</v>
      </c>
      <c r="M587" t="s">
        <v>46</v>
      </c>
      <c r="N587" t="s">
        <v>47</v>
      </c>
      <c r="O587">
        <v>1</v>
      </c>
      <c r="P587">
        <v>1</v>
      </c>
      <c r="Q587">
        <v>1</v>
      </c>
      <c r="R587" t="s">
        <v>48</v>
      </c>
      <c r="S587" t="s">
        <v>49</v>
      </c>
      <c r="T587" s="3">
        <v>0.84</v>
      </c>
      <c r="U587" s="3">
        <v>0.23</v>
      </c>
      <c r="V587" s="3">
        <v>0.94</v>
      </c>
      <c r="W587">
        <v>0.55000000000000004</v>
      </c>
      <c r="X587" t="s">
        <v>108</v>
      </c>
      <c r="Y587" s="3">
        <v>5.14</v>
      </c>
      <c r="Z587" t="s">
        <v>109</v>
      </c>
      <c r="AA587" t="s">
        <v>4155</v>
      </c>
      <c r="AB587" t="s">
        <v>53</v>
      </c>
      <c r="AC587" s="3">
        <v>1.06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f t="shared" si="18"/>
        <v>8.2099999999999991</v>
      </c>
      <c r="AK587" s="3">
        <f t="shared" si="19"/>
        <v>3.0699999999999994</v>
      </c>
    </row>
    <row r="588" spans="1:37">
      <c r="A588">
        <v>10302887</v>
      </c>
      <c r="B588" t="s">
        <v>37</v>
      </c>
      <c r="C588" t="s">
        <v>4156</v>
      </c>
      <c r="E588" t="s">
        <v>4157</v>
      </c>
      <c r="F588" t="s">
        <v>4158</v>
      </c>
      <c r="G588" t="s">
        <v>4159</v>
      </c>
      <c r="H588" t="s">
        <v>42</v>
      </c>
      <c r="I588" t="s">
        <v>4160</v>
      </c>
      <c r="J588" t="s">
        <v>4161</v>
      </c>
      <c r="K588">
        <v>9230</v>
      </c>
      <c r="L588" t="s">
        <v>505</v>
      </c>
      <c r="M588" t="s">
        <v>46</v>
      </c>
      <c r="N588" t="s">
        <v>47</v>
      </c>
      <c r="O588">
        <v>1</v>
      </c>
      <c r="P588">
        <v>1</v>
      </c>
      <c r="Q588">
        <v>1</v>
      </c>
      <c r="R588" t="s">
        <v>48</v>
      </c>
      <c r="S588" t="s">
        <v>49</v>
      </c>
      <c r="T588" s="3">
        <v>0.84</v>
      </c>
      <c r="U588" s="3">
        <v>0.23</v>
      </c>
      <c r="V588" s="3">
        <v>0.94</v>
      </c>
      <c r="W588">
        <v>2.1</v>
      </c>
      <c r="X588" t="s">
        <v>50</v>
      </c>
      <c r="Y588" s="3">
        <v>9.19</v>
      </c>
      <c r="Z588" t="s">
        <v>73</v>
      </c>
      <c r="AA588" t="s">
        <v>4162</v>
      </c>
      <c r="AB588" t="s">
        <v>53</v>
      </c>
      <c r="AC588" s="3">
        <v>1.29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f t="shared" si="18"/>
        <v>12.49</v>
      </c>
      <c r="AK588" s="3">
        <f t="shared" si="19"/>
        <v>3.3000000000000007</v>
      </c>
    </row>
    <row r="589" spans="1:37">
      <c r="A589">
        <v>10302888</v>
      </c>
      <c r="B589" t="s">
        <v>37</v>
      </c>
      <c r="C589" t="s">
        <v>4163</v>
      </c>
      <c r="E589" t="s">
        <v>2892</v>
      </c>
      <c r="F589" t="s">
        <v>1222</v>
      </c>
      <c r="G589" t="s">
        <v>4164</v>
      </c>
      <c r="H589" t="s">
        <v>42</v>
      </c>
      <c r="I589" t="s">
        <v>4165</v>
      </c>
      <c r="J589" t="s">
        <v>4166</v>
      </c>
      <c r="K589" t="s">
        <v>4167</v>
      </c>
      <c r="L589" t="s">
        <v>142</v>
      </c>
      <c r="M589" t="s">
        <v>46</v>
      </c>
      <c r="N589" t="s">
        <v>47</v>
      </c>
      <c r="O589">
        <v>1</v>
      </c>
      <c r="P589">
        <v>1</v>
      </c>
      <c r="Q589">
        <v>1</v>
      </c>
      <c r="R589" t="s">
        <v>48</v>
      </c>
      <c r="S589" t="s">
        <v>49</v>
      </c>
      <c r="T589" s="3">
        <v>0.84</v>
      </c>
      <c r="U589" s="3">
        <v>0.23</v>
      </c>
      <c r="V589" s="3">
        <v>0.94</v>
      </c>
      <c r="W589">
        <v>2.1</v>
      </c>
      <c r="X589" t="s">
        <v>50</v>
      </c>
      <c r="Y589" s="3">
        <v>16.43</v>
      </c>
      <c r="Z589" t="s">
        <v>83</v>
      </c>
      <c r="AA589" t="s">
        <v>4162</v>
      </c>
      <c r="AB589" t="s">
        <v>53</v>
      </c>
      <c r="AC589" s="3">
        <v>1.27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f t="shared" si="18"/>
        <v>19.71</v>
      </c>
      <c r="AK589" s="3">
        <f t="shared" si="19"/>
        <v>3.2800000000000011</v>
      </c>
    </row>
    <row r="590" spans="1:37">
      <c r="A590">
        <v>10302886</v>
      </c>
      <c r="B590" t="s">
        <v>37</v>
      </c>
      <c r="C590" t="s">
        <v>4168</v>
      </c>
      <c r="E590" t="s">
        <v>4169</v>
      </c>
      <c r="F590" t="s">
        <v>4170</v>
      </c>
      <c r="G590" t="s">
        <v>4171</v>
      </c>
      <c r="H590" t="s">
        <v>42</v>
      </c>
      <c r="I590" t="s">
        <v>4172</v>
      </c>
      <c r="J590" t="s">
        <v>4173</v>
      </c>
      <c r="K590">
        <v>69121</v>
      </c>
      <c r="L590" t="s">
        <v>71</v>
      </c>
      <c r="M590" t="s">
        <v>46</v>
      </c>
      <c r="N590" t="s">
        <v>47</v>
      </c>
      <c r="O590">
        <v>4</v>
      </c>
      <c r="P590">
        <v>1</v>
      </c>
      <c r="Q590">
        <v>4</v>
      </c>
      <c r="R590" t="s">
        <v>48</v>
      </c>
      <c r="S590" t="s">
        <v>49</v>
      </c>
      <c r="T590" s="3">
        <v>0.84</v>
      </c>
      <c r="U590" s="3">
        <v>0.23</v>
      </c>
      <c r="V590" s="3">
        <v>3.55</v>
      </c>
      <c r="W590">
        <v>2.97</v>
      </c>
      <c r="X590" t="s">
        <v>72</v>
      </c>
      <c r="Y590" s="3">
        <v>6.61</v>
      </c>
      <c r="Z590" t="s">
        <v>73</v>
      </c>
      <c r="AA590" t="s">
        <v>4174</v>
      </c>
      <c r="AB590" t="s">
        <v>53</v>
      </c>
      <c r="AC590" s="3">
        <v>1.29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f t="shared" si="18"/>
        <v>12.52</v>
      </c>
      <c r="AK590" s="3">
        <f t="shared" si="19"/>
        <v>5.9099999999999993</v>
      </c>
    </row>
    <row r="591" spans="1:37">
      <c r="A591">
        <v>10302885</v>
      </c>
      <c r="B591" t="s">
        <v>37</v>
      </c>
      <c r="C591" t="s">
        <v>4175</v>
      </c>
      <c r="E591" t="s">
        <v>4176</v>
      </c>
      <c r="F591" t="s">
        <v>4177</v>
      </c>
      <c r="G591" t="s">
        <v>4178</v>
      </c>
      <c r="H591" t="s">
        <v>42</v>
      </c>
      <c r="I591" t="s">
        <v>4179</v>
      </c>
      <c r="J591" t="s">
        <v>4180</v>
      </c>
      <c r="K591" t="s">
        <v>4181</v>
      </c>
      <c r="L591" t="s">
        <v>2198</v>
      </c>
      <c r="M591" t="s">
        <v>46</v>
      </c>
      <c r="N591" t="s">
        <v>47</v>
      </c>
      <c r="O591">
        <v>4</v>
      </c>
      <c r="P591">
        <v>1</v>
      </c>
      <c r="Q591">
        <v>4</v>
      </c>
      <c r="R591" t="s">
        <v>48</v>
      </c>
      <c r="S591" t="s">
        <v>49</v>
      </c>
      <c r="T591" s="3">
        <v>0.84</v>
      </c>
      <c r="U591" s="3">
        <v>0.23</v>
      </c>
      <c r="V591" s="3">
        <v>3.55</v>
      </c>
      <c r="W591">
        <v>1.66</v>
      </c>
      <c r="X591" t="s">
        <v>50</v>
      </c>
      <c r="Y591" s="3">
        <v>16.43</v>
      </c>
      <c r="Z591" t="s">
        <v>73</v>
      </c>
      <c r="AA591" t="s">
        <v>4182</v>
      </c>
      <c r="AB591" t="s">
        <v>53</v>
      </c>
      <c r="AC591" s="3">
        <v>1.29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f t="shared" si="18"/>
        <v>22.34</v>
      </c>
      <c r="AK591" s="3">
        <f t="shared" si="19"/>
        <v>5.91</v>
      </c>
    </row>
    <row r="592" spans="1:37">
      <c r="A592">
        <v>10302889</v>
      </c>
      <c r="B592" t="s">
        <v>37</v>
      </c>
      <c r="C592" t="s">
        <v>4183</v>
      </c>
      <c r="E592" t="s">
        <v>2955</v>
      </c>
      <c r="F592" t="s">
        <v>4184</v>
      </c>
      <c r="G592" t="s">
        <v>4185</v>
      </c>
      <c r="H592" t="s">
        <v>42</v>
      </c>
      <c r="I592" t="s">
        <v>4186</v>
      </c>
      <c r="J592" t="s">
        <v>4187</v>
      </c>
      <c r="K592">
        <v>82166</v>
      </c>
      <c r="L592" t="s">
        <v>71</v>
      </c>
      <c r="M592" t="s">
        <v>46</v>
      </c>
      <c r="N592" t="s">
        <v>47</v>
      </c>
      <c r="O592">
        <v>3</v>
      </c>
      <c r="P592">
        <v>1</v>
      </c>
      <c r="Q592">
        <v>3</v>
      </c>
      <c r="R592" t="s">
        <v>48</v>
      </c>
      <c r="S592" t="s">
        <v>49</v>
      </c>
      <c r="T592" s="3">
        <v>0.84</v>
      </c>
      <c r="U592" s="3">
        <v>0.23</v>
      </c>
      <c r="V592" s="3">
        <v>2.68</v>
      </c>
      <c r="W592">
        <v>1.57</v>
      </c>
      <c r="X592" t="s">
        <v>72</v>
      </c>
      <c r="Y592" s="3">
        <v>5.44</v>
      </c>
      <c r="Z592" t="s">
        <v>73</v>
      </c>
      <c r="AA592" t="s">
        <v>4188</v>
      </c>
      <c r="AB592" t="s">
        <v>53</v>
      </c>
      <c r="AC592" s="3">
        <v>1.29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f t="shared" si="18"/>
        <v>10.48</v>
      </c>
      <c r="AK592" s="3">
        <f t="shared" si="19"/>
        <v>5.04</v>
      </c>
    </row>
    <row r="593" spans="1:37">
      <c r="A593">
        <v>10298837</v>
      </c>
      <c r="B593" t="s">
        <v>37</v>
      </c>
      <c r="C593" t="s">
        <v>4189</v>
      </c>
      <c r="E593" t="s">
        <v>4190</v>
      </c>
      <c r="F593" t="s">
        <v>4191</v>
      </c>
      <c r="G593" t="s">
        <v>4192</v>
      </c>
      <c r="H593" t="s">
        <v>42</v>
      </c>
      <c r="I593" t="s">
        <v>4193</v>
      </c>
      <c r="J593" t="s">
        <v>4194</v>
      </c>
      <c r="K593" t="s">
        <v>4195</v>
      </c>
      <c r="L593" t="s">
        <v>142</v>
      </c>
      <c r="M593" t="s">
        <v>46</v>
      </c>
      <c r="N593" t="s">
        <v>47</v>
      </c>
      <c r="O593">
        <v>2</v>
      </c>
      <c r="P593">
        <v>1</v>
      </c>
      <c r="Q593">
        <v>2</v>
      </c>
      <c r="R593" t="s">
        <v>48</v>
      </c>
      <c r="S593" t="s">
        <v>49</v>
      </c>
      <c r="T593" s="3">
        <v>0.84</v>
      </c>
      <c r="U593" s="3">
        <v>0.23</v>
      </c>
      <c r="V593" s="3">
        <v>1.81</v>
      </c>
      <c r="W593">
        <v>1.08</v>
      </c>
      <c r="X593" t="s">
        <v>50</v>
      </c>
      <c r="Y593" s="3">
        <v>16.43</v>
      </c>
      <c r="Z593" t="s">
        <v>109</v>
      </c>
      <c r="AA593" t="s">
        <v>4196</v>
      </c>
      <c r="AB593" t="s">
        <v>53</v>
      </c>
      <c r="AC593" s="3">
        <v>1.06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f t="shared" si="18"/>
        <v>20.369999999999997</v>
      </c>
      <c r="AK593" s="3">
        <f t="shared" si="19"/>
        <v>3.9399999999999977</v>
      </c>
    </row>
    <row r="594" spans="1:37">
      <c r="A594">
        <v>10298665</v>
      </c>
      <c r="B594" t="s">
        <v>37</v>
      </c>
      <c r="C594" t="s">
        <v>4197</v>
      </c>
      <c r="E594" t="s">
        <v>3705</v>
      </c>
      <c r="F594" t="s">
        <v>4198</v>
      </c>
      <c r="G594" t="s">
        <v>4199</v>
      </c>
      <c r="H594" t="s">
        <v>42</v>
      </c>
      <c r="I594" t="s">
        <v>4200</v>
      </c>
      <c r="J594" t="s">
        <v>4201</v>
      </c>
      <c r="K594">
        <v>22301</v>
      </c>
      <c r="L594" t="s">
        <v>71</v>
      </c>
      <c r="M594" t="s">
        <v>46</v>
      </c>
      <c r="N594" t="s">
        <v>47</v>
      </c>
      <c r="O594">
        <v>2</v>
      </c>
      <c r="P594">
        <v>1</v>
      </c>
      <c r="Q594">
        <v>2</v>
      </c>
      <c r="R594" t="s">
        <v>48</v>
      </c>
      <c r="S594" t="s">
        <v>49</v>
      </c>
      <c r="T594" s="3">
        <v>0.84</v>
      </c>
      <c r="U594" s="3">
        <v>0.23</v>
      </c>
      <c r="V594" s="3">
        <v>1.81</v>
      </c>
      <c r="W594">
        <v>1.08</v>
      </c>
      <c r="X594" t="s">
        <v>108</v>
      </c>
      <c r="Y594" s="3">
        <v>9.2799999999999994</v>
      </c>
      <c r="Z594" t="s">
        <v>109</v>
      </c>
      <c r="AA594" t="s">
        <v>4202</v>
      </c>
      <c r="AB594" t="s">
        <v>53</v>
      </c>
      <c r="AC594" s="3">
        <v>1.06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f t="shared" si="18"/>
        <v>13.22</v>
      </c>
      <c r="AK594" s="3">
        <f t="shared" si="19"/>
        <v>3.9400000000000013</v>
      </c>
    </row>
    <row r="595" spans="1:37">
      <c r="A595">
        <v>10298835</v>
      </c>
      <c r="B595" t="s">
        <v>37</v>
      </c>
      <c r="C595" t="s">
        <v>4203</v>
      </c>
      <c r="E595" t="s">
        <v>103</v>
      </c>
      <c r="F595" t="s">
        <v>4204</v>
      </c>
      <c r="G595" t="s">
        <v>4205</v>
      </c>
      <c r="H595" t="s">
        <v>42</v>
      </c>
      <c r="I595" t="s">
        <v>4206</v>
      </c>
      <c r="J595" t="s">
        <v>4207</v>
      </c>
      <c r="K595">
        <v>86650</v>
      </c>
      <c r="L595" t="s">
        <v>71</v>
      </c>
      <c r="M595" t="s">
        <v>46</v>
      </c>
      <c r="N595" t="s">
        <v>47</v>
      </c>
      <c r="O595">
        <v>2</v>
      </c>
      <c r="P595">
        <v>1</v>
      </c>
      <c r="Q595">
        <v>2</v>
      </c>
      <c r="R595" t="s">
        <v>48</v>
      </c>
      <c r="S595" t="s">
        <v>49</v>
      </c>
      <c r="T595" s="3">
        <v>0.84</v>
      </c>
      <c r="U595" s="3">
        <v>0.23</v>
      </c>
      <c r="V595" s="3">
        <v>1.81</v>
      </c>
      <c r="W595">
        <v>1.08</v>
      </c>
      <c r="X595" t="s">
        <v>108</v>
      </c>
      <c r="Y595" s="3">
        <v>5.14</v>
      </c>
      <c r="Z595" t="s">
        <v>109</v>
      </c>
      <c r="AA595" t="s">
        <v>4208</v>
      </c>
      <c r="AB595" t="s">
        <v>53</v>
      </c>
      <c r="AC595" s="3">
        <v>1.06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f t="shared" si="18"/>
        <v>9.08</v>
      </c>
      <c r="AK595" s="3">
        <f t="shared" si="19"/>
        <v>3.9400000000000004</v>
      </c>
    </row>
    <row r="596" spans="1:37">
      <c r="A596">
        <v>10298836</v>
      </c>
      <c r="B596" t="s">
        <v>37</v>
      </c>
      <c r="C596" t="s">
        <v>4209</v>
      </c>
      <c r="E596" t="s">
        <v>593</v>
      </c>
      <c r="F596" t="s">
        <v>4210</v>
      </c>
      <c r="G596" t="s">
        <v>4211</v>
      </c>
      <c r="H596" t="s">
        <v>42</v>
      </c>
      <c r="I596" t="s">
        <v>4212</v>
      </c>
      <c r="J596" t="s">
        <v>4213</v>
      </c>
      <c r="K596">
        <v>37589</v>
      </c>
      <c r="L596" t="s">
        <v>71</v>
      </c>
      <c r="M596" t="s">
        <v>46</v>
      </c>
      <c r="N596" t="s">
        <v>47</v>
      </c>
      <c r="O596">
        <v>2</v>
      </c>
      <c r="P596">
        <v>1</v>
      </c>
      <c r="Q596">
        <v>2</v>
      </c>
      <c r="R596" t="s">
        <v>48</v>
      </c>
      <c r="S596" t="s">
        <v>49</v>
      </c>
      <c r="T596" s="3">
        <v>0.84</v>
      </c>
      <c r="U596" s="3">
        <v>0.23</v>
      </c>
      <c r="V596" s="3">
        <v>1.81</v>
      </c>
      <c r="W596">
        <v>1.08</v>
      </c>
      <c r="X596" t="s">
        <v>108</v>
      </c>
      <c r="Y596" s="3">
        <v>5.14</v>
      </c>
      <c r="Z596" t="s">
        <v>109</v>
      </c>
      <c r="AA596" t="s">
        <v>4214</v>
      </c>
      <c r="AB596" t="s">
        <v>53</v>
      </c>
      <c r="AC596" s="3">
        <v>1.06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f t="shared" si="18"/>
        <v>9.08</v>
      </c>
      <c r="AK596" s="3">
        <f t="shared" si="19"/>
        <v>3.9400000000000004</v>
      </c>
    </row>
    <row r="597" spans="1:37">
      <c r="A597">
        <v>10298338</v>
      </c>
      <c r="B597" t="s">
        <v>37</v>
      </c>
      <c r="C597" t="s">
        <v>4215</v>
      </c>
      <c r="E597" t="s">
        <v>166</v>
      </c>
      <c r="F597" t="s">
        <v>4216</v>
      </c>
      <c r="G597" t="s">
        <v>4217</v>
      </c>
      <c r="H597" t="s">
        <v>42</v>
      </c>
      <c r="I597" t="s">
        <v>4218</v>
      </c>
      <c r="J597" t="s">
        <v>4219</v>
      </c>
      <c r="K597">
        <v>5636</v>
      </c>
      <c r="L597" t="s">
        <v>369</v>
      </c>
      <c r="M597" t="s">
        <v>46</v>
      </c>
      <c r="N597" t="s">
        <v>47</v>
      </c>
      <c r="O597">
        <v>2</v>
      </c>
      <c r="P597">
        <v>1</v>
      </c>
      <c r="Q597">
        <v>2</v>
      </c>
      <c r="R597" t="s">
        <v>48</v>
      </c>
      <c r="S597" t="s">
        <v>49</v>
      </c>
      <c r="T597" s="3">
        <v>0.84</v>
      </c>
      <c r="U597" s="3">
        <v>0.23</v>
      </c>
      <c r="V597" s="3">
        <v>1.81</v>
      </c>
      <c r="W597">
        <v>2.09</v>
      </c>
      <c r="X597" t="s">
        <v>50</v>
      </c>
      <c r="Y597" s="3">
        <v>9.19</v>
      </c>
      <c r="Z597" t="s">
        <v>83</v>
      </c>
      <c r="AA597" t="s">
        <v>4220</v>
      </c>
      <c r="AB597" t="s">
        <v>53</v>
      </c>
      <c r="AC597" s="3">
        <v>1.27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f t="shared" si="18"/>
        <v>13.34</v>
      </c>
      <c r="AK597" s="3">
        <f t="shared" si="19"/>
        <v>4.1500000000000004</v>
      </c>
    </row>
    <row r="598" spans="1:37">
      <c r="A598">
        <v>10299608</v>
      </c>
      <c r="B598" t="s">
        <v>37</v>
      </c>
      <c r="C598" t="s">
        <v>4221</v>
      </c>
      <c r="E598" t="s">
        <v>345</v>
      </c>
      <c r="F598" t="s">
        <v>1222</v>
      </c>
      <c r="G598" t="s">
        <v>4222</v>
      </c>
      <c r="H598" t="s">
        <v>42</v>
      </c>
      <c r="I598" t="s">
        <v>4223</v>
      </c>
      <c r="J598" t="s">
        <v>4224</v>
      </c>
      <c r="K598" t="s">
        <v>4225</v>
      </c>
      <c r="L598" t="s">
        <v>142</v>
      </c>
      <c r="M598" t="s">
        <v>46</v>
      </c>
      <c r="N598" t="s">
        <v>47</v>
      </c>
      <c r="O598">
        <v>2</v>
      </c>
      <c r="P598">
        <v>1</v>
      </c>
      <c r="Q598">
        <v>2</v>
      </c>
      <c r="R598" t="s">
        <v>48</v>
      </c>
      <c r="S598" t="s">
        <v>49</v>
      </c>
      <c r="T598" s="3">
        <v>0.84</v>
      </c>
      <c r="U598" s="3">
        <v>0.23</v>
      </c>
      <c r="V598" s="3">
        <v>1.81</v>
      </c>
      <c r="W598">
        <v>0.88</v>
      </c>
      <c r="X598" t="s">
        <v>50</v>
      </c>
      <c r="Y598" s="3">
        <v>16.43</v>
      </c>
      <c r="Z598" t="s">
        <v>109</v>
      </c>
      <c r="AA598" t="s">
        <v>4226</v>
      </c>
      <c r="AB598" t="s">
        <v>53</v>
      </c>
      <c r="AC598" s="3">
        <v>1.06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f t="shared" si="18"/>
        <v>20.369999999999997</v>
      </c>
      <c r="AK598" s="3">
        <f t="shared" si="19"/>
        <v>3.9399999999999977</v>
      </c>
    </row>
    <row r="599" spans="1:37">
      <c r="A599">
        <v>10299355</v>
      </c>
      <c r="B599" t="s">
        <v>37</v>
      </c>
      <c r="C599" t="s">
        <v>4227</v>
      </c>
      <c r="E599" t="s">
        <v>4228</v>
      </c>
      <c r="F599" t="s">
        <v>4229</v>
      </c>
      <c r="G599" t="s">
        <v>4230</v>
      </c>
      <c r="H599" t="s">
        <v>42</v>
      </c>
      <c r="I599" t="s">
        <v>4231</v>
      </c>
      <c r="J599" t="s">
        <v>4232</v>
      </c>
      <c r="K599">
        <v>80110</v>
      </c>
      <c r="L599" t="s">
        <v>4233</v>
      </c>
      <c r="M599" t="s">
        <v>46</v>
      </c>
      <c r="N599" t="s">
        <v>47</v>
      </c>
      <c r="O599">
        <v>2</v>
      </c>
      <c r="P599">
        <v>1</v>
      </c>
      <c r="Q599">
        <v>2</v>
      </c>
      <c r="R599" t="s">
        <v>48</v>
      </c>
      <c r="S599" t="s">
        <v>49</v>
      </c>
      <c r="T599" s="3">
        <v>0.84</v>
      </c>
      <c r="U599" s="3">
        <v>0.23</v>
      </c>
      <c r="V599" s="3">
        <v>1.81</v>
      </c>
      <c r="W599">
        <v>1.26</v>
      </c>
      <c r="X599" t="s">
        <v>50</v>
      </c>
      <c r="Y599" s="3">
        <v>22.22</v>
      </c>
      <c r="Z599" t="s">
        <v>73</v>
      </c>
      <c r="AA599" t="s">
        <v>4234</v>
      </c>
      <c r="AB599" t="s">
        <v>53</v>
      </c>
      <c r="AC599" s="3">
        <v>1.29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f t="shared" si="18"/>
        <v>26.389999999999997</v>
      </c>
      <c r="AK599" s="3">
        <f t="shared" si="19"/>
        <v>4.1699999999999982</v>
      </c>
    </row>
    <row r="600" spans="1:37">
      <c r="A600">
        <v>10299606</v>
      </c>
      <c r="B600" t="s">
        <v>37</v>
      </c>
      <c r="C600" t="s">
        <v>4235</v>
      </c>
      <c r="E600" t="s">
        <v>4236</v>
      </c>
      <c r="F600" t="s">
        <v>4237</v>
      </c>
      <c r="G600" t="s">
        <v>4238</v>
      </c>
      <c r="H600" t="s">
        <v>42</v>
      </c>
      <c r="I600" t="s">
        <v>4239</v>
      </c>
      <c r="J600" t="s">
        <v>4240</v>
      </c>
      <c r="K600" t="s">
        <v>4241</v>
      </c>
      <c r="L600" t="s">
        <v>142</v>
      </c>
      <c r="M600" t="s">
        <v>46</v>
      </c>
      <c r="N600" t="s">
        <v>47</v>
      </c>
      <c r="O600">
        <v>2</v>
      </c>
      <c r="P600">
        <v>1</v>
      </c>
      <c r="Q600">
        <v>2</v>
      </c>
      <c r="R600" t="s">
        <v>48</v>
      </c>
      <c r="S600" t="s">
        <v>49</v>
      </c>
      <c r="T600" s="3">
        <v>0.84</v>
      </c>
      <c r="U600" s="3">
        <v>0.23</v>
      </c>
      <c r="V600" s="3">
        <v>1.81</v>
      </c>
      <c r="W600">
        <v>0.88</v>
      </c>
      <c r="X600" t="s">
        <v>50</v>
      </c>
      <c r="Y600" s="3">
        <v>16.43</v>
      </c>
      <c r="Z600" t="s">
        <v>109</v>
      </c>
      <c r="AA600" t="s">
        <v>4242</v>
      </c>
      <c r="AB600" t="s">
        <v>53</v>
      </c>
      <c r="AC600" s="3">
        <v>1.06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f t="shared" si="18"/>
        <v>20.369999999999997</v>
      </c>
      <c r="AK600" s="3">
        <f t="shared" si="19"/>
        <v>3.9399999999999977</v>
      </c>
    </row>
    <row r="601" spans="1:37">
      <c r="A601">
        <v>10299138</v>
      </c>
      <c r="B601" t="s">
        <v>37</v>
      </c>
      <c r="C601" t="s">
        <v>4243</v>
      </c>
      <c r="E601" t="s">
        <v>4244</v>
      </c>
      <c r="F601" t="s">
        <v>4245</v>
      </c>
      <c r="G601" t="s">
        <v>4246</v>
      </c>
      <c r="H601" t="s">
        <v>42</v>
      </c>
      <c r="I601" t="s">
        <v>4247</v>
      </c>
      <c r="J601" t="s">
        <v>4248</v>
      </c>
      <c r="K601">
        <v>92421</v>
      </c>
      <c r="L601" t="s">
        <v>71</v>
      </c>
      <c r="M601" t="s">
        <v>46</v>
      </c>
      <c r="N601" t="s">
        <v>47</v>
      </c>
      <c r="O601">
        <v>2</v>
      </c>
      <c r="P601">
        <v>1</v>
      </c>
      <c r="Q601">
        <v>2</v>
      </c>
      <c r="R601" t="s">
        <v>48</v>
      </c>
      <c r="S601" t="s">
        <v>49</v>
      </c>
      <c r="T601" s="3">
        <v>0.84</v>
      </c>
      <c r="U601" s="3">
        <v>0.23</v>
      </c>
      <c r="V601" s="3">
        <v>1.81</v>
      </c>
      <c r="W601">
        <v>1.08</v>
      </c>
      <c r="X601" t="s">
        <v>72</v>
      </c>
      <c r="Y601" s="3">
        <v>5.43</v>
      </c>
      <c r="Z601" t="s">
        <v>73</v>
      </c>
      <c r="AA601" t="s">
        <v>4249</v>
      </c>
      <c r="AB601" t="s">
        <v>53</v>
      </c>
      <c r="AC601" s="3">
        <v>1.29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f t="shared" si="18"/>
        <v>9.6</v>
      </c>
      <c r="AK601" s="3">
        <f t="shared" si="19"/>
        <v>4.17</v>
      </c>
    </row>
    <row r="602" spans="1:37">
      <c r="A602">
        <v>10302684</v>
      </c>
      <c r="B602" t="s">
        <v>37</v>
      </c>
      <c r="C602" t="s">
        <v>4250</v>
      </c>
      <c r="E602" t="s">
        <v>4251</v>
      </c>
      <c r="F602" t="s">
        <v>4252</v>
      </c>
      <c r="G602" t="s">
        <v>4253</v>
      </c>
      <c r="H602" t="s">
        <v>42</v>
      </c>
      <c r="I602" t="s">
        <v>4254</v>
      </c>
      <c r="J602" t="s">
        <v>4255</v>
      </c>
      <c r="K602">
        <v>9881</v>
      </c>
      <c r="L602" t="s">
        <v>505</v>
      </c>
      <c r="M602" t="s">
        <v>46</v>
      </c>
      <c r="N602" t="s">
        <v>47</v>
      </c>
      <c r="O602">
        <v>6</v>
      </c>
      <c r="P602">
        <v>1</v>
      </c>
      <c r="Q602">
        <v>6</v>
      </c>
      <c r="R602" t="s">
        <v>48</v>
      </c>
      <c r="S602" t="s">
        <v>49</v>
      </c>
      <c r="T602" s="3">
        <v>0.84</v>
      </c>
      <c r="U602" s="3">
        <v>0.23</v>
      </c>
      <c r="V602" s="3">
        <v>5.29</v>
      </c>
      <c r="W602">
        <v>2.84</v>
      </c>
      <c r="X602" t="s">
        <v>50</v>
      </c>
      <c r="Y602" s="3">
        <v>9.19</v>
      </c>
      <c r="Z602" t="s">
        <v>83</v>
      </c>
      <c r="AA602" t="s">
        <v>4256</v>
      </c>
      <c r="AB602" t="s">
        <v>53</v>
      </c>
      <c r="AC602" s="3">
        <v>1.27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f t="shared" si="18"/>
        <v>16.82</v>
      </c>
      <c r="AK602" s="3">
        <f t="shared" si="19"/>
        <v>7.6300000000000008</v>
      </c>
    </row>
    <row r="603" spans="1:37">
      <c r="A603">
        <v>10302681</v>
      </c>
      <c r="B603" t="s">
        <v>37</v>
      </c>
      <c r="C603" t="s">
        <v>4257</v>
      </c>
      <c r="E603" t="s">
        <v>4258</v>
      </c>
      <c r="F603" t="s">
        <v>4259</v>
      </c>
      <c r="G603" t="s">
        <v>4260</v>
      </c>
      <c r="H603" t="s">
        <v>42</v>
      </c>
      <c r="I603" t="s">
        <v>4261</v>
      </c>
      <c r="J603" t="s">
        <v>4262</v>
      </c>
      <c r="K603" t="s">
        <v>4263</v>
      </c>
      <c r="L603" t="s">
        <v>142</v>
      </c>
      <c r="M603" t="s">
        <v>46</v>
      </c>
      <c r="N603" t="s">
        <v>47</v>
      </c>
      <c r="O603">
        <v>1</v>
      </c>
      <c r="P603">
        <v>1</v>
      </c>
      <c r="Q603">
        <v>1</v>
      </c>
      <c r="R603" t="s">
        <v>48</v>
      </c>
      <c r="S603" t="s">
        <v>49</v>
      </c>
      <c r="T603" s="3">
        <v>0.84</v>
      </c>
      <c r="U603" s="3">
        <v>0.23</v>
      </c>
      <c r="V603" s="3">
        <v>0.94</v>
      </c>
      <c r="W603">
        <v>3.1</v>
      </c>
      <c r="X603" t="s">
        <v>50</v>
      </c>
      <c r="Y603" s="3">
        <v>16.43</v>
      </c>
      <c r="Z603" t="s">
        <v>83</v>
      </c>
      <c r="AA603" t="s">
        <v>894</v>
      </c>
      <c r="AB603" t="s">
        <v>53</v>
      </c>
      <c r="AC603" s="3">
        <v>1.27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f t="shared" si="18"/>
        <v>19.71</v>
      </c>
      <c r="AK603" s="3">
        <f t="shared" si="19"/>
        <v>3.2800000000000011</v>
      </c>
    </row>
    <row r="604" spans="1:37">
      <c r="A604">
        <v>10287384</v>
      </c>
      <c r="B604" t="s">
        <v>37</v>
      </c>
      <c r="C604" t="s">
        <v>4264</v>
      </c>
      <c r="E604" t="s">
        <v>4265</v>
      </c>
      <c r="F604" t="s">
        <v>4266</v>
      </c>
      <c r="G604" t="s">
        <v>4267</v>
      </c>
      <c r="H604" t="s">
        <v>42</v>
      </c>
      <c r="I604" t="s">
        <v>4268</v>
      </c>
      <c r="J604" t="s">
        <v>4269</v>
      </c>
      <c r="K604" t="s">
        <v>4270</v>
      </c>
      <c r="L604" t="s">
        <v>142</v>
      </c>
      <c r="M604" t="s">
        <v>46</v>
      </c>
      <c r="N604" t="s">
        <v>47</v>
      </c>
      <c r="O604">
        <v>8</v>
      </c>
      <c r="P604">
        <v>1</v>
      </c>
      <c r="Q604">
        <v>8</v>
      </c>
      <c r="R604" t="s">
        <v>48</v>
      </c>
      <c r="S604" t="s">
        <v>49</v>
      </c>
      <c r="T604" s="3">
        <v>0.84</v>
      </c>
      <c r="U604" s="3">
        <v>0.23</v>
      </c>
      <c r="V604" s="3">
        <v>7.03</v>
      </c>
      <c r="W604">
        <v>3.6</v>
      </c>
      <c r="X604" t="s">
        <v>50</v>
      </c>
      <c r="Y604" s="3">
        <v>16.43</v>
      </c>
      <c r="Z604" t="s">
        <v>83</v>
      </c>
      <c r="AA604" t="s">
        <v>4271</v>
      </c>
      <c r="AB604" t="s">
        <v>53</v>
      </c>
      <c r="AC604" s="3">
        <v>1.27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f t="shared" si="18"/>
        <v>25.8</v>
      </c>
      <c r="AK604" s="3">
        <f t="shared" si="19"/>
        <v>9.370000000000001</v>
      </c>
    </row>
    <row r="605" spans="1:37">
      <c r="A605">
        <v>10302683</v>
      </c>
      <c r="B605" t="s">
        <v>37</v>
      </c>
      <c r="C605" t="s">
        <v>4272</v>
      </c>
      <c r="E605" t="s">
        <v>4273</v>
      </c>
      <c r="F605" t="s">
        <v>4274</v>
      </c>
      <c r="G605" t="s">
        <v>4275</v>
      </c>
      <c r="H605" t="s">
        <v>42</v>
      </c>
      <c r="I605" t="s">
        <v>4276</v>
      </c>
      <c r="J605" t="s">
        <v>4277</v>
      </c>
      <c r="K605" t="s">
        <v>4278</v>
      </c>
      <c r="L605" t="s">
        <v>142</v>
      </c>
      <c r="M605" t="s">
        <v>46</v>
      </c>
      <c r="N605" t="s">
        <v>47</v>
      </c>
      <c r="O605">
        <v>1</v>
      </c>
      <c r="P605">
        <v>1</v>
      </c>
      <c r="Q605">
        <v>1</v>
      </c>
      <c r="R605" t="s">
        <v>48</v>
      </c>
      <c r="S605" t="s">
        <v>49</v>
      </c>
      <c r="T605" s="3">
        <v>0.84</v>
      </c>
      <c r="U605" s="3">
        <v>0.23</v>
      </c>
      <c r="V605" s="3">
        <v>0.94</v>
      </c>
      <c r="W605">
        <v>0.49</v>
      </c>
      <c r="X605" t="s">
        <v>50</v>
      </c>
      <c r="Y605" s="3">
        <v>16.43</v>
      </c>
      <c r="Z605" t="s">
        <v>109</v>
      </c>
      <c r="AA605" t="s">
        <v>4279</v>
      </c>
      <c r="AB605" t="s">
        <v>53</v>
      </c>
      <c r="AC605" s="3">
        <v>1.06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f t="shared" si="18"/>
        <v>19.5</v>
      </c>
      <c r="AK605" s="3">
        <f t="shared" si="19"/>
        <v>3.0700000000000003</v>
      </c>
    </row>
    <row r="606" spans="1:37">
      <c r="A606">
        <v>10302682</v>
      </c>
      <c r="B606" t="s">
        <v>37</v>
      </c>
      <c r="C606" t="s">
        <v>4280</v>
      </c>
      <c r="E606" t="s">
        <v>1307</v>
      </c>
      <c r="F606" t="s">
        <v>4281</v>
      </c>
      <c r="G606" t="s">
        <v>4282</v>
      </c>
      <c r="H606" t="s">
        <v>42</v>
      </c>
      <c r="I606" t="s">
        <v>4283</v>
      </c>
      <c r="J606" t="s">
        <v>4284</v>
      </c>
      <c r="K606">
        <v>21360</v>
      </c>
      <c r="L606" t="s">
        <v>71</v>
      </c>
      <c r="M606" t="s">
        <v>46</v>
      </c>
      <c r="N606" t="s">
        <v>47</v>
      </c>
      <c r="O606">
        <v>4</v>
      </c>
      <c r="P606">
        <v>1</v>
      </c>
      <c r="Q606">
        <v>4</v>
      </c>
      <c r="R606" t="s">
        <v>48</v>
      </c>
      <c r="S606" t="s">
        <v>49</v>
      </c>
      <c r="T606" s="3">
        <v>0.84</v>
      </c>
      <c r="U606" s="3">
        <v>0.23</v>
      </c>
      <c r="V606" s="3">
        <v>3.55</v>
      </c>
      <c r="W606">
        <v>1.66</v>
      </c>
      <c r="X606" t="s">
        <v>72</v>
      </c>
      <c r="Y606" s="3">
        <v>5.43</v>
      </c>
      <c r="Z606" t="s">
        <v>73</v>
      </c>
      <c r="AA606" t="s">
        <v>583</v>
      </c>
      <c r="AB606" t="s">
        <v>53</v>
      </c>
      <c r="AC606" s="3">
        <v>1.29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f t="shared" si="18"/>
        <v>11.34</v>
      </c>
      <c r="AK606" s="3">
        <f t="shared" si="19"/>
        <v>5.91</v>
      </c>
    </row>
    <row r="607" spans="1:37">
      <c r="A607">
        <v>10264900</v>
      </c>
      <c r="B607" t="s">
        <v>111</v>
      </c>
      <c r="C607" t="s">
        <v>4285</v>
      </c>
      <c r="D607" t="s">
        <v>4286</v>
      </c>
      <c r="E607" t="s">
        <v>4287</v>
      </c>
      <c r="F607" t="s">
        <v>4288</v>
      </c>
      <c r="G607" t="s">
        <v>4289</v>
      </c>
      <c r="H607" t="s">
        <v>117</v>
      </c>
      <c r="I607" t="s">
        <v>4290</v>
      </c>
      <c r="J607" t="s">
        <v>4291</v>
      </c>
      <c r="K607" t="s">
        <v>4292</v>
      </c>
      <c r="L607" t="s">
        <v>886</v>
      </c>
      <c r="M607" t="s">
        <v>46</v>
      </c>
      <c r="N607" t="s">
        <v>47</v>
      </c>
      <c r="O607">
        <v>210</v>
      </c>
      <c r="P607">
        <v>5</v>
      </c>
      <c r="Q607">
        <v>210</v>
      </c>
      <c r="R607" t="s">
        <v>48</v>
      </c>
      <c r="S607" t="s">
        <v>49</v>
      </c>
      <c r="T607" s="3">
        <v>7</v>
      </c>
      <c r="U607" s="3">
        <v>0.23</v>
      </c>
      <c r="V607" s="3">
        <v>118.95</v>
      </c>
      <c r="W607">
        <v>78</v>
      </c>
      <c r="X607" t="s">
        <v>50</v>
      </c>
      <c r="Y607" s="3">
        <v>57.36</v>
      </c>
      <c r="Z607" t="s">
        <v>4293</v>
      </c>
      <c r="AA607" t="s">
        <v>4294</v>
      </c>
      <c r="AB607" t="s">
        <v>53</v>
      </c>
      <c r="AC607" s="3">
        <v>8.02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f t="shared" si="18"/>
        <v>191.55999999999997</v>
      </c>
      <c r="AK607" s="3">
        <f t="shared" si="19"/>
        <v>134.19999999999999</v>
      </c>
    </row>
    <row r="608" spans="1:37">
      <c r="A608">
        <v>10287192</v>
      </c>
      <c r="B608" t="s">
        <v>111</v>
      </c>
      <c r="C608" t="s">
        <v>4295</v>
      </c>
      <c r="E608" t="s">
        <v>2071</v>
      </c>
      <c r="F608" t="s">
        <v>2072</v>
      </c>
      <c r="G608" t="s">
        <v>4296</v>
      </c>
      <c r="H608" t="s">
        <v>117</v>
      </c>
      <c r="I608" t="s">
        <v>4297</v>
      </c>
      <c r="J608" t="s">
        <v>2075</v>
      </c>
      <c r="K608">
        <v>59368</v>
      </c>
      <c r="L608" t="s">
        <v>71</v>
      </c>
      <c r="M608" t="s">
        <v>46</v>
      </c>
      <c r="N608" t="s">
        <v>47</v>
      </c>
      <c r="O608">
        <v>190</v>
      </c>
      <c r="P608">
        <v>6</v>
      </c>
      <c r="Q608">
        <v>6</v>
      </c>
      <c r="R608" t="s">
        <v>48</v>
      </c>
      <c r="S608" t="s">
        <v>49</v>
      </c>
      <c r="T608" s="3">
        <v>7</v>
      </c>
      <c r="U608" s="3">
        <v>0.23</v>
      </c>
      <c r="V608" s="3">
        <v>7.96</v>
      </c>
      <c r="W608">
        <v>90</v>
      </c>
      <c r="X608" t="s">
        <v>72</v>
      </c>
      <c r="Y608" s="3">
        <v>51.64</v>
      </c>
      <c r="Z608" t="s">
        <v>4298</v>
      </c>
      <c r="AA608" t="s">
        <v>4299</v>
      </c>
      <c r="AB608" t="s">
        <v>53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f t="shared" si="18"/>
        <v>66.83</v>
      </c>
      <c r="AK608" s="3">
        <f t="shared" si="19"/>
        <v>15.189999999999998</v>
      </c>
    </row>
    <row r="609" spans="1:37">
      <c r="A609">
        <v>10299804</v>
      </c>
      <c r="B609" t="s">
        <v>37</v>
      </c>
      <c r="C609" t="s">
        <v>4300</v>
      </c>
      <c r="E609" t="s">
        <v>3589</v>
      </c>
      <c r="F609" t="s">
        <v>4301</v>
      </c>
      <c r="G609" t="s">
        <v>4302</v>
      </c>
      <c r="H609" t="s">
        <v>42</v>
      </c>
      <c r="I609" t="s">
        <v>4303</v>
      </c>
      <c r="J609" t="s">
        <v>4304</v>
      </c>
      <c r="K609">
        <v>55490</v>
      </c>
      <c r="L609" t="s">
        <v>71</v>
      </c>
      <c r="M609" t="s">
        <v>46</v>
      </c>
      <c r="N609" t="s">
        <v>47</v>
      </c>
      <c r="O609">
        <v>2</v>
      </c>
      <c r="P609">
        <v>1</v>
      </c>
      <c r="Q609">
        <v>2</v>
      </c>
      <c r="R609" t="s">
        <v>48</v>
      </c>
      <c r="S609" t="s">
        <v>49</v>
      </c>
      <c r="T609" s="3">
        <v>0.84</v>
      </c>
      <c r="U609" s="3">
        <v>0.23</v>
      </c>
      <c r="V609" s="3">
        <v>1.81</v>
      </c>
      <c r="W609">
        <v>1.08</v>
      </c>
      <c r="X609" t="s">
        <v>108</v>
      </c>
      <c r="Y609" s="3">
        <v>5.14</v>
      </c>
      <c r="Z609" t="s">
        <v>109</v>
      </c>
      <c r="AA609" t="s">
        <v>4305</v>
      </c>
      <c r="AB609" t="s">
        <v>53</v>
      </c>
      <c r="AC609" s="3">
        <v>1.06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f t="shared" si="18"/>
        <v>9.08</v>
      </c>
      <c r="AK609" s="3">
        <f t="shared" si="19"/>
        <v>3.9400000000000004</v>
      </c>
    </row>
    <row r="610" spans="1:37">
      <c r="A610">
        <v>10301580</v>
      </c>
      <c r="B610" t="s">
        <v>37</v>
      </c>
      <c r="C610" t="s">
        <v>4306</v>
      </c>
      <c r="E610" t="s">
        <v>398</v>
      </c>
      <c r="F610" t="s">
        <v>4307</v>
      </c>
      <c r="G610" t="s">
        <v>4308</v>
      </c>
      <c r="H610" t="s">
        <v>42</v>
      </c>
      <c r="I610" t="s">
        <v>4309</v>
      </c>
      <c r="J610" t="s">
        <v>4310</v>
      </c>
      <c r="K610">
        <v>75020</v>
      </c>
      <c r="L610" t="s">
        <v>130</v>
      </c>
      <c r="M610" t="s">
        <v>46</v>
      </c>
      <c r="N610" t="s">
        <v>47</v>
      </c>
      <c r="O610">
        <v>2</v>
      </c>
      <c r="P610">
        <v>1</v>
      </c>
      <c r="Q610">
        <v>2</v>
      </c>
      <c r="R610" t="s">
        <v>48</v>
      </c>
      <c r="S610" t="s">
        <v>49</v>
      </c>
      <c r="T610" s="3">
        <v>0.84</v>
      </c>
      <c r="U610" s="3">
        <v>0.23</v>
      </c>
      <c r="V610" s="3">
        <v>1.81</v>
      </c>
      <c r="W610">
        <v>1</v>
      </c>
      <c r="X610" t="s">
        <v>50</v>
      </c>
      <c r="Y610" s="3">
        <v>14.26</v>
      </c>
      <c r="Z610" t="s">
        <v>109</v>
      </c>
      <c r="AA610" t="s">
        <v>4311</v>
      </c>
      <c r="AB610" t="s">
        <v>53</v>
      </c>
      <c r="AC610" s="3">
        <v>1.06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f t="shared" si="18"/>
        <v>18.2</v>
      </c>
      <c r="AK610" s="3">
        <f t="shared" si="19"/>
        <v>3.9399999999999995</v>
      </c>
    </row>
    <row r="611" spans="1:37">
      <c r="A611">
        <v>10300529</v>
      </c>
      <c r="B611" t="s">
        <v>37</v>
      </c>
      <c r="C611" t="s">
        <v>4312</v>
      </c>
      <c r="E611" t="s">
        <v>4273</v>
      </c>
      <c r="F611" t="s">
        <v>4313</v>
      </c>
      <c r="G611" t="s">
        <v>4314</v>
      </c>
      <c r="H611" t="s">
        <v>42</v>
      </c>
      <c r="I611" t="s">
        <v>4315</v>
      </c>
      <c r="J611" t="s">
        <v>4316</v>
      </c>
      <c r="K611" t="s">
        <v>4317</v>
      </c>
      <c r="L611" t="s">
        <v>142</v>
      </c>
      <c r="M611" t="s">
        <v>46</v>
      </c>
      <c r="N611" t="s">
        <v>47</v>
      </c>
      <c r="O611">
        <v>2</v>
      </c>
      <c r="P611">
        <v>1</v>
      </c>
      <c r="Q611">
        <v>2</v>
      </c>
      <c r="R611" t="s">
        <v>48</v>
      </c>
      <c r="S611" t="s">
        <v>49</v>
      </c>
      <c r="T611" s="3">
        <v>0.84</v>
      </c>
      <c r="U611" s="3">
        <v>0.23</v>
      </c>
      <c r="V611" s="3">
        <v>1.81</v>
      </c>
      <c r="W611">
        <v>1.08</v>
      </c>
      <c r="X611" t="s">
        <v>50</v>
      </c>
      <c r="Y611" s="3">
        <v>16.43</v>
      </c>
      <c r="Z611" t="s">
        <v>109</v>
      </c>
      <c r="AA611" t="s">
        <v>3322</v>
      </c>
      <c r="AB611" t="s">
        <v>53</v>
      </c>
      <c r="AC611" s="3">
        <v>1.06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f t="shared" si="18"/>
        <v>20.369999999999997</v>
      </c>
      <c r="AK611" s="3">
        <f t="shared" si="19"/>
        <v>3.9399999999999977</v>
      </c>
    </row>
    <row r="612" spans="1:37">
      <c r="A612">
        <v>10301386</v>
      </c>
      <c r="B612" t="s">
        <v>37</v>
      </c>
      <c r="C612" t="s">
        <v>4318</v>
      </c>
      <c r="E612" t="s">
        <v>3681</v>
      </c>
      <c r="F612" t="s">
        <v>4319</v>
      </c>
      <c r="G612" t="s">
        <v>4320</v>
      </c>
      <c r="H612" t="s">
        <v>42</v>
      </c>
      <c r="I612" t="s">
        <v>4321</v>
      </c>
      <c r="J612" t="s">
        <v>4322</v>
      </c>
      <c r="K612" t="s">
        <v>4323</v>
      </c>
      <c r="L612" t="s">
        <v>142</v>
      </c>
      <c r="M612" t="s">
        <v>46</v>
      </c>
      <c r="N612" t="s">
        <v>47</v>
      </c>
      <c r="O612">
        <v>2</v>
      </c>
      <c r="P612">
        <v>1</v>
      </c>
      <c r="Q612">
        <v>2</v>
      </c>
      <c r="R612" t="s">
        <v>48</v>
      </c>
      <c r="S612" t="s">
        <v>49</v>
      </c>
      <c r="T612" s="3">
        <v>0.84</v>
      </c>
      <c r="U612" s="3">
        <v>0.23</v>
      </c>
      <c r="V612" s="3">
        <v>1.81</v>
      </c>
      <c r="W612">
        <v>1.08</v>
      </c>
      <c r="X612" t="s">
        <v>50</v>
      </c>
      <c r="Y612" s="3">
        <v>16.43</v>
      </c>
      <c r="Z612" t="s">
        <v>109</v>
      </c>
      <c r="AA612" t="s">
        <v>692</v>
      </c>
      <c r="AB612" t="s">
        <v>53</v>
      </c>
      <c r="AC612" s="3">
        <v>1.06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f t="shared" si="18"/>
        <v>20.369999999999997</v>
      </c>
      <c r="AK612" s="3">
        <f t="shared" si="19"/>
        <v>3.9399999999999977</v>
      </c>
    </row>
    <row r="613" spans="1:37">
      <c r="A613">
        <v>10299610</v>
      </c>
      <c r="B613" t="s">
        <v>37</v>
      </c>
      <c r="C613" t="s">
        <v>4324</v>
      </c>
      <c r="E613" t="s">
        <v>4325</v>
      </c>
      <c r="F613" t="s">
        <v>4326</v>
      </c>
      <c r="G613" t="s">
        <v>4327</v>
      </c>
      <c r="H613" t="s">
        <v>42</v>
      </c>
      <c r="I613" t="s">
        <v>4328</v>
      </c>
      <c r="J613" t="s">
        <v>4329</v>
      </c>
      <c r="K613">
        <v>52477</v>
      </c>
      <c r="L613" t="s">
        <v>71</v>
      </c>
      <c r="M613" t="s">
        <v>46</v>
      </c>
      <c r="N613" t="s">
        <v>47</v>
      </c>
      <c r="O613">
        <v>2</v>
      </c>
      <c r="P613">
        <v>1</v>
      </c>
      <c r="Q613">
        <v>2</v>
      </c>
      <c r="R613" t="s">
        <v>48</v>
      </c>
      <c r="S613" t="s">
        <v>49</v>
      </c>
      <c r="T613" s="3">
        <v>0.84</v>
      </c>
      <c r="U613" s="3">
        <v>0.23</v>
      </c>
      <c r="V613" s="3">
        <v>1.81</v>
      </c>
      <c r="W613">
        <v>1.08</v>
      </c>
      <c r="X613" t="s">
        <v>108</v>
      </c>
      <c r="Y613" s="3">
        <v>5.14</v>
      </c>
      <c r="Z613" t="s">
        <v>109</v>
      </c>
      <c r="AA613" t="s">
        <v>4330</v>
      </c>
      <c r="AB613" t="s">
        <v>53</v>
      </c>
      <c r="AC613" s="3">
        <v>1.06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f t="shared" si="18"/>
        <v>9.08</v>
      </c>
      <c r="AK613" s="3">
        <f t="shared" si="19"/>
        <v>3.9400000000000004</v>
      </c>
    </row>
    <row r="614" spans="1:37">
      <c r="A614">
        <v>10301578</v>
      </c>
      <c r="B614" t="s">
        <v>37</v>
      </c>
      <c r="C614" t="s">
        <v>4331</v>
      </c>
      <c r="E614" t="s">
        <v>4332</v>
      </c>
      <c r="F614" t="s">
        <v>4333</v>
      </c>
      <c r="G614" t="s">
        <v>4334</v>
      </c>
      <c r="H614" t="s">
        <v>42</v>
      </c>
      <c r="I614" t="s">
        <v>4335</v>
      </c>
      <c r="J614" t="s">
        <v>4336</v>
      </c>
      <c r="K614" t="s">
        <v>4337</v>
      </c>
      <c r="L614" t="s">
        <v>142</v>
      </c>
      <c r="M614" t="s">
        <v>46</v>
      </c>
      <c r="N614" t="s">
        <v>47</v>
      </c>
      <c r="O614">
        <v>2</v>
      </c>
      <c r="P614">
        <v>1</v>
      </c>
      <c r="Q614">
        <v>2</v>
      </c>
      <c r="R614" t="s">
        <v>48</v>
      </c>
      <c r="S614" t="s">
        <v>49</v>
      </c>
      <c r="T614" s="3">
        <v>0.84</v>
      </c>
      <c r="U614" s="3">
        <v>0.23</v>
      </c>
      <c r="V614" s="3">
        <v>1.81</v>
      </c>
      <c r="W614">
        <v>0.88</v>
      </c>
      <c r="X614" t="s">
        <v>50</v>
      </c>
      <c r="Y614" s="3">
        <v>16.43</v>
      </c>
      <c r="Z614" t="s">
        <v>109</v>
      </c>
      <c r="AA614" t="s">
        <v>4338</v>
      </c>
      <c r="AB614" t="s">
        <v>53</v>
      </c>
      <c r="AC614" s="3">
        <v>1.06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f t="shared" si="18"/>
        <v>20.369999999999997</v>
      </c>
      <c r="AK614" s="3">
        <f t="shared" si="19"/>
        <v>3.9399999999999977</v>
      </c>
    </row>
    <row r="615" spans="1:37">
      <c r="A615">
        <v>10254428</v>
      </c>
      <c r="B615" t="s">
        <v>111</v>
      </c>
      <c r="C615" t="s">
        <v>4339</v>
      </c>
      <c r="D615" t="s">
        <v>4340</v>
      </c>
      <c r="E615" t="s">
        <v>4341</v>
      </c>
      <c r="F615" t="s">
        <v>4342</v>
      </c>
      <c r="G615" t="s">
        <v>4343</v>
      </c>
      <c r="H615" t="s">
        <v>117</v>
      </c>
      <c r="I615" t="s">
        <v>4344</v>
      </c>
      <c r="J615" t="s">
        <v>4345</v>
      </c>
      <c r="K615" t="s">
        <v>4346</v>
      </c>
      <c r="L615" t="s">
        <v>4347</v>
      </c>
      <c r="M615" t="s">
        <v>46</v>
      </c>
      <c r="N615" t="s">
        <v>47</v>
      </c>
      <c r="O615">
        <v>32</v>
      </c>
      <c r="P615">
        <v>1</v>
      </c>
      <c r="Q615">
        <v>32</v>
      </c>
      <c r="R615" t="s">
        <v>48</v>
      </c>
      <c r="S615" t="s">
        <v>49</v>
      </c>
      <c r="T615" s="3">
        <v>7</v>
      </c>
      <c r="U615" s="3">
        <v>0.23</v>
      </c>
      <c r="V615" s="3">
        <v>34.369999999999997</v>
      </c>
      <c r="W615">
        <v>15</v>
      </c>
      <c r="X615" t="s">
        <v>50</v>
      </c>
      <c r="Y615" s="3">
        <v>19.16</v>
      </c>
      <c r="Z615" t="s">
        <v>51</v>
      </c>
      <c r="AA615" t="s">
        <v>4348</v>
      </c>
      <c r="AB615" t="s">
        <v>53</v>
      </c>
      <c r="AC615" s="3">
        <v>1.87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f t="shared" si="18"/>
        <v>62.629999999999995</v>
      </c>
      <c r="AK615" s="3">
        <f t="shared" si="19"/>
        <v>43.47</v>
      </c>
    </row>
    <row r="616" spans="1:37">
      <c r="A616">
        <v>10302892</v>
      </c>
      <c r="B616" t="s">
        <v>37</v>
      </c>
      <c r="C616" t="s">
        <v>4349</v>
      </c>
      <c r="E616" t="s">
        <v>836</v>
      </c>
      <c r="F616" t="s">
        <v>4350</v>
      </c>
      <c r="G616" t="s">
        <v>4351</v>
      </c>
      <c r="H616" t="s">
        <v>42</v>
      </c>
      <c r="I616" t="s">
        <v>4352</v>
      </c>
      <c r="J616" t="s">
        <v>4353</v>
      </c>
      <c r="K616" t="s">
        <v>4354</v>
      </c>
      <c r="L616" t="s">
        <v>82</v>
      </c>
      <c r="M616" t="s">
        <v>46</v>
      </c>
      <c r="N616" t="s">
        <v>47</v>
      </c>
      <c r="O616">
        <v>2</v>
      </c>
      <c r="P616">
        <v>1</v>
      </c>
      <c r="Q616">
        <v>2</v>
      </c>
      <c r="R616" t="s">
        <v>48</v>
      </c>
      <c r="S616" t="s">
        <v>49</v>
      </c>
      <c r="T616" s="3">
        <v>0.84</v>
      </c>
      <c r="U616" s="3">
        <v>0.23</v>
      </c>
      <c r="V616" s="3">
        <v>1.81</v>
      </c>
      <c r="W616">
        <v>1.08</v>
      </c>
      <c r="X616" t="s">
        <v>50</v>
      </c>
      <c r="Y616" s="3">
        <v>9.19</v>
      </c>
      <c r="Z616" t="s">
        <v>109</v>
      </c>
      <c r="AA616" t="s">
        <v>4355</v>
      </c>
      <c r="AB616" t="s">
        <v>53</v>
      </c>
      <c r="AC616" s="3">
        <v>1.06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f t="shared" si="18"/>
        <v>13.13</v>
      </c>
      <c r="AK616" s="3">
        <f t="shared" si="19"/>
        <v>3.9400000000000013</v>
      </c>
    </row>
    <row r="617" spans="1:37">
      <c r="A617">
        <v>10303364</v>
      </c>
      <c r="B617" t="s">
        <v>37</v>
      </c>
      <c r="C617" t="s">
        <v>4356</v>
      </c>
      <c r="E617" t="s">
        <v>4357</v>
      </c>
      <c r="F617" t="s">
        <v>4358</v>
      </c>
      <c r="G617" t="s">
        <v>4359</v>
      </c>
      <c r="H617" t="s">
        <v>42</v>
      </c>
      <c r="I617" t="s">
        <v>4360</v>
      </c>
      <c r="J617" t="s">
        <v>4361</v>
      </c>
      <c r="K617">
        <v>16123</v>
      </c>
      <c r="L617" t="s">
        <v>283</v>
      </c>
      <c r="M617" t="s">
        <v>46</v>
      </c>
      <c r="N617" t="s">
        <v>47</v>
      </c>
      <c r="O617">
        <v>2</v>
      </c>
      <c r="P617">
        <v>1</v>
      </c>
      <c r="Q617">
        <v>2</v>
      </c>
      <c r="R617" t="s">
        <v>48</v>
      </c>
      <c r="S617" t="s">
        <v>49</v>
      </c>
      <c r="T617" s="3">
        <v>0.84</v>
      </c>
      <c r="U617" s="3">
        <v>0.23</v>
      </c>
      <c r="V617" s="3">
        <v>1.81</v>
      </c>
      <c r="W617">
        <v>0.98</v>
      </c>
      <c r="X617" t="s">
        <v>50</v>
      </c>
      <c r="Y617" s="3">
        <v>14.98</v>
      </c>
      <c r="Z617" t="s">
        <v>109</v>
      </c>
      <c r="AA617" t="s">
        <v>4362</v>
      </c>
      <c r="AB617" t="s">
        <v>53</v>
      </c>
      <c r="AC617" s="3">
        <v>1.06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f t="shared" si="18"/>
        <v>18.919999999999998</v>
      </c>
      <c r="AK617" s="3">
        <f t="shared" si="19"/>
        <v>3.9399999999999977</v>
      </c>
    </row>
    <row r="618" spans="1:37">
      <c r="A618">
        <v>10302680</v>
      </c>
      <c r="B618" t="s">
        <v>37</v>
      </c>
      <c r="C618" t="s">
        <v>4363</v>
      </c>
      <c r="E618" t="s">
        <v>4364</v>
      </c>
      <c r="F618" t="s">
        <v>4365</v>
      </c>
      <c r="G618" t="s">
        <v>4366</v>
      </c>
      <c r="H618" t="s">
        <v>42</v>
      </c>
      <c r="I618" t="s">
        <v>4367</v>
      </c>
      <c r="J618" t="s">
        <v>4368</v>
      </c>
      <c r="K618">
        <v>14473</v>
      </c>
      <c r="L618" t="s">
        <v>71</v>
      </c>
      <c r="M618" t="s">
        <v>46</v>
      </c>
      <c r="N618" t="s">
        <v>47</v>
      </c>
      <c r="O618">
        <v>2</v>
      </c>
      <c r="P618">
        <v>1</v>
      </c>
      <c r="Q618">
        <v>2</v>
      </c>
      <c r="R618" t="s">
        <v>48</v>
      </c>
      <c r="S618" t="s">
        <v>49</v>
      </c>
      <c r="T618" s="3">
        <v>0.84</v>
      </c>
      <c r="U618" s="3">
        <v>0.23</v>
      </c>
      <c r="V618" s="3">
        <v>1.81</v>
      </c>
      <c r="W618">
        <v>1.08</v>
      </c>
      <c r="X618" t="s">
        <v>108</v>
      </c>
      <c r="Y618" s="3">
        <v>5.14</v>
      </c>
      <c r="Z618" t="s">
        <v>109</v>
      </c>
      <c r="AA618" t="s">
        <v>4369</v>
      </c>
      <c r="AB618" t="s">
        <v>53</v>
      </c>
      <c r="AC618" s="3">
        <v>1.06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f t="shared" si="18"/>
        <v>9.08</v>
      </c>
      <c r="AK618" s="3">
        <f t="shared" si="19"/>
        <v>3.9400000000000004</v>
      </c>
    </row>
    <row r="619" spans="1:37">
      <c r="A619">
        <v>10303366</v>
      </c>
      <c r="B619" t="s">
        <v>37</v>
      </c>
      <c r="C619" t="s">
        <v>4370</v>
      </c>
      <c r="E619" t="s">
        <v>4371</v>
      </c>
      <c r="F619" t="s">
        <v>4372</v>
      </c>
      <c r="G619" t="s">
        <v>4373</v>
      </c>
      <c r="H619" t="s">
        <v>42</v>
      </c>
      <c r="I619" t="s">
        <v>4374</v>
      </c>
      <c r="J619" t="s">
        <v>4375</v>
      </c>
      <c r="K619">
        <v>42551</v>
      </c>
      <c r="L619" t="s">
        <v>71</v>
      </c>
      <c r="M619" t="s">
        <v>46</v>
      </c>
      <c r="N619" t="s">
        <v>47</v>
      </c>
      <c r="O619">
        <v>4</v>
      </c>
      <c r="P619">
        <v>1</v>
      </c>
      <c r="Q619">
        <v>4</v>
      </c>
      <c r="R619" t="s">
        <v>48</v>
      </c>
      <c r="S619" t="s">
        <v>49</v>
      </c>
      <c r="T619" s="3">
        <v>0.84</v>
      </c>
      <c r="U619" s="3">
        <v>0.23</v>
      </c>
      <c r="V619" s="3">
        <v>3.55</v>
      </c>
      <c r="W619">
        <v>2.06</v>
      </c>
      <c r="X619" t="s">
        <v>72</v>
      </c>
      <c r="Y619" s="3">
        <v>5.44</v>
      </c>
      <c r="Z619" t="s">
        <v>83</v>
      </c>
      <c r="AA619" t="s">
        <v>1694</v>
      </c>
      <c r="AB619" t="s">
        <v>53</v>
      </c>
      <c r="AC619" s="3">
        <v>1.27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f t="shared" si="18"/>
        <v>11.330000000000002</v>
      </c>
      <c r="AK619" s="3">
        <f t="shared" si="19"/>
        <v>5.8900000000000015</v>
      </c>
    </row>
    <row r="620" spans="1:37">
      <c r="A620">
        <v>10303135</v>
      </c>
      <c r="B620" t="s">
        <v>37</v>
      </c>
      <c r="C620" t="s">
        <v>4376</v>
      </c>
      <c r="D620" t="s">
        <v>4377</v>
      </c>
      <c r="E620" t="s">
        <v>4378</v>
      </c>
      <c r="F620" t="s">
        <v>2527</v>
      </c>
      <c r="G620" t="s">
        <v>4379</v>
      </c>
      <c r="H620" t="s">
        <v>42</v>
      </c>
      <c r="I620" t="s">
        <v>4380</v>
      </c>
      <c r="J620" t="s">
        <v>4381</v>
      </c>
      <c r="K620" t="s">
        <v>4382</v>
      </c>
      <c r="L620" t="s">
        <v>142</v>
      </c>
      <c r="M620" t="s">
        <v>46</v>
      </c>
      <c r="N620" t="s">
        <v>47</v>
      </c>
      <c r="O620">
        <v>2</v>
      </c>
      <c r="P620">
        <v>1</v>
      </c>
      <c r="Q620">
        <v>2</v>
      </c>
      <c r="R620" t="s">
        <v>48</v>
      </c>
      <c r="S620" t="s">
        <v>49</v>
      </c>
      <c r="T620" s="3">
        <v>0.84</v>
      </c>
      <c r="U620" s="3">
        <v>0.23</v>
      </c>
      <c r="V620" s="3">
        <v>1.81</v>
      </c>
      <c r="W620">
        <v>0.96</v>
      </c>
      <c r="X620" t="s">
        <v>50</v>
      </c>
      <c r="Y620" s="3">
        <v>16.43</v>
      </c>
      <c r="Z620" t="s">
        <v>109</v>
      </c>
      <c r="AA620" t="s">
        <v>4383</v>
      </c>
      <c r="AB620" t="s">
        <v>53</v>
      </c>
      <c r="AC620" s="3">
        <v>1.06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f t="shared" si="18"/>
        <v>20.369999999999997</v>
      </c>
      <c r="AK620" s="3">
        <f t="shared" si="19"/>
        <v>3.9399999999999977</v>
      </c>
    </row>
    <row r="621" spans="1:37">
      <c r="A621">
        <v>10302685</v>
      </c>
      <c r="B621" t="s">
        <v>37</v>
      </c>
      <c r="C621" t="s">
        <v>4384</v>
      </c>
      <c r="E621" t="s">
        <v>39</v>
      </c>
      <c r="F621" t="s">
        <v>4385</v>
      </c>
      <c r="G621" t="s">
        <v>4386</v>
      </c>
      <c r="H621" t="s">
        <v>42</v>
      </c>
      <c r="I621" t="s">
        <v>4387</v>
      </c>
      <c r="J621" t="s">
        <v>4388</v>
      </c>
      <c r="K621" t="s">
        <v>4389</v>
      </c>
      <c r="L621" t="s">
        <v>142</v>
      </c>
      <c r="M621" t="s">
        <v>46</v>
      </c>
      <c r="N621" t="s">
        <v>47</v>
      </c>
      <c r="O621">
        <v>2</v>
      </c>
      <c r="P621">
        <v>1</v>
      </c>
      <c r="Q621">
        <v>2</v>
      </c>
      <c r="R621" t="s">
        <v>48</v>
      </c>
      <c r="S621" t="s">
        <v>49</v>
      </c>
      <c r="T621" s="3">
        <v>0.84</v>
      </c>
      <c r="U621" s="3">
        <v>0.23</v>
      </c>
      <c r="V621" s="3">
        <v>1.81</v>
      </c>
      <c r="W621">
        <v>1.08</v>
      </c>
      <c r="X621" t="s">
        <v>50</v>
      </c>
      <c r="Y621" s="3">
        <v>16.43</v>
      </c>
      <c r="Z621" t="s">
        <v>109</v>
      </c>
      <c r="AA621" t="s">
        <v>692</v>
      </c>
      <c r="AB621" t="s">
        <v>53</v>
      </c>
      <c r="AC621" s="3">
        <v>1.06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f t="shared" si="18"/>
        <v>20.369999999999997</v>
      </c>
      <c r="AK621" s="3">
        <f t="shared" si="19"/>
        <v>3.9399999999999977</v>
      </c>
    </row>
    <row r="622" spans="1:37">
      <c r="A622">
        <v>10302891</v>
      </c>
      <c r="B622" t="s">
        <v>37</v>
      </c>
      <c r="C622" t="s">
        <v>4390</v>
      </c>
      <c r="E622" t="s">
        <v>1688</v>
      </c>
      <c r="F622" t="s">
        <v>4391</v>
      </c>
      <c r="G622" t="s">
        <v>4392</v>
      </c>
      <c r="H622" t="s">
        <v>42</v>
      </c>
      <c r="I622" t="s">
        <v>4393</v>
      </c>
      <c r="J622" t="s">
        <v>4394</v>
      </c>
      <c r="K622" t="s">
        <v>4395</v>
      </c>
      <c r="L622" t="s">
        <v>142</v>
      </c>
      <c r="M622" t="s">
        <v>46</v>
      </c>
      <c r="N622" t="s">
        <v>47</v>
      </c>
      <c r="O622">
        <v>2</v>
      </c>
      <c r="P622">
        <v>1</v>
      </c>
      <c r="Q622">
        <v>2</v>
      </c>
      <c r="R622" t="s">
        <v>48</v>
      </c>
      <c r="S622" t="s">
        <v>49</v>
      </c>
      <c r="T622" s="3">
        <v>0.84</v>
      </c>
      <c r="U622" s="3">
        <v>0.23</v>
      </c>
      <c r="V622" s="3">
        <v>1.81</v>
      </c>
      <c r="W622">
        <v>1.08</v>
      </c>
      <c r="X622" t="s">
        <v>50</v>
      </c>
      <c r="Y622" s="3">
        <v>16.43</v>
      </c>
      <c r="Z622" t="s">
        <v>73</v>
      </c>
      <c r="AA622" t="s">
        <v>4396</v>
      </c>
      <c r="AB622" t="s">
        <v>53</v>
      </c>
      <c r="AC622" s="3">
        <v>1.29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f t="shared" si="18"/>
        <v>20.599999999999998</v>
      </c>
      <c r="AK622" s="3">
        <f t="shared" si="19"/>
        <v>4.1699999999999982</v>
      </c>
    </row>
    <row r="623" spans="1:37">
      <c r="A623">
        <v>10303367</v>
      </c>
      <c r="B623" t="s">
        <v>37</v>
      </c>
      <c r="C623" t="s">
        <v>4397</v>
      </c>
      <c r="E623" t="s">
        <v>2811</v>
      </c>
      <c r="F623" t="s">
        <v>4398</v>
      </c>
      <c r="G623" t="s">
        <v>4399</v>
      </c>
      <c r="H623" t="s">
        <v>42</v>
      </c>
      <c r="I623" t="s">
        <v>4400</v>
      </c>
      <c r="J623" t="s">
        <v>4401</v>
      </c>
      <c r="K623" t="s">
        <v>4402</v>
      </c>
      <c r="L623" t="s">
        <v>142</v>
      </c>
      <c r="M623" t="s">
        <v>46</v>
      </c>
      <c r="N623" t="s">
        <v>47</v>
      </c>
      <c r="O623">
        <v>2</v>
      </c>
      <c r="P623">
        <v>1</v>
      </c>
      <c r="Q623">
        <v>2</v>
      </c>
      <c r="R623" t="s">
        <v>48</v>
      </c>
      <c r="S623" t="s">
        <v>49</v>
      </c>
      <c r="T623" s="3">
        <v>0.84</v>
      </c>
      <c r="U623" s="3">
        <v>0.23</v>
      </c>
      <c r="V623" s="3">
        <v>1.81</v>
      </c>
      <c r="W623">
        <v>1.08</v>
      </c>
      <c r="X623" t="s">
        <v>50</v>
      </c>
      <c r="Y623" s="3">
        <v>16.43</v>
      </c>
      <c r="Z623" t="s">
        <v>73</v>
      </c>
      <c r="AA623" t="s">
        <v>1822</v>
      </c>
      <c r="AB623" t="s">
        <v>53</v>
      </c>
      <c r="AC623" s="3">
        <v>1.29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f t="shared" si="18"/>
        <v>20.599999999999998</v>
      </c>
      <c r="AK623" s="3">
        <f t="shared" si="19"/>
        <v>4.1699999999999982</v>
      </c>
    </row>
    <row r="624" spans="1:37">
      <c r="A624">
        <v>10295329</v>
      </c>
      <c r="B624" t="s">
        <v>37</v>
      </c>
      <c r="C624" t="s">
        <v>4403</v>
      </c>
      <c r="E624" t="s">
        <v>4404</v>
      </c>
      <c r="F624" t="s">
        <v>4405</v>
      </c>
      <c r="G624" t="s">
        <v>4406</v>
      </c>
      <c r="H624" t="s">
        <v>42</v>
      </c>
      <c r="I624" t="s">
        <v>4407</v>
      </c>
      <c r="J624" t="s">
        <v>4408</v>
      </c>
      <c r="K624" t="s">
        <v>4409</v>
      </c>
      <c r="L624" t="s">
        <v>82</v>
      </c>
      <c r="M624" t="s">
        <v>46</v>
      </c>
      <c r="N624" t="s">
        <v>47</v>
      </c>
      <c r="O624">
        <v>10</v>
      </c>
      <c r="P624">
        <v>1</v>
      </c>
      <c r="Q624">
        <v>10</v>
      </c>
      <c r="R624" t="s">
        <v>48</v>
      </c>
      <c r="S624" t="s">
        <v>49</v>
      </c>
      <c r="T624" s="3">
        <v>7</v>
      </c>
      <c r="U624" s="3">
        <v>0.23</v>
      </c>
      <c r="V624" s="3">
        <v>13.2</v>
      </c>
      <c r="W624">
        <v>1.1000000000000001</v>
      </c>
      <c r="X624" t="s">
        <v>50</v>
      </c>
      <c r="Y624" s="3">
        <v>9.19</v>
      </c>
      <c r="Z624" t="s">
        <v>83</v>
      </c>
      <c r="AA624" t="s">
        <v>4410</v>
      </c>
      <c r="AB624" t="s">
        <v>53</v>
      </c>
      <c r="AC624" s="3">
        <v>1.27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f t="shared" si="18"/>
        <v>30.889999999999997</v>
      </c>
      <c r="AK624" s="3">
        <f t="shared" si="19"/>
        <v>21.699999999999996</v>
      </c>
    </row>
    <row r="625" spans="1:37">
      <c r="A625">
        <v>10303365</v>
      </c>
      <c r="B625" t="s">
        <v>37</v>
      </c>
      <c r="C625" t="s">
        <v>4411</v>
      </c>
      <c r="E625" t="s">
        <v>4273</v>
      </c>
      <c r="F625" t="s">
        <v>4412</v>
      </c>
      <c r="G625" t="s">
        <v>4413</v>
      </c>
      <c r="H625" t="s">
        <v>42</v>
      </c>
      <c r="I625" t="s">
        <v>4414</v>
      </c>
      <c r="J625" t="s">
        <v>4415</v>
      </c>
      <c r="K625" t="s">
        <v>4416</v>
      </c>
      <c r="L625" t="s">
        <v>142</v>
      </c>
      <c r="M625" t="s">
        <v>46</v>
      </c>
      <c r="N625" t="s">
        <v>47</v>
      </c>
      <c r="O625">
        <v>3</v>
      </c>
      <c r="P625">
        <v>1</v>
      </c>
      <c r="Q625">
        <v>3</v>
      </c>
      <c r="R625" t="s">
        <v>48</v>
      </c>
      <c r="S625" t="s">
        <v>49</v>
      </c>
      <c r="T625" s="3">
        <v>0.84</v>
      </c>
      <c r="U625" s="3">
        <v>0.23</v>
      </c>
      <c r="V625" s="3">
        <v>2.68</v>
      </c>
      <c r="W625">
        <v>1.23</v>
      </c>
      <c r="X625" t="s">
        <v>50</v>
      </c>
      <c r="Y625" s="3">
        <v>16.43</v>
      </c>
      <c r="Z625" t="s">
        <v>73</v>
      </c>
      <c r="AA625" t="s">
        <v>4417</v>
      </c>
      <c r="AB625" t="s">
        <v>53</v>
      </c>
      <c r="AC625" s="3">
        <v>1.29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f t="shared" si="18"/>
        <v>21.47</v>
      </c>
      <c r="AK625" s="3">
        <f t="shared" si="19"/>
        <v>5.0399999999999991</v>
      </c>
    </row>
    <row r="626" spans="1:37">
      <c r="A626">
        <v>10303133</v>
      </c>
      <c r="B626" t="s">
        <v>37</v>
      </c>
      <c r="C626" t="s">
        <v>4418</v>
      </c>
      <c r="E626" t="s">
        <v>4419</v>
      </c>
      <c r="F626" t="s">
        <v>4420</v>
      </c>
      <c r="G626" t="s">
        <v>4421</v>
      </c>
      <c r="H626" t="s">
        <v>42</v>
      </c>
      <c r="I626" t="s">
        <v>4422</v>
      </c>
      <c r="J626" t="s">
        <v>4423</v>
      </c>
      <c r="K626">
        <v>1180</v>
      </c>
      <c r="L626" t="s">
        <v>505</v>
      </c>
      <c r="M626" t="s">
        <v>46</v>
      </c>
      <c r="N626" t="s">
        <v>47</v>
      </c>
      <c r="O626">
        <v>4</v>
      </c>
      <c r="P626">
        <v>1</v>
      </c>
      <c r="Q626">
        <v>4</v>
      </c>
      <c r="R626" t="s">
        <v>48</v>
      </c>
      <c r="S626" t="s">
        <v>49</v>
      </c>
      <c r="T626" s="3">
        <v>0.84</v>
      </c>
      <c r="U626" s="3">
        <v>0.23</v>
      </c>
      <c r="V626" s="3">
        <v>3.55</v>
      </c>
      <c r="W626">
        <v>2.06</v>
      </c>
      <c r="X626" t="s">
        <v>50</v>
      </c>
      <c r="Y626" s="3">
        <v>9.19</v>
      </c>
      <c r="Z626" t="s">
        <v>73</v>
      </c>
      <c r="AA626" t="s">
        <v>4424</v>
      </c>
      <c r="AB626" t="s">
        <v>53</v>
      </c>
      <c r="AC626" s="3">
        <v>1.29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f t="shared" si="18"/>
        <v>15.100000000000001</v>
      </c>
      <c r="AK626" s="3">
        <f t="shared" si="19"/>
        <v>5.9100000000000019</v>
      </c>
    </row>
    <row r="627" spans="1:37">
      <c r="A627">
        <v>10303134</v>
      </c>
      <c r="B627" t="s">
        <v>37</v>
      </c>
      <c r="C627" t="s">
        <v>4425</v>
      </c>
      <c r="E627" t="s">
        <v>2534</v>
      </c>
      <c r="F627" t="s">
        <v>4426</v>
      </c>
      <c r="G627" t="s">
        <v>4427</v>
      </c>
      <c r="H627" t="s">
        <v>42</v>
      </c>
      <c r="I627" t="s">
        <v>4428</v>
      </c>
      <c r="J627" t="s">
        <v>4429</v>
      </c>
      <c r="K627">
        <v>55127</v>
      </c>
      <c r="L627" t="s">
        <v>71</v>
      </c>
      <c r="M627" t="s">
        <v>46</v>
      </c>
      <c r="N627" t="s">
        <v>47</v>
      </c>
      <c r="O627">
        <v>4</v>
      </c>
      <c r="P627">
        <v>1</v>
      </c>
      <c r="Q627">
        <v>4</v>
      </c>
      <c r="R627" t="s">
        <v>48</v>
      </c>
      <c r="S627" t="s">
        <v>49</v>
      </c>
      <c r="T627" s="3">
        <v>0.84</v>
      </c>
      <c r="U627" s="3">
        <v>0.23</v>
      </c>
      <c r="V627" s="3">
        <v>3.55</v>
      </c>
      <c r="W627">
        <v>1.41</v>
      </c>
      <c r="X627" t="s">
        <v>72</v>
      </c>
      <c r="Y627" s="3">
        <v>5.44</v>
      </c>
      <c r="Z627" t="s">
        <v>73</v>
      </c>
      <c r="AA627" t="s">
        <v>4430</v>
      </c>
      <c r="AB627" t="s">
        <v>53</v>
      </c>
      <c r="AC627" s="3">
        <v>1.29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f t="shared" si="18"/>
        <v>11.350000000000001</v>
      </c>
      <c r="AK627" s="3">
        <f t="shared" si="19"/>
        <v>5.910000000000001</v>
      </c>
    </row>
    <row r="628" spans="1:37">
      <c r="A628">
        <v>10303368</v>
      </c>
      <c r="B628" t="s">
        <v>37</v>
      </c>
      <c r="C628" t="s">
        <v>4431</v>
      </c>
      <c r="E628" t="s">
        <v>3401</v>
      </c>
      <c r="F628" t="s">
        <v>4191</v>
      </c>
      <c r="G628" t="s">
        <v>4432</v>
      </c>
      <c r="H628" t="s">
        <v>42</v>
      </c>
      <c r="I628" t="s">
        <v>4433</v>
      </c>
      <c r="J628" t="s">
        <v>4434</v>
      </c>
      <c r="K628">
        <v>53175</v>
      </c>
      <c r="L628" t="s">
        <v>71</v>
      </c>
      <c r="M628" t="s">
        <v>46</v>
      </c>
      <c r="N628" t="s">
        <v>47</v>
      </c>
      <c r="O628">
        <v>4</v>
      </c>
      <c r="P628">
        <v>1</v>
      </c>
      <c r="Q628">
        <v>4</v>
      </c>
      <c r="R628" t="s">
        <v>48</v>
      </c>
      <c r="S628" t="s">
        <v>49</v>
      </c>
      <c r="T628" s="3">
        <v>0.84</v>
      </c>
      <c r="U628" s="3">
        <v>0.23</v>
      </c>
      <c r="V628" s="3">
        <v>3.55</v>
      </c>
      <c r="W628">
        <v>1.41</v>
      </c>
      <c r="X628" t="s">
        <v>72</v>
      </c>
      <c r="Y628" s="3">
        <v>5.44</v>
      </c>
      <c r="Z628" t="s">
        <v>73</v>
      </c>
      <c r="AA628" t="s">
        <v>4435</v>
      </c>
      <c r="AB628" t="s">
        <v>53</v>
      </c>
      <c r="AC628" s="3">
        <v>1.29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f t="shared" si="18"/>
        <v>11.350000000000001</v>
      </c>
      <c r="AK628" s="3">
        <f t="shared" si="19"/>
        <v>5.910000000000001</v>
      </c>
    </row>
    <row r="629" spans="1:37">
      <c r="A629">
        <v>10303363</v>
      </c>
      <c r="B629" t="s">
        <v>37</v>
      </c>
      <c r="C629" t="s">
        <v>4436</v>
      </c>
      <c r="E629" t="s">
        <v>4437</v>
      </c>
      <c r="F629" t="s">
        <v>4438</v>
      </c>
      <c r="G629" t="s">
        <v>4439</v>
      </c>
      <c r="H629" t="s">
        <v>42</v>
      </c>
      <c r="I629" t="s">
        <v>4440</v>
      </c>
      <c r="J629" t="s">
        <v>4441</v>
      </c>
      <c r="K629">
        <v>47877</v>
      </c>
      <c r="L629" t="s">
        <v>71</v>
      </c>
      <c r="M629" t="s">
        <v>46</v>
      </c>
      <c r="N629" t="s">
        <v>47</v>
      </c>
      <c r="O629">
        <v>1</v>
      </c>
      <c r="P629">
        <v>1</v>
      </c>
      <c r="Q629">
        <v>1</v>
      </c>
      <c r="R629" t="s">
        <v>48</v>
      </c>
      <c r="S629" t="s">
        <v>49</v>
      </c>
      <c r="T629" s="3">
        <v>0.84</v>
      </c>
      <c r="U629" s="3">
        <v>0.23</v>
      </c>
      <c r="V629" s="3">
        <v>0.94</v>
      </c>
      <c r="W629">
        <v>0.59</v>
      </c>
      <c r="X629" t="s">
        <v>108</v>
      </c>
      <c r="Y629" s="3">
        <v>6.53</v>
      </c>
      <c r="Z629" t="s">
        <v>109</v>
      </c>
      <c r="AA629" t="s">
        <v>2851</v>
      </c>
      <c r="AB629" t="s">
        <v>53</v>
      </c>
      <c r="AC629" s="3">
        <v>1.06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f t="shared" si="18"/>
        <v>9.6</v>
      </c>
      <c r="AK629" s="3">
        <f t="shared" si="19"/>
        <v>3.0699999999999994</v>
      </c>
    </row>
    <row r="630" spans="1:37">
      <c r="A630">
        <v>10303136</v>
      </c>
      <c r="B630" t="s">
        <v>37</v>
      </c>
      <c r="C630" t="s">
        <v>4442</v>
      </c>
      <c r="E630" t="s">
        <v>4443</v>
      </c>
      <c r="F630" t="s">
        <v>4444</v>
      </c>
      <c r="G630" t="s">
        <v>4445</v>
      </c>
      <c r="H630" t="s">
        <v>42</v>
      </c>
      <c r="I630" t="s">
        <v>4446</v>
      </c>
      <c r="J630" t="s">
        <v>4447</v>
      </c>
      <c r="K630" t="s">
        <v>4448</v>
      </c>
      <c r="L630" t="s">
        <v>886</v>
      </c>
      <c r="M630" t="s">
        <v>46</v>
      </c>
      <c r="N630" t="s">
        <v>47</v>
      </c>
      <c r="O630">
        <v>1</v>
      </c>
      <c r="P630">
        <v>1</v>
      </c>
      <c r="Q630">
        <v>1</v>
      </c>
      <c r="R630" t="s">
        <v>48</v>
      </c>
      <c r="S630" t="s">
        <v>49</v>
      </c>
      <c r="T630" s="3">
        <v>0.84</v>
      </c>
      <c r="U630" s="3">
        <v>0.23</v>
      </c>
      <c r="V630" s="3">
        <v>0.94</v>
      </c>
      <c r="W630">
        <v>1.5</v>
      </c>
      <c r="X630" t="s">
        <v>50</v>
      </c>
      <c r="Y630" s="3">
        <v>10.64</v>
      </c>
      <c r="Z630" t="s">
        <v>73</v>
      </c>
      <c r="AA630" t="s">
        <v>848</v>
      </c>
      <c r="AB630" t="s">
        <v>53</v>
      </c>
      <c r="AC630" s="3">
        <v>1.29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f t="shared" si="18"/>
        <v>13.94</v>
      </c>
      <c r="AK630" s="3">
        <f t="shared" si="19"/>
        <v>3.2999999999999989</v>
      </c>
    </row>
    <row r="631" spans="1:37">
      <c r="A631">
        <v>10304443</v>
      </c>
      <c r="B631" t="s">
        <v>37</v>
      </c>
      <c r="C631" t="s">
        <v>4449</v>
      </c>
      <c r="E631" t="s">
        <v>1206</v>
      </c>
      <c r="F631" t="s">
        <v>4450</v>
      </c>
      <c r="G631" t="s">
        <v>4451</v>
      </c>
      <c r="H631" t="s">
        <v>42</v>
      </c>
      <c r="I631" t="s">
        <v>4452</v>
      </c>
      <c r="J631" t="s">
        <v>4453</v>
      </c>
      <c r="K631">
        <v>20144</v>
      </c>
      <c r="L631" t="s">
        <v>71</v>
      </c>
      <c r="M631" t="s">
        <v>46</v>
      </c>
      <c r="N631" t="s">
        <v>47</v>
      </c>
      <c r="O631">
        <v>2</v>
      </c>
      <c r="P631">
        <v>1</v>
      </c>
      <c r="Q631">
        <v>2</v>
      </c>
      <c r="R631" t="s">
        <v>48</v>
      </c>
      <c r="S631" t="s">
        <v>49</v>
      </c>
      <c r="T631" s="3">
        <v>0.84</v>
      </c>
      <c r="U631" s="3">
        <v>0.23</v>
      </c>
      <c r="V631" s="3">
        <v>1.81</v>
      </c>
      <c r="W631">
        <v>1.08</v>
      </c>
      <c r="X631" t="s">
        <v>72</v>
      </c>
      <c r="Y631" s="3">
        <v>5.43</v>
      </c>
      <c r="Z631" t="s">
        <v>73</v>
      </c>
      <c r="AA631" t="s">
        <v>692</v>
      </c>
      <c r="AB631" t="s">
        <v>53</v>
      </c>
      <c r="AC631" s="3">
        <v>1.29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f t="shared" si="18"/>
        <v>9.6</v>
      </c>
      <c r="AK631" s="3">
        <f t="shared" si="19"/>
        <v>4.17</v>
      </c>
    </row>
    <row r="632" spans="1:37">
      <c r="A632">
        <v>10305511</v>
      </c>
      <c r="B632" t="s">
        <v>37</v>
      </c>
      <c r="C632" t="s">
        <v>4454</v>
      </c>
      <c r="E632" t="s">
        <v>4455</v>
      </c>
      <c r="F632" t="s">
        <v>4456</v>
      </c>
      <c r="G632" t="s">
        <v>4457</v>
      </c>
      <c r="H632" t="s">
        <v>42</v>
      </c>
      <c r="I632" t="s">
        <v>4458</v>
      </c>
      <c r="J632" t="s">
        <v>4459</v>
      </c>
      <c r="K632">
        <v>9800</v>
      </c>
      <c r="L632" t="s">
        <v>505</v>
      </c>
      <c r="M632" t="s">
        <v>46</v>
      </c>
      <c r="N632" t="s">
        <v>47</v>
      </c>
      <c r="O632">
        <v>6</v>
      </c>
      <c r="P632">
        <v>1</v>
      </c>
      <c r="Q632">
        <v>6</v>
      </c>
      <c r="R632" t="s">
        <v>48</v>
      </c>
      <c r="S632" t="s">
        <v>49</v>
      </c>
      <c r="T632" s="3">
        <v>0.84</v>
      </c>
      <c r="U632" s="3">
        <v>0.23</v>
      </c>
      <c r="V632" s="3">
        <v>5.29</v>
      </c>
      <c r="W632">
        <v>2.44</v>
      </c>
      <c r="X632" t="s">
        <v>50</v>
      </c>
      <c r="Y632" s="3">
        <v>9.19</v>
      </c>
      <c r="Z632" t="s">
        <v>73</v>
      </c>
      <c r="AA632" t="s">
        <v>4460</v>
      </c>
      <c r="AB632" t="s">
        <v>53</v>
      </c>
      <c r="AC632" s="3">
        <v>1.29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f t="shared" si="18"/>
        <v>16.84</v>
      </c>
      <c r="AK632" s="3">
        <f t="shared" si="19"/>
        <v>7.65</v>
      </c>
    </row>
    <row r="633" spans="1:37">
      <c r="A633">
        <v>10306472</v>
      </c>
      <c r="B633" t="s">
        <v>37</v>
      </c>
      <c r="C633" t="s">
        <v>4461</v>
      </c>
      <c r="E633" t="s">
        <v>3155</v>
      </c>
      <c r="F633" t="s">
        <v>4462</v>
      </c>
      <c r="G633" t="s">
        <v>4463</v>
      </c>
      <c r="H633" t="s">
        <v>42</v>
      </c>
      <c r="I633" t="s">
        <v>4464</v>
      </c>
      <c r="J633" t="s">
        <v>4465</v>
      </c>
      <c r="K633" t="s">
        <v>4466</v>
      </c>
      <c r="L633" t="s">
        <v>82</v>
      </c>
      <c r="M633" t="s">
        <v>46</v>
      </c>
      <c r="N633" t="s">
        <v>47</v>
      </c>
      <c r="O633">
        <v>2</v>
      </c>
      <c r="P633">
        <v>1</v>
      </c>
      <c r="Q633">
        <v>2</v>
      </c>
      <c r="R633" t="s">
        <v>48</v>
      </c>
      <c r="S633" t="s">
        <v>49</v>
      </c>
      <c r="T633" s="3">
        <v>0.84</v>
      </c>
      <c r="U633" s="3">
        <v>0.23</v>
      </c>
      <c r="V633" s="3">
        <v>1.81</v>
      </c>
      <c r="W633">
        <v>1.08</v>
      </c>
      <c r="X633" t="s">
        <v>50</v>
      </c>
      <c r="Y633" s="3">
        <v>9.19</v>
      </c>
      <c r="Z633" t="s">
        <v>73</v>
      </c>
      <c r="AA633" t="s">
        <v>4467</v>
      </c>
      <c r="AB633" t="s">
        <v>53</v>
      </c>
      <c r="AC633" s="3">
        <v>1.29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f t="shared" si="18"/>
        <v>13.360000000000001</v>
      </c>
      <c r="AK633" s="3">
        <f t="shared" si="19"/>
        <v>4.1700000000000017</v>
      </c>
    </row>
    <row r="634" spans="1:37">
      <c r="A634">
        <v>10305685</v>
      </c>
      <c r="B634" t="s">
        <v>37</v>
      </c>
      <c r="C634" t="s">
        <v>4468</v>
      </c>
      <c r="E634" t="s">
        <v>4469</v>
      </c>
      <c r="F634" t="s">
        <v>4470</v>
      </c>
      <c r="G634" t="s">
        <v>4471</v>
      </c>
      <c r="H634" t="s">
        <v>42</v>
      </c>
      <c r="I634" t="s">
        <v>4472</v>
      </c>
      <c r="J634" t="s">
        <v>4473</v>
      </c>
      <c r="K634" t="s">
        <v>4474</v>
      </c>
      <c r="L634" t="s">
        <v>82</v>
      </c>
      <c r="M634" t="s">
        <v>46</v>
      </c>
      <c r="N634" t="s">
        <v>47</v>
      </c>
      <c r="O634">
        <v>2</v>
      </c>
      <c r="P634">
        <v>1</v>
      </c>
      <c r="Q634">
        <v>2</v>
      </c>
      <c r="R634" t="s">
        <v>48</v>
      </c>
      <c r="S634" t="s">
        <v>49</v>
      </c>
      <c r="T634" s="3">
        <v>0.84</v>
      </c>
      <c r="U634" s="3">
        <v>0.23</v>
      </c>
      <c r="V634" s="3">
        <v>1.81</v>
      </c>
      <c r="W634">
        <v>1.08</v>
      </c>
      <c r="X634" t="s">
        <v>50</v>
      </c>
      <c r="Y634" s="3">
        <v>9.19</v>
      </c>
      <c r="Z634" t="s">
        <v>73</v>
      </c>
      <c r="AA634" t="s">
        <v>4475</v>
      </c>
      <c r="AB634" t="s">
        <v>53</v>
      </c>
      <c r="AC634" s="3">
        <v>1.29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f t="shared" si="18"/>
        <v>13.360000000000001</v>
      </c>
      <c r="AK634" s="3">
        <f t="shared" si="19"/>
        <v>4.1700000000000017</v>
      </c>
    </row>
    <row r="635" spans="1:37">
      <c r="A635">
        <v>10305513</v>
      </c>
      <c r="B635" t="s">
        <v>37</v>
      </c>
      <c r="C635" t="s">
        <v>4476</v>
      </c>
      <c r="E635" t="s">
        <v>4477</v>
      </c>
      <c r="F635" t="s">
        <v>4478</v>
      </c>
      <c r="G635" t="s">
        <v>4479</v>
      </c>
      <c r="H635" t="s">
        <v>42</v>
      </c>
      <c r="I635" t="s">
        <v>4480</v>
      </c>
      <c r="J635" t="s">
        <v>4481</v>
      </c>
      <c r="K635" t="s">
        <v>4482</v>
      </c>
      <c r="L635" t="s">
        <v>62</v>
      </c>
      <c r="M635" t="s">
        <v>46</v>
      </c>
      <c r="N635" t="s">
        <v>47</v>
      </c>
      <c r="O635">
        <v>5</v>
      </c>
      <c r="P635">
        <v>1</v>
      </c>
      <c r="Q635">
        <v>5</v>
      </c>
      <c r="R635" t="s">
        <v>48</v>
      </c>
      <c r="S635" t="s">
        <v>49</v>
      </c>
      <c r="T635" s="3">
        <v>0.84</v>
      </c>
      <c r="U635" s="3">
        <v>0.23</v>
      </c>
      <c r="V635" s="3">
        <v>4.42</v>
      </c>
      <c r="W635">
        <v>2.2000000000000002</v>
      </c>
      <c r="X635" t="s">
        <v>100</v>
      </c>
      <c r="Y635" s="3">
        <v>32.770000000000003</v>
      </c>
      <c r="Z635" t="s">
        <v>73</v>
      </c>
      <c r="AA635" t="s">
        <v>4483</v>
      </c>
      <c r="AB635" t="s">
        <v>53</v>
      </c>
      <c r="AC635" s="3">
        <v>1.29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f t="shared" si="18"/>
        <v>39.550000000000004</v>
      </c>
      <c r="AK635" s="3">
        <f t="shared" si="19"/>
        <v>6.7800000000000011</v>
      </c>
    </row>
    <row r="636" spans="1:37">
      <c r="A636">
        <v>10304022</v>
      </c>
      <c r="B636" t="s">
        <v>37</v>
      </c>
      <c r="C636" t="s">
        <v>4484</v>
      </c>
      <c r="E636" t="s">
        <v>4485</v>
      </c>
      <c r="F636" t="s">
        <v>4486</v>
      </c>
      <c r="G636" t="s">
        <v>4487</v>
      </c>
      <c r="H636" t="s">
        <v>42</v>
      </c>
      <c r="I636" t="s">
        <v>4488</v>
      </c>
      <c r="J636" t="s">
        <v>4489</v>
      </c>
      <c r="K636" t="s">
        <v>4490</v>
      </c>
      <c r="L636" t="s">
        <v>142</v>
      </c>
      <c r="M636" t="s">
        <v>46</v>
      </c>
      <c r="N636" t="s">
        <v>47</v>
      </c>
      <c r="O636">
        <v>2</v>
      </c>
      <c r="P636">
        <v>1</v>
      </c>
      <c r="Q636">
        <v>2</v>
      </c>
      <c r="R636" t="s">
        <v>48</v>
      </c>
      <c r="S636" t="s">
        <v>49</v>
      </c>
      <c r="T636" s="3">
        <v>0.84</v>
      </c>
      <c r="U636" s="3">
        <v>0.23</v>
      </c>
      <c r="V636" s="3">
        <v>1.81</v>
      </c>
      <c r="W636">
        <v>2.19</v>
      </c>
      <c r="X636" t="s">
        <v>50</v>
      </c>
      <c r="Y636" s="3">
        <v>16.43</v>
      </c>
      <c r="Z636" t="s">
        <v>83</v>
      </c>
      <c r="AA636" t="s">
        <v>4491</v>
      </c>
      <c r="AB636" t="s">
        <v>53</v>
      </c>
      <c r="AC636" s="3">
        <v>1.27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f t="shared" si="18"/>
        <v>20.58</v>
      </c>
      <c r="AK636" s="3">
        <f t="shared" si="19"/>
        <v>4.1499999999999986</v>
      </c>
    </row>
    <row r="637" spans="1:37">
      <c r="A637">
        <v>10306473</v>
      </c>
      <c r="B637" t="s">
        <v>37</v>
      </c>
      <c r="C637" t="s">
        <v>4492</v>
      </c>
      <c r="E637" t="s">
        <v>4493</v>
      </c>
      <c r="F637" t="s">
        <v>4494</v>
      </c>
      <c r="G637" t="s">
        <v>4495</v>
      </c>
      <c r="H637" t="s">
        <v>42</v>
      </c>
      <c r="I637" t="s">
        <v>4496</v>
      </c>
      <c r="J637" t="s">
        <v>4497</v>
      </c>
      <c r="K637">
        <v>10711</v>
      </c>
      <c r="L637" t="s">
        <v>71</v>
      </c>
      <c r="M637" t="s">
        <v>46</v>
      </c>
      <c r="N637" t="s">
        <v>47</v>
      </c>
      <c r="O637">
        <v>3</v>
      </c>
      <c r="P637">
        <v>1</v>
      </c>
      <c r="Q637">
        <v>3</v>
      </c>
      <c r="R637" t="s">
        <v>48</v>
      </c>
      <c r="S637" t="s">
        <v>49</v>
      </c>
      <c r="T637" s="3">
        <v>0.84</v>
      </c>
      <c r="U637" s="3">
        <v>0.23</v>
      </c>
      <c r="V637" s="3">
        <v>2.68</v>
      </c>
      <c r="W637">
        <v>1.45</v>
      </c>
      <c r="X637" t="s">
        <v>72</v>
      </c>
      <c r="Y637" s="3">
        <v>5.43</v>
      </c>
      <c r="Z637" t="s">
        <v>73</v>
      </c>
      <c r="AA637" t="s">
        <v>4498</v>
      </c>
      <c r="AB637" t="s">
        <v>53</v>
      </c>
      <c r="AC637" s="3">
        <v>1.29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f t="shared" si="18"/>
        <v>10.47</v>
      </c>
      <c r="AK637" s="3">
        <f t="shared" si="19"/>
        <v>5.0400000000000009</v>
      </c>
    </row>
    <row r="638" spans="1:37">
      <c r="A638">
        <v>10306606</v>
      </c>
      <c r="B638" t="s">
        <v>37</v>
      </c>
      <c r="C638" t="s">
        <v>4499</v>
      </c>
      <c r="E638" t="s">
        <v>4500</v>
      </c>
      <c r="F638" t="s">
        <v>4501</v>
      </c>
      <c r="G638" t="s">
        <v>4502</v>
      </c>
      <c r="H638" t="s">
        <v>42</v>
      </c>
      <c r="I638" t="s">
        <v>4503</v>
      </c>
      <c r="J638" t="s">
        <v>4504</v>
      </c>
      <c r="K638">
        <v>14169</v>
      </c>
      <c r="L638" t="s">
        <v>71</v>
      </c>
      <c r="M638" t="s">
        <v>46</v>
      </c>
      <c r="N638" t="s">
        <v>47</v>
      </c>
      <c r="O638">
        <v>2</v>
      </c>
      <c r="P638">
        <v>1</v>
      </c>
      <c r="Q638">
        <v>2</v>
      </c>
      <c r="R638" t="s">
        <v>48</v>
      </c>
      <c r="S638" t="s">
        <v>49</v>
      </c>
      <c r="T638" s="3">
        <v>0.84</v>
      </c>
      <c r="U638" s="3">
        <v>0.23</v>
      </c>
      <c r="V638" s="3">
        <v>1.81</v>
      </c>
      <c r="W638">
        <v>0.88</v>
      </c>
      <c r="X638" t="s">
        <v>72</v>
      </c>
      <c r="Y638" s="3">
        <v>5.43</v>
      </c>
      <c r="Z638" t="s">
        <v>73</v>
      </c>
      <c r="AA638" t="s">
        <v>3438</v>
      </c>
      <c r="AB638" t="s">
        <v>53</v>
      </c>
      <c r="AC638" s="3">
        <v>1.29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f t="shared" si="18"/>
        <v>9.6</v>
      </c>
      <c r="AK638" s="3">
        <f t="shared" si="19"/>
        <v>4.17</v>
      </c>
    </row>
    <row r="639" spans="1:37">
      <c r="A639">
        <v>10305682</v>
      </c>
      <c r="B639" t="s">
        <v>37</v>
      </c>
      <c r="C639" t="s">
        <v>4505</v>
      </c>
      <c r="E639" t="s">
        <v>4506</v>
      </c>
      <c r="F639" t="s">
        <v>4507</v>
      </c>
      <c r="G639" t="s">
        <v>4508</v>
      </c>
      <c r="H639" t="s">
        <v>42</v>
      </c>
      <c r="I639" t="s">
        <v>4509</v>
      </c>
      <c r="J639" t="s">
        <v>4510</v>
      </c>
      <c r="K639">
        <v>91056</v>
      </c>
      <c r="L639" t="s">
        <v>71</v>
      </c>
      <c r="M639" t="s">
        <v>46</v>
      </c>
      <c r="N639" t="s">
        <v>47</v>
      </c>
      <c r="O639">
        <v>2</v>
      </c>
      <c r="P639">
        <v>1</v>
      </c>
      <c r="Q639">
        <v>2</v>
      </c>
      <c r="R639" t="s">
        <v>48</v>
      </c>
      <c r="S639" t="s">
        <v>49</v>
      </c>
      <c r="T639" s="3">
        <v>0.84</v>
      </c>
      <c r="U639" s="3">
        <v>0.23</v>
      </c>
      <c r="V639" s="3">
        <v>1.81</v>
      </c>
      <c r="W639">
        <v>0.88</v>
      </c>
      <c r="X639" t="s">
        <v>72</v>
      </c>
      <c r="Y639" s="3">
        <v>5.43</v>
      </c>
      <c r="Z639" t="s">
        <v>73</v>
      </c>
      <c r="AA639" t="s">
        <v>4511</v>
      </c>
      <c r="AB639" t="s">
        <v>53</v>
      </c>
      <c r="AC639" s="3">
        <v>1.29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f t="shared" si="18"/>
        <v>9.6</v>
      </c>
      <c r="AK639" s="3">
        <f t="shared" si="19"/>
        <v>4.17</v>
      </c>
    </row>
    <row r="640" spans="1:37">
      <c r="A640">
        <v>10308350</v>
      </c>
      <c r="B640" t="s">
        <v>37</v>
      </c>
      <c r="C640" t="s">
        <v>4512</v>
      </c>
      <c r="E640" t="s">
        <v>4513</v>
      </c>
      <c r="F640" t="s">
        <v>4514</v>
      </c>
      <c r="G640" t="s">
        <v>4515</v>
      </c>
      <c r="H640" t="s">
        <v>42</v>
      </c>
      <c r="I640" t="s">
        <v>4516</v>
      </c>
      <c r="J640" t="s">
        <v>4517</v>
      </c>
      <c r="K640" t="s">
        <v>4518</v>
      </c>
      <c r="L640" t="s">
        <v>142</v>
      </c>
      <c r="M640" t="s">
        <v>46</v>
      </c>
      <c r="N640" t="s">
        <v>47</v>
      </c>
      <c r="O640">
        <v>2</v>
      </c>
      <c r="P640">
        <v>1</v>
      </c>
      <c r="Q640">
        <v>2</v>
      </c>
      <c r="R640" t="s">
        <v>48</v>
      </c>
      <c r="S640" t="s">
        <v>49</v>
      </c>
      <c r="T640" s="3">
        <v>0.84</v>
      </c>
      <c r="U640" s="3">
        <v>0.23</v>
      </c>
      <c r="V640" s="3">
        <v>1.81</v>
      </c>
      <c r="W640">
        <v>1.0900000000000001</v>
      </c>
      <c r="X640" t="s">
        <v>50</v>
      </c>
      <c r="Y640" s="3">
        <v>16.43</v>
      </c>
      <c r="Z640" t="s">
        <v>73</v>
      </c>
      <c r="AA640" t="s">
        <v>4519</v>
      </c>
      <c r="AB640" t="s">
        <v>53</v>
      </c>
      <c r="AC640" s="3">
        <v>1.29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f t="shared" si="18"/>
        <v>20.599999999999998</v>
      </c>
      <c r="AK640" s="3">
        <f t="shared" si="19"/>
        <v>4.1699999999999982</v>
      </c>
    </row>
    <row r="641" spans="1:37">
      <c r="A641">
        <v>10307143</v>
      </c>
      <c r="B641" t="s">
        <v>37</v>
      </c>
      <c r="C641" t="s">
        <v>4520</v>
      </c>
      <c r="E641" t="s">
        <v>1236</v>
      </c>
      <c r="F641" t="s">
        <v>4521</v>
      </c>
      <c r="G641" t="s">
        <v>4522</v>
      </c>
      <c r="H641" t="s">
        <v>42</v>
      </c>
      <c r="I641" t="s">
        <v>4523</v>
      </c>
      <c r="J641" t="s">
        <v>4524</v>
      </c>
      <c r="K641">
        <v>63128</v>
      </c>
      <c r="L641" t="s">
        <v>71</v>
      </c>
      <c r="M641" t="s">
        <v>46</v>
      </c>
      <c r="N641" t="s">
        <v>47</v>
      </c>
      <c r="O641">
        <v>2</v>
      </c>
      <c r="P641">
        <v>1</v>
      </c>
      <c r="Q641">
        <v>2</v>
      </c>
      <c r="R641" t="s">
        <v>48</v>
      </c>
      <c r="S641" t="s">
        <v>49</v>
      </c>
      <c r="T641" s="3">
        <v>0.84</v>
      </c>
      <c r="U641" s="3">
        <v>0.23</v>
      </c>
      <c r="V641" s="3">
        <v>1.81</v>
      </c>
      <c r="W641">
        <v>0.88</v>
      </c>
      <c r="X641" t="s">
        <v>72</v>
      </c>
      <c r="Y641" s="3">
        <v>5.43</v>
      </c>
      <c r="Z641" t="s">
        <v>73</v>
      </c>
      <c r="AA641" t="s">
        <v>870</v>
      </c>
      <c r="AB641" t="s">
        <v>53</v>
      </c>
      <c r="AC641" s="3">
        <v>1.29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f t="shared" si="18"/>
        <v>9.6</v>
      </c>
      <c r="AK641" s="3">
        <f t="shared" si="19"/>
        <v>4.17</v>
      </c>
    </row>
    <row r="642" spans="1:37">
      <c r="A642">
        <v>10306760</v>
      </c>
      <c r="B642" t="s">
        <v>37</v>
      </c>
      <c r="C642" t="s">
        <v>4525</v>
      </c>
      <c r="E642" t="s">
        <v>4526</v>
      </c>
      <c r="F642" t="s">
        <v>4527</v>
      </c>
      <c r="G642" t="s">
        <v>4528</v>
      </c>
      <c r="H642" t="s">
        <v>42</v>
      </c>
      <c r="I642" t="s">
        <v>4529</v>
      </c>
      <c r="J642" t="s">
        <v>4530</v>
      </c>
      <c r="K642">
        <v>1930</v>
      </c>
      <c r="L642" t="s">
        <v>505</v>
      </c>
      <c r="M642" t="s">
        <v>46</v>
      </c>
      <c r="N642" t="s">
        <v>47</v>
      </c>
      <c r="O642">
        <v>2</v>
      </c>
      <c r="P642">
        <v>1</v>
      </c>
      <c r="Q642">
        <v>2</v>
      </c>
      <c r="R642" t="s">
        <v>48</v>
      </c>
      <c r="S642" t="s">
        <v>49</v>
      </c>
      <c r="T642" s="3">
        <v>0.84</v>
      </c>
      <c r="U642" s="3">
        <v>0.23</v>
      </c>
      <c r="V642" s="3">
        <v>1.81</v>
      </c>
      <c r="W642">
        <v>0.88</v>
      </c>
      <c r="X642" t="s">
        <v>50</v>
      </c>
      <c r="Y642" s="3">
        <v>9.19</v>
      </c>
      <c r="Z642" t="s">
        <v>73</v>
      </c>
      <c r="AA642" t="s">
        <v>4531</v>
      </c>
      <c r="AB642" t="s">
        <v>53</v>
      </c>
      <c r="AC642" s="3">
        <v>1.29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f t="shared" ref="AJ642:AJ705" si="20">AI642+AH642+AG642+AF642+AE642+AD642+AC642+Y642+V642+U642+T642</f>
        <v>13.360000000000001</v>
      </c>
      <c r="AK642" s="3">
        <f t="shared" ref="AK642:AK705" si="21">AJ642-Y642</f>
        <v>4.1700000000000017</v>
      </c>
    </row>
    <row r="643" spans="1:37">
      <c r="A643">
        <v>10304223</v>
      </c>
      <c r="B643" t="s">
        <v>37</v>
      </c>
      <c r="C643" t="s">
        <v>4532</v>
      </c>
      <c r="E643" t="s">
        <v>4533</v>
      </c>
      <c r="F643" t="s">
        <v>4534</v>
      </c>
      <c r="G643" t="s">
        <v>4535</v>
      </c>
      <c r="H643" t="s">
        <v>42</v>
      </c>
      <c r="I643" t="s">
        <v>4536</v>
      </c>
      <c r="J643" t="s">
        <v>4537</v>
      </c>
      <c r="K643" t="s">
        <v>4538</v>
      </c>
      <c r="L643" t="s">
        <v>82</v>
      </c>
      <c r="M643" t="s">
        <v>46</v>
      </c>
      <c r="N643" t="s">
        <v>47</v>
      </c>
      <c r="O643">
        <v>2</v>
      </c>
      <c r="P643">
        <v>1</v>
      </c>
      <c r="Q643">
        <v>2</v>
      </c>
      <c r="R643" t="s">
        <v>48</v>
      </c>
      <c r="S643" t="s">
        <v>49</v>
      </c>
      <c r="T643" s="3">
        <v>0.84</v>
      </c>
      <c r="U643" s="3">
        <v>0.23</v>
      </c>
      <c r="V643" s="3">
        <v>1.81</v>
      </c>
      <c r="W643">
        <v>1.08</v>
      </c>
      <c r="X643" t="s">
        <v>50</v>
      </c>
      <c r="Y643" s="3">
        <v>28.6</v>
      </c>
      <c r="Z643" t="s">
        <v>73</v>
      </c>
      <c r="AA643" t="s">
        <v>1776</v>
      </c>
      <c r="AB643" t="s">
        <v>53</v>
      </c>
      <c r="AC643" s="3">
        <v>1.29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f t="shared" si="20"/>
        <v>32.770000000000003</v>
      </c>
      <c r="AK643" s="3">
        <f t="shared" si="21"/>
        <v>4.1700000000000017</v>
      </c>
    </row>
    <row r="644" spans="1:37">
      <c r="A644">
        <v>10304829</v>
      </c>
      <c r="B644" t="s">
        <v>37</v>
      </c>
      <c r="C644" t="s">
        <v>4539</v>
      </c>
      <c r="E644" t="s">
        <v>4540</v>
      </c>
      <c r="F644" t="s">
        <v>4541</v>
      </c>
      <c r="G644" t="s">
        <v>4542</v>
      </c>
      <c r="H644" t="s">
        <v>42</v>
      </c>
      <c r="I644" t="s">
        <v>4543</v>
      </c>
      <c r="J644" t="s">
        <v>4544</v>
      </c>
      <c r="K644" t="s">
        <v>4545</v>
      </c>
      <c r="L644" t="s">
        <v>82</v>
      </c>
      <c r="M644" t="s">
        <v>46</v>
      </c>
      <c r="N644" t="s">
        <v>47</v>
      </c>
      <c r="O644">
        <v>1</v>
      </c>
      <c r="P644">
        <v>1</v>
      </c>
      <c r="Q644">
        <v>1</v>
      </c>
      <c r="R644" t="s">
        <v>48</v>
      </c>
      <c r="S644" t="s">
        <v>49</v>
      </c>
      <c r="T644" s="3">
        <v>0.84</v>
      </c>
      <c r="U644" s="3">
        <v>0.23</v>
      </c>
      <c r="V644" s="3">
        <v>0.94</v>
      </c>
      <c r="W644">
        <v>2.1</v>
      </c>
      <c r="X644" t="s">
        <v>50</v>
      </c>
      <c r="Y644" s="3">
        <v>9.19</v>
      </c>
      <c r="Z644" t="s">
        <v>73</v>
      </c>
      <c r="AA644" t="s">
        <v>4546</v>
      </c>
      <c r="AB644" t="s">
        <v>53</v>
      </c>
      <c r="AC644" s="3">
        <v>1.29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f t="shared" si="20"/>
        <v>12.49</v>
      </c>
      <c r="AK644" s="3">
        <f t="shared" si="21"/>
        <v>3.3000000000000007</v>
      </c>
    </row>
    <row r="645" spans="1:37">
      <c r="A645">
        <v>10306612</v>
      </c>
      <c r="B645" t="s">
        <v>37</v>
      </c>
      <c r="C645" t="s">
        <v>4547</v>
      </c>
      <c r="E645" t="s">
        <v>2333</v>
      </c>
      <c r="F645" t="s">
        <v>4548</v>
      </c>
      <c r="G645" t="s">
        <v>4549</v>
      </c>
      <c r="H645" t="s">
        <v>42</v>
      </c>
      <c r="I645" t="s">
        <v>4550</v>
      </c>
      <c r="J645" t="s">
        <v>4551</v>
      </c>
      <c r="K645" t="s">
        <v>4552</v>
      </c>
      <c r="L645" t="s">
        <v>142</v>
      </c>
      <c r="M645" t="s">
        <v>46</v>
      </c>
      <c r="N645" t="s">
        <v>47</v>
      </c>
      <c r="O645">
        <v>1</v>
      </c>
      <c r="P645">
        <v>1</v>
      </c>
      <c r="Q645">
        <v>1</v>
      </c>
      <c r="R645" t="s">
        <v>48</v>
      </c>
      <c r="S645" t="s">
        <v>49</v>
      </c>
      <c r="T645" s="3">
        <v>0.84</v>
      </c>
      <c r="U645" s="3">
        <v>0.23</v>
      </c>
      <c r="V645" s="3">
        <v>0.94</v>
      </c>
      <c r="W645">
        <v>2.5</v>
      </c>
      <c r="X645" t="s">
        <v>50</v>
      </c>
      <c r="Y645" s="3">
        <v>16.43</v>
      </c>
      <c r="Z645" t="s">
        <v>83</v>
      </c>
      <c r="AA645" t="s">
        <v>1272</v>
      </c>
      <c r="AB645" t="s">
        <v>53</v>
      </c>
      <c r="AC645" s="3">
        <v>1.27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f t="shared" si="20"/>
        <v>19.71</v>
      </c>
      <c r="AK645" s="3">
        <f t="shared" si="21"/>
        <v>3.2800000000000011</v>
      </c>
    </row>
    <row r="646" spans="1:37">
      <c r="A646">
        <v>10306607</v>
      </c>
      <c r="B646" t="s">
        <v>37</v>
      </c>
      <c r="C646" t="s">
        <v>4553</v>
      </c>
      <c r="E646" t="s">
        <v>4554</v>
      </c>
      <c r="F646" t="s">
        <v>4555</v>
      </c>
      <c r="G646" t="s">
        <v>4556</v>
      </c>
      <c r="H646" t="s">
        <v>42</v>
      </c>
      <c r="I646" t="s">
        <v>4557</v>
      </c>
      <c r="J646" t="s">
        <v>4558</v>
      </c>
      <c r="K646">
        <v>8450</v>
      </c>
      <c r="L646" t="s">
        <v>505</v>
      </c>
      <c r="M646" t="s">
        <v>46</v>
      </c>
      <c r="N646" t="s">
        <v>47</v>
      </c>
      <c r="O646">
        <v>1</v>
      </c>
      <c r="P646">
        <v>1</v>
      </c>
      <c r="Q646">
        <v>1</v>
      </c>
      <c r="R646" t="s">
        <v>48</v>
      </c>
      <c r="S646" t="s">
        <v>49</v>
      </c>
      <c r="T646" s="3">
        <v>0.84</v>
      </c>
      <c r="U646" s="3">
        <v>0.23</v>
      </c>
      <c r="V646" s="3">
        <v>0.94</v>
      </c>
      <c r="W646">
        <v>2.1</v>
      </c>
      <c r="X646" t="s">
        <v>50</v>
      </c>
      <c r="Y646" s="3">
        <v>9.19</v>
      </c>
      <c r="Z646" t="s">
        <v>73</v>
      </c>
      <c r="AA646" t="s">
        <v>4546</v>
      </c>
      <c r="AB646" t="s">
        <v>53</v>
      </c>
      <c r="AC646" s="3">
        <v>1.29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f t="shared" si="20"/>
        <v>12.49</v>
      </c>
      <c r="AK646" s="3">
        <f t="shared" si="21"/>
        <v>3.3000000000000007</v>
      </c>
    </row>
    <row r="647" spans="1:37">
      <c r="A647">
        <v>10305687</v>
      </c>
      <c r="B647" t="s">
        <v>37</v>
      </c>
      <c r="C647" t="s">
        <v>4559</v>
      </c>
      <c r="E647" t="s">
        <v>240</v>
      </c>
      <c r="F647" t="s">
        <v>4560</v>
      </c>
      <c r="G647" t="s">
        <v>4561</v>
      </c>
      <c r="H647" t="s">
        <v>42</v>
      </c>
      <c r="I647" t="s">
        <v>4562</v>
      </c>
      <c r="J647" t="s">
        <v>4563</v>
      </c>
      <c r="K647">
        <v>9065</v>
      </c>
      <c r="L647" t="s">
        <v>618</v>
      </c>
      <c r="M647" t="s">
        <v>46</v>
      </c>
      <c r="N647" t="s">
        <v>47</v>
      </c>
      <c r="O647">
        <v>1</v>
      </c>
      <c r="P647">
        <v>1</v>
      </c>
      <c r="Q647">
        <v>1</v>
      </c>
      <c r="R647" t="s">
        <v>48</v>
      </c>
      <c r="S647" t="s">
        <v>49</v>
      </c>
      <c r="T647" s="3">
        <v>0.84</v>
      </c>
      <c r="U647" s="3">
        <v>0.23</v>
      </c>
      <c r="V647" s="3">
        <v>0.94</v>
      </c>
      <c r="W647">
        <v>1.1200000000000001</v>
      </c>
      <c r="X647" t="s">
        <v>50</v>
      </c>
      <c r="Y647" s="3">
        <v>9.19</v>
      </c>
      <c r="Z647" t="s">
        <v>73</v>
      </c>
      <c r="AA647" t="s">
        <v>4564</v>
      </c>
      <c r="AB647" t="s">
        <v>53</v>
      </c>
      <c r="AC647" s="3">
        <v>1.29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f t="shared" si="20"/>
        <v>12.49</v>
      </c>
      <c r="AK647" s="3">
        <f t="shared" si="21"/>
        <v>3.3000000000000007</v>
      </c>
    </row>
    <row r="648" spans="1:37">
      <c r="A648">
        <v>10304226</v>
      </c>
      <c r="B648" t="s">
        <v>37</v>
      </c>
      <c r="C648" t="s">
        <v>4565</v>
      </c>
      <c r="E648" t="s">
        <v>4566</v>
      </c>
      <c r="F648" t="s">
        <v>4567</v>
      </c>
      <c r="G648" t="s">
        <v>4568</v>
      </c>
      <c r="H648" t="s">
        <v>42</v>
      </c>
      <c r="I648" t="s">
        <v>4569</v>
      </c>
      <c r="J648" t="s">
        <v>4570</v>
      </c>
      <c r="K648">
        <v>2121</v>
      </c>
      <c r="L648" t="s">
        <v>369</v>
      </c>
      <c r="M648" t="s">
        <v>46</v>
      </c>
      <c r="N648" t="s">
        <v>47</v>
      </c>
      <c r="O648">
        <v>1</v>
      </c>
      <c r="P648">
        <v>1</v>
      </c>
      <c r="Q648">
        <v>1</v>
      </c>
      <c r="R648" t="s">
        <v>48</v>
      </c>
      <c r="S648" t="s">
        <v>49</v>
      </c>
      <c r="T648" s="3">
        <v>0.84</v>
      </c>
      <c r="U648" s="3">
        <v>0.23</v>
      </c>
      <c r="V648" s="3">
        <v>0.94</v>
      </c>
      <c r="W648">
        <v>0.59</v>
      </c>
      <c r="X648" t="s">
        <v>50</v>
      </c>
      <c r="Y648" s="3">
        <v>9.19</v>
      </c>
      <c r="Z648" t="s">
        <v>109</v>
      </c>
      <c r="AA648" t="s">
        <v>862</v>
      </c>
      <c r="AB648" t="s">
        <v>53</v>
      </c>
      <c r="AC648" s="3">
        <v>1.06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f t="shared" si="20"/>
        <v>12.26</v>
      </c>
      <c r="AK648" s="3">
        <f t="shared" si="21"/>
        <v>3.0700000000000003</v>
      </c>
    </row>
    <row r="649" spans="1:37">
      <c r="A649">
        <v>10305681</v>
      </c>
      <c r="B649" t="s">
        <v>37</v>
      </c>
      <c r="C649" t="s">
        <v>4571</v>
      </c>
      <c r="E649" t="s">
        <v>4572</v>
      </c>
      <c r="F649" t="s">
        <v>4573</v>
      </c>
      <c r="G649" t="s">
        <v>4574</v>
      </c>
      <c r="H649" t="s">
        <v>42</v>
      </c>
      <c r="I649" t="s">
        <v>4575</v>
      </c>
      <c r="J649" t="s">
        <v>4576</v>
      </c>
      <c r="K649">
        <v>1150</v>
      </c>
      <c r="L649" t="s">
        <v>505</v>
      </c>
      <c r="M649" t="s">
        <v>46</v>
      </c>
      <c r="N649" t="s">
        <v>47</v>
      </c>
      <c r="O649">
        <v>1</v>
      </c>
      <c r="P649">
        <v>1</v>
      </c>
      <c r="Q649">
        <v>1</v>
      </c>
      <c r="R649" t="s">
        <v>48</v>
      </c>
      <c r="S649" t="s">
        <v>49</v>
      </c>
      <c r="T649" s="3">
        <v>0.84</v>
      </c>
      <c r="U649" s="3">
        <v>0.23</v>
      </c>
      <c r="V649" s="3">
        <v>0.94</v>
      </c>
      <c r="W649">
        <v>0.59</v>
      </c>
      <c r="X649" t="s">
        <v>50</v>
      </c>
      <c r="Y649" s="3">
        <v>9.19</v>
      </c>
      <c r="Z649" t="s">
        <v>109</v>
      </c>
      <c r="AA649" t="s">
        <v>887</v>
      </c>
      <c r="AB649" t="s">
        <v>53</v>
      </c>
      <c r="AC649" s="3">
        <v>1.06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f t="shared" si="20"/>
        <v>12.26</v>
      </c>
      <c r="AK649" s="3">
        <f t="shared" si="21"/>
        <v>3.0700000000000003</v>
      </c>
    </row>
    <row r="650" spans="1:37">
      <c r="A650">
        <v>10303809</v>
      </c>
      <c r="B650" t="s">
        <v>37</v>
      </c>
      <c r="C650" t="s">
        <v>4577</v>
      </c>
      <c r="E650" t="s">
        <v>4578</v>
      </c>
      <c r="F650" t="s">
        <v>4579</v>
      </c>
      <c r="G650" t="s">
        <v>4580</v>
      </c>
      <c r="H650" t="s">
        <v>42</v>
      </c>
      <c r="I650" t="s">
        <v>4581</v>
      </c>
      <c r="J650" t="s">
        <v>4582</v>
      </c>
      <c r="K650">
        <v>22844</v>
      </c>
      <c r="L650" t="s">
        <v>71</v>
      </c>
      <c r="M650" t="s">
        <v>46</v>
      </c>
      <c r="N650" t="s">
        <v>47</v>
      </c>
      <c r="O650">
        <v>1</v>
      </c>
      <c r="P650">
        <v>1</v>
      </c>
      <c r="Q650">
        <v>1</v>
      </c>
      <c r="R650" t="s">
        <v>48</v>
      </c>
      <c r="S650" t="s">
        <v>49</v>
      </c>
      <c r="T650" s="3">
        <v>0.84</v>
      </c>
      <c r="U650" s="3">
        <v>0.23</v>
      </c>
      <c r="V650" s="3">
        <v>0.94</v>
      </c>
      <c r="W650">
        <v>0.59</v>
      </c>
      <c r="X650" t="s">
        <v>108</v>
      </c>
      <c r="Y650" s="3">
        <v>5.13</v>
      </c>
      <c r="Z650" t="s">
        <v>109</v>
      </c>
      <c r="AA650" t="s">
        <v>1059</v>
      </c>
      <c r="AB650" t="s">
        <v>53</v>
      </c>
      <c r="AC650" s="3">
        <v>1.06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f t="shared" si="20"/>
        <v>8.1999999999999993</v>
      </c>
      <c r="AK650" s="3">
        <f t="shared" si="21"/>
        <v>3.0699999999999994</v>
      </c>
    </row>
    <row r="651" spans="1:37">
      <c r="A651">
        <v>10305514</v>
      </c>
      <c r="B651" t="s">
        <v>37</v>
      </c>
      <c r="C651" t="s">
        <v>4583</v>
      </c>
      <c r="E651" t="s">
        <v>4584</v>
      </c>
      <c r="F651" t="s">
        <v>4585</v>
      </c>
      <c r="G651" t="s">
        <v>4586</v>
      </c>
      <c r="H651" t="s">
        <v>42</v>
      </c>
      <c r="I651" t="s">
        <v>4587</v>
      </c>
      <c r="J651" t="s">
        <v>4588</v>
      </c>
      <c r="K651">
        <v>85053</v>
      </c>
      <c r="L651" t="s">
        <v>71</v>
      </c>
      <c r="M651" t="s">
        <v>46</v>
      </c>
      <c r="N651" t="s">
        <v>47</v>
      </c>
      <c r="O651">
        <v>1</v>
      </c>
      <c r="P651">
        <v>1</v>
      </c>
      <c r="Q651">
        <v>1</v>
      </c>
      <c r="R651" t="s">
        <v>48</v>
      </c>
      <c r="S651" t="s">
        <v>49</v>
      </c>
      <c r="T651" s="3">
        <v>0.84</v>
      </c>
      <c r="U651" s="3">
        <v>0.23</v>
      </c>
      <c r="V651" s="3">
        <v>0.94</v>
      </c>
      <c r="W651">
        <v>1.1200000000000001</v>
      </c>
      <c r="X651" t="s">
        <v>72</v>
      </c>
      <c r="Y651" s="3">
        <v>5.43</v>
      </c>
      <c r="Z651" t="s">
        <v>73</v>
      </c>
      <c r="AA651" t="s">
        <v>4589</v>
      </c>
      <c r="AB651" t="s">
        <v>53</v>
      </c>
      <c r="AC651" s="3">
        <v>1.29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f t="shared" si="20"/>
        <v>8.73</v>
      </c>
      <c r="AK651" s="3">
        <f t="shared" si="21"/>
        <v>3.3000000000000007</v>
      </c>
    </row>
    <row r="652" spans="1:37">
      <c r="A652">
        <v>10304441</v>
      </c>
      <c r="B652" t="s">
        <v>37</v>
      </c>
      <c r="C652" t="s">
        <v>4590</v>
      </c>
      <c r="E652" t="s">
        <v>4591</v>
      </c>
      <c r="F652" t="s">
        <v>4592</v>
      </c>
      <c r="G652" t="s">
        <v>4593</v>
      </c>
      <c r="H652" t="s">
        <v>42</v>
      </c>
      <c r="I652" t="s">
        <v>4594</v>
      </c>
      <c r="J652" t="s">
        <v>4595</v>
      </c>
      <c r="K652" t="s">
        <v>4596</v>
      </c>
      <c r="L652" t="s">
        <v>142</v>
      </c>
      <c r="M652" t="s">
        <v>46</v>
      </c>
      <c r="N652" t="s">
        <v>47</v>
      </c>
      <c r="O652">
        <v>1</v>
      </c>
      <c r="P652">
        <v>1</v>
      </c>
      <c r="Q652">
        <v>1</v>
      </c>
      <c r="R652" t="s">
        <v>48</v>
      </c>
      <c r="S652" t="s">
        <v>49</v>
      </c>
      <c r="T652" s="3">
        <v>0.84</v>
      </c>
      <c r="U652" s="3">
        <v>0.23</v>
      </c>
      <c r="V652" s="3">
        <v>0.94</v>
      </c>
      <c r="W652">
        <v>0.49</v>
      </c>
      <c r="X652" t="s">
        <v>50</v>
      </c>
      <c r="Y652" s="3">
        <v>16.43</v>
      </c>
      <c r="Z652" t="s">
        <v>109</v>
      </c>
      <c r="AA652" t="s">
        <v>4597</v>
      </c>
      <c r="AB652" t="s">
        <v>53</v>
      </c>
      <c r="AC652" s="3">
        <v>1.06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f t="shared" si="20"/>
        <v>19.5</v>
      </c>
      <c r="AK652" s="3">
        <f t="shared" si="21"/>
        <v>3.0700000000000003</v>
      </c>
    </row>
    <row r="653" spans="1:37">
      <c r="A653">
        <v>10304828</v>
      </c>
      <c r="B653" t="s">
        <v>37</v>
      </c>
      <c r="C653" t="s">
        <v>4598</v>
      </c>
      <c r="E653" t="s">
        <v>240</v>
      </c>
      <c r="F653" t="s">
        <v>4599</v>
      </c>
      <c r="G653" t="s">
        <v>4600</v>
      </c>
      <c r="H653" t="s">
        <v>42</v>
      </c>
      <c r="I653" t="s">
        <v>4601</v>
      </c>
      <c r="J653" t="s">
        <v>4602</v>
      </c>
      <c r="K653">
        <v>35031</v>
      </c>
      <c r="L653" t="s">
        <v>283</v>
      </c>
      <c r="M653" t="s">
        <v>46</v>
      </c>
      <c r="N653" t="s">
        <v>47</v>
      </c>
      <c r="O653">
        <v>1</v>
      </c>
      <c r="P653">
        <v>1</v>
      </c>
      <c r="Q653">
        <v>1</v>
      </c>
      <c r="R653" t="s">
        <v>48</v>
      </c>
      <c r="S653" t="s">
        <v>49</v>
      </c>
      <c r="T653" s="3">
        <v>0.84</v>
      </c>
      <c r="U653" s="3">
        <v>0.23</v>
      </c>
      <c r="V653" s="3">
        <v>0.94</v>
      </c>
      <c r="W653">
        <v>0.59</v>
      </c>
      <c r="X653" t="s">
        <v>50</v>
      </c>
      <c r="Y653" s="3">
        <v>14.98</v>
      </c>
      <c r="Z653" t="s">
        <v>109</v>
      </c>
      <c r="AA653" t="s">
        <v>245</v>
      </c>
      <c r="AB653" t="s">
        <v>53</v>
      </c>
      <c r="AC653" s="3">
        <v>1.06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f t="shared" si="20"/>
        <v>18.05</v>
      </c>
      <c r="AK653" s="3">
        <f t="shared" si="21"/>
        <v>3.0700000000000003</v>
      </c>
    </row>
    <row r="654" spans="1:37">
      <c r="A654">
        <v>10304834</v>
      </c>
      <c r="B654" t="s">
        <v>37</v>
      </c>
      <c r="C654" t="s">
        <v>4603</v>
      </c>
      <c r="E654" t="s">
        <v>4604</v>
      </c>
      <c r="F654" t="s">
        <v>4605</v>
      </c>
      <c r="G654" t="s">
        <v>4606</v>
      </c>
      <c r="H654" t="s">
        <v>42</v>
      </c>
      <c r="I654" t="s">
        <v>4607</v>
      </c>
      <c r="J654" t="s">
        <v>4608</v>
      </c>
      <c r="K654">
        <v>92200</v>
      </c>
      <c r="L654" t="s">
        <v>130</v>
      </c>
      <c r="M654" t="s">
        <v>46</v>
      </c>
      <c r="N654" t="s">
        <v>47</v>
      </c>
      <c r="O654">
        <v>1</v>
      </c>
      <c r="P654">
        <v>1</v>
      </c>
      <c r="Q654">
        <v>1</v>
      </c>
      <c r="R654" t="s">
        <v>48</v>
      </c>
      <c r="S654" t="s">
        <v>49</v>
      </c>
      <c r="T654" s="3">
        <v>0.84</v>
      </c>
      <c r="U654" s="3">
        <v>0.23</v>
      </c>
      <c r="V654" s="3">
        <v>0.94</v>
      </c>
      <c r="W654">
        <v>1.5</v>
      </c>
      <c r="X654" t="s">
        <v>50</v>
      </c>
      <c r="Y654" s="3">
        <v>14.9</v>
      </c>
      <c r="Z654" t="s">
        <v>73</v>
      </c>
      <c r="AA654" t="s">
        <v>198</v>
      </c>
      <c r="AB654" t="s">
        <v>53</v>
      </c>
      <c r="AC654" s="3">
        <v>1.29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f t="shared" si="20"/>
        <v>18.200000000000003</v>
      </c>
      <c r="AK654" s="3">
        <f t="shared" si="21"/>
        <v>3.3000000000000025</v>
      </c>
    </row>
    <row r="655" spans="1:37">
      <c r="A655">
        <v>10304224</v>
      </c>
      <c r="B655" t="s">
        <v>37</v>
      </c>
      <c r="C655" t="s">
        <v>4609</v>
      </c>
      <c r="E655" t="s">
        <v>3731</v>
      </c>
      <c r="F655" t="s">
        <v>4610</v>
      </c>
      <c r="G655" t="s">
        <v>4611</v>
      </c>
      <c r="H655" t="s">
        <v>42</v>
      </c>
      <c r="I655" t="s">
        <v>4612</v>
      </c>
      <c r="J655" t="s">
        <v>4613</v>
      </c>
      <c r="K655">
        <v>60439</v>
      </c>
      <c r="L655" t="s">
        <v>71</v>
      </c>
      <c r="M655" t="s">
        <v>46</v>
      </c>
      <c r="N655" t="s">
        <v>47</v>
      </c>
      <c r="O655">
        <v>1</v>
      </c>
      <c r="P655">
        <v>1</v>
      </c>
      <c r="Q655">
        <v>1</v>
      </c>
      <c r="R655" t="s">
        <v>48</v>
      </c>
      <c r="S655" t="s">
        <v>49</v>
      </c>
      <c r="T655" s="3">
        <v>0.84</v>
      </c>
      <c r="U655" s="3">
        <v>0.23</v>
      </c>
      <c r="V655" s="3">
        <v>0.94</v>
      </c>
      <c r="W655">
        <v>0.49</v>
      </c>
      <c r="X655" t="s">
        <v>108</v>
      </c>
      <c r="Y655" s="3">
        <v>5.13</v>
      </c>
      <c r="Z655" t="s">
        <v>109</v>
      </c>
      <c r="AA655" t="s">
        <v>2997</v>
      </c>
      <c r="AB655" t="s">
        <v>53</v>
      </c>
      <c r="AC655" s="3">
        <v>1.06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f t="shared" si="20"/>
        <v>8.1999999999999993</v>
      </c>
      <c r="AK655" s="3">
        <f t="shared" si="21"/>
        <v>3.0699999999999994</v>
      </c>
    </row>
    <row r="656" spans="1:37">
      <c r="A656">
        <v>10303808</v>
      </c>
      <c r="B656" t="s">
        <v>37</v>
      </c>
      <c r="C656" t="s">
        <v>4614</v>
      </c>
      <c r="E656" t="s">
        <v>4615</v>
      </c>
      <c r="F656" t="s">
        <v>4616</v>
      </c>
      <c r="G656" t="s">
        <v>4617</v>
      </c>
      <c r="H656" t="s">
        <v>42</v>
      </c>
      <c r="I656" t="s">
        <v>4618</v>
      </c>
      <c r="J656" t="s">
        <v>4619</v>
      </c>
      <c r="K656" t="s">
        <v>4620</v>
      </c>
      <c r="L656" t="s">
        <v>229</v>
      </c>
      <c r="M656" t="s">
        <v>46</v>
      </c>
      <c r="N656" t="s">
        <v>47</v>
      </c>
      <c r="O656">
        <v>1</v>
      </c>
      <c r="P656">
        <v>1</v>
      </c>
      <c r="Q656">
        <v>1</v>
      </c>
      <c r="R656" t="s">
        <v>48</v>
      </c>
      <c r="S656" t="s">
        <v>49</v>
      </c>
      <c r="T656" s="3">
        <v>0.84</v>
      </c>
      <c r="U656" s="3">
        <v>0.23</v>
      </c>
      <c r="V656" s="3">
        <v>0.94</v>
      </c>
      <c r="W656">
        <v>0.59</v>
      </c>
      <c r="X656" t="s">
        <v>50</v>
      </c>
      <c r="Y656" s="3">
        <v>14.18</v>
      </c>
      <c r="Z656" t="s">
        <v>109</v>
      </c>
      <c r="AA656" t="s">
        <v>2718</v>
      </c>
      <c r="AB656" t="s">
        <v>53</v>
      </c>
      <c r="AC656" s="3">
        <v>1.06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f t="shared" si="20"/>
        <v>17.25</v>
      </c>
      <c r="AK656" s="3">
        <f t="shared" si="21"/>
        <v>3.0700000000000003</v>
      </c>
    </row>
    <row r="657" spans="1:37">
      <c r="A657">
        <v>10304439</v>
      </c>
      <c r="B657" t="s">
        <v>37</v>
      </c>
      <c r="C657" t="s">
        <v>4621</v>
      </c>
      <c r="E657" t="s">
        <v>4622</v>
      </c>
      <c r="F657" t="s">
        <v>4623</v>
      </c>
      <c r="G657" t="s">
        <v>4624</v>
      </c>
      <c r="H657" t="s">
        <v>42</v>
      </c>
      <c r="I657" t="s">
        <v>4625</v>
      </c>
      <c r="J657" t="s">
        <v>4626</v>
      </c>
      <c r="K657">
        <v>82049</v>
      </c>
      <c r="L657" t="s">
        <v>71</v>
      </c>
      <c r="M657" t="s">
        <v>46</v>
      </c>
      <c r="N657" t="s">
        <v>47</v>
      </c>
      <c r="O657">
        <v>1</v>
      </c>
      <c r="P657">
        <v>1</v>
      </c>
      <c r="Q657">
        <v>1</v>
      </c>
      <c r="R657" t="s">
        <v>48</v>
      </c>
      <c r="S657" t="s">
        <v>49</v>
      </c>
      <c r="T657" s="3">
        <v>0.84</v>
      </c>
      <c r="U657" s="3">
        <v>0.23</v>
      </c>
      <c r="V657" s="3">
        <v>0.94</v>
      </c>
      <c r="W657">
        <v>0.55000000000000004</v>
      </c>
      <c r="X657" t="s">
        <v>108</v>
      </c>
      <c r="Y657" s="3">
        <v>5.13</v>
      </c>
      <c r="Z657" t="s">
        <v>109</v>
      </c>
      <c r="AA657" t="s">
        <v>4627</v>
      </c>
      <c r="AB657" t="s">
        <v>53</v>
      </c>
      <c r="AC657" s="3">
        <v>1.06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f t="shared" si="20"/>
        <v>8.1999999999999993</v>
      </c>
      <c r="AK657" s="3">
        <f t="shared" si="21"/>
        <v>3.0699999999999994</v>
      </c>
    </row>
    <row r="658" spans="1:37">
      <c r="A658">
        <v>10307144</v>
      </c>
      <c r="B658" t="s">
        <v>37</v>
      </c>
      <c r="C658" t="s">
        <v>4628</v>
      </c>
      <c r="E658" t="s">
        <v>351</v>
      </c>
      <c r="F658" t="s">
        <v>4629</v>
      </c>
      <c r="G658" t="s">
        <v>4630</v>
      </c>
      <c r="H658" t="s">
        <v>42</v>
      </c>
      <c r="I658" t="s">
        <v>4631</v>
      </c>
      <c r="J658" t="s">
        <v>4632</v>
      </c>
      <c r="K658">
        <v>25821</v>
      </c>
      <c r="L658" t="s">
        <v>71</v>
      </c>
      <c r="M658" t="s">
        <v>46</v>
      </c>
      <c r="N658" t="s">
        <v>47</v>
      </c>
      <c r="O658">
        <v>1</v>
      </c>
      <c r="P658">
        <v>1</v>
      </c>
      <c r="Q658">
        <v>1</v>
      </c>
      <c r="R658" t="s">
        <v>48</v>
      </c>
      <c r="S658" t="s">
        <v>49</v>
      </c>
      <c r="T658" s="3">
        <v>0.84</v>
      </c>
      <c r="U658" s="3">
        <v>0.23</v>
      </c>
      <c r="V658" s="3">
        <v>0.94</v>
      </c>
      <c r="W658">
        <v>0.49</v>
      </c>
      <c r="X658" t="s">
        <v>108</v>
      </c>
      <c r="Y658" s="3">
        <v>5.13</v>
      </c>
      <c r="Z658" t="s">
        <v>109</v>
      </c>
      <c r="AA658" t="s">
        <v>785</v>
      </c>
      <c r="AB658" t="s">
        <v>53</v>
      </c>
      <c r="AC658" s="3">
        <v>1.06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f t="shared" si="20"/>
        <v>8.1999999999999993</v>
      </c>
      <c r="AK658" s="3">
        <f t="shared" si="21"/>
        <v>3.0699999999999994</v>
      </c>
    </row>
    <row r="659" spans="1:37">
      <c r="A659">
        <v>10305515</v>
      </c>
      <c r="B659" t="s">
        <v>37</v>
      </c>
      <c r="C659" t="s">
        <v>4633</v>
      </c>
      <c r="E659" t="s">
        <v>215</v>
      </c>
      <c r="F659" t="s">
        <v>4634</v>
      </c>
      <c r="G659" t="s">
        <v>4635</v>
      </c>
      <c r="H659" t="s">
        <v>42</v>
      </c>
      <c r="I659" t="s">
        <v>4636</v>
      </c>
      <c r="J659" t="s">
        <v>4637</v>
      </c>
      <c r="K659" t="s">
        <v>4638</v>
      </c>
      <c r="L659" t="s">
        <v>71</v>
      </c>
      <c r="M659" t="s">
        <v>46</v>
      </c>
      <c r="N659" t="s">
        <v>47</v>
      </c>
      <c r="O659">
        <v>4</v>
      </c>
      <c r="P659">
        <v>1</v>
      </c>
      <c r="Q659">
        <v>4</v>
      </c>
      <c r="R659" t="s">
        <v>48</v>
      </c>
      <c r="S659" t="s">
        <v>49</v>
      </c>
      <c r="T659" s="3">
        <v>0.84</v>
      </c>
      <c r="U659" s="3">
        <v>0.23</v>
      </c>
      <c r="V659" s="3">
        <v>3.55</v>
      </c>
      <c r="W659">
        <v>1.73</v>
      </c>
      <c r="X659" t="s">
        <v>72</v>
      </c>
      <c r="Y659" s="3">
        <v>5.43</v>
      </c>
      <c r="Z659" t="s">
        <v>73</v>
      </c>
      <c r="AA659" t="s">
        <v>4639</v>
      </c>
      <c r="AB659" t="s">
        <v>53</v>
      </c>
      <c r="AC659" s="3">
        <v>1.29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f t="shared" si="20"/>
        <v>11.34</v>
      </c>
      <c r="AK659" s="3">
        <f t="shared" si="21"/>
        <v>5.91</v>
      </c>
    </row>
    <row r="660" spans="1:37">
      <c r="A660">
        <v>10306611</v>
      </c>
      <c r="B660" t="s">
        <v>37</v>
      </c>
      <c r="C660" t="s">
        <v>4640</v>
      </c>
      <c r="E660" t="s">
        <v>3681</v>
      </c>
      <c r="F660" t="s">
        <v>4641</v>
      </c>
      <c r="G660" t="s">
        <v>4642</v>
      </c>
      <c r="H660" t="s">
        <v>42</v>
      </c>
      <c r="I660" t="s">
        <v>4643</v>
      </c>
      <c r="J660" t="s">
        <v>4644</v>
      </c>
      <c r="K660">
        <v>79000</v>
      </c>
      <c r="L660" t="s">
        <v>130</v>
      </c>
      <c r="M660" t="s">
        <v>46</v>
      </c>
      <c r="N660" t="s">
        <v>47</v>
      </c>
      <c r="O660">
        <v>1</v>
      </c>
      <c r="P660">
        <v>1</v>
      </c>
      <c r="Q660">
        <v>1</v>
      </c>
      <c r="R660" t="s">
        <v>48</v>
      </c>
      <c r="S660" t="s">
        <v>49</v>
      </c>
      <c r="T660" s="3">
        <v>0.84</v>
      </c>
      <c r="U660" s="3">
        <v>0.23</v>
      </c>
      <c r="V660" s="3">
        <v>0.94</v>
      </c>
      <c r="W660">
        <v>0.59</v>
      </c>
      <c r="X660" t="s">
        <v>50</v>
      </c>
      <c r="Y660" s="3">
        <v>14.9</v>
      </c>
      <c r="Z660" t="s">
        <v>109</v>
      </c>
      <c r="AA660" t="s">
        <v>1371</v>
      </c>
      <c r="AB660" t="s">
        <v>53</v>
      </c>
      <c r="AC660" s="3">
        <v>1.06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f t="shared" si="20"/>
        <v>17.970000000000002</v>
      </c>
      <c r="AK660" s="3">
        <f t="shared" si="21"/>
        <v>3.0700000000000021</v>
      </c>
    </row>
    <row r="661" spans="1:37">
      <c r="A661">
        <v>10303614</v>
      </c>
      <c r="B661" t="s">
        <v>37</v>
      </c>
      <c r="C661" t="s">
        <v>4645</v>
      </c>
      <c r="E661" t="s">
        <v>3407</v>
      </c>
      <c r="F661" t="s">
        <v>1222</v>
      </c>
      <c r="G661" t="s">
        <v>4646</v>
      </c>
      <c r="H661" t="s">
        <v>42</v>
      </c>
      <c r="I661" t="s">
        <v>4647</v>
      </c>
      <c r="J661" t="s">
        <v>4648</v>
      </c>
      <c r="K661" t="s">
        <v>4649</v>
      </c>
      <c r="L661" t="s">
        <v>142</v>
      </c>
      <c r="M661" t="s">
        <v>46</v>
      </c>
      <c r="N661" t="s">
        <v>47</v>
      </c>
      <c r="O661">
        <v>1</v>
      </c>
      <c r="P661">
        <v>1</v>
      </c>
      <c r="Q661">
        <v>1</v>
      </c>
      <c r="R661" t="s">
        <v>48</v>
      </c>
      <c r="S661" t="s">
        <v>49</v>
      </c>
      <c r="T661" s="3">
        <v>0.84</v>
      </c>
      <c r="U661" s="3">
        <v>0.23</v>
      </c>
      <c r="V661" s="3">
        <v>0.94</v>
      </c>
      <c r="W661">
        <v>3.1</v>
      </c>
      <c r="X661" t="s">
        <v>50</v>
      </c>
      <c r="Y661" s="3">
        <v>16.43</v>
      </c>
      <c r="Z661" t="s">
        <v>83</v>
      </c>
      <c r="AA661" t="s">
        <v>894</v>
      </c>
      <c r="AB661" t="s">
        <v>53</v>
      </c>
      <c r="AC661" s="3">
        <v>1.27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f t="shared" si="20"/>
        <v>19.71</v>
      </c>
      <c r="AK661" s="3">
        <f t="shared" si="21"/>
        <v>3.2800000000000011</v>
      </c>
    </row>
    <row r="662" spans="1:37">
      <c r="A662">
        <v>10305512</v>
      </c>
      <c r="B662" t="s">
        <v>37</v>
      </c>
      <c r="C662" t="s">
        <v>4650</v>
      </c>
      <c r="E662" t="s">
        <v>547</v>
      </c>
      <c r="F662" t="s">
        <v>4651</v>
      </c>
      <c r="G662" t="s">
        <v>4652</v>
      </c>
      <c r="H662" t="s">
        <v>42</v>
      </c>
      <c r="I662" t="s">
        <v>4653</v>
      </c>
      <c r="J662" t="s">
        <v>4654</v>
      </c>
      <c r="K662" t="s">
        <v>4655</v>
      </c>
      <c r="L662" t="s">
        <v>142</v>
      </c>
      <c r="M662" t="s">
        <v>46</v>
      </c>
      <c r="N662" t="s">
        <v>47</v>
      </c>
      <c r="O662">
        <v>6</v>
      </c>
      <c r="P662">
        <v>1</v>
      </c>
      <c r="Q662">
        <v>6</v>
      </c>
      <c r="R662" t="s">
        <v>48</v>
      </c>
      <c r="S662" t="s">
        <v>49</v>
      </c>
      <c r="T662" s="3">
        <v>0.84</v>
      </c>
      <c r="U662" s="3">
        <v>0.23</v>
      </c>
      <c r="V662" s="3">
        <v>5.29</v>
      </c>
      <c r="W662">
        <v>2.44</v>
      </c>
      <c r="X662" t="s">
        <v>50</v>
      </c>
      <c r="Y662" s="3">
        <v>16.43</v>
      </c>
      <c r="Z662" t="s">
        <v>83</v>
      </c>
      <c r="AA662" t="s">
        <v>2104</v>
      </c>
      <c r="AB662" t="s">
        <v>53</v>
      </c>
      <c r="AC662" s="3">
        <v>1.27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f t="shared" si="20"/>
        <v>24.06</v>
      </c>
      <c r="AK662" s="3">
        <f t="shared" si="21"/>
        <v>7.629999999999999</v>
      </c>
    </row>
    <row r="663" spans="1:37">
      <c r="A663">
        <v>10306613</v>
      </c>
      <c r="B663" t="s">
        <v>37</v>
      </c>
      <c r="C663" t="s">
        <v>4656</v>
      </c>
      <c r="E663" t="s">
        <v>1292</v>
      </c>
      <c r="F663" t="s">
        <v>4657</v>
      </c>
      <c r="G663" t="s">
        <v>4658</v>
      </c>
      <c r="H663" t="s">
        <v>42</v>
      </c>
      <c r="I663" t="s">
        <v>4659</v>
      </c>
      <c r="J663" t="s">
        <v>4660</v>
      </c>
      <c r="K663">
        <v>21423</v>
      </c>
      <c r="L663" t="s">
        <v>71</v>
      </c>
      <c r="M663" t="s">
        <v>46</v>
      </c>
      <c r="N663" t="s">
        <v>47</v>
      </c>
      <c r="O663">
        <v>1</v>
      </c>
      <c r="P663">
        <v>1</v>
      </c>
      <c r="Q663">
        <v>1</v>
      </c>
      <c r="R663" t="s">
        <v>48</v>
      </c>
      <c r="S663" t="s">
        <v>49</v>
      </c>
      <c r="T663" s="3">
        <v>0.84</v>
      </c>
      <c r="U663" s="3">
        <v>0.23</v>
      </c>
      <c r="V663" s="3">
        <v>0.94</v>
      </c>
      <c r="W663">
        <v>0.59</v>
      </c>
      <c r="X663" t="s">
        <v>108</v>
      </c>
      <c r="Y663" s="3">
        <v>5.13</v>
      </c>
      <c r="Z663" t="s">
        <v>109</v>
      </c>
      <c r="AA663" t="s">
        <v>1966</v>
      </c>
      <c r="AB663" t="s">
        <v>53</v>
      </c>
      <c r="AC663" s="3">
        <v>1.06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f t="shared" si="20"/>
        <v>8.1999999999999993</v>
      </c>
      <c r="AK663" s="3">
        <f t="shared" si="21"/>
        <v>3.0699999999999994</v>
      </c>
    </row>
    <row r="664" spans="1:37">
      <c r="A664">
        <v>10304444</v>
      </c>
      <c r="B664" t="s">
        <v>37</v>
      </c>
      <c r="C664" t="s">
        <v>4661</v>
      </c>
      <c r="E664" t="s">
        <v>4662</v>
      </c>
      <c r="F664" t="s">
        <v>4663</v>
      </c>
      <c r="G664" t="s">
        <v>4664</v>
      </c>
      <c r="H664" t="s">
        <v>42</v>
      </c>
      <c r="I664" t="s">
        <v>4665</v>
      </c>
      <c r="J664" t="s">
        <v>4666</v>
      </c>
      <c r="K664" t="s">
        <v>4667</v>
      </c>
      <c r="L664" t="s">
        <v>82</v>
      </c>
      <c r="M664" t="s">
        <v>46</v>
      </c>
      <c r="N664" t="s">
        <v>47</v>
      </c>
      <c r="O664">
        <v>1</v>
      </c>
      <c r="P664">
        <v>1</v>
      </c>
      <c r="Q664">
        <v>1</v>
      </c>
      <c r="R664" t="s">
        <v>48</v>
      </c>
      <c r="S664" t="s">
        <v>49</v>
      </c>
      <c r="T664" s="3">
        <v>0.84</v>
      </c>
      <c r="U664" s="3">
        <v>0.23</v>
      </c>
      <c r="V664" s="3">
        <v>0.94</v>
      </c>
      <c r="W664">
        <v>0.59</v>
      </c>
      <c r="X664" t="s">
        <v>50</v>
      </c>
      <c r="Y664" s="3">
        <v>9.19</v>
      </c>
      <c r="Z664" t="s">
        <v>109</v>
      </c>
      <c r="AA664" t="s">
        <v>4668</v>
      </c>
      <c r="AB664" t="s">
        <v>53</v>
      </c>
      <c r="AC664" s="3">
        <v>1.06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f t="shared" si="20"/>
        <v>12.26</v>
      </c>
      <c r="AK664" s="3">
        <f t="shared" si="21"/>
        <v>3.0700000000000003</v>
      </c>
    </row>
    <row r="665" spans="1:37">
      <c r="A665">
        <v>10312019</v>
      </c>
      <c r="B665" t="s">
        <v>37</v>
      </c>
      <c r="C665" t="s">
        <v>4669</v>
      </c>
      <c r="E665" t="s">
        <v>809</v>
      </c>
      <c r="F665" t="s">
        <v>4670</v>
      </c>
      <c r="G665" t="s">
        <v>4671</v>
      </c>
      <c r="H665" t="s">
        <v>42</v>
      </c>
      <c r="I665" t="s">
        <v>4672</v>
      </c>
      <c r="J665" t="s">
        <v>4673</v>
      </c>
      <c r="K665" t="s">
        <v>4674</v>
      </c>
      <c r="L665" t="s">
        <v>82</v>
      </c>
      <c r="M665" t="s">
        <v>46</v>
      </c>
      <c r="N665" t="s">
        <v>47</v>
      </c>
      <c r="O665">
        <v>1</v>
      </c>
      <c r="P665">
        <v>1</v>
      </c>
      <c r="Q665">
        <v>1</v>
      </c>
      <c r="R665" t="s">
        <v>48</v>
      </c>
      <c r="S665" t="s">
        <v>49</v>
      </c>
      <c r="T665" s="3">
        <v>0.84</v>
      </c>
      <c r="U665" s="3">
        <v>0.23</v>
      </c>
      <c r="V665" s="3">
        <v>0.94</v>
      </c>
      <c r="W665">
        <v>1.1200000000000001</v>
      </c>
      <c r="X665" t="s">
        <v>50</v>
      </c>
      <c r="Y665" s="3">
        <v>9.19</v>
      </c>
      <c r="Z665" t="s">
        <v>73</v>
      </c>
      <c r="AA665" t="s">
        <v>4564</v>
      </c>
      <c r="AB665" t="s">
        <v>53</v>
      </c>
      <c r="AC665" s="3">
        <v>1.29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f t="shared" si="20"/>
        <v>12.49</v>
      </c>
      <c r="AK665" s="3">
        <f t="shared" si="21"/>
        <v>3.3000000000000007</v>
      </c>
    </row>
    <row r="666" spans="1:37">
      <c r="A666">
        <v>10306957</v>
      </c>
      <c r="B666" t="s">
        <v>37</v>
      </c>
      <c r="C666" t="s">
        <v>4675</v>
      </c>
      <c r="E666" t="s">
        <v>4676</v>
      </c>
      <c r="F666" t="s">
        <v>4677</v>
      </c>
      <c r="G666" t="s">
        <v>4678</v>
      </c>
      <c r="H666" t="s">
        <v>42</v>
      </c>
      <c r="I666" t="s">
        <v>4679</v>
      </c>
      <c r="J666" t="s">
        <v>4680</v>
      </c>
      <c r="K666" t="s">
        <v>4681</v>
      </c>
      <c r="L666" t="s">
        <v>82</v>
      </c>
      <c r="M666" t="s">
        <v>46</v>
      </c>
      <c r="N666" t="s">
        <v>47</v>
      </c>
      <c r="O666">
        <v>1</v>
      </c>
      <c r="P666">
        <v>1</v>
      </c>
      <c r="Q666">
        <v>1</v>
      </c>
      <c r="R666" t="s">
        <v>48</v>
      </c>
      <c r="S666" t="s">
        <v>49</v>
      </c>
      <c r="T666" s="3">
        <v>0.84</v>
      </c>
      <c r="U666" s="3">
        <v>0.23</v>
      </c>
      <c r="V666" s="3">
        <v>0.94</v>
      </c>
      <c r="W666">
        <v>0.49</v>
      </c>
      <c r="X666" t="s">
        <v>50</v>
      </c>
      <c r="Y666" s="3">
        <v>9.19</v>
      </c>
      <c r="Z666" t="s">
        <v>109</v>
      </c>
      <c r="AA666" t="s">
        <v>714</v>
      </c>
      <c r="AB666" t="s">
        <v>53</v>
      </c>
      <c r="AC666" s="3">
        <v>1.06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f t="shared" si="20"/>
        <v>12.26</v>
      </c>
      <c r="AK666" s="3">
        <f t="shared" si="21"/>
        <v>3.0700000000000003</v>
      </c>
    </row>
    <row r="667" spans="1:37">
      <c r="A667">
        <v>10305212</v>
      </c>
      <c r="B667" t="s">
        <v>37</v>
      </c>
      <c r="C667" t="s">
        <v>4682</v>
      </c>
      <c r="E667" t="s">
        <v>4683</v>
      </c>
      <c r="F667" t="s">
        <v>4684</v>
      </c>
      <c r="G667" t="s">
        <v>4685</v>
      </c>
      <c r="H667" t="s">
        <v>42</v>
      </c>
      <c r="I667" t="s">
        <v>4686</v>
      </c>
      <c r="J667" t="s">
        <v>4687</v>
      </c>
      <c r="K667" t="s">
        <v>4688</v>
      </c>
      <c r="L667" t="s">
        <v>142</v>
      </c>
      <c r="M667" t="s">
        <v>46</v>
      </c>
      <c r="N667" t="s">
        <v>47</v>
      </c>
      <c r="O667">
        <v>1</v>
      </c>
      <c r="P667">
        <v>1</v>
      </c>
      <c r="Q667">
        <v>1</v>
      </c>
      <c r="R667" t="s">
        <v>48</v>
      </c>
      <c r="S667" t="s">
        <v>49</v>
      </c>
      <c r="T667" s="3">
        <v>0.84</v>
      </c>
      <c r="U667" s="3">
        <v>0.23</v>
      </c>
      <c r="V667" s="3">
        <v>0.94</v>
      </c>
      <c r="W667">
        <v>0.59</v>
      </c>
      <c r="X667" t="s">
        <v>50</v>
      </c>
      <c r="Y667" s="3">
        <v>16.43</v>
      </c>
      <c r="Z667" t="s">
        <v>109</v>
      </c>
      <c r="AA667" t="s">
        <v>862</v>
      </c>
      <c r="AB667" t="s">
        <v>53</v>
      </c>
      <c r="AC667" s="3">
        <v>1.06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f t="shared" si="20"/>
        <v>19.5</v>
      </c>
      <c r="AK667" s="3">
        <f t="shared" si="21"/>
        <v>3.0700000000000003</v>
      </c>
    </row>
    <row r="668" spans="1:37">
      <c r="A668">
        <v>10306608</v>
      </c>
      <c r="B668" t="s">
        <v>37</v>
      </c>
      <c r="C668" t="s">
        <v>4689</v>
      </c>
      <c r="E668" t="s">
        <v>2984</v>
      </c>
      <c r="F668" t="s">
        <v>4690</v>
      </c>
      <c r="G668" t="s">
        <v>4691</v>
      </c>
      <c r="H668" t="s">
        <v>42</v>
      </c>
      <c r="I668" t="s">
        <v>4692</v>
      </c>
      <c r="J668" t="s">
        <v>4693</v>
      </c>
      <c r="K668" t="s">
        <v>4694</v>
      </c>
      <c r="L668" t="s">
        <v>142</v>
      </c>
      <c r="M668" t="s">
        <v>46</v>
      </c>
      <c r="N668" t="s">
        <v>47</v>
      </c>
      <c r="O668">
        <v>4</v>
      </c>
      <c r="P668">
        <v>1</v>
      </c>
      <c r="Q668">
        <v>4</v>
      </c>
      <c r="R668" t="s">
        <v>48</v>
      </c>
      <c r="S668" t="s">
        <v>49</v>
      </c>
      <c r="T668" s="3">
        <v>0.84</v>
      </c>
      <c r="U668" s="3">
        <v>0.23</v>
      </c>
      <c r="V668" s="3">
        <v>3.55</v>
      </c>
      <c r="W668">
        <v>2.06</v>
      </c>
      <c r="X668" t="s">
        <v>50</v>
      </c>
      <c r="Y668" s="3">
        <v>16.43</v>
      </c>
      <c r="Z668" t="s">
        <v>73</v>
      </c>
      <c r="AA668" t="s">
        <v>1694</v>
      </c>
      <c r="AB668" t="s">
        <v>53</v>
      </c>
      <c r="AC668" s="3">
        <v>1.29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f t="shared" si="20"/>
        <v>22.34</v>
      </c>
      <c r="AK668" s="3">
        <f t="shared" si="21"/>
        <v>5.91</v>
      </c>
    </row>
    <row r="669" spans="1:37">
      <c r="A669">
        <v>10308705</v>
      </c>
      <c r="B669" t="s">
        <v>37</v>
      </c>
      <c r="C669" t="s">
        <v>4695</v>
      </c>
      <c r="E669" t="s">
        <v>3681</v>
      </c>
      <c r="F669" t="s">
        <v>4696</v>
      </c>
      <c r="G669" t="s">
        <v>4697</v>
      </c>
      <c r="H669" t="s">
        <v>42</v>
      </c>
      <c r="I669" t="s">
        <v>4698</v>
      </c>
      <c r="J669" t="s">
        <v>4699</v>
      </c>
      <c r="K669" t="s">
        <v>4700</v>
      </c>
      <c r="L669" t="s">
        <v>142</v>
      </c>
      <c r="M669" t="s">
        <v>46</v>
      </c>
      <c r="N669" t="s">
        <v>47</v>
      </c>
      <c r="O669">
        <v>1</v>
      </c>
      <c r="P669">
        <v>1</v>
      </c>
      <c r="Q669">
        <v>1</v>
      </c>
      <c r="R669" t="s">
        <v>48</v>
      </c>
      <c r="S669" t="s">
        <v>49</v>
      </c>
      <c r="T669" s="3">
        <v>0.84</v>
      </c>
      <c r="U669" s="3">
        <v>0.23</v>
      </c>
      <c r="V669" s="3">
        <v>0.94</v>
      </c>
      <c r="W669">
        <v>0.65</v>
      </c>
      <c r="X669" t="s">
        <v>50</v>
      </c>
      <c r="Y669" s="3">
        <v>16.43</v>
      </c>
      <c r="Z669" t="s">
        <v>73</v>
      </c>
      <c r="AA669" t="s">
        <v>4701</v>
      </c>
      <c r="AB669" t="s">
        <v>53</v>
      </c>
      <c r="AC669" s="3">
        <v>1.29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f t="shared" si="20"/>
        <v>19.73</v>
      </c>
      <c r="AK669" s="3">
        <f t="shared" si="21"/>
        <v>3.3000000000000007</v>
      </c>
    </row>
    <row r="670" spans="1:37">
      <c r="A670">
        <v>10312020</v>
      </c>
      <c r="B670" t="s">
        <v>37</v>
      </c>
      <c r="C670" t="s">
        <v>4702</v>
      </c>
      <c r="E670" t="s">
        <v>2012</v>
      </c>
      <c r="F670" t="s">
        <v>4703</v>
      </c>
      <c r="G670" t="s">
        <v>4704</v>
      </c>
      <c r="H670" t="s">
        <v>42</v>
      </c>
      <c r="I670" t="s">
        <v>4705</v>
      </c>
      <c r="J670" t="s">
        <v>4706</v>
      </c>
      <c r="K670">
        <v>9521</v>
      </c>
      <c r="L670" t="s">
        <v>505</v>
      </c>
      <c r="M670" t="s">
        <v>46</v>
      </c>
      <c r="N670" t="s">
        <v>47</v>
      </c>
      <c r="O670">
        <v>1</v>
      </c>
      <c r="P670">
        <v>1</v>
      </c>
      <c r="Q670">
        <v>1</v>
      </c>
      <c r="R670" t="s">
        <v>48</v>
      </c>
      <c r="S670" t="s">
        <v>49</v>
      </c>
      <c r="T670" s="3">
        <v>0.84</v>
      </c>
      <c r="U670" s="3">
        <v>0.23</v>
      </c>
      <c r="V670" s="3">
        <v>0.94</v>
      </c>
      <c r="W670">
        <v>0.49</v>
      </c>
      <c r="X670" t="s">
        <v>50</v>
      </c>
      <c r="Y670" s="3">
        <v>9.19</v>
      </c>
      <c r="Z670" t="s">
        <v>109</v>
      </c>
      <c r="AA670" t="s">
        <v>785</v>
      </c>
      <c r="AB670" t="s">
        <v>53</v>
      </c>
      <c r="AC670" s="3">
        <v>1.06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f t="shared" si="20"/>
        <v>12.26</v>
      </c>
      <c r="AK670" s="3">
        <f t="shared" si="21"/>
        <v>3.0700000000000003</v>
      </c>
    </row>
    <row r="671" spans="1:37">
      <c r="A671">
        <v>10306610</v>
      </c>
      <c r="B671" t="s">
        <v>37</v>
      </c>
      <c r="C671" t="s">
        <v>4707</v>
      </c>
      <c r="E671" t="s">
        <v>4708</v>
      </c>
      <c r="F671" t="s">
        <v>4709</v>
      </c>
      <c r="G671" t="s">
        <v>4710</v>
      </c>
      <c r="H671" t="s">
        <v>42</v>
      </c>
      <c r="I671" t="s">
        <v>4711</v>
      </c>
      <c r="J671" t="s">
        <v>4712</v>
      </c>
      <c r="K671" t="s">
        <v>4713</v>
      </c>
      <c r="L671" t="s">
        <v>142</v>
      </c>
      <c r="M671" t="s">
        <v>46</v>
      </c>
      <c r="N671" t="s">
        <v>47</v>
      </c>
      <c r="O671">
        <v>4</v>
      </c>
      <c r="P671">
        <v>1</v>
      </c>
      <c r="Q671">
        <v>4</v>
      </c>
      <c r="R671" t="s">
        <v>48</v>
      </c>
      <c r="S671" t="s">
        <v>49</v>
      </c>
      <c r="T671" s="3">
        <v>0.84</v>
      </c>
      <c r="U671" s="3">
        <v>0.23</v>
      </c>
      <c r="V671" s="3">
        <v>3.55</v>
      </c>
      <c r="W671">
        <v>1.66</v>
      </c>
      <c r="X671" t="s">
        <v>50</v>
      </c>
      <c r="Y671" s="3">
        <v>16.43</v>
      </c>
      <c r="Z671" t="s">
        <v>73</v>
      </c>
      <c r="AA671" t="s">
        <v>2989</v>
      </c>
      <c r="AB671" t="s">
        <v>53</v>
      </c>
      <c r="AC671" s="3">
        <v>1.29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f t="shared" si="20"/>
        <v>22.34</v>
      </c>
      <c r="AK671" s="3">
        <f t="shared" si="21"/>
        <v>5.91</v>
      </c>
    </row>
    <row r="672" spans="1:37">
      <c r="A672">
        <v>10309521</v>
      </c>
      <c r="B672" t="s">
        <v>37</v>
      </c>
      <c r="C672" t="s">
        <v>4714</v>
      </c>
      <c r="E672" t="s">
        <v>4715</v>
      </c>
      <c r="F672" t="s">
        <v>4716</v>
      </c>
      <c r="G672" t="s">
        <v>4717</v>
      </c>
      <c r="H672" t="s">
        <v>42</v>
      </c>
      <c r="I672" t="s">
        <v>4718</v>
      </c>
      <c r="J672" t="s">
        <v>4719</v>
      </c>
      <c r="K672" t="s">
        <v>4720</v>
      </c>
      <c r="L672" t="s">
        <v>82</v>
      </c>
      <c r="M672" t="s">
        <v>46</v>
      </c>
      <c r="N672" t="s">
        <v>47</v>
      </c>
      <c r="O672">
        <v>1</v>
      </c>
      <c r="P672">
        <v>1</v>
      </c>
      <c r="Q672">
        <v>1</v>
      </c>
      <c r="R672" t="s">
        <v>48</v>
      </c>
      <c r="S672" t="s">
        <v>49</v>
      </c>
      <c r="T672" s="3">
        <v>0.84</v>
      </c>
      <c r="U672" s="3">
        <v>0.23</v>
      </c>
      <c r="V672" s="3">
        <v>0.94</v>
      </c>
      <c r="W672">
        <v>2.1</v>
      </c>
      <c r="X672" t="s">
        <v>50</v>
      </c>
      <c r="Y672" s="3">
        <v>9.19</v>
      </c>
      <c r="Z672" t="s">
        <v>83</v>
      </c>
      <c r="AA672" t="s">
        <v>4162</v>
      </c>
      <c r="AB672" t="s">
        <v>53</v>
      </c>
      <c r="AC672" s="3">
        <v>1.27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f t="shared" si="20"/>
        <v>12.469999999999999</v>
      </c>
      <c r="AK672" s="3">
        <f t="shared" si="21"/>
        <v>3.2799999999999994</v>
      </c>
    </row>
    <row r="673" spans="1:37">
      <c r="A673">
        <v>10304832</v>
      </c>
      <c r="B673" t="s">
        <v>37</v>
      </c>
      <c r="C673" t="s">
        <v>4721</v>
      </c>
      <c r="E673" t="s">
        <v>4722</v>
      </c>
      <c r="F673" t="s">
        <v>1359</v>
      </c>
      <c r="G673" t="s">
        <v>4723</v>
      </c>
      <c r="H673" t="s">
        <v>42</v>
      </c>
      <c r="I673" t="s">
        <v>4724</v>
      </c>
      <c r="J673" t="s">
        <v>4725</v>
      </c>
      <c r="K673" t="s">
        <v>4726</v>
      </c>
      <c r="L673" t="s">
        <v>142</v>
      </c>
      <c r="M673" t="s">
        <v>46</v>
      </c>
      <c r="N673" t="s">
        <v>47</v>
      </c>
      <c r="O673">
        <v>5</v>
      </c>
      <c r="P673">
        <v>1</v>
      </c>
      <c r="Q673">
        <v>5</v>
      </c>
      <c r="R673" t="s">
        <v>48</v>
      </c>
      <c r="S673" t="s">
        <v>49</v>
      </c>
      <c r="T673" s="3">
        <v>0.84</v>
      </c>
      <c r="U673" s="3">
        <v>0.23</v>
      </c>
      <c r="V673" s="3">
        <v>4.42</v>
      </c>
      <c r="W673">
        <v>3.06</v>
      </c>
      <c r="X673" t="s">
        <v>50</v>
      </c>
      <c r="Y673" s="3">
        <v>16.43</v>
      </c>
      <c r="Z673" t="s">
        <v>73</v>
      </c>
      <c r="AA673" t="s">
        <v>4727</v>
      </c>
      <c r="AB673" t="s">
        <v>53</v>
      </c>
      <c r="AC673" s="3">
        <v>1.29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f t="shared" si="20"/>
        <v>23.21</v>
      </c>
      <c r="AK673" s="3">
        <f t="shared" si="21"/>
        <v>6.7800000000000011</v>
      </c>
    </row>
    <row r="674" spans="1:37">
      <c r="A674">
        <v>10310053</v>
      </c>
      <c r="B674" t="s">
        <v>37</v>
      </c>
      <c r="C674" t="s">
        <v>4728</v>
      </c>
      <c r="E674" t="s">
        <v>4729</v>
      </c>
      <c r="F674" t="s">
        <v>4730</v>
      </c>
      <c r="G674" t="s">
        <v>4731</v>
      </c>
      <c r="H674" t="s">
        <v>42</v>
      </c>
      <c r="I674" t="s">
        <v>4732</v>
      </c>
      <c r="J674" t="s">
        <v>4733</v>
      </c>
      <c r="K674">
        <v>30322</v>
      </c>
      <c r="L674" t="s">
        <v>71</v>
      </c>
      <c r="M674" t="s">
        <v>46</v>
      </c>
      <c r="N674" t="s">
        <v>47</v>
      </c>
      <c r="O674">
        <v>1</v>
      </c>
      <c r="P674">
        <v>1</v>
      </c>
      <c r="Q674">
        <v>1</v>
      </c>
      <c r="R674" t="s">
        <v>48</v>
      </c>
      <c r="S674" t="s">
        <v>49</v>
      </c>
      <c r="T674" s="3">
        <v>0.84</v>
      </c>
      <c r="U674" s="3">
        <v>0.23</v>
      </c>
      <c r="V674" s="3">
        <v>0.94</v>
      </c>
      <c r="W674">
        <v>0.49</v>
      </c>
      <c r="X674" t="s">
        <v>108</v>
      </c>
      <c r="Y674" s="3">
        <v>14.79</v>
      </c>
      <c r="Z674" t="s">
        <v>109</v>
      </c>
      <c r="AA674" t="s">
        <v>793</v>
      </c>
      <c r="AB674" t="s">
        <v>53</v>
      </c>
      <c r="AC674" s="3">
        <v>1.06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f t="shared" si="20"/>
        <v>17.86</v>
      </c>
      <c r="AK674" s="3">
        <f t="shared" si="21"/>
        <v>3.0700000000000003</v>
      </c>
    </row>
    <row r="675" spans="1:37">
      <c r="A675">
        <v>10306959</v>
      </c>
      <c r="B675" t="s">
        <v>37</v>
      </c>
      <c r="C675" t="s">
        <v>4734</v>
      </c>
      <c r="E675" t="s">
        <v>4735</v>
      </c>
      <c r="F675" t="s">
        <v>4736</v>
      </c>
      <c r="G675" t="s">
        <v>4737</v>
      </c>
      <c r="H675" t="s">
        <v>42</v>
      </c>
      <c r="I675" t="s">
        <v>4738</v>
      </c>
      <c r="J675" t="s">
        <v>4739</v>
      </c>
      <c r="K675">
        <v>22081</v>
      </c>
      <c r="L675" t="s">
        <v>71</v>
      </c>
      <c r="M675" t="s">
        <v>46</v>
      </c>
      <c r="N675" t="s">
        <v>47</v>
      </c>
      <c r="O675">
        <v>4</v>
      </c>
      <c r="P675">
        <v>1</v>
      </c>
      <c r="Q675">
        <v>4</v>
      </c>
      <c r="R675" t="s">
        <v>48</v>
      </c>
      <c r="S675" t="s">
        <v>49</v>
      </c>
      <c r="T675" s="3">
        <v>0.84</v>
      </c>
      <c r="U675" s="3">
        <v>0.23</v>
      </c>
      <c r="V675" s="3">
        <v>3.55</v>
      </c>
      <c r="W675">
        <v>1.1599999999999999</v>
      </c>
      <c r="X675" t="s">
        <v>72</v>
      </c>
      <c r="Y675" s="3">
        <v>5.43</v>
      </c>
      <c r="Z675" t="s">
        <v>73</v>
      </c>
      <c r="AA675" t="s">
        <v>4740</v>
      </c>
      <c r="AB675" t="s">
        <v>53</v>
      </c>
      <c r="AC675" s="3">
        <v>1.29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f t="shared" si="20"/>
        <v>11.34</v>
      </c>
      <c r="AK675" s="3">
        <f t="shared" si="21"/>
        <v>5.91</v>
      </c>
    </row>
    <row r="676" spans="1:37">
      <c r="A676">
        <v>10305004</v>
      </c>
      <c r="B676" t="s">
        <v>37</v>
      </c>
      <c r="C676" t="s">
        <v>4741</v>
      </c>
      <c r="E676" t="s">
        <v>3527</v>
      </c>
      <c r="F676" t="s">
        <v>4742</v>
      </c>
      <c r="G676" t="s">
        <v>4743</v>
      </c>
      <c r="H676" t="s">
        <v>42</v>
      </c>
      <c r="I676" t="s">
        <v>4744</v>
      </c>
      <c r="J676" t="s">
        <v>4745</v>
      </c>
      <c r="K676" t="s">
        <v>4746</v>
      </c>
      <c r="L676" t="s">
        <v>82</v>
      </c>
      <c r="M676" t="s">
        <v>46</v>
      </c>
      <c r="N676" t="s">
        <v>47</v>
      </c>
      <c r="O676">
        <v>4</v>
      </c>
      <c r="P676">
        <v>1</v>
      </c>
      <c r="Q676">
        <v>4</v>
      </c>
      <c r="R676" t="s">
        <v>48</v>
      </c>
      <c r="S676" t="s">
        <v>49</v>
      </c>
      <c r="T676" s="3">
        <v>0.84</v>
      </c>
      <c r="U676" s="3">
        <v>0.23</v>
      </c>
      <c r="V676" s="3">
        <v>3.55</v>
      </c>
      <c r="W676">
        <v>1.66</v>
      </c>
      <c r="X676" t="s">
        <v>50</v>
      </c>
      <c r="Y676" s="3">
        <v>9.19</v>
      </c>
      <c r="Z676" t="s">
        <v>73</v>
      </c>
      <c r="AA676" t="s">
        <v>4747</v>
      </c>
      <c r="AB676" t="s">
        <v>53</v>
      </c>
      <c r="AC676" s="3">
        <v>1.29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f t="shared" si="20"/>
        <v>15.100000000000001</v>
      </c>
      <c r="AK676" s="3">
        <f t="shared" si="21"/>
        <v>5.9100000000000019</v>
      </c>
    </row>
    <row r="677" spans="1:37">
      <c r="A677">
        <v>10310543</v>
      </c>
      <c r="B677" t="s">
        <v>37</v>
      </c>
      <c r="C677" t="s">
        <v>4748</v>
      </c>
      <c r="E677" t="s">
        <v>4749</v>
      </c>
      <c r="F677" t="s">
        <v>4750</v>
      </c>
      <c r="G677" t="s">
        <v>4751</v>
      </c>
      <c r="H677" t="s">
        <v>42</v>
      </c>
      <c r="I677" t="s">
        <v>4752</v>
      </c>
      <c r="J677" t="s">
        <v>4753</v>
      </c>
      <c r="K677" t="s">
        <v>4754</v>
      </c>
      <c r="L677" t="s">
        <v>82</v>
      </c>
      <c r="M677" t="s">
        <v>46</v>
      </c>
      <c r="N677" t="s">
        <v>47</v>
      </c>
      <c r="O677">
        <v>1</v>
      </c>
      <c r="P677">
        <v>1</v>
      </c>
      <c r="Q677">
        <v>1</v>
      </c>
      <c r="R677" t="s">
        <v>48</v>
      </c>
      <c r="S677" t="s">
        <v>49</v>
      </c>
      <c r="T677" s="3">
        <v>0.84</v>
      </c>
      <c r="U677" s="3">
        <v>0.23</v>
      </c>
      <c r="V677" s="3">
        <v>0.94</v>
      </c>
      <c r="W677">
        <v>2.5</v>
      </c>
      <c r="X677" t="s">
        <v>50</v>
      </c>
      <c r="Y677" s="3">
        <v>9.19</v>
      </c>
      <c r="Z677" t="s">
        <v>83</v>
      </c>
      <c r="AA677" t="s">
        <v>821</v>
      </c>
      <c r="AB677" t="s">
        <v>53</v>
      </c>
      <c r="AC677" s="3">
        <v>1.27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f t="shared" si="20"/>
        <v>12.469999999999999</v>
      </c>
      <c r="AK677" s="3">
        <f t="shared" si="21"/>
        <v>3.2799999999999994</v>
      </c>
    </row>
    <row r="678" spans="1:37">
      <c r="A678">
        <v>10308709</v>
      </c>
      <c r="B678" t="s">
        <v>37</v>
      </c>
      <c r="C678" t="s">
        <v>4755</v>
      </c>
      <c r="E678" t="s">
        <v>4756</v>
      </c>
      <c r="F678" t="s">
        <v>4757</v>
      </c>
      <c r="G678" t="s">
        <v>4758</v>
      </c>
      <c r="H678" t="s">
        <v>42</v>
      </c>
      <c r="I678" t="s">
        <v>4759</v>
      </c>
      <c r="J678" t="s">
        <v>4760</v>
      </c>
      <c r="K678">
        <v>48155</v>
      </c>
      <c r="L678" t="s">
        <v>71</v>
      </c>
      <c r="M678" t="s">
        <v>46</v>
      </c>
      <c r="N678" t="s">
        <v>47</v>
      </c>
      <c r="O678">
        <v>1</v>
      </c>
      <c r="P678">
        <v>1</v>
      </c>
      <c r="Q678">
        <v>1</v>
      </c>
      <c r="R678" t="s">
        <v>48</v>
      </c>
      <c r="S678" t="s">
        <v>49</v>
      </c>
      <c r="T678" s="3">
        <v>0.84</v>
      </c>
      <c r="U678" s="3">
        <v>0.23</v>
      </c>
      <c r="V678" s="3">
        <v>0.94</v>
      </c>
      <c r="W678">
        <v>1.5</v>
      </c>
      <c r="X678" t="s">
        <v>72</v>
      </c>
      <c r="Y678" s="3">
        <v>5.43</v>
      </c>
      <c r="Z678" t="s">
        <v>73</v>
      </c>
      <c r="AA678" t="s">
        <v>74</v>
      </c>
      <c r="AB678" t="s">
        <v>53</v>
      </c>
      <c r="AC678" s="3">
        <v>1.29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f t="shared" si="20"/>
        <v>8.73</v>
      </c>
      <c r="AK678" s="3">
        <f t="shared" si="21"/>
        <v>3.3000000000000007</v>
      </c>
    </row>
    <row r="679" spans="1:37">
      <c r="A679">
        <v>10305683</v>
      </c>
      <c r="B679" t="s">
        <v>37</v>
      </c>
      <c r="C679" t="s">
        <v>4761</v>
      </c>
      <c r="E679" t="s">
        <v>2519</v>
      </c>
      <c r="F679" t="s">
        <v>4762</v>
      </c>
      <c r="G679" t="s">
        <v>4763</v>
      </c>
      <c r="H679" t="s">
        <v>42</v>
      </c>
      <c r="I679" t="s">
        <v>4764</v>
      </c>
      <c r="J679" t="s">
        <v>4765</v>
      </c>
      <c r="K679" t="s">
        <v>4766</v>
      </c>
      <c r="L679" t="s">
        <v>142</v>
      </c>
      <c r="M679" t="s">
        <v>46</v>
      </c>
      <c r="N679" t="s">
        <v>47</v>
      </c>
      <c r="O679">
        <v>5</v>
      </c>
      <c r="P679">
        <v>1</v>
      </c>
      <c r="Q679">
        <v>5</v>
      </c>
      <c r="R679" t="s">
        <v>48</v>
      </c>
      <c r="S679" t="s">
        <v>49</v>
      </c>
      <c r="T679" s="3">
        <v>0.84</v>
      </c>
      <c r="U679" s="3">
        <v>0.23</v>
      </c>
      <c r="V679" s="3">
        <v>4.42</v>
      </c>
      <c r="W679">
        <v>1.8</v>
      </c>
      <c r="X679" t="s">
        <v>50</v>
      </c>
      <c r="Y679" s="3">
        <v>16.43</v>
      </c>
      <c r="Z679" t="s">
        <v>73</v>
      </c>
      <c r="AA679" t="s">
        <v>4767</v>
      </c>
      <c r="AB679" t="s">
        <v>53</v>
      </c>
      <c r="AC679" s="3">
        <v>1.29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f t="shared" si="20"/>
        <v>23.21</v>
      </c>
      <c r="AK679" s="3">
        <f t="shared" si="21"/>
        <v>6.7800000000000011</v>
      </c>
    </row>
    <row r="680" spans="1:37">
      <c r="A680">
        <v>10306609</v>
      </c>
      <c r="B680" t="s">
        <v>37</v>
      </c>
      <c r="C680" t="s">
        <v>4768</v>
      </c>
      <c r="E680" t="s">
        <v>215</v>
      </c>
      <c r="F680" t="s">
        <v>300</v>
      </c>
      <c r="G680" t="s">
        <v>4769</v>
      </c>
      <c r="H680" t="s">
        <v>42</v>
      </c>
      <c r="I680" t="s">
        <v>4770</v>
      </c>
      <c r="J680" t="s">
        <v>4771</v>
      </c>
      <c r="K680" t="s">
        <v>4772</v>
      </c>
      <c r="L680" t="s">
        <v>142</v>
      </c>
      <c r="M680" t="s">
        <v>46</v>
      </c>
      <c r="N680" t="s">
        <v>47</v>
      </c>
      <c r="O680">
        <v>4</v>
      </c>
      <c r="P680">
        <v>1</v>
      </c>
      <c r="Q680">
        <v>4</v>
      </c>
      <c r="R680" t="s">
        <v>48</v>
      </c>
      <c r="S680" t="s">
        <v>49</v>
      </c>
      <c r="T680" s="3">
        <v>0.84</v>
      </c>
      <c r="U680" s="3">
        <v>0.23</v>
      </c>
      <c r="V680" s="3">
        <v>3.55</v>
      </c>
      <c r="W680">
        <v>2.06</v>
      </c>
      <c r="X680" t="s">
        <v>50</v>
      </c>
      <c r="Y680" s="3">
        <v>16.43</v>
      </c>
      <c r="Z680" t="s">
        <v>73</v>
      </c>
      <c r="AA680" t="s">
        <v>1694</v>
      </c>
      <c r="AB680" t="s">
        <v>53</v>
      </c>
      <c r="AC680" s="3">
        <v>1.29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f t="shared" si="20"/>
        <v>22.34</v>
      </c>
      <c r="AK680" s="3">
        <f t="shared" si="21"/>
        <v>5.91</v>
      </c>
    </row>
    <row r="681" spans="1:37">
      <c r="A681">
        <v>10306956</v>
      </c>
      <c r="B681" t="s">
        <v>37</v>
      </c>
      <c r="C681" t="s">
        <v>4773</v>
      </c>
      <c r="E681" t="s">
        <v>3155</v>
      </c>
      <c r="F681" t="s">
        <v>4774</v>
      </c>
      <c r="G681" t="s">
        <v>4775</v>
      </c>
      <c r="H681" t="s">
        <v>42</v>
      </c>
      <c r="I681" t="s">
        <v>4776</v>
      </c>
      <c r="J681" t="s">
        <v>4777</v>
      </c>
      <c r="K681" t="s">
        <v>4778</v>
      </c>
      <c r="L681" t="s">
        <v>82</v>
      </c>
      <c r="M681" t="s">
        <v>46</v>
      </c>
      <c r="N681" t="s">
        <v>47</v>
      </c>
      <c r="O681">
        <v>4</v>
      </c>
      <c r="P681">
        <v>1</v>
      </c>
      <c r="Q681">
        <v>4</v>
      </c>
      <c r="R681" t="s">
        <v>48</v>
      </c>
      <c r="S681" t="s">
        <v>49</v>
      </c>
      <c r="T681" s="3">
        <v>0.84</v>
      </c>
      <c r="U681" s="3">
        <v>0.23</v>
      </c>
      <c r="V681" s="3">
        <v>3.55</v>
      </c>
      <c r="W681">
        <v>1.66</v>
      </c>
      <c r="X681" t="s">
        <v>50</v>
      </c>
      <c r="Y681" s="3">
        <v>9.19</v>
      </c>
      <c r="Z681" t="s">
        <v>73</v>
      </c>
      <c r="AA681" t="s">
        <v>583</v>
      </c>
      <c r="AB681" t="s">
        <v>53</v>
      </c>
      <c r="AC681" s="3">
        <v>1.29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f t="shared" si="20"/>
        <v>15.100000000000001</v>
      </c>
      <c r="AK681" s="3">
        <f t="shared" si="21"/>
        <v>5.9100000000000019</v>
      </c>
    </row>
    <row r="682" spans="1:37">
      <c r="A682">
        <v>10308514</v>
      </c>
      <c r="B682" t="s">
        <v>37</v>
      </c>
      <c r="C682" t="s">
        <v>4779</v>
      </c>
      <c r="E682" t="s">
        <v>4780</v>
      </c>
      <c r="F682" t="s">
        <v>3481</v>
      </c>
      <c r="G682" t="s">
        <v>4781</v>
      </c>
      <c r="H682" t="s">
        <v>42</v>
      </c>
      <c r="I682" t="s">
        <v>4782</v>
      </c>
      <c r="J682" t="s">
        <v>4783</v>
      </c>
      <c r="K682">
        <v>66862</v>
      </c>
      <c r="L682" t="s">
        <v>71</v>
      </c>
      <c r="M682" t="s">
        <v>46</v>
      </c>
      <c r="N682" t="s">
        <v>47</v>
      </c>
      <c r="O682">
        <v>1</v>
      </c>
      <c r="P682">
        <v>1</v>
      </c>
      <c r="Q682">
        <v>1</v>
      </c>
      <c r="R682" t="s">
        <v>48</v>
      </c>
      <c r="S682" t="s">
        <v>49</v>
      </c>
      <c r="T682" s="3">
        <v>0.84</v>
      </c>
      <c r="U682" s="3">
        <v>0.23</v>
      </c>
      <c r="V682" s="3">
        <v>0.94</v>
      </c>
      <c r="W682">
        <v>1.5</v>
      </c>
      <c r="X682" t="s">
        <v>72</v>
      </c>
      <c r="Y682" s="3">
        <v>5.43</v>
      </c>
      <c r="Z682" t="s">
        <v>73</v>
      </c>
      <c r="AA682" t="s">
        <v>1297</v>
      </c>
      <c r="AB682" t="s">
        <v>53</v>
      </c>
      <c r="AC682" s="3">
        <v>1.29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f t="shared" si="20"/>
        <v>8.73</v>
      </c>
      <c r="AK682" s="3">
        <f t="shared" si="21"/>
        <v>3.3000000000000007</v>
      </c>
    </row>
    <row r="683" spans="1:37">
      <c r="A683">
        <v>10305684</v>
      </c>
      <c r="B683" t="s">
        <v>37</v>
      </c>
      <c r="C683" t="s">
        <v>4784</v>
      </c>
      <c r="E683" t="s">
        <v>3646</v>
      </c>
      <c r="F683" t="s">
        <v>4785</v>
      </c>
      <c r="G683" t="s">
        <v>4786</v>
      </c>
      <c r="H683" t="s">
        <v>42</v>
      </c>
      <c r="I683" t="s">
        <v>4787</v>
      </c>
      <c r="J683" t="s">
        <v>4788</v>
      </c>
      <c r="K683" t="s">
        <v>4789</v>
      </c>
      <c r="L683" t="s">
        <v>142</v>
      </c>
      <c r="M683" t="s">
        <v>46</v>
      </c>
      <c r="N683" t="s">
        <v>47</v>
      </c>
      <c r="O683">
        <v>4</v>
      </c>
      <c r="P683">
        <v>1</v>
      </c>
      <c r="Q683">
        <v>4</v>
      </c>
      <c r="R683" t="s">
        <v>48</v>
      </c>
      <c r="S683" t="s">
        <v>49</v>
      </c>
      <c r="T683" s="3">
        <v>0.84</v>
      </c>
      <c r="U683" s="3">
        <v>0.23</v>
      </c>
      <c r="V683" s="3">
        <v>3.55</v>
      </c>
      <c r="W683">
        <v>1.66</v>
      </c>
      <c r="X683" t="s">
        <v>50</v>
      </c>
      <c r="Y683" s="3">
        <v>16.43</v>
      </c>
      <c r="Z683" t="s">
        <v>73</v>
      </c>
      <c r="AA683" t="s">
        <v>429</v>
      </c>
      <c r="AB683" t="s">
        <v>53</v>
      </c>
      <c r="AC683" s="3">
        <v>1.29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f t="shared" si="20"/>
        <v>22.34</v>
      </c>
      <c r="AK683" s="3">
        <f t="shared" si="21"/>
        <v>5.91</v>
      </c>
    </row>
    <row r="684" spans="1:37">
      <c r="A684">
        <v>10309094</v>
      </c>
      <c r="B684" t="s">
        <v>37</v>
      </c>
      <c r="C684" t="s">
        <v>4790</v>
      </c>
      <c r="E684" t="s">
        <v>4791</v>
      </c>
      <c r="F684" t="s">
        <v>4792</v>
      </c>
      <c r="G684" t="s">
        <v>4793</v>
      </c>
      <c r="H684" t="s">
        <v>42</v>
      </c>
      <c r="I684" t="s">
        <v>4794</v>
      </c>
      <c r="J684" t="s">
        <v>4795</v>
      </c>
      <c r="K684">
        <v>12047</v>
      </c>
      <c r="L684" t="s">
        <v>71</v>
      </c>
      <c r="M684" t="s">
        <v>46</v>
      </c>
      <c r="N684" t="s">
        <v>47</v>
      </c>
      <c r="O684">
        <v>1</v>
      </c>
      <c r="P684">
        <v>1</v>
      </c>
      <c r="Q684">
        <v>1</v>
      </c>
      <c r="R684" t="s">
        <v>48</v>
      </c>
      <c r="S684" t="s">
        <v>49</v>
      </c>
      <c r="T684" s="3">
        <v>0.84</v>
      </c>
      <c r="U684" s="3">
        <v>0.23</v>
      </c>
      <c r="V684" s="3">
        <v>0.94</v>
      </c>
      <c r="W684">
        <v>1.5</v>
      </c>
      <c r="X684" t="s">
        <v>72</v>
      </c>
      <c r="Y684" s="3">
        <v>5.43</v>
      </c>
      <c r="Z684" t="s">
        <v>73</v>
      </c>
      <c r="AA684" t="s">
        <v>1297</v>
      </c>
      <c r="AB684" t="s">
        <v>53</v>
      </c>
      <c r="AC684" s="3">
        <v>1.29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f t="shared" si="20"/>
        <v>8.73</v>
      </c>
      <c r="AK684" s="3">
        <f t="shared" si="21"/>
        <v>3.3000000000000007</v>
      </c>
    </row>
    <row r="685" spans="1:37">
      <c r="A685">
        <v>10306958</v>
      </c>
      <c r="B685" t="s">
        <v>37</v>
      </c>
      <c r="C685" t="s">
        <v>4796</v>
      </c>
      <c r="E685" t="s">
        <v>694</v>
      </c>
      <c r="F685" t="s">
        <v>4797</v>
      </c>
      <c r="G685" t="s">
        <v>4798</v>
      </c>
      <c r="H685" t="s">
        <v>42</v>
      </c>
      <c r="I685" t="s">
        <v>4799</v>
      </c>
      <c r="J685" t="s">
        <v>4800</v>
      </c>
      <c r="K685" t="s">
        <v>4801</v>
      </c>
      <c r="L685" t="s">
        <v>142</v>
      </c>
      <c r="M685" t="s">
        <v>46</v>
      </c>
      <c r="N685" t="s">
        <v>47</v>
      </c>
      <c r="O685">
        <v>4</v>
      </c>
      <c r="P685">
        <v>1</v>
      </c>
      <c r="Q685">
        <v>4</v>
      </c>
      <c r="R685" t="s">
        <v>48</v>
      </c>
      <c r="S685" t="s">
        <v>49</v>
      </c>
      <c r="T685" s="3">
        <v>0.84</v>
      </c>
      <c r="U685" s="3">
        <v>0.23</v>
      </c>
      <c r="V685" s="3">
        <v>3.55</v>
      </c>
      <c r="W685">
        <v>1.66</v>
      </c>
      <c r="X685" t="s">
        <v>50</v>
      </c>
      <c r="Y685" s="3">
        <v>16.43</v>
      </c>
      <c r="Z685" t="s">
        <v>73</v>
      </c>
      <c r="AA685" t="s">
        <v>429</v>
      </c>
      <c r="AB685" t="s">
        <v>53</v>
      </c>
      <c r="AC685" s="3">
        <v>1.29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f t="shared" si="20"/>
        <v>22.34</v>
      </c>
      <c r="AK685" s="3">
        <f t="shared" si="21"/>
        <v>5.91</v>
      </c>
    </row>
    <row r="686" spans="1:37">
      <c r="A686">
        <v>10309520</v>
      </c>
      <c r="B686" t="s">
        <v>37</v>
      </c>
      <c r="C686" t="s">
        <v>4802</v>
      </c>
      <c r="E686" t="s">
        <v>4803</v>
      </c>
      <c r="F686" t="s">
        <v>4804</v>
      </c>
      <c r="G686" t="s">
        <v>4805</v>
      </c>
      <c r="H686" t="s">
        <v>42</v>
      </c>
      <c r="I686" t="s">
        <v>4806</v>
      </c>
      <c r="J686" t="s">
        <v>4807</v>
      </c>
      <c r="K686">
        <v>10711</v>
      </c>
      <c r="L686" t="s">
        <v>71</v>
      </c>
      <c r="M686" t="s">
        <v>46</v>
      </c>
      <c r="N686" t="s">
        <v>47</v>
      </c>
      <c r="O686">
        <v>1</v>
      </c>
      <c r="P686">
        <v>1</v>
      </c>
      <c r="Q686">
        <v>1</v>
      </c>
      <c r="R686" t="s">
        <v>48</v>
      </c>
      <c r="S686" t="s">
        <v>49</v>
      </c>
      <c r="T686" s="3">
        <v>0.84</v>
      </c>
      <c r="U686" s="3">
        <v>0.23</v>
      </c>
      <c r="V686" s="3">
        <v>0.94</v>
      </c>
      <c r="W686">
        <v>1.5</v>
      </c>
      <c r="X686" t="s">
        <v>72</v>
      </c>
      <c r="Y686" s="3">
        <v>5.43</v>
      </c>
      <c r="Z686" t="s">
        <v>73</v>
      </c>
      <c r="AA686" t="s">
        <v>1297</v>
      </c>
      <c r="AB686" t="s">
        <v>53</v>
      </c>
      <c r="AC686" s="3">
        <v>1.29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f t="shared" si="20"/>
        <v>8.73</v>
      </c>
      <c r="AK686" s="3">
        <f t="shared" si="21"/>
        <v>3.3000000000000007</v>
      </c>
    </row>
    <row r="687" spans="1:37">
      <c r="A687">
        <v>10310055</v>
      </c>
      <c r="B687" t="s">
        <v>37</v>
      </c>
      <c r="C687" t="s">
        <v>4808</v>
      </c>
      <c r="E687" t="s">
        <v>4809</v>
      </c>
      <c r="F687" t="s">
        <v>4810</v>
      </c>
      <c r="G687" t="s">
        <v>4811</v>
      </c>
      <c r="H687" t="s">
        <v>42</v>
      </c>
      <c r="I687" t="s">
        <v>4812</v>
      </c>
      <c r="J687" t="s">
        <v>4813</v>
      </c>
      <c r="K687">
        <v>50670</v>
      </c>
      <c r="L687" t="s">
        <v>71</v>
      </c>
      <c r="M687" t="s">
        <v>46</v>
      </c>
      <c r="N687" t="s">
        <v>47</v>
      </c>
      <c r="O687">
        <v>1</v>
      </c>
      <c r="P687">
        <v>1</v>
      </c>
      <c r="Q687">
        <v>1</v>
      </c>
      <c r="R687" t="s">
        <v>48</v>
      </c>
      <c r="S687" t="s">
        <v>49</v>
      </c>
      <c r="T687" s="3">
        <v>0.84</v>
      </c>
      <c r="U687" s="3">
        <v>0.23</v>
      </c>
      <c r="V687" s="3">
        <v>0.94</v>
      </c>
      <c r="W687">
        <v>2.1</v>
      </c>
      <c r="X687" t="s">
        <v>72</v>
      </c>
      <c r="Y687" s="3">
        <v>5.43</v>
      </c>
      <c r="Z687" t="s">
        <v>83</v>
      </c>
      <c r="AA687" t="s">
        <v>4017</v>
      </c>
      <c r="AB687" t="s">
        <v>53</v>
      </c>
      <c r="AC687" s="3">
        <v>1.27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f t="shared" si="20"/>
        <v>8.7099999999999991</v>
      </c>
      <c r="AK687" s="3">
        <f t="shared" si="21"/>
        <v>3.2799999999999994</v>
      </c>
    </row>
    <row r="688" spans="1:37">
      <c r="A688">
        <v>10311748</v>
      </c>
      <c r="B688" t="s">
        <v>37</v>
      </c>
      <c r="C688" t="s">
        <v>4814</v>
      </c>
      <c r="E688" t="s">
        <v>4815</v>
      </c>
      <c r="F688" t="s">
        <v>4816</v>
      </c>
      <c r="G688" t="s">
        <v>4817</v>
      </c>
      <c r="H688" t="s">
        <v>42</v>
      </c>
      <c r="I688" t="s">
        <v>4818</v>
      </c>
      <c r="J688" t="s">
        <v>4819</v>
      </c>
      <c r="K688">
        <v>57610</v>
      </c>
      <c r="L688" t="s">
        <v>71</v>
      </c>
      <c r="M688" t="s">
        <v>46</v>
      </c>
      <c r="N688" t="s">
        <v>47</v>
      </c>
      <c r="O688">
        <v>1</v>
      </c>
      <c r="P688">
        <v>1</v>
      </c>
      <c r="Q688">
        <v>1</v>
      </c>
      <c r="R688" t="s">
        <v>48</v>
      </c>
      <c r="S688" t="s">
        <v>49</v>
      </c>
      <c r="T688" s="3">
        <v>0.84</v>
      </c>
      <c r="U688" s="3">
        <v>0.23</v>
      </c>
      <c r="V688" s="3">
        <v>0.94</v>
      </c>
      <c r="W688">
        <v>0.59</v>
      </c>
      <c r="X688" t="s">
        <v>108</v>
      </c>
      <c r="Y688" s="3">
        <v>5.13</v>
      </c>
      <c r="Z688" t="s">
        <v>109</v>
      </c>
      <c r="AA688" t="s">
        <v>184</v>
      </c>
      <c r="AB688" t="s">
        <v>53</v>
      </c>
      <c r="AC688" s="3">
        <v>1.06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f t="shared" si="20"/>
        <v>8.1999999999999993</v>
      </c>
      <c r="AK688" s="3">
        <f t="shared" si="21"/>
        <v>3.0699999999999994</v>
      </c>
    </row>
    <row r="689" spans="1:37">
      <c r="A689">
        <v>10311073</v>
      </c>
      <c r="B689" t="s">
        <v>37</v>
      </c>
      <c r="C689" t="s">
        <v>4820</v>
      </c>
      <c r="E689" t="s">
        <v>4821</v>
      </c>
      <c r="F689" t="s">
        <v>4822</v>
      </c>
      <c r="G689" t="s">
        <v>4823</v>
      </c>
      <c r="H689" t="s">
        <v>42</v>
      </c>
      <c r="I689" t="s">
        <v>4824</v>
      </c>
      <c r="J689" t="s">
        <v>4825</v>
      </c>
      <c r="K689">
        <v>20537</v>
      </c>
      <c r="L689" t="s">
        <v>71</v>
      </c>
      <c r="M689" t="s">
        <v>46</v>
      </c>
      <c r="N689" t="s">
        <v>47</v>
      </c>
      <c r="O689">
        <v>1</v>
      </c>
      <c r="P689">
        <v>1</v>
      </c>
      <c r="Q689">
        <v>1</v>
      </c>
      <c r="R689" t="s">
        <v>48</v>
      </c>
      <c r="S689" t="s">
        <v>49</v>
      </c>
      <c r="T689" s="3">
        <v>0.84</v>
      </c>
      <c r="U689" s="3">
        <v>0.23</v>
      </c>
      <c r="V689" s="3">
        <v>0.94</v>
      </c>
      <c r="W689">
        <v>0.59</v>
      </c>
      <c r="X689" t="s">
        <v>108</v>
      </c>
      <c r="Y689" s="3">
        <v>13.41</v>
      </c>
      <c r="Z689" t="s">
        <v>109</v>
      </c>
      <c r="AA689" t="s">
        <v>1059</v>
      </c>
      <c r="AB689" t="s">
        <v>53</v>
      </c>
      <c r="AC689" s="3">
        <v>1.06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f t="shared" si="20"/>
        <v>16.48</v>
      </c>
      <c r="AK689" s="3">
        <f t="shared" si="21"/>
        <v>3.0700000000000003</v>
      </c>
    </row>
    <row r="690" spans="1:37">
      <c r="A690">
        <v>10310548</v>
      </c>
      <c r="B690" t="s">
        <v>37</v>
      </c>
      <c r="C690" t="s">
        <v>4826</v>
      </c>
      <c r="E690" t="s">
        <v>3304</v>
      </c>
      <c r="F690" t="s">
        <v>4827</v>
      </c>
      <c r="G690" t="s">
        <v>4828</v>
      </c>
      <c r="H690" t="s">
        <v>42</v>
      </c>
      <c r="I690" t="s">
        <v>4829</v>
      </c>
      <c r="J690" t="s">
        <v>4830</v>
      </c>
      <c r="K690">
        <v>95445</v>
      </c>
      <c r="L690" t="s">
        <v>71</v>
      </c>
      <c r="M690" t="s">
        <v>46</v>
      </c>
      <c r="N690" t="s">
        <v>47</v>
      </c>
      <c r="O690">
        <v>1</v>
      </c>
      <c r="P690">
        <v>1</v>
      </c>
      <c r="Q690">
        <v>1</v>
      </c>
      <c r="R690" t="s">
        <v>48</v>
      </c>
      <c r="S690" t="s">
        <v>49</v>
      </c>
      <c r="T690" s="3">
        <v>0.84</v>
      </c>
      <c r="U690" s="3">
        <v>0.23</v>
      </c>
      <c r="V690" s="3">
        <v>0.94</v>
      </c>
      <c r="W690">
        <v>0.24</v>
      </c>
      <c r="X690" t="s">
        <v>108</v>
      </c>
      <c r="Y690" s="3">
        <v>5.13</v>
      </c>
      <c r="Z690" t="s">
        <v>109</v>
      </c>
      <c r="AA690" t="s">
        <v>736</v>
      </c>
      <c r="AB690" t="s">
        <v>53</v>
      </c>
      <c r="AC690" s="3">
        <v>1.06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f t="shared" si="20"/>
        <v>8.1999999999999993</v>
      </c>
      <c r="AK690" s="3">
        <f t="shared" si="21"/>
        <v>3.0699999999999994</v>
      </c>
    </row>
    <row r="691" spans="1:37">
      <c r="A691">
        <v>10311068</v>
      </c>
      <c r="B691" t="s">
        <v>37</v>
      </c>
      <c r="C691" t="s">
        <v>4831</v>
      </c>
      <c r="E691" t="s">
        <v>2955</v>
      </c>
      <c r="F691" t="s">
        <v>4832</v>
      </c>
      <c r="G691" t="s">
        <v>4833</v>
      </c>
      <c r="H691" t="s">
        <v>42</v>
      </c>
      <c r="I691" t="s">
        <v>4834</v>
      </c>
      <c r="J691" t="s">
        <v>4835</v>
      </c>
      <c r="K691">
        <v>88214</v>
      </c>
      <c r="L691" t="s">
        <v>71</v>
      </c>
      <c r="M691" t="s">
        <v>46</v>
      </c>
      <c r="N691" t="s">
        <v>47</v>
      </c>
      <c r="O691">
        <v>1</v>
      </c>
      <c r="P691">
        <v>1</v>
      </c>
      <c r="Q691">
        <v>1</v>
      </c>
      <c r="R691" t="s">
        <v>48</v>
      </c>
      <c r="S691" t="s">
        <v>49</v>
      </c>
      <c r="T691" s="3">
        <v>0.84</v>
      </c>
      <c r="U691" s="3">
        <v>0.23</v>
      </c>
      <c r="V691" s="3">
        <v>0.94</v>
      </c>
      <c r="W691">
        <v>0.49</v>
      </c>
      <c r="X691" t="s">
        <v>108</v>
      </c>
      <c r="Y691" s="3">
        <v>5.13</v>
      </c>
      <c r="Z691" t="s">
        <v>109</v>
      </c>
      <c r="AA691" t="s">
        <v>1349</v>
      </c>
      <c r="AB691" t="s">
        <v>53</v>
      </c>
      <c r="AC691" s="3">
        <v>1.06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f t="shared" si="20"/>
        <v>8.1999999999999993</v>
      </c>
      <c r="AK691" s="3">
        <f t="shared" si="21"/>
        <v>3.0699999999999994</v>
      </c>
    </row>
    <row r="692" spans="1:37">
      <c r="A692">
        <v>10307942</v>
      </c>
      <c r="B692" t="s">
        <v>37</v>
      </c>
      <c r="C692" t="s">
        <v>4836</v>
      </c>
      <c r="E692" t="s">
        <v>772</v>
      </c>
      <c r="F692" t="s">
        <v>4837</v>
      </c>
      <c r="G692" t="s">
        <v>4838</v>
      </c>
      <c r="H692" t="s">
        <v>42</v>
      </c>
      <c r="I692" t="s">
        <v>4839</v>
      </c>
      <c r="J692" t="s">
        <v>4840</v>
      </c>
      <c r="K692" t="s">
        <v>4841</v>
      </c>
      <c r="L692" t="s">
        <v>142</v>
      </c>
      <c r="M692" t="s">
        <v>46</v>
      </c>
      <c r="N692" t="s">
        <v>47</v>
      </c>
      <c r="O692">
        <v>1</v>
      </c>
      <c r="P692">
        <v>1</v>
      </c>
      <c r="Q692">
        <v>1</v>
      </c>
      <c r="R692" t="s">
        <v>48</v>
      </c>
      <c r="S692" t="s">
        <v>49</v>
      </c>
      <c r="T692" s="3">
        <v>0.84</v>
      </c>
      <c r="U692" s="3">
        <v>0.23</v>
      </c>
      <c r="V692" s="3">
        <v>0.94</v>
      </c>
      <c r="W692">
        <v>0.49</v>
      </c>
      <c r="X692" t="s">
        <v>50</v>
      </c>
      <c r="Y692" s="3">
        <v>16.43</v>
      </c>
      <c r="Z692" t="s">
        <v>109</v>
      </c>
      <c r="AA692" t="s">
        <v>4597</v>
      </c>
      <c r="AB692" t="s">
        <v>53</v>
      </c>
      <c r="AC692" s="3">
        <v>1.06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f t="shared" si="20"/>
        <v>19.5</v>
      </c>
      <c r="AK692" s="3">
        <f t="shared" si="21"/>
        <v>3.0700000000000003</v>
      </c>
    </row>
    <row r="693" spans="1:37">
      <c r="A693">
        <v>10307343</v>
      </c>
      <c r="B693" t="s">
        <v>37</v>
      </c>
      <c r="C693" t="s">
        <v>4842</v>
      </c>
      <c r="E693" t="s">
        <v>4843</v>
      </c>
      <c r="F693" t="s">
        <v>4844</v>
      </c>
      <c r="G693" t="s">
        <v>4845</v>
      </c>
      <c r="H693" t="s">
        <v>42</v>
      </c>
      <c r="I693" t="s">
        <v>4846</v>
      </c>
      <c r="J693" t="s">
        <v>4847</v>
      </c>
      <c r="K693" t="s">
        <v>4848</v>
      </c>
      <c r="L693" t="s">
        <v>142</v>
      </c>
      <c r="M693" t="s">
        <v>46</v>
      </c>
      <c r="N693" t="s">
        <v>47</v>
      </c>
      <c r="O693">
        <v>1</v>
      </c>
      <c r="P693">
        <v>1</v>
      </c>
      <c r="Q693">
        <v>1</v>
      </c>
      <c r="R693" t="s">
        <v>48</v>
      </c>
      <c r="S693" t="s">
        <v>49</v>
      </c>
      <c r="T693" s="3">
        <v>0.84</v>
      </c>
      <c r="U693" s="3">
        <v>0.23</v>
      </c>
      <c r="V693" s="3">
        <v>0.94</v>
      </c>
      <c r="W693">
        <v>0.59</v>
      </c>
      <c r="X693" t="s">
        <v>50</v>
      </c>
      <c r="Y693" s="3">
        <v>16.43</v>
      </c>
      <c r="Z693" t="s">
        <v>73</v>
      </c>
      <c r="AA693" t="s">
        <v>2233</v>
      </c>
      <c r="AB693" t="s">
        <v>53</v>
      </c>
      <c r="AC693" s="3">
        <v>1.29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f t="shared" si="20"/>
        <v>19.73</v>
      </c>
      <c r="AK693" s="3">
        <f t="shared" si="21"/>
        <v>3.3000000000000007</v>
      </c>
    </row>
    <row r="694" spans="1:37">
      <c r="A694">
        <v>10307145</v>
      </c>
      <c r="B694" t="s">
        <v>37</v>
      </c>
      <c r="C694" t="s">
        <v>4849</v>
      </c>
      <c r="E694" t="s">
        <v>4850</v>
      </c>
      <c r="F694" t="s">
        <v>4851</v>
      </c>
      <c r="G694" t="s">
        <v>4852</v>
      </c>
      <c r="H694" t="s">
        <v>42</v>
      </c>
      <c r="I694" t="s">
        <v>4853</v>
      </c>
      <c r="J694" t="s">
        <v>4854</v>
      </c>
      <c r="K694">
        <v>8044</v>
      </c>
      <c r="L694" t="s">
        <v>45</v>
      </c>
      <c r="M694" t="s">
        <v>46</v>
      </c>
      <c r="N694" t="s">
        <v>47</v>
      </c>
      <c r="O694">
        <v>1</v>
      </c>
      <c r="P694">
        <v>1</v>
      </c>
      <c r="Q694">
        <v>1</v>
      </c>
      <c r="R694" t="s">
        <v>48</v>
      </c>
      <c r="S694" t="s">
        <v>49</v>
      </c>
      <c r="T694" s="3">
        <v>0.84</v>
      </c>
      <c r="U694" s="3">
        <v>0.23</v>
      </c>
      <c r="V694" s="3">
        <v>0.94</v>
      </c>
      <c r="W694">
        <v>1.5</v>
      </c>
      <c r="X694" t="s">
        <v>3387</v>
      </c>
      <c r="Y694" s="3">
        <v>33.090000000000003</v>
      </c>
      <c r="Z694" t="s">
        <v>73</v>
      </c>
      <c r="AA694" t="s">
        <v>198</v>
      </c>
      <c r="AB694" t="s">
        <v>53</v>
      </c>
      <c r="AC694" s="3">
        <v>1.29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f t="shared" si="20"/>
        <v>36.39</v>
      </c>
      <c r="AK694" s="3">
        <f t="shared" si="21"/>
        <v>3.2999999999999972</v>
      </c>
    </row>
    <row r="695" spans="1:37">
      <c r="A695">
        <v>10311064</v>
      </c>
      <c r="B695" t="s">
        <v>37</v>
      </c>
      <c r="C695" t="s">
        <v>4855</v>
      </c>
      <c r="E695" t="s">
        <v>4856</v>
      </c>
      <c r="F695" t="s">
        <v>4857</v>
      </c>
      <c r="G695" t="s">
        <v>4858</v>
      </c>
      <c r="H695" t="s">
        <v>42</v>
      </c>
      <c r="I695" t="s">
        <v>4859</v>
      </c>
      <c r="J695" t="s">
        <v>4860</v>
      </c>
      <c r="K695" t="s">
        <v>4861</v>
      </c>
      <c r="L695" t="s">
        <v>142</v>
      </c>
      <c r="M695" t="s">
        <v>46</v>
      </c>
      <c r="N695" t="s">
        <v>47</v>
      </c>
      <c r="O695">
        <v>1</v>
      </c>
      <c r="P695">
        <v>1</v>
      </c>
      <c r="Q695">
        <v>1</v>
      </c>
      <c r="R695" t="s">
        <v>48</v>
      </c>
      <c r="S695" t="s">
        <v>49</v>
      </c>
      <c r="T695" s="3">
        <v>0.84</v>
      </c>
      <c r="U695" s="3">
        <v>0.23</v>
      </c>
      <c r="V695" s="3">
        <v>0.94</v>
      </c>
      <c r="W695">
        <v>2.5</v>
      </c>
      <c r="X695" t="s">
        <v>50</v>
      </c>
      <c r="Y695" s="3">
        <v>16.43</v>
      </c>
      <c r="Z695" t="s">
        <v>83</v>
      </c>
      <c r="AA695" t="s">
        <v>4862</v>
      </c>
      <c r="AB695" t="s">
        <v>53</v>
      </c>
      <c r="AC695" s="3">
        <v>1.27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f t="shared" si="20"/>
        <v>19.71</v>
      </c>
      <c r="AK695" s="3">
        <f t="shared" si="21"/>
        <v>3.2800000000000011</v>
      </c>
    </row>
    <row r="696" spans="1:37">
      <c r="A696">
        <v>10307729</v>
      </c>
      <c r="B696" t="s">
        <v>37</v>
      </c>
      <c r="C696" t="s">
        <v>4863</v>
      </c>
      <c r="E696" t="s">
        <v>4864</v>
      </c>
      <c r="F696" t="s">
        <v>4865</v>
      </c>
      <c r="G696" t="s">
        <v>4866</v>
      </c>
      <c r="H696" t="s">
        <v>42</v>
      </c>
      <c r="I696" t="s">
        <v>4867</v>
      </c>
      <c r="J696" t="s">
        <v>4868</v>
      </c>
      <c r="K696">
        <v>48620</v>
      </c>
      <c r="L696" t="s">
        <v>91</v>
      </c>
      <c r="M696" t="s">
        <v>46</v>
      </c>
      <c r="N696" t="s">
        <v>47</v>
      </c>
      <c r="O696">
        <v>5</v>
      </c>
      <c r="P696">
        <v>1</v>
      </c>
      <c r="Q696">
        <v>5</v>
      </c>
      <c r="R696" t="s">
        <v>48</v>
      </c>
      <c r="S696" t="s">
        <v>49</v>
      </c>
      <c r="T696" s="3">
        <v>0.84</v>
      </c>
      <c r="U696" s="3">
        <v>0.23</v>
      </c>
      <c r="V696" s="3">
        <v>4.42</v>
      </c>
      <c r="W696">
        <v>2.42</v>
      </c>
      <c r="X696" t="s">
        <v>50</v>
      </c>
      <c r="Y696" s="3">
        <v>16.43</v>
      </c>
      <c r="Z696" t="s">
        <v>83</v>
      </c>
      <c r="AA696" t="s">
        <v>4869</v>
      </c>
      <c r="AB696" t="s">
        <v>53</v>
      </c>
      <c r="AC696" s="3">
        <v>1.27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f t="shared" si="20"/>
        <v>23.189999999999998</v>
      </c>
      <c r="AK696" s="3">
        <f t="shared" si="21"/>
        <v>6.759999999999998</v>
      </c>
    </row>
    <row r="697" spans="1:37">
      <c r="A697">
        <v>10308351</v>
      </c>
      <c r="B697" t="s">
        <v>37</v>
      </c>
      <c r="C697" t="s">
        <v>4870</v>
      </c>
      <c r="E697" t="s">
        <v>2519</v>
      </c>
      <c r="F697" t="s">
        <v>4871</v>
      </c>
      <c r="G697" t="s">
        <v>4872</v>
      </c>
      <c r="H697" t="s">
        <v>42</v>
      </c>
      <c r="I697" t="s">
        <v>4873</v>
      </c>
      <c r="J697" t="s">
        <v>4874</v>
      </c>
      <c r="K697" t="s">
        <v>4875</v>
      </c>
      <c r="L697" t="s">
        <v>142</v>
      </c>
      <c r="M697" t="s">
        <v>46</v>
      </c>
      <c r="N697" t="s">
        <v>47</v>
      </c>
      <c r="O697">
        <v>5</v>
      </c>
      <c r="P697">
        <v>1</v>
      </c>
      <c r="Q697">
        <v>5</v>
      </c>
      <c r="R697" t="s">
        <v>48</v>
      </c>
      <c r="S697" t="s">
        <v>49</v>
      </c>
      <c r="T697" s="3">
        <v>0.84</v>
      </c>
      <c r="U697" s="3">
        <v>0.23</v>
      </c>
      <c r="V697" s="3">
        <v>4.42</v>
      </c>
      <c r="W697">
        <v>2.1</v>
      </c>
      <c r="X697" t="s">
        <v>50</v>
      </c>
      <c r="Y697" s="3">
        <v>16.43</v>
      </c>
      <c r="Z697" t="s">
        <v>83</v>
      </c>
      <c r="AA697" t="s">
        <v>4876</v>
      </c>
      <c r="AB697" t="s">
        <v>53</v>
      </c>
      <c r="AC697" s="3">
        <v>1.27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f t="shared" si="20"/>
        <v>23.189999999999998</v>
      </c>
      <c r="AK697" s="3">
        <f t="shared" si="21"/>
        <v>6.759999999999998</v>
      </c>
    </row>
    <row r="698" spans="1:37">
      <c r="A698">
        <v>10308352</v>
      </c>
      <c r="B698" t="s">
        <v>37</v>
      </c>
      <c r="C698" t="s">
        <v>4877</v>
      </c>
      <c r="E698" t="s">
        <v>223</v>
      </c>
      <c r="F698" t="s">
        <v>4878</v>
      </c>
      <c r="G698" t="s">
        <v>4879</v>
      </c>
      <c r="H698" t="s">
        <v>42</v>
      </c>
      <c r="I698" t="s">
        <v>4880</v>
      </c>
      <c r="J698" t="s">
        <v>4881</v>
      </c>
      <c r="K698">
        <v>22393</v>
      </c>
      <c r="L698" t="s">
        <v>71</v>
      </c>
      <c r="M698" t="s">
        <v>46</v>
      </c>
      <c r="N698" t="s">
        <v>47</v>
      </c>
      <c r="O698">
        <v>4</v>
      </c>
      <c r="P698">
        <v>1</v>
      </c>
      <c r="Q698">
        <v>4</v>
      </c>
      <c r="R698" t="s">
        <v>48</v>
      </c>
      <c r="S698" t="s">
        <v>49</v>
      </c>
      <c r="T698" s="3">
        <v>0.84</v>
      </c>
      <c r="U698" s="3">
        <v>0.23</v>
      </c>
      <c r="V698" s="3">
        <v>3.55</v>
      </c>
      <c r="W698">
        <v>2.06</v>
      </c>
      <c r="X698" t="s">
        <v>72</v>
      </c>
      <c r="Y698" s="3">
        <v>5.43</v>
      </c>
      <c r="Z698" t="s">
        <v>73</v>
      </c>
      <c r="AA698" t="s">
        <v>327</v>
      </c>
      <c r="AB698" t="s">
        <v>53</v>
      </c>
      <c r="AC698" s="3">
        <v>1.29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f t="shared" si="20"/>
        <v>11.34</v>
      </c>
      <c r="AK698" s="3">
        <f t="shared" si="21"/>
        <v>5.91</v>
      </c>
    </row>
    <row r="699" spans="1:37">
      <c r="A699">
        <v>10307730</v>
      </c>
      <c r="B699" t="s">
        <v>37</v>
      </c>
      <c r="C699" t="s">
        <v>4882</v>
      </c>
      <c r="E699" t="s">
        <v>39</v>
      </c>
      <c r="F699" t="s">
        <v>4883</v>
      </c>
      <c r="G699" t="s">
        <v>4884</v>
      </c>
      <c r="H699" t="s">
        <v>42</v>
      </c>
      <c r="I699" t="s">
        <v>4885</v>
      </c>
      <c r="J699" t="s">
        <v>4886</v>
      </c>
      <c r="K699">
        <v>91465</v>
      </c>
      <c r="L699" t="s">
        <v>71</v>
      </c>
      <c r="M699" t="s">
        <v>46</v>
      </c>
      <c r="N699" t="s">
        <v>47</v>
      </c>
      <c r="O699">
        <v>3</v>
      </c>
      <c r="P699">
        <v>1</v>
      </c>
      <c r="Q699">
        <v>3</v>
      </c>
      <c r="R699" t="s">
        <v>48</v>
      </c>
      <c r="S699" t="s">
        <v>49</v>
      </c>
      <c r="T699" s="3">
        <v>0.84</v>
      </c>
      <c r="U699" s="3">
        <v>0.23</v>
      </c>
      <c r="V699" s="3">
        <v>2.68</v>
      </c>
      <c r="W699">
        <v>1.47</v>
      </c>
      <c r="X699" t="s">
        <v>72</v>
      </c>
      <c r="Y699" s="3">
        <v>5.43</v>
      </c>
      <c r="Z699" t="s">
        <v>73</v>
      </c>
      <c r="AA699" t="s">
        <v>4887</v>
      </c>
      <c r="AB699" t="s">
        <v>53</v>
      </c>
      <c r="AC699" s="3">
        <v>1.29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f t="shared" si="20"/>
        <v>10.47</v>
      </c>
      <c r="AK699" s="3">
        <f t="shared" si="21"/>
        <v>5.0400000000000009</v>
      </c>
    </row>
    <row r="700" spans="1:37">
      <c r="A700">
        <v>10307548</v>
      </c>
      <c r="B700" t="s">
        <v>37</v>
      </c>
      <c r="C700" t="s">
        <v>4888</v>
      </c>
      <c r="E700" t="s">
        <v>4889</v>
      </c>
      <c r="F700" t="s">
        <v>4890</v>
      </c>
      <c r="G700" t="s">
        <v>4891</v>
      </c>
      <c r="H700" t="s">
        <v>42</v>
      </c>
      <c r="I700" t="s">
        <v>4892</v>
      </c>
      <c r="J700" t="s">
        <v>4893</v>
      </c>
      <c r="K700" t="s">
        <v>4894</v>
      </c>
      <c r="L700" t="s">
        <v>142</v>
      </c>
      <c r="M700" t="s">
        <v>46</v>
      </c>
      <c r="N700" t="s">
        <v>47</v>
      </c>
      <c r="O700">
        <v>3</v>
      </c>
      <c r="P700">
        <v>1</v>
      </c>
      <c r="Q700">
        <v>3</v>
      </c>
      <c r="R700" t="s">
        <v>48</v>
      </c>
      <c r="S700" t="s">
        <v>49</v>
      </c>
      <c r="T700" s="3">
        <v>0.84</v>
      </c>
      <c r="U700" s="3">
        <v>0.23</v>
      </c>
      <c r="V700" s="3">
        <v>2.68</v>
      </c>
      <c r="W700">
        <v>1.57</v>
      </c>
      <c r="X700" t="s">
        <v>50</v>
      </c>
      <c r="Y700" s="3">
        <v>17.809999999999999</v>
      </c>
      <c r="Z700" t="s">
        <v>73</v>
      </c>
      <c r="AA700" t="s">
        <v>4895</v>
      </c>
      <c r="AB700" t="s">
        <v>53</v>
      </c>
      <c r="AC700" s="3">
        <v>1.29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f t="shared" si="20"/>
        <v>22.849999999999998</v>
      </c>
      <c r="AK700" s="3">
        <f t="shared" si="21"/>
        <v>5.0399999999999991</v>
      </c>
    </row>
    <row r="701" spans="1:37">
      <c r="A701">
        <v>10308517</v>
      </c>
      <c r="B701" t="s">
        <v>37</v>
      </c>
      <c r="C701" t="s">
        <v>4896</v>
      </c>
      <c r="E701" t="s">
        <v>4897</v>
      </c>
      <c r="F701" t="s">
        <v>4898</v>
      </c>
      <c r="G701" t="s">
        <v>4899</v>
      </c>
      <c r="H701" t="s">
        <v>42</v>
      </c>
      <c r="I701" t="s">
        <v>4900</v>
      </c>
      <c r="J701" t="s">
        <v>4901</v>
      </c>
      <c r="K701">
        <v>50735</v>
      </c>
      <c r="L701" t="s">
        <v>71</v>
      </c>
      <c r="M701" t="s">
        <v>46</v>
      </c>
      <c r="N701" t="s">
        <v>47</v>
      </c>
      <c r="O701">
        <v>2</v>
      </c>
      <c r="P701">
        <v>1</v>
      </c>
      <c r="Q701">
        <v>2</v>
      </c>
      <c r="R701" t="s">
        <v>48</v>
      </c>
      <c r="S701" t="s">
        <v>49</v>
      </c>
      <c r="T701" s="3">
        <v>0.84</v>
      </c>
      <c r="U701" s="3">
        <v>0.23</v>
      </c>
      <c r="V701" s="3">
        <v>1.81</v>
      </c>
      <c r="W701">
        <v>0.88</v>
      </c>
      <c r="X701" t="s">
        <v>72</v>
      </c>
      <c r="Y701" s="3">
        <v>15.14</v>
      </c>
      <c r="Z701" t="s">
        <v>73</v>
      </c>
      <c r="AA701" t="s">
        <v>4902</v>
      </c>
      <c r="AB701" t="s">
        <v>53</v>
      </c>
      <c r="AC701" s="3">
        <v>1.29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f t="shared" si="20"/>
        <v>19.309999999999999</v>
      </c>
      <c r="AK701" s="3">
        <f t="shared" si="21"/>
        <v>4.1699999999999982</v>
      </c>
    </row>
    <row r="702" spans="1:37">
      <c r="A702">
        <v>10308880</v>
      </c>
      <c r="B702" t="s">
        <v>37</v>
      </c>
      <c r="C702" t="s">
        <v>4903</v>
      </c>
      <c r="E702" t="s">
        <v>4904</v>
      </c>
      <c r="F702" t="s">
        <v>4905</v>
      </c>
      <c r="G702" t="s">
        <v>4906</v>
      </c>
      <c r="H702" t="s">
        <v>42</v>
      </c>
      <c r="I702" t="s">
        <v>4907</v>
      </c>
      <c r="J702" t="s">
        <v>4908</v>
      </c>
      <c r="K702">
        <v>14197</v>
      </c>
      <c r="L702" t="s">
        <v>71</v>
      </c>
      <c r="M702" t="s">
        <v>46</v>
      </c>
      <c r="N702" t="s">
        <v>47</v>
      </c>
      <c r="O702">
        <v>2</v>
      </c>
      <c r="P702">
        <v>1</v>
      </c>
      <c r="Q702">
        <v>2</v>
      </c>
      <c r="R702" t="s">
        <v>48</v>
      </c>
      <c r="S702" t="s">
        <v>49</v>
      </c>
      <c r="T702" s="3">
        <v>0.84</v>
      </c>
      <c r="U702" s="3">
        <v>0.23</v>
      </c>
      <c r="V702" s="3">
        <v>1.81</v>
      </c>
      <c r="W702">
        <v>0.98</v>
      </c>
      <c r="X702" t="s">
        <v>72</v>
      </c>
      <c r="Y702" s="3">
        <v>5.43</v>
      </c>
      <c r="Z702" t="s">
        <v>73</v>
      </c>
      <c r="AA702" t="s">
        <v>4909</v>
      </c>
      <c r="AB702" t="s">
        <v>53</v>
      </c>
      <c r="AC702" s="3">
        <v>1.29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f t="shared" si="20"/>
        <v>9.6</v>
      </c>
      <c r="AK702" s="3">
        <f t="shared" si="21"/>
        <v>4.17</v>
      </c>
    </row>
    <row r="703" spans="1:37">
      <c r="A703">
        <v>10308881</v>
      </c>
      <c r="B703" t="s">
        <v>37</v>
      </c>
      <c r="C703" t="s">
        <v>4910</v>
      </c>
      <c r="E703" t="s">
        <v>4735</v>
      </c>
      <c r="F703" t="s">
        <v>4911</v>
      </c>
      <c r="G703" t="s">
        <v>4912</v>
      </c>
      <c r="H703" t="s">
        <v>42</v>
      </c>
      <c r="I703" t="s">
        <v>4913</v>
      </c>
      <c r="J703" t="s">
        <v>4914</v>
      </c>
      <c r="K703" t="s">
        <v>4915</v>
      </c>
      <c r="L703" t="s">
        <v>4347</v>
      </c>
      <c r="M703" t="s">
        <v>46</v>
      </c>
      <c r="N703" t="s">
        <v>47</v>
      </c>
      <c r="O703">
        <v>2</v>
      </c>
      <c r="P703">
        <v>1</v>
      </c>
      <c r="Q703">
        <v>2</v>
      </c>
      <c r="R703" t="s">
        <v>48</v>
      </c>
      <c r="S703" t="s">
        <v>49</v>
      </c>
      <c r="T703" s="3">
        <v>0.84</v>
      </c>
      <c r="U703" s="3">
        <v>0.23</v>
      </c>
      <c r="V703" s="3">
        <v>1.81</v>
      </c>
      <c r="W703">
        <v>0.88</v>
      </c>
      <c r="X703" t="s">
        <v>50</v>
      </c>
      <c r="Y703" s="3">
        <v>14.98</v>
      </c>
      <c r="Z703" t="s">
        <v>109</v>
      </c>
      <c r="AA703" t="s">
        <v>4916</v>
      </c>
      <c r="AB703" t="s">
        <v>53</v>
      </c>
      <c r="AC703" s="3">
        <v>1.06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f t="shared" si="20"/>
        <v>18.919999999999998</v>
      </c>
      <c r="AK703" s="3">
        <f t="shared" si="21"/>
        <v>3.9399999999999977</v>
      </c>
    </row>
    <row r="704" spans="1:37">
      <c r="A704">
        <v>10308703</v>
      </c>
      <c r="B704" t="s">
        <v>37</v>
      </c>
      <c r="C704" t="s">
        <v>4917</v>
      </c>
      <c r="E704" t="s">
        <v>4918</v>
      </c>
      <c r="F704" t="s">
        <v>4919</v>
      </c>
      <c r="G704" t="s">
        <v>4920</v>
      </c>
      <c r="H704" t="s">
        <v>42</v>
      </c>
      <c r="I704" t="s">
        <v>4921</v>
      </c>
      <c r="J704" t="s">
        <v>4922</v>
      </c>
      <c r="K704">
        <v>60325</v>
      </c>
      <c r="L704" t="s">
        <v>71</v>
      </c>
      <c r="M704" t="s">
        <v>46</v>
      </c>
      <c r="N704" t="s">
        <v>47</v>
      </c>
      <c r="O704">
        <v>2</v>
      </c>
      <c r="P704">
        <v>1</v>
      </c>
      <c r="Q704">
        <v>2</v>
      </c>
      <c r="R704" t="s">
        <v>48</v>
      </c>
      <c r="S704" t="s">
        <v>49</v>
      </c>
      <c r="T704" s="3">
        <v>0.84</v>
      </c>
      <c r="U704" s="3">
        <v>0.23</v>
      </c>
      <c r="V704" s="3">
        <v>1.81</v>
      </c>
      <c r="W704">
        <v>0.88</v>
      </c>
      <c r="X704" t="s">
        <v>108</v>
      </c>
      <c r="Y704" s="3">
        <v>5.13</v>
      </c>
      <c r="Z704" t="s">
        <v>109</v>
      </c>
      <c r="AA704" t="s">
        <v>4923</v>
      </c>
      <c r="AB704" t="s">
        <v>53</v>
      </c>
      <c r="AC704" s="3">
        <v>1.06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f t="shared" si="20"/>
        <v>9.07</v>
      </c>
      <c r="AK704" s="3">
        <f t="shared" si="21"/>
        <v>3.9400000000000004</v>
      </c>
    </row>
    <row r="705" spans="1:37">
      <c r="A705">
        <v>10309093</v>
      </c>
      <c r="B705" t="s">
        <v>37</v>
      </c>
      <c r="C705" t="s">
        <v>4924</v>
      </c>
      <c r="E705" t="s">
        <v>4925</v>
      </c>
      <c r="F705" t="s">
        <v>4926</v>
      </c>
      <c r="G705" t="s">
        <v>4927</v>
      </c>
      <c r="H705" t="s">
        <v>42</v>
      </c>
      <c r="I705" t="s">
        <v>4928</v>
      </c>
      <c r="J705" t="s">
        <v>4929</v>
      </c>
      <c r="K705">
        <v>72213</v>
      </c>
      <c r="L705" t="s">
        <v>71</v>
      </c>
      <c r="M705" t="s">
        <v>46</v>
      </c>
      <c r="N705" t="s">
        <v>47</v>
      </c>
      <c r="O705">
        <v>2</v>
      </c>
      <c r="P705">
        <v>1</v>
      </c>
      <c r="Q705">
        <v>2</v>
      </c>
      <c r="R705" t="s">
        <v>48</v>
      </c>
      <c r="S705" t="s">
        <v>49</v>
      </c>
      <c r="T705" s="3">
        <v>0.84</v>
      </c>
      <c r="U705" s="3">
        <v>0.23</v>
      </c>
      <c r="V705" s="3">
        <v>1.81</v>
      </c>
      <c r="W705">
        <v>0.88</v>
      </c>
      <c r="X705" t="s">
        <v>108</v>
      </c>
      <c r="Y705" s="3">
        <v>5.13</v>
      </c>
      <c r="Z705" t="s">
        <v>109</v>
      </c>
      <c r="AA705" t="s">
        <v>4930</v>
      </c>
      <c r="AB705" t="s">
        <v>53</v>
      </c>
      <c r="AC705" s="3">
        <v>1.06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f t="shared" si="20"/>
        <v>9.07</v>
      </c>
      <c r="AK705" s="3">
        <f t="shared" si="21"/>
        <v>3.9400000000000004</v>
      </c>
    </row>
    <row r="706" spans="1:37">
      <c r="A706">
        <v>10309991</v>
      </c>
      <c r="B706" t="s">
        <v>37</v>
      </c>
      <c r="C706" t="s">
        <v>4931</v>
      </c>
      <c r="E706" t="s">
        <v>4932</v>
      </c>
      <c r="F706" t="s">
        <v>4933</v>
      </c>
      <c r="G706" t="s">
        <v>4934</v>
      </c>
      <c r="H706" t="s">
        <v>42</v>
      </c>
      <c r="I706" t="s">
        <v>4935</v>
      </c>
      <c r="J706" t="s">
        <v>4936</v>
      </c>
      <c r="K706">
        <v>1040</v>
      </c>
      <c r="L706" t="s">
        <v>505</v>
      </c>
      <c r="M706" t="s">
        <v>46</v>
      </c>
      <c r="N706" t="s">
        <v>47</v>
      </c>
      <c r="O706">
        <v>2</v>
      </c>
      <c r="P706">
        <v>1</v>
      </c>
      <c r="Q706">
        <v>2</v>
      </c>
      <c r="R706" t="s">
        <v>48</v>
      </c>
      <c r="S706" t="s">
        <v>49</v>
      </c>
      <c r="T706" s="3">
        <v>0.84</v>
      </c>
      <c r="U706" s="3">
        <v>0.23</v>
      </c>
      <c r="V706" s="3">
        <v>1.81</v>
      </c>
      <c r="W706">
        <v>1.08</v>
      </c>
      <c r="X706" t="s">
        <v>50</v>
      </c>
      <c r="Y706" s="3">
        <v>9.19</v>
      </c>
      <c r="Z706" t="s">
        <v>73</v>
      </c>
      <c r="AA706" t="s">
        <v>2199</v>
      </c>
      <c r="AB706" t="s">
        <v>53</v>
      </c>
      <c r="AC706" s="3">
        <v>1.29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f t="shared" ref="AJ706:AJ769" si="22">AI706+AH706+AG706+AF706+AE706+AD706+AC706+Y706+V706+U706+T706</f>
        <v>13.360000000000001</v>
      </c>
      <c r="AK706" s="3">
        <f t="shared" ref="AK706:AK769" si="23">AJ706-Y706</f>
        <v>4.1700000000000017</v>
      </c>
    </row>
    <row r="707" spans="1:37">
      <c r="A707">
        <v>10308515</v>
      </c>
      <c r="B707" t="s">
        <v>37</v>
      </c>
      <c r="C707" t="s">
        <v>4937</v>
      </c>
      <c r="E707" t="s">
        <v>4938</v>
      </c>
      <c r="F707" t="s">
        <v>4939</v>
      </c>
      <c r="G707" t="s">
        <v>4940</v>
      </c>
      <c r="H707" t="s">
        <v>42</v>
      </c>
      <c r="I707" t="s">
        <v>4941</v>
      </c>
      <c r="J707" t="s">
        <v>4942</v>
      </c>
      <c r="K707">
        <v>5537</v>
      </c>
      <c r="L707" t="s">
        <v>505</v>
      </c>
      <c r="M707" t="s">
        <v>46</v>
      </c>
      <c r="N707" t="s">
        <v>47</v>
      </c>
      <c r="O707">
        <v>2</v>
      </c>
      <c r="P707">
        <v>1</v>
      </c>
      <c r="Q707">
        <v>2</v>
      </c>
      <c r="R707" t="s">
        <v>48</v>
      </c>
      <c r="S707" t="s">
        <v>49</v>
      </c>
      <c r="T707" s="3">
        <v>0.84</v>
      </c>
      <c r="U707" s="3">
        <v>0.23</v>
      </c>
      <c r="V707" s="3">
        <v>1.81</v>
      </c>
      <c r="W707">
        <v>0.88</v>
      </c>
      <c r="X707" t="s">
        <v>50</v>
      </c>
      <c r="Y707" s="3">
        <v>9.19</v>
      </c>
      <c r="Z707" t="s">
        <v>109</v>
      </c>
      <c r="AA707" t="s">
        <v>4943</v>
      </c>
      <c r="AB707" t="s">
        <v>53</v>
      </c>
      <c r="AC707" s="3">
        <v>1.06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f t="shared" si="22"/>
        <v>13.13</v>
      </c>
      <c r="AK707" s="3">
        <f t="shared" si="23"/>
        <v>3.9400000000000013</v>
      </c>
    </row>
    <row r="708" spans="1:37">
      <c r="A708">
        <v>10308708</v>
      </c>
      <c r="B708" t="s">
        <v>37</v>
      </c>
      <c r="C708" t="s">
        <v>4944</v>
      </c>
      <c r="E708" t="s">
        <v>1330</v>
      </c>
      <c r="F708" t="s">
        <v>4945</v>
      </c>
      <c r="G708" t="s">
        <v>4946</v>
      </c>
      <c r="H708" t="s">
        <v>42</v>
      </c>
      <c r="I708" t="s">
        <v>4947</v>
      </c>
      <c r="J708" t="s">
        <v>4948</v>
      </c>
      <c r="K708">
        <v>72336</v>
      </c>
      <c r="L708" t="s">
        <v>71</v>
      </c>
      <c r="M708" t="s">
        <v>46</v>
      </c>
      <c r="N708" t="s">
        <v>47</v>
      </c>
      <c r="O708">
        <v>2</v>
      </c>
      <c r="P708">
        <v>1</v>
      </c>
      <c r="Q708">
        <v>2</v>
      </c>
      <c r="R708" t="s">
        <v>48</v>
      </c>
      <c r="S708" t="s">
        <v>49</v>
      </c>
      <c r="T708" s="3">
        <v>0.84</v>
      </c>
      <c r="U708" s="3">
        <v>0.23</v>
      </c>
      <c r="V708" s="3">
        <v>1.81</v>
      </c>
      <c r="W708">
        <v>0.88</v>
      </c>
      <c r="X708" t="s">
        <v>108</v>
      </c>
      <c r="Y708" s="3">
        <v>5.13</v>
      </c>
      <c r="Z708" t="s">
        <v>109</v>
      </c>
      <c r="AA708" t="s">
        <v>4949</v>
      </c>
      <c r="AB708" t="s">
        <v>53</v>
      </c>
      <c r="AC708" s="3">
        <v>1.06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f t="shared" si="22"/>
        <v>9.07</v>
      </c>
      <c r="AK708" s="3">
        <f t="shared" si="23"/>
        <v>3.9400000000000004</v>
      </c>
    </row>
    <row r="709" spans="1:37">
      <c r="A709">
        <v>10308518</v>
      </c>
      <c r="B709" t="s">
        <v>37</v>
      </c>
      <c r="C709" t="s">
        <v>4950</v>
      </c>
      <c r="E709" t="s">
        <v>4951</v>
      </c>
      <c r="F709" t="s">
        <v>4952</v>
      </c>
      <c r="G709" t="s">
        <v>4953</v>
      </c>
      <c r="H709" t="s">
        <v>42</v>
      </c>
      <c r="I709" t="s">
        <v>4954</v>
      </c>
      <c r="J709" t="s">
        <v>4955</v>
      </c>
      <c r="K709">
        <v>79104</v>
      </c>
      <c r="L709" t="s">
        <v>71</v>
      </c>
      <c r="M709" t="s">
        <v>46</v>
      </c>
      <c r="N709" t="s">
        <v>47</v>
      </c>
      <c r="O709">
        <v>2</v>
      </c>
      <c r="P709">
        <v>1</v>
      </c>
      <c r="Q709">
        <v>2</v>
      </c>
      <c r="R709" t="s">
        <v>48</v>
      </c>
      <c r="S709" t="s">
        <v>49</v>
      </c>
      <c r="T709" s="3">
        <v>0.84</v>
      </c>
      <c r="U709" s="3">
        <v>0.23</v>
      </c>
      <c r="V709" s="3">
        <v>1.81</v>
      </c>
      <c r="W709">
        <v>0.5</v>
      </c>
      <c r="X709" t="s">
        <v>108</v>
      </c>
      <c r="Y709" s="3">
        <v>5.13</v>
      </c>
      <c r="Z709" t="s">
        <v>109</v>
      </c>
      <c r="AA709" t="s">
        <v>4956</v>
      </c>
      <c r="AB709" t="s">
        <v>53</v>
      </c>
      <c r="AC709" s="3">
        <v>1.06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f t="shared" si="22"/>
        <v>9.07</v>
      </c>
      <c r="AK709" s="3">
        <f t="shared" si="23"/>
        <v>3.9400000000000004</v>
      </c>
    </row>
    <row r="710" spans="1:37">
      <c r="A710">
        <v>10308353</v>
      </c>
      <c r="B710" t="s">
        <v>37</v>
      </c>
      <c r="C710" t="s">
        <v>4957</v>
      </c>
      <c r="E710" t="s">
        <v>76</v>
      </c>
      <c r="F710" t="s">
        <v>4958</v>
      </c>
      <c r="G710" t="s">
        <v>4959</v>
      </c>
      <c r="H710" t="s">
        <v>42</v>
      </c>
      <c r="I710" t="s">
        <v>4960</v>
      </c>
      <c r="J710" t="s">
        <v>4961</v>
      </c>
      <c r="K710">
        <v>27050</v>
      </c>
      <c r="L710" t="s">
        <v>283</v>
      </c>
      <c r="M710" t="s">
        <v>46</v>
      </c>
      <c r="N710" t="s">
        <v>47</v>
      </c>
      <c r="O710">
        <v>2</v>
      </c>
      <c r="P710">
        <v>1</v>
      </c>
      <c r="Q710">
        <v>2</v>
      </c>
      <c r="R710" t="s">
        <v>48</v>
      </c>
      <c r="S710" t="s">
        <v>49</v>
      </c>
      <c r="T710" s="3">
        <v>0.84</v>
      </c>
      <c r="U710" s="3">
        <v>0.23</v>
      </c>
      <c r="V710" s="3">
        <v>1.81</v>
      </c>
      <c r="W710">
        <v>0.4</v>
      </c>
      <c r="X710" t="s">
        <v>50</v>
      </c>
      <c r="Y710" s="3">
        <v>14.98</v>
      </c>
      <c r="Z710" t="s">
        <v>109</v>
      </c>
      <c r="AA710" t="s">
        <v>4962</v>
      </c>
      <c r="AB710" t="s">
        <v>53</v>
      </c>
      <c r="AC710" s="3">
        <v>1.06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f t="shared" si="22"/>
        <v>18.919999999999998</v>
      </c>
      <c r="AK710" s="3">
        <f t="shared" si="23"/>
        <v>3.9399999999999977</v>
      </c>
    </row>
    <row r="711" spans="1:37">
      <c r="A711">
        <v>10308519</v>
      </c>
      <c r="B711" t="s">
        <v>37</v>
      </c>
      <c r="C711" t="s">
        <v>4963</v>
      </c>
      <c r="E711" t="s">
        <v>4964</v>
      </c>
      <c r="F711" t="s">
        <v>4965</v>
      </c>
      <c r="G711" t="s">
        <v>4966</v>
      </c>
      <c r="H711" t="s">
        <v>42</v>
      </c>
      <c r="I711" t="s">
        <v>4967</v>
      </c>
      <c r="J711" t="s">
        <v>4968</v>
      </c>
      <c r="K711" t="s">
        <v>4969</v>
      </c>
      <c r="L711" t="s">
        <v>142</v>
      </c>
      <c r="M711" t="s">
        <v>46</v>
      </c>
      <c r="N711" t="s">
        <v>47</v>
      </c>
      <c r="O711">
        <v>4</v>
      </c>
      <c r="P711">
        <v>1</v>
      </c>
      <c r="Q711">
        <v>4</v>
      </c>
      <c r="R711" t="s">
        <v>48</v>
      </c>
      <c r="S711" t="s">
        <v>49</v>
      </c>
      <c r="T711" s="3">
        <v>0.84</v>
      </c>
      <c r="U711" s="3">
        <v>0.23</v>
      </c>
      <c r="V711" s="3">
        <v>3.55</v>
      </c>
      <c r="W711">
        <v>2.06</v>
      </c>
      <c r="X711" t="s">
        <v>50</v>
      </c>
      <c r="Y711" s="3">
        <v>16.43</v>
      </c>
      <c r="Z711" t="s">
        <v>73</v>
      </c>
      <c r="AA711" t="s">
        <v>990</v>
      </c>
      <c r="AB711" t="s">
        <v>53</v>
      </c>
      <c r="AC711" s="3">
        <v>1.29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f t="shared" si="22"/>
        <v>22.34</v>
      </c>
      <c r="AK711" s="3">
        <f t="shared" si="23"/>
        <v>5.91</v>
      </c>
    </row>
    <row r="712" spans="1:37">
      <c r="A712">
        <v>10308516</v>
      </c>
      <c r="B712" t="s">
        <v>37</v>
      </c>
      <c r="C712" t="s">
        <v>4970</v>
      </c>
      <c r="E712" t="s">
        <v>4971</v>
      </c>
      <c r="F712" t="s">
        <v>4972</v>
      </c>
      <c r="G712" t="s">
        <v>4973</v>
      </c>
      <c r="H712" t="s">
        <v>42</v>
      </c>
      <c r="I712" t="s">
        <v>4974</v>
      </c>
      <c r="J712" t="s">
        <v>4975</v>
      </c>
      <c r="K712">
        <v>9160</v>
      </c>
      <c r="L712" t="s">
        <v>505</v>
      </c>
      <c r="M712" t="s">
        <v>46</v>
      </c>
      <c r="N712" t="s">
        <v>47</v>
      </c>
      <c r="O712">
        <v>4</v>
      </c>
      <c r="P712">
        <v>1</v>
      </c>
      <c r="Q712">
        <v>4</v>
      </c>
      <c r="R712" t="s">
        <v>48</v>
      </c>
      <c r="S712" t="s">
        <v>49</v>
      </c>
      <c r="T712" s="3">
        <v>0.84</v>
      </c>
      <c r="U712" s="3">
        <v>0.23</v>
      </c>
      <c r="V712" s="3">
        <v>3.55</v>
      </c>
      <c r="W712">
        <v>2.68</v>
      </c>
      <c r="X712" t="s">
        <v>50</v>
      </c>
      <c r="Y712" s="3">
        <v>9.19</v>
      </c>
      <c r="Z712" t="s">
        <v>73</v>
      </c>
      <c r="AA712" t="s">
        <v>4976</v>
      </c>
      <c r="AB712" t="s">
        <v>53</v>
      </c>
      <c r="AC712" s="3">
        <v>1.29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f t="shared" si="22"/>
        <v>15.100000000000001</v>
      </c>
      <c r="AK712" s="3">
        <f t="shared" si="23"/>
        <v>5.9100000000000019</v>
      </c>
    </row>
    <row r="713" spans="1:37">
      <c r="A713">
        <v>10308707</v>
      </c>
      <c r="B713" t="s">
        <v>37</v>
      </c>
      <c r="C713" t="s">
        <v>4977</v>
      </c>
      <c r="E713" t="s">
        <v>261</v>
      </c>
      <c r="F713" t="s">
        <v>2175</v>
      </c>
      <c r="G713" t="s">
        <v>4978</v>
      </c>
      <c r="H713" t="s">
        <v>42</v>
      </c>
      <c r="I713" t="s">
        <v>4979</v>
      </c>
      <c r="J713" t="s">
        <v>4980</v>
      </c>
      <c r="K713" t="s">
        <v>4981</v>
      </c>
      <c r="L713" t="s">
        <v>142</v>
      </c>
      <c r="M713" t="s">
        <v>46</v>
      </c>
      <c r="N713" t="s">
        <v>47</v>
      </c>
      <c r="O713">
        <v>4</v>
      </c>
      <c r="P713">
        <v>1</v>
      </c>
      <c r="Q713">
        <v>4</v>
      </c>
      <c r="R713" t="s">
        <v>48</v>
      </c>
      <c r="S713" t="s">
        <v>49</v>
      </c>
      <c r="T713" s="3">
        <v>0.84</v>
      </c>
      <c r="U713" s="3">
        <v>0.23</v>
      </c>
      <c r="V713" s="3">
        <v>3.55</v>
      </c>
      <c r="W713">
        <v>1.66</v>
      </c>
      <c r="X713" t="s">
        <v>50</v>
      </c>
      <c r="Y713" s="3">
        <v>16.43</v>
      </c>
      <c r="Z713" t="s">
        <v>73</v>
      </c>
      <c r="AA713" t="s">
        <v>2255</v>
      </c>
      <c r="AB713" t="s">
        <v>53</v>
      </c>
      <c r="AC713" s="3">
        <v>1.29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f t="shared" si="22"/>
        <v>22.34</v>
      </c>
      <c r="AK713" s="3">
        <f t="shared" si="23"/>
        <v>5.91</v>
      </c>
    </row>
    <row r="714" spans="1:37">
      <c r="A714">
        <v>10308513</v>
      </c>
      <c r="B714" t="s">
        <v>37</v>
      </c>
      <c r="C714" t="s">
        <v>4982</v>
      </c>
      <c r="E714" t="s">
        <v>532</v>
      </c>
      <c r="F714" t="s">
        <v>4983</v>
      </c>
      <c r="G714" t="s">
        <v>4984</v>
      </c>
      <c r="H714" t="s">
        <v>42</v>
      </c>
      <c r="I714" t="s">
        <v>4985</v>
      </c>
      <c r="J714" t="s">
        <v>4986</v>
      </c>
      <c r="K714" t="s">
        <v>4987</v>
      </c>
      <c r="L714" t="s">
        <v>142</v>
      </c>
      <c r="M714" t="s">
        <v>46</v>
      </c>
      <c r="N714" t="s">
        <v>47</v>
      </c>
      <c r="O714">
        <v>4</v>
      </c>
      <c r="P714">
        <v>1</v>
      </c>
      <c r="Q714">
        <v>4</v>
      </c>
      <c r="R714" t="s">
        <v>48</v>
      </c>
      <c r="S714" t="s">
        <v>49</v>
      </c>
      <c r="T714" s="3">
        <v>0.84</v>
      </c>
      <c r="U714" s="3">
        <v>0.23</v>
      </c>
      <c r="V714" s="3">
        <v>3.55</v>
      </c>
      <c r="W714">
        <v>2.06</v>
      </c>
      <c r="X714" t="s">
        <v>50</v>
      </c>
      <c r="Y714" s="3">
        <v>16.43</v>
      </c>
      <c r="Z714" t="s">
        <v>73</v>
      </c>
      <c r="AA714" t="s">
        <v>327</v>
      </c>
      <c r="AB714" t="s">
        <v>53</v>
      </c>
      <c r="AC714" s="3">
        <v>1.29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f t="shared" si="22"/>
        <v>22.34</v>
      </c>
      <c r="AK714" s="3">
        <f t="shared" si="23"/>
        <v>5.91</v>
      </c>
    </row>
    <row r="715" spans="1:37">
      <c r="A715">
        <v>10305686</v>
      </c>
      <c r="B715" t="s">
        <v>37</v>
      </c>
      <c r="C715" t="s">
        <v>4988</v>
      </c>
      <c r="E715" t="s">
        <v>2547</v>
      </c>
      <c r="F715" t="s">
        <v>4989</v>
      </c>
      <c r="G715" t="s">
        <v>4990</v>
      </c>
      <c r="H715" t="s">
        <v>42</v>
      </c>
      <c r="I715" t="s">
        <v>4991</v>
      </c>
      <c r="J715" t="s">
        <v>4992</v>
      </c>
      <c r="K715" t="s">
        <v>4993</v>
      </c>
      <c r="L715" t="s">
        <v>142</v>
      </c>
      <c r="M715" t="s">
        <v>46</v>
      </c>
      <c r="N715" t="s">
        <v>47</v>
      </c>
      <c r="O715">
        <v>3</v>
      </c>
      <c r="P715">
        <v>1</v>
      </c>
      <c r="Q715">
        <v>3</v>
      </c>
      <c r="R715" t="s">
        <v>48</v>
      </c>
      <c r="S715" t="s">
        <v>49</v>
      </c>
      <c r="T715" s="3">
        <v>0.84</v>
      </c>
      <c r="U715" s="3">
        <v>0.23</v>
      </c>
      <c r="V715" s="3">
        <v>2.68</v>
      </c>
      <c r="W715">
        <v>1.27</v>
      </c>
      <c r="X715" t="s">
        <v>50</v>
      </c>
      <c r="Y715" s="3">
        <v>16.43</v>
      </c>
      <c r="Z715" t="s">
        <v>73</v>
      </c>
      <c r="AA715" t="s">
        <v>4994</v>
      </c>
      <c r="AB715" t="s">
        <v>53</v>
      </c>
      <c r="AC715" s="3">
        <v>1.29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f t="shared" si="22"/>
        <v>21.47</v>
      </c>
      <c r="AK715" s="3">
        <f t="shared" si="23"/>
        <v>5.0399999999999991</v>
      </c>
    </row>
    <row r="716" spans="1:37">
      <c r="A716">
        <v>10308882</v>
      </c>
      <c r="B716" t="s">
        <v>37</v>
      </c>
      <c r="C716" t="s">
        <v>4995</v>
      </c>
      <c r="E716" t="s">
        <v>657</v>
      </c>
      <c r="F716" t="s">
        <v>4996</v>
      </c>
      <c r="G716" t="s">
        <v>4997</v>
      </c>
      <c r="H716" t="s">
        <v>42</v>
      </c>
      <c r="I716" t="s">
        <v>4998</v>
      </c>
      <c r="J716" t="s">
        <v>4999</v>
      </c>
      <c r="K716">
        <v>24857</v>
      </c>
      <c r="L716" t="s">
        <v>71</v>
      </c>
      <c r="M716" t="s">
        <v>46</v>
      </c>
      <c r="N716" t="s">
        <v>47</v>
      </c>
      <c r="O716">
        <v>6</v>
      </c>
      <c r="P716">
        <v>1</v>
      </c>
      <c r="Q716">
        <v>6</v>
      </c>
      <c r="R716" t="s">
        <v>48</v>
      </c>
      <c r="S716" t="s">
        <v>49</v>
      </c>
      <c r="T716" s="3">
        <v>0.84</v>
      </c>
      <c r="U716" s="3">
        <v>0.23</v>
      </c>
      <c r="V716" s="3">
        <v>5.29</v>
      </c>
      <c r="W716">
        <v>3.04</v>
      </c>
      <c r="X716" t="s">
        <v>72</v>
      </c>
      <c r="Y716" s="3">
        <v>6.6</v>
      </c>
      <c r="Z716" t="s">
        <v>73</v>
      </c>
      <c r="AA716" t="s">
        <v>5000</v>
      </c>
      <c r="AB716" t="s">
        <v>53</v>
      </c>
      <c r="AC716" s="3">
        <v>1.29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f t="shared" si="22"/>
        <v>14.25</v>
      </c>
      <c r="AK716" s="3">
        <f t="shared" si="23"/>
        <v>7.65</v>
      </c>
    </row>
    <row r="717" spans="1:37">
      <c r="A717">
        <v>10307547</v>
      </c>
      <c r="B717" t="s">
        <v>37</v>
      </c>
      <c r="C717" t="s">
        <v>5001</v>
      </c>
      <c r="E717" t="s">
        <v>1470</v>
      </c>
      <c r="F717" t="s">
        <v>5002</v>
      </c>
      <c r="G717" t="s">
        <v>5003</v>
      </c>
      <c r="H717" t="s">
        <v>42</v>
      </c>
      <c r="I717" t="s">
        <v>5004</v>
      </c>
      <c r="J717" t="s">
        <v>5005</v>
      </c>
      <c r="K717">
        <v>90478</v>
      </c>
      <c r="L717" t="s">
        <v>71</v>
      </c>
      <c r="M717" t="s">
        <v>46</v>
      </c>
      <c r="N717" t="s">
        <v>47</v>
      </c>
      <c r="O717">
        <v>6</v>
      </c>
      <c r="P717">
        <v>1</v>
      </c>
      <c r="Q717">
        <v>6</v>
      </c>
      <c r="R717" t="s">
        <v>48</v>
      </c>
      <c r="S717" t="s">
        <v>49</v>
      </c>
      <c r="T717" s="3">
        <v>0.84</v>
      </c>
      <c r="U717" s="3">
        <v>0.23</v>
      </c>
      <c r="V717" s="3">
        <v>5.29</v>
      </c>
      <c r="W717">
        <v>2.44</v>
      </c>
      <c r="X717" t="s">
        <v>72</v>
      </c>
      <c r="Y717" s="3">
        <v>5.43</v>
      </c>
      <c r="Z717" t="s">
        <v>73</v>
      </c>
      <c r="AA717" t="s">
        <v>2756</v>
      </c>
      <c r="AB717" t="s">
        <v>53</v>
      </c>
      <c r="AC717" s="3">
        <v>1.29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f t="shared" si="22"/>
        <v>13.08</v>
      </c>
      <c r="AK717" s="3">
        <f t="shared" si="23"/>
        <v>7.65</v>
      </c>
    </row>
    <row r="718" spans="1:37">
      <c r="A718">
        <v>10307940</v>
      </c>
      <c r="B718" t="s">
        <v>37</v>
      </c>
      <c r="C718" t="s">
        <v>5006</v>
      </c>
      <c r="E718" t="s">
        <v>5007</v>
      </c>
      <c r="F718" t="s">
        <v>5008</v>
      </c>
      <c r="G718" t="s">
        <v>5009</v>
      </c>
      <c r="H718" t="s">
        <v>42</v>
      </c>
      <c r="I718" t="s">
        <v>5010</v>
      </c>
      <c r="J718" t="s">
        <v>5011</v>
      </c>
      <c r="K718" t="s">
        <v>5012</v>
      </c>
      <c r="L718" t="s">
        <v>275</v>
      </c>
      <c r="M718" t="s">
        <v>46</v>
      </c>
      <c r="N718" t="s">
        <v>47</v>
      </c>
      <c r="O718">
        <v>4</v>
      </c>
      <c r="P718">
        <v>1</v>
      </c>
      <c r="Q718">
        <v>4</v>
      </c>
      <c r="R718" t="s">
        <v>48</v>
      </c>
      <c r="S718" t="s">
        <v>49</v>
      </c>
      <c r="T718" s="3">
        <v>0.84</v>
      </c>
      <c r="U718" s="3">
        <v>0.23</v>
      </c>
      <c r="V718" s="3">
        <v>3.55</v>
      </c>
      <c r="W718">
        <v>1.4</v>
      </c>
      <c r="X718" t="s">
        <v>50</v>
      </c>
      <c r="Y718" s="3">
        <v>16.43</v>
      </c>
      <c r="Z718" t="s">
        <v>73</v>
      </c>
      <c r="AA718" t="s">
        <v>5013</v>
      </c>
      <c r="AB718" t="s">
        <v>53</v>
      </c>
      <c r="AC718" s="3">
        <v>1.29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f t="shared" si="22"/>
        <v>22.34</v>
      </c>
      <c r="AK718" s="3">
        <f t="shared" si="23"/>
        <v>5.91</v>
      </c>
    </row>
    <row r="719" spans="1:37">
      <c r="A719">
        <v>10309522</v>
      </c>
      <c r="B719" t="s">
        <v>37</v>
      </c>
      <c r="C719" t="s">
        <v>5014</v>
      </c>
      <c r="E719" t="s">
        <v>5015</v>
      </c>
      <c r="F719" t="s">
        <v>5016</v>
      </c>
      <c r="G719" t="s">
        <v>5017</v>
      </c>
      <c r="H719" t="s">
        <v>42</v>
      </c>
      <c r="I719" t="s">
        <v>5018</v>
      </c>
      <c r="J719" t="s">
        <v>5019</v>
      </c>
      <c r="K719" t="s">
        <v>5020</v>
      </c>
      <c r="L719" t="s">
        <v>142</v>
      </c>
      <c r="M719" t="s">
        <v>46</v>
      </c>
      <c r="N719" t="s">
        <v>47</v>
      </c>
      <c r="O719">
        <v>3</v>
      </c>
      <c r="P719">
        <v>1</v>
      </c>
      <c r="Q719">
        <v>3</v>
      </c>
      <c r="R719" t="s">
        <v>48</v>
      </c>
      <c r="S719" t="s">
        <v>49</v>
      </c>
      <c r="T719" s="3">
        <v>0.84</v>
      </c>
      <c r="U719" s="3">
        <v>0.23</v>
      </c>
      <c r="V719" s="3">
        <v>2.68</v>
      </c>
      <c r="W719">
        <v>1.57</v>
      </c>
      <c r="X719" t="s">
        <v>50</v>
      </c>
      <c r="Y719" s="3">
        <v>16.43</v>
      </c>
      <c r="Z719" t="s">
        <v>73</v>
      </c>
      <c r="AA719" t="s">
        <v>5021</v>
      </c>
      <c r="AB719" t="s">
        <v>53</v>
      </c>
      <c r="AC719" s="3">
        <v>1.29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f t="shared" si="22"/>
        <v>21.47</v>
      </c>
      <c r="AK719" s="3">
        <f t="shared" si="23"/>
        <v>5.0399999999999991</v>
      </c>
    </row>
    <row r="720" spans="1:37">
      <c r="A720">
        <v>10308704</v>
      </c>
      <c r="B720" t="s">
        <v>37</v>
      </c>
      <c r="C720" t="s">
        <v>5022</v>
      </c>
      <c r="E720" t="s">
        <v>3504</v>
      </c>
      <c r="F720" t="s">
        <v>5023</v>
      </c>
      <c r="G720" t="s">
        <v>5024</v>
      </c>
      <c r="H720" t="s">
        <v>42</v>
      </c>
      <c r="I720" t="s">
        <v>5025</v>
      </c>
      <c r="J720" t="s">
        <v>5026</v>
      </c>
      <c r="K720" t="s">
        <v>5027</v>
      </c>
      <c r="L720" t="s">
        <v>142</v>
      </c>
      <c r="M720" t="s">
        <v>46</v>
      </c>
      <c r="N720" t="s">
        <v>47</v>
      </c>
      <c r="O720">
        <v>6</v>
      </c>
      <c r="P720">
        <v>1</v>
      </c>
      <c r="Q720">
        <v>6</v>
      </c>
      <c r="R720" t="s">
        <v>48</v>
      </c>
      <c r="S720" t="s">
        <v>49</v>
      </c>
      <c r="T720" s="3">
        <v>0.84</v>
      </c>
      <c r="U720" s="3">
        <v>0.23</v>
      </c>
      <c r="V720" s="3">
        <v>5.29</v>
      </c>
      <c r="W720">
        <v>2.39</v>
      </c>
      <c r="X720" t="s">
        <v>50</v>
      </c>
      <c r="Y720" s="3">
        <v>16.43</v>
      </c>
      <c r="Z720" t="s">
        <v>73</v>
      </c>
      <c r="AA720" t="s">
        <v>5028</v>
      </c>
      <c r="AB720" t="s">
        <v>53</v>
      </c>
      <c r="AC720" s="3">
        <v>1.29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f t="shared" si="22"/>
        <v>24.08</v>
      </c>
      <c r="AK720" s="3">
        <f t="shared" si="23"/>
        <v>7.6499999999999986</v>
      </c>
    </row>
    <row r="721" spans="1:37">
      <c r="A721">
        <v>10311054</v>
      </c>
      <c r="B721" t="s">
        <v>37</v>
      </c>
      <c r="C721" t="s">
        <v>5029</v>
      </c>
      <c r="D721" t="s">
        <v>5030</v>
      </c>
      <c r="E721" t="s">
        <v>5031</v>
      </c>
      <c r="F721" t="s">
        <v>5032</v>
      </c>
      <c r="G721" t="s">
        <v>5033</v>
      </c>
      <c r="H721" t="s">
        <v>42</v>
      </c>
      <c r="I721" t="s">
        <v>5034</v>
      </c>
      <c r="J721" t="s">
        <v>5035</v>
      </c>
      <c r="K721">
        <v>79576</v>
      </c>
      <c r="L721" t="s">
        <v>71</v>
      </c>
      <c r="M721" t="s">
        <v>46</v>
      </c>
      <c r="N721" t="s">
        <v>47</v>
      </c>
      <c r="O721">
        <v>3</v>
      </c>
      <c r="P721">
        <v>1</v>
      </c>
      <c r="Q721">
        <v>3</v>
      </c>
      <c r="R721" t="s">
        <v>48</v>
      </c>
      <c r="S721" t="s">
        <v>49</v>
      </c>
      <c r="T721" s="3">
        <v>0.84</v>
      </c>
      <c r="U721" s="3">
        <v>0.23</v>
      </c>
      <c r="V721" s="3">
        <v>2.68</v>
      </c>
      <c r="W721">
        <v>1.57</v>
      </c>
      <c r="X721" t="s">
        <v>72</v>
      </c>
      <c r="Y721" s="3">
        <v>5.43</v>
      </c>
      <c r="Z721" t="s">
        <v>73</v>
      </c>
      <c r="AA721" t="s">
        <v>5036</v>
      </c>
      <c r="AB721" t="s">
        <v>53</v>
      </c>
      <c r="AC721" s="3">
        <v>1.29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f t="shared" si="22"/>
        <v>10.47</v>
      </c>
      <c r="AK721" s="3">
        <f t="shared" si="23"/>
        <v>5.0400000000000009</v>
      </c>
    </row>
    <row r="722" spans="1:37">
      <c r="A722">
        <v>10313216</v>
      </c>
      <c r="B722" t="s">
        <v>37</v>
      </c>
      <c r="C722" t="s">
        <v>5037</v>
      </c>
      <c r="D722" t="s">
        <v>5038</v>
      </c>
      <c r="E722" t="s">
        <v>2646</v>
      </c>
      <c r="F722" t="s">
        <v>5039</v>
      </c>
      <c r="G722" t="s">
        <v>5040</v>
      </c>
      <c r="H722" t="s">
        <v>42</v>
      </c>
      <c r="I722" t="s">
        <v>5041</v>
      </c>
      <c r="J722" t="s">
        <v>5042</v>
      </c>
      <c r="K722">
        <v>9320</v>
      </c>
      <c r="L722" t="s">
        <v>505</v>
      </c>
      <c r="M722" t="s">
        <v>46</v>
      </c>
      <c r="N722" t="s">
        <v>47</v>
      </c>
      <c r="O722">
        <v>4</v>
      </c>
      <c r="P722">
        <v>1</v>
      </c>
      <c r="Q722">
        <v>4</v>
      </c>
      <c r="R722" t="s">
        <v>48</v>
      </c>
      <c r="S722" t="s">
        <v>49</v>
      </c>
      <c r="T722" s="3">
        <v>0.84</v>
      </c>
      <c r="U722" s="3">
        <v>0.23</v>
      </c>
      <c r="V722" s="3">
        <v>3.55</v>
      </c>
      <c r="W722">
        <v>1.66</v>
      </c>
      <c r="X722" t="s">
        <v>50</v>
      </c>
      <c r="Y722" s="3">
        <v>9.19</v>
      </c>
      <c r="Z722" t="s">
        <v>73</v>
      </c>
      <c r="AA722" t="s">
        <v>2911</v>
      </c>
      <c r="AB722" t="s">
        <v>53</v>
      </c>
      <c r="AC722" s="3">
        <v>1.29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f t="shared" si="22"/>
        <v>15.100000000000001</v>
      </c>
      <c r="AK722" s="3">
        <f t="shared" si="23"/>
        <v>5.9100000000000019</v>
      </c>
    </row>
    <row r="723" spans="1:37">
      <c r="A723">
        <v>10304830</v>
      </c>
      <c r="B723" t="s">
        <v>37</v>
      </c>
      <c r="C723" t="s">
        <v>5043</v>
      </c>
      <c r="E723" t="s">
        <v>321</v>
      </c>
      <c r="F723" t="s">
        <v>5044</v>
      </c>
      <c r="G723" t="s">
        <v>5045</v>
      </c>
      <c r="H723" t="s">
        <v>42</v>
      </c>
      <c r="I723" t="s">
        <v>5046</v>
      </c>
      <c r="J723" t="s">
        <v>5047</v>
      </c>
      <c r="K723" t="s">
        <v>5048</v>
      </c>
      <c r="L723" t="s">
        <v>142</v>
      </c>
      <c r="M723" t="s">
        <v>46</v>
      </c>
      <c r="N723" t="s">
        <v>47</v>
      </c>
      <c r="O723">
        <v>1</v>
      </c>
      <c r="P723">
        <v>1</v>
      </c>
      <c r="Q723">
        <v>1</v>
      </c>
      <c r="R723" t="s">
        <v>48</v>
      </c>
      <c r="S723" t="s">
        <v>49</v>
      </c>
      <c r="T723" s="3">
        <v>0.84</v>
      </c>
      <c r="U723" s="3">
        <v>0.23</v>
      </c>
      <c r="V723" s="3">
        <v>0.94</v>
      </c>
      <c r="W723">
        <v>3.1</v>
      </c>
      <c r="X723" t="s">
        <v>50</v>
      </c>
      <c r="Y723" s="3">
        <v>16.43</v>
      </c>
      <c r="Z723" t="s">
        <v>83</v>
      </c>
      <c r="AA723" t="s">
        <v>894</v>
      </c>
      <c r="AB723" t="s">
        <v>53</v>
      </c>
      <c r="AC723" s="3">
        <v>1.27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f t="shared" si="22"/>
        <v>19.71</v>
      </c>
      <c r="AK723" s="3">
        <f t="shared" si="23"/>
        <v>3.2800000000000011</v>
      </c>
    </row>
    <row r="724" spans="1:37">
      <c r="A724">
        <v>10307146</v>
      </c>
      <c r="B724" t="s">
        <v>37</v>
      </c>
      <c r="C724" t="s">
        <v>5049</v>
      </c>
      <c r="E724" t="s">
        <v>5050</v>
      </c>
      <c r="F724" t="s">
        <v>5051</v>
      </c>
      <c r="G724" t="s">
        <v>5052</v>
      </c>
      <c r="H724" t="s">
        <v>42</v>
      </c>
      <c r="I724" t="s">
        <v>5053</v>
      </c>
      <c r="J724" t="s">
        <v>5054</v>
      </c>
      <c r="K724" t="s">
        <v>5055</v>
      </c>
      <c r="L724" t="s">
        <v>142</v>
      </c>
      <c r="M724" t="s">
        <v>46</v>
      </c>
      <c r="N724" t="s">
        <v>47</v>
      </c>
      <c r="O724">
        <v>1</v>
      </c>
      <c r="P724">
        <v>1</v>
      </c>
      <c r="Q724">
        <v>1</v>
      </c>
      <c r="R724" t="s">
        <v>48</v>
      </c>
      <c r="S724" t="s">
        <v>49</v>
      </c>
      <c r="T724" s="3">
        <v>0.84</v>
      </c>
      <c r="U724" s="3">
        <v>0.23</v>
      </c>
      <c r="V724" s="3">
        <v>0.94</v>
      </c>
      <c r="W724">
        <v>3.1</v>
      </c>
      <c r="X724" t="s">
        <v>50</v>
      </c>
      <c r="Y724" s="3">
        <v>16.43</v>
      </c>
      <c r="Z724" t="s">
        <v>83</v>
      </c>
      <c r="AA724" t="s">
        <v>894</v>
      </c>
      <c r="AB724" t="s">
        <v>53</v>
      </c>
      <c r="AC724" s="3">
        <v>1.27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f t="shared" si="22"/>
        <v>19.71</v>
      </c>
      <c r="AK724" s="3">
        <f t="shared" si="23"/>
        <v>3.2800000000000011</v>
      </c>
    </row>
    <row r="725" spans="1:37">
      <c r="A725">
        <v>10314019</v>
      </c>
      <c r="B725" t="s">
        <v>37</v>
      </c>
      <c r="C725" t="s">
        <v>5056</v>
      </c>
      <c r="E725" t="s">
        <v>5057</v>
      </c>
      <c r="F725" t="s">
        <v>5058</v>
      </c>
      <c r="G725" t="s">
        <v>5059</v>
      </c>
      <c r="H725" t="s">
        <v>42</v>
      </c>
      <c r="I725" t="s">
        <v>5060</v>
      </c>
      <c r="J725" t="s">
        <v>5061</v>
      </c>
      <c r="K725" t="s">
        <v>5062</v>
      </c>
      <c r="L725" t="s">
        <v>142</v>
      </c>
      <c r="M725" t="s">
        <v>46</v>
      </c>
      <c r="N725" t="s">
        <v>47</v>
      </c>
      <c r="O725">
        <v>1</v>
      </c>
      <c r="P725">
        <v>1</v>
      </c>
      <c r="Q725">
        <v>1</v>
      </c>
      <c r="R725" t="s">
        <v>48</v>
      </c>
      <c r="S725" t="s">
        <v>49</v>
      </c>
      <c r="T725" s="3">
        <v>0.84</v>
      </c>
      <c r="U725" s="3">
        <v>0.23</v>
      </c>
      <c r="V725" s="3">
        <v>0.94</v>
      </c>
      <c r="W725">
        <v>2.1</v>
      </c>
      <c r="X725" t="s">
        <v>50</v>
      </c>
      <c r="Y725" s="3">
        <v>16.43</v>
      </c>
      <c r="Z725" t="s">
        <v>73</v>
      </c>
      <c r="AA725" t="s">
        <v>5063</v>
      </c>
      <c r="AB725" t="s">
        <v>53</v>
      </c>
      <c r="AC725" s="3">
        <v>1.29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f t="shared" si="22"/>
        <v>19.73</v>
      </c>
      <c r="AK725" s="3">
        <f t="shared" si="23"/>
        <v>3.3000000000000007</v>
      </c>
    </row>
    <row r="726" spans="1:37">
      <c r="A726">
        <v>10313474</v>
      </c>
      <c r="B726" t="s">
        <v>37</v>
      </c>
      <c r="C726" t="s">
        <v>5064</v>
      </c>
      <c r="E726" t="s">
        <v>5065</v>
      </c>
      <c r="F726" t="s">
        <v>5066</v>
      </c>
      <c r="G726" t="s">
        <v>5067</v>
      </c>
      <c r="H726" t="s">
        <v>42</v>
      </c>
      <c r="I726" t="s">
        <v>5068</v>
      </c>
      <c r="J726" t="s">
        <v>5069</v>
      </c>
      <c r="K726" t="s">
        <v>5070</v>
      </c>
      <c r="L726" t="s">
        <v>82</v>
      </c>
      <c r="M726" t="s">
        <v>46</v>
      </c>
      <c r="N726" t="s">
        <v>47</v>
      </c>
      <c r="O726">
        <v>1</v>
      </c>
      <c r="P726">
        <v>1</v>
      </c>
      <c r="Q726">
        <v>1</v>
      </c>
      <c r="R726" t="s">
        <v>48</v>
      </c>
      <c r="S726" t="s">
        <v>49</v>
      </c>
      <c r="T726" s="3">
        <v>0.84</v>
      </c>
      <c r="U726" s="3">
        <v>0.23</v>
      </c>
      <c r="V726" s="3">
        <v>0.94</v>
      </c>
      <c r="W726">
        <v>2.1</v>
      </c>
      <c r="X726" t="s">
        <v>50</v>
      </c>
      <c r="Y726" s="3">
        <v>9.19</v>
      </c>
      <c r="Z726" t="s">
        <v>73</v>
      </c>
      <c r="AA726" t="s">
        <v>4162</v>
      </c>
      <c r="AB726" t="s">
        <v>53</v>
      </c>
      <c r="AC726" s="3">
        <v>1.29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f t="shared" si="22"/>
        <v>12.49</v>
      </c>
      <c r="AK726" s="3">
        <f t="shared" si="23"/>
        <v>3.3000000000000007</v>
      </c>
    </row>
    <row r="727" spans="1:37">
      <c r="A727">
        <v>10310169</v>
      </c>
      <c r="B727" t="s">
        <v>37</v>
      </c>
      <c r="C727" t="s">
        <v>5071</v>
      </c>
      <c r="E727" t="s">
        <v>240</v>
      </c>
      <c r="F727" t="s">
        <v>5072</v>
      </c>
      <c r="G727" t="s">
        <v>5073</v>
      </c>
      <c r="H727" t="s">
        <v>42</v>
      </c>
      <c r="I727" t="s">
        <v>5074</v>
      </c>
      <c r="J727" t="s">
        <v>5075</v>
      </c>
      <c r="K727">
        <v>3040</v>
      </c>
      <c r="L727" t="s">
        <v>505</v>
      </c>
      <c r="M727" t="s">
        <v>46</v>
      </c>
      <c r="N727" t="s">
        <v>47</v>
      </c>
      <c r="O727">
        <v>4</v>
      </c>
      <c r="P727">
        <v>1</v>
      </c>
      <c r="Q727">
        <v>4</v>
      </c>
      <c r="R727" t="s">
        <v>48</v>
      </c>
      <c r="S727" t="s">
        <v>49</v>
      </c>
      <c r="T727" s="3">
        <v>0.84</v>
      </c>
      <c r="U727" s="3">
        <v>0.23</v>
      </c>
      <c r="V727" s="3">
        <v>3.55</v>
      </c>
      <c r="W727">
        <v>3.22</v>
      </c>
      <c r="X727" t="s">
        <v>50</v>
      </c>
      <c r="Y727" s="3">
        <v>9.19</v>
      </c>
      <c r="Z727" t="s">
        <v>73</v>
      </c>
      <c r="AA727" t="s">
        <v>5076</v>
      </c>
      <c r="AB727" t="s">
        <v>53</v>
      </c>
      <c r="AC727" s="3">
        <v>1.29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f t="shared" si="22"/>
        <v>15.100000000000001</v>
      </c>
      <c r="AK727" s="3">
        <f t="shared" si="23"/>
        <v>5.9100000000000019</v>
      </c>
    </row>
    <row r="728" spans="1:37">
      <c r="A728">
        <v>10314285</v>
      </c>
      <c r="B728" t="s">
        <v>37</v>
      </c>
      <c r="C728" t="s">
        <v>5077</v>
      </c>
      <c r="E728" t="s">
        <v>5078</v>
      </c>
      <c r="F728" t="s">
        <v>5079</v>
      </c>
      <c r="G728" t="s">
        <v>5080</v>
      </c>
      <c r="H728" t="s">
        <v>42</v>
      </c>
      <c r="I728" t="s">
        <v>5081</v>
      </c>
      <c r="J728" t="s">
        <v>5082</v>
      </c>
      <c r="K728">
        <v>29559</v>
      </c>
      <c r="L728" t="s">
        <v>71</v>
      </c>
      <c r="M728" t="s">
        <v>46</v>
      </c>
      <c r="N728" t="s">
        <v>47</v>
      </c>
      <c r="O728">
        <v>1</v>
      </c>
      <c r="P728">
        <v>1</v>
      </c>
      <c r="Q728">
        <v>1</v>
      </c>
      <c r="R728" t="s">
        <v>48</v>
      </c>
      <c r="S728" t="s">
        <v>49</v>
      </c>
      <c r="T728" s="3">
        <v>0.84</v>
      </c>
      <c r="U728" s="3">
        <v>0.23</v>
      </c>
      <c r="V728" s="3">
        <v>0.94</v>
      </c>
      <c r="W728">
        <v>1.1200000000000001</v>
      </c>
      <c r="X728" t="s">
        <v>72</v>
      </c>
      <c r="Y728" s="3">
        <v>6.81</v>
      </c>
      <c r="Z728" t="s">
        <v>73</v>
      </c>
      <c r="AA728" t="s">
        <v>1625</v>
      </c>
      <c r="AB728" t="s">
        <v>53</v>
      </c>
      <c r="AC728" s="3">
        <v>1.29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f t="shared" si="22"/>
        <v>10.11</v>
      </c>
      <c r="AK728" s="3">
        <f t="shared" si="23"/>
        <v>3.3</v>
      </c>
    </row>
    <row r="729" spans="1:37">
      <c r="A729">
        <v>10294854</v>
      </c>
      <c r="B729" t="s">
        <v>111</v>
      </c>
      <c r="C729" t="s">
        <v>5083</v>
      </c>
      <c r="E729" t="s">
        <v>5084</v>
      </c>
      <c r="F729" t="s">
        <v>5085</v>
      </c>
      <c r="G729" t="s">
        <v>5086</v>
      </c>
      <c r="H729" t="s">
        <v>117</v>
      </c>
      <c r="I729" t="s">
        <v>5087</v>
      </c>
      <c r="J729" t="s">
        <v>5088</v>
      </c>
      <c r="K729">
        <v>75015</v>
      </c>
      <c r="L729" t="s">
        <v>130</v>
      </c>
      <c r="M729" t="s">
        <v>46</v>
      </c>
      <c r="N729" t="s">
        <v>47</v>
      </c>
      <c r="O729">
        <v>92</v>
      </c>
      <c r="P729">
        <v>2</v>
      </c>
      <c r="Q729">
        <v>92</v>
      </c>
      <c r="R729" t="s">
        <v>48</v>
      </c>
      <c r="S729" t="s">
        <v>49</v>
      </c>
      <c r="T729" s="3">
        <v>7</v>
      </c>
      <c r="U729" s="3">
        <v>0.23</v>
      </c>
      <c r="V729" s="3">
        <v>74.63</v>
      </c>
      <c r="W729">
        <v>24</v>
      </c>
      <c r="X729" t="s">
        <v>131</v>
      </c>
      <c r="Y729" s="3">
        <v>28.83</v>
      </c>
      <c r="Z729" t="s">
        <v>744</v>
      </c>
      <c r="AA729" t="s">
        <v>5089</v>
      </c>
      <c r="AB729" t="s">
        <v>53</v>
      </c>
      <c r="AC729" s="3">
        <v>3.74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f t="shared" si="22"/>
        <v>114.42999999999999</v>
      </c>
      <c r="AK729" s="3">
        <f t="shared" si="23"/>
        <v>85.6</v>
      </c>
    </row>
    <row r="730" spans="1:37">
      <c r="A730">
        <v>10306471</v>
      </c>
      <c r="B730" t="s">
        <v>37</v>
      </c>
      <c r="C730" t="s">
        <v>5090</v>
      </c>
      <c r="E730" t="s">
        <v>5091</v>
      </c>
      <c r="F730" t="s">
        <v>3298</v>
      </c>
      <c r="G730" t="s">
        <v>5092</v>
      </c>
      <c r="H730" t="s">
        <v>42</v>
      </c>
      <c r="I730" t="s">
        <v>5093</v>
      </c>
      <c r="J730" t="s">
        <v>5094</v>
      </c>
      <c r="K730">
        <v>85445</v>
      </c>
      <c r="L730" t="s">
        <v>71</v>
      </c>
      <c r="M730" t="s">
        <v>46</v>
      </c>
      <c r="N730" t="s">
        <v>47</v>
      </c>
      <c r="O730">
        <v>1</v>
      </c>
      <c r="P730">
        <v>1</v>
      </c>
      <c r="Q730">
        <v>1</v>
      </c>
      <c r="R730" t="s">
        <v>48</v>
      </c>
      <c r="S730" t="s">
        <v>49</v>
      </c>
      <c r="T730" s="3">
        <v>0.84</v>
      </c>
      <c r="U730" s="3">
        <v>0.23</v>
      </c>
      <c r="V730" s="3">
        <v>0.94</v>
      </c>
      <c r="W730">
        <v>0.49</v>
      </c>
      <c r="X730" t="s">
        <v>108</v>
      </c>
      <c r="Y730" s="3">
        <v>5.13</v>
      </c>
      <c r="Z730" t="s">
        <v>109</v>
      </c>
      <c r="AA730" t="s">
        <v>3998</v>
      </c>
      <c r="AB730" t="s">
        <v>53</v>
      </c>
      <c r="AC730" s="3">
        <v>1.06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f t="shared" si="22"/>
        <v>8.1999999999999993</v>
      </c>
      <c r="AK730" s="3">
        <f t="shared" si="23"/>
        <v>3.0699999999999994</v>
      </c>
    </row>
    <row r="731" spans="1:37">
      <c r="A731">
        <v>10314692</v>
      </c>
      <c r="B731" t="s">
        <v>37</v>
      </c>
      <c r="C731" t="s">
        <v>5095</v>
      </c>
      <c r="E731" t="s">
        <v>5096</v>
      </c>
      <c r="F731" t="s">
        <v>5097</v>
      </c>
      <c r="G731" t="s">
        <v>5098</v>
      </c>
      <c r="H731" t="s">
        <v>42</v>
      </c>
      <c r="I731" t="s">
        <v>5099</v>
      </c>
      <c r="J731" t="s">
        <v>5100</v>
      </c>
      <c r="K731">
        <v>81476</v>
      </c>
      <c r="L731" t="s">
        <v>71</v>
      </c>
      <c r="M731" t="s">
        <v>46</v>
      </c>
      <c r="N731" t="s">
        <v>47</v>
      </c>
      <c r="O731">
        <v>1</v>
      </c>
      <c r="P731">
        <v>1</v>
      </c>
      <c r="Q731">
        <v>1</v>
      </c>
      <c r="R731" t="s">
        <v>48</v>
      </c>
      <c r="S731" t="s">
        <v>49</v>
      </c>
      <c r="T731" s="3">
        <v>0.84</v>
      </c>
      <c r="U731" s="3">
        <v>0.23</v>
      </c>
      <c r="V731" s="3">
        <v>0.94</v>
      </c>
      <c r="W731">
        <v>0.24</v>
      </c>
      <c r="X731" t="s">
        <v>108</v>
      </c>
      <c r="Y731" s="3">
        <v>5.13</v>
      </c>
      <c r="Z731" t="s">
        <v>109</v>
      </c>
      <c r="AA731" t="s">
        <v>5101</v>
      </c>
      <c r="AB731" t="s">
        <v>53</v>
      </c>
      <c r="AC731" s="3">
        <v>1.06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f t="shared" si="22"/>
        <v>8.1999999999999993</v>
      </c>
      <c r="AK731" s="3">
        <f t="shared" si="23"/>
        <v>3.0699999999999994</v>
      </c>
    </row>
    <row r="732" spans="1:37">
      <c r="A732">
        <v>10310170</v>
      </c>
      <c r="B732" t="s">
        <v>37</v>
      </c>
      <c r="C732" t="s">
        <v>5102</v>
      </c>
      <c r="E732" t="s">
        <v>5103</v>
      </c>
      <c r="F732" t="s">
        <v>5104</v>
      </c>
      <c r="G732" t="s">
        <v>5105</v>
      </c>
      <c r="H732" t="s">
        <v>42</v>
      </c>
      <c r="I732" t="s">
        <v>5106</v>
      </c>
      <c r="J732" t="s">
        <v>5107</v>
      </c>
      <c r="K732">
        <v>1502</v>
      </c>
      <c r="L732" t="s">
        <v>505</v>
      </c>
      <c r="M732" t="s">
        <v>46</v>
      </c>
      <c r="N732" t="s">
        <v>47</v>
      </c>
      <c r="O732">
        <v>4</v>
      </c>
      <c r="P732">
        <v>1</v>
      </c>
      <c r="Q732">
        <v>4</v>
      </c>
      <c r="R732" t="s">
        <v>48</v>
      </c>
      <c r="S732" t="s">
        <v>49</v>
      </c>
      <c r="T732" s="3">
        <v>0.84</v>
      </c>
      <c r="U732" s="3">
        <v>0.23</v>
      </c>
      <c r="V732" s="3">
        <v>3.55</v>
      </c>
      <c r="W732">
        <v>2.06</v>
      </c>
      <c r="X732" t="s">
        <v>50</v>
      </c>
      <c r="Y732" s="3">
        <v>9.19</v>
      </c>
      <c r="Z732" t="s">
        <v>73</v>
      </c>
      <c r="AA732" t="s">
        <v>327</v>
      </c>
      <c r="AB732" t="s">
        <v>53</v>
      </c>
      <c r="AC732" s="3">
        <v>1.29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f t="shared" si="22"/>
        <v>15.100000000000001</v>
      </c>
      <c r="AK732" s="3">
        <f t="shared" si="23"/>
        <v>5.9100000000000019</v>
      </c>
    </row>
    <row r="733" spans="1:37">
      <c r="A733">
        <v>10313212</v>
      </c>
      <c r="B733" t="s">
        <v>37</v>
      </c>
      <c r="C733" t="s">
        <v>5108</v>
      </c>
      <c r="E733" t="s">
        <v>5109</v>
      </c>
      <c r="F733" t="s">
        <v>5110</v>
      </c>
      <c r="G733" t="s">
        <v>5111</v>
      </c>
      <c r="H733" t="s">
        <v>42</v>
      </c>
      <c r="I733" t="s">
        <v>5112</v>
      </c>
      <c r="J733" t="s">
        <v>5113</v>
      </c>
      <c r="K733">
        <v>10365</v>
      </c>
      <c r="L733" t="s">
        <v>71</v>
      </c>
      <c r="M733" t="s">
        <v>46</v>
      </c>
      <c r="N733" t="s">
        <v>47</v>
      </c>
      <c r="O733">
        <v>1</v>
      </c>
      <c r="P733">
        <v>1</v>
      </c>
      <c r="Q733">
        <v>1</v>
      </c>
      <c r="R733" t="s">
        <v>48</v>
      </c>
      <c r="S733" t="s">
        <v>49</v>
      </c>
      <c r="T733" s="3">
        <v>0.84</v>
      </c>
      <c r="U733" s="3">
        <v>0.23</v>
      </c>
      <c r="V733" s="3">
        <v>0.94</v>
      </c>
      <c r="W733">
        <v>0.59</v>
      </c>
      <c r="X733" t="s">
        <v>108</v>
      </c>
      <c r="Y733" s="3">
        <v>9.27</v>
      </c>
      <c r="Z733" t="s">
        <v>109</v>
      </c>
      <c r="AA733" t="s">
        <v>862</v>
      </c>
      <c r="AB733" t="s">
        <v>53</v>
      </c>
      <c r="AC733" s="3">
        <v>1.06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f t="shared" si="22"/>
        <v>12.34</v>
      </c>
      <c r="AK733" s="3">
        <f t="shared" si="23"/>
        <v>3.0700000000000003</v>
      </c>
    </row>
    <row r="734" spans="1:37">
      <c r="A734">
        <v>10312991</v>
      </c>
      <c r="B734" t="s">
        <v>37</v>
      </c>
      <c r="C734" t="s">
        <v>5114</v>
      </c>
      <c r="E734" t="s">
        <v>5115</v>
      </c>
      <c r="F734" t="s">
        <v>5116</v>
      </c>
      <c r="G734" t="s">
        <v>5117</v>
      </c>
      <c r="H734" t="s">
        <v>42</v>
      </c>
      <c r="I734" t="s">
        <v>5118</v>
      </c>
      <c r="J734" t="s">
        <v>5119</v>
      </c>
      <c r="K734" t="s">
        <v>5120</v>
      </c>
      <c r="L734" t="s">
        <v>82</v>
      </c>
      <c r="M734" t="s">
        <v>46</v>
      </c>
      <c r="N734" t="s">
        <v>47</v>
      </c>
      <c r="O734">
        <v>1</v>
      </c>
      <c r="P734">
        <v>1</v>
      </c>
      <c r="Q734">
        <v>1</v>
      </c>
      <c r="R734" t="s">
        <v>48</v>
      </c>
      <c r="S734" t="s">
        <v>49</v>
      </c>
      <c r="T734" s="3">
        <v>0.84</v>
      </c>
      <c r="U734" s="3">
        <v>0.23</v>
      </c>
      <c r="V734" s="3">
        <v>0.94</v>
      </c>
      <c r="W734">
        <v>0.59</v>
      </c>
      <c r="X734" t="s">
        <v>50</v>
      </c>
      <c r="Y734" s="3">
        <v>9.19</v>
      </c>
      <c r="Z734" t="s">
        <v>109</v>
      </c>
      <c r="AA734" t="s">
        <v>245</v>
      </c>
      <c r="AB734" t="s">
        <v>53</v>
      </c>
      <c r="AC734" s="3">
        <v>1.06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f t="shared" si="22"/>
        <v>12.26</v>
      </c>
      <c r="AK734" s="3">
        <f t="shared" si="23"/>
        <v>3.0700000000000003</v>
      </c>
    </row>
    <row r="735" spans="1:37">
      <c r="A735">
        <v>10313220</v>
      </c>
      <c r="B735" t="s">
        <v>37</v>
      </c>
      <c r="C735" t="s">
        <v>5121</v>
      </c>
      <c r="E735" t="s">
        <v>437</v>
      </c>
      <c r="F735" t="s">
        <v>5122</v>
      </c>
      <c r="G735" t="s">
        <v>5123</v>
      </c>
      <c r="H735" t="s">
        <v>42</v>
      </c>
      <c r="I735" t="s">
        <v>5124</v>
      </c>
      <c r="J735" t="s">
        <v>5125</v>
      </c>
      <c r="K735">
        <v>71069</v>
      </c>
      <c r="L735" t="s">
        <v>71</v>
      </c>
      <c r="M735" t="s">
        <v>46</v>
      </c>
      <c r="N735" t="s">
        <v>47</v>
      </c>
      <c r="O735">
        <v>1</v>
      </c>
      <c r="P735">
        <v>1</v>
      </c>
      <c r="Q735">
        <v>1</v>
      </c>
      <c r="R735" t="s">
        <v>48</v>
      </c>
      <c r="S735" t="s">
        <v>49</v>
      </c>
      <c r="T735" s="3">
        <v>0.84</v>
      </c>
      <c r="U735" s="3">
        <v>0.23</v>
      </c>
      <c r="V735" s="3">
        <v>0.94</v>
      </c>
      <c r="W735">
        <v>0.49</v>
      </c>
      <c r="X735" t="s">
        <v>108</v>
      </c>
      <c r="Y735" s="3">
        <v>5.13</v>
      </c>
      <c r="Z735" t="s">
        <v>109</v>
      </c>
      <c r="AA735" t="s">
        <v>5126</v>
      </c>
      <c r="AB735" t="s">
        <v>53</v>
      </c>
      <c r="AC735" s="3">
        <v>1.06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f t="shared" si="22"/>
        <v>8.1999999999999993</v>
      </c>
      <c r="AK735" s="3">
        <f t="shared" si="23"/>
        <v>3.0699999999999994</v>
      </c>
    </row>
    <row r="736" spans="1:37">
      <c r="A736">
        <v>10307338</v>
      </c>
      <c r="B736" t="s">
        <v>37</v>
      </c>
      <c r="C736" t="s">
        <v>5127</v>
      </c>
      <c r="E736" t="s">
        <v>5128</v>
      </c>
      <c r="F736" t="s">
        <v>5129</v>
      </c>
      <c r="G736" t="s">
        <v>5130</v>
      </c>
      <c r="H736" t="s">
        <v>42</v>
      </c>
      <c r="I736" t="s">
        <v>5131</v>
      </c>
      <c r="J736" t="s">
        <v>5132</v>
      </c>
      <c r="K736">
        <v>87733</v>
      </c>
      <c r="L736" t="s">
        <v>71</v>
      </c>
      <c r="M736" t="s">
        <v>46</v>
      </c>
      <c r="N736" t="s">
        <v>47</v>
      </c>
      <c r="O736">
        <v>5</v>
      </c>
      <c r="P736">
        <v>1</v>
      </c>
      <c r="Q736">
        <v>5</v>
      </c>
      <c r="R736" t="s">
        <v>48</v>
      </c>
      <c r="S736" t="s">
        <v>49</v>
      </c>
      <c r="T736" s="3">
        <v>0.84</v>
      </c>
      <c r="U736" s="3">
        <v>0.23</v>
      </c>
      <c r="V736" s="3">
        <v>4.42</v>
      </c>
      <c r="W736">
        <v>3.42</v>
      </c>
      <c r="X736" t="s">
        <v>72</v>
      </c>
      <c r="Y736" s="3">
        <v>6.6</v>
      </c>
      <c r="Z736" t="s">
        <v>73</v>
      </c>
      <c r="AA736" t="s">
        <v>5133</v>
      </c>
      <c r="AB736" t="s">
        <v>53</v>
      </c>
      <c r="AC736" s="3">
        <v>1.29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f t="shared" si="22"/>
        <v>13.379999999999999</v>
      </c>
      <c r="AK736" s="3">
        <f t="shared" si="23"/>
        <v>6.7799999999999994</v>
      </c>
    </row>
    <row r="737" spans="1:37">
      <c r="A737">
        <v>10313221</v>
      </c>
      <c r="B737" t="s">
        <v>37</v>
      </c>
      <c r="C737" t="s">
        <v>5134</v>
      </c>
      <c r="E737" t="s">
        <v>5135</v>
      </c>
      <c r="F737" t="s">
        <v>1912</v>
      </c>
      <c r="G737" t="s">
        <v>5136</v>
      </c>
      <c r="H737" t="s">
        <v>42</v>
      </c>
      <c r="I737" t="s">
        <v>5137</v>
      </c>
      <c r="J737" t="s">
        <v>5138</v>
      </c>
      <c r="K737">
        <v>58332</v>
      </c>
      <c r="L737" t="s">
        <v>71</v>
      </c>
      <c r="M737" t="s">
        <v>46</v>
      </c>
      <c r="N737" t="s">
        <v>47</v>
      </c>
      <c r="O737">
        <v>1</v>
      </c>
      <c r="P737">
        <v>1</v>
      </c>
      <c r="Q737">
        <v>1</v>
      </c>
      <c r="R737" t="s">
        <v>48</v>
      </c>
      <c r="S737" t="s">
        <v>49</v>
      </c>
      <c r="T737" s="3">
        <v>0.84</v>
      </c>
      <c r="U737" s="3">
        <v>0.23</v>
      </c>
      <c r="V737" s="3">
        <v>0.94</v>
      </c>
      <c r="W737">
        <v>0.59</v>
      </c>
      <c r="X737" t="s">
        <v>108</v>
      </c>
      <c r="Y737" s="3">
        <v>5.13</v>
      </c>
      <c r="Z737" t="s">
        <v>109</v>
      </c>
      <c r="AA737" t="s">
        <v>184</v>
      </c>
      <c r="AB737" t="s">
        <v>53</v>
      </c>
      <c r="AC737" s="3">
        <v>1.06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f t="shared" si="22"/>
        <v>8.1999999999999993</v>
      </c>
      <c r="AK737" s="3">
        <f t="shared" si="23"/>
        <v>3.0699999999999994</v>
      </c>
    </row>
    <row r="738" spans="1:37">
      <c r="A738">
        <v>10313477</v>
      </c>
      <c r="B738" t="s">
        <v>37</v>
      </c>
      <c r="C738" t="s">
        <v>5139</v>
      </c>
      <c r="E738" t="s">
        <v>5140</v>
      </c>
      <c r="F738" t="s">
        <v>5141</v>
      </c>
      <c r="G738" t="s">
        <v>5142</v>
      </c>
      <c r="H738" t="s">
        <v>42</v>
      </c>
      <c r="I738" t="s">
        <v>5143</v>
      </c>
      <c r="J738" t="s">
        <v>5144</v>
      </c>
      <c r="K738" t="s">
        <v>5145</v>
      </c>
      <c r="L738" t="s">
        <v>82</v>
      </c>
      <c r="M738" t="s">
        <v>46</v>
      </c>
      <c r="N738" t="s">
        <v>47</v>
      </c>
      <c r="O738">
        <v>1</v>
      </c>
      <c r="P738">
        <v>1</v>
      </c>
      <c r="Q738">
        <v>1</v>
      </c>
      <c r="R738" t="s">
        <v>48</v>
      </c>
      <c r="S738" t="s">
        <v>49</v>
      </c>
      <c r="T738" s="3">
        <v>0.84</v>
      </c>
      <c r="U738" s="3">
        <v>0.23</v>
      </c>
      <c r="V738" s="3">
        <v>0.94</v>
      </c>
      <c r="W738">
        <v>0.49</v>
      </c>
      <c r="X738" t="s">
        <v>50</v>
      </c>
      <c r="Y738" s="3">
        <v>9.19</v>
      </c>
      <c r="Z738" t="s">
        <v>109</v>
      </c>
      <c r="AA738" t="s">
        <v>5146</v>
      </c>
      <c r="AB738" t="s">
        <v>53</v>
      </c>
      <c r="AC738" s="3">
        <v>1.06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f t="shared" si="22"/>
        <v>12.26</v>
      </c>
      <c r="AK738" s="3">
        <f t="shared" si="23"/>
        <v>3.0700000000000003</v>
      </c>
    </row>
    <row r="739" spans="1:37">
      <c r="A739">
        <v>10312984</v>
      </c>
      <c r="B739" t="s">
        <v>37</v>
      </c>
      <c r="C739" t="s">
        <v>5147</v>
      </c>
      <c r="E739" t="s">
        <v>3681</v>
      </c>
      <c r="F739" t="s">
        <v>5148</v>
      </c>
      <c r="G739" t="s">
        <v>5149</v>
      </c>
      <c r="H739" t="s">
        <v>42</v>
      </c>
      <c r="I739" t="s">
        <v>5150</v>
      </c>
      <c r="J739" t="s">
        <v>5151</v>
      </c>
      <c r="K739" t="s">
        <v>5152</v>
      </c>
      <c r="L739" t="s">
        <v>142</v>
      </c>
      <c r="M739" t="s">
        <v>46</v>
      </c>
      <c r="N739" t="s">
        <v>47</v>
      </c>
      <c r="O739">
        <v>1</v>
      </c>
      <c r="P739">
        <v>1</v>
      </c>
      <c r="Q739">
        <v>1</v>
      </c>
      <c r="R739" t="s">
        <v>48</v>
      </c>
      <c r="S739" t="s">
        <v>49</v>
      </c>
      <c r="T739" s="3">
        <v>0.84</v>
      </c>
      <c r="U739" s="3">
        <v>0.23</v>
      </c>
      <c r="V739" s="3">
        <v>0.94</v>
      </c>
      <c r="W739">
        <v>0.59</v>
      </c>
      <c r="X739" t="s">
        <v>50</v>
      </c>
      <c r="Y739" s="3">
        <v>16.43</v>
      </c>
      <c r="Z739" t="s">
        <v>109</v>
      </c>
      <c r="AA739" t="s">
        <v>5153</v>
      </c>
      <c r="AB739" t="s">
        <v>53</v>
      </c>
      <c r="AC739" s="3">
        <v>1.06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f t="shared" si="22"/>
        <v>19.5</v>
      </c>
      <c r="AK739" s="3">
        <f t="shared" si="23"/>
        <v>3.0700000000000003</v>
      </c>
    </row>
    <row r="740" spans="1:37">
      <c r="A740">
        <v>10306960</v>
      </c>
      <c r="B740" t="s">
        <v>37</v>
      </c>
      <c r="C740" t="s">
        <v>5154</v>
      </c>
      <c r="E740" t="s">
        <v>1292</v>
      </c>
      <c r="F740" t="s">
        <v>5155</v>
      </c>
      <c r="G740" t="s">
        <v>5156</v>
      </c>
      <c r="H740" t="s">
        <v>42</v>
      </c>
      <c r="I740" t="s">
        <v>5157</v>
      </c>
      <c r="J740" t="s">
        <v>5158</v>
      </c>
      <c r="K740" t="s">
        <v>5159</v>
      </c>
      <c r="L740" t="s">
        <v>142</v>
      </c>
      <c r="M740" t="s">
        <v>46</v>
      </c>
      <c r="N740" t="s">
        <v>47</v>
      </c>
      <c r="O740">
        <v>4</v>
      </c>
      <c r="P740">
        <v>1</v>
      </c>
      <c r="Q740">
        <v>4</v>
      </c>
      <c r="R740" t="s">
        <v>48</v>
      </c>
      <c r="S740" t="s">
        <v>49</v>
      </c>
      <c r="T740" s="3">
        <v>0.84</v>
      </c>
      <c r="U740" s="3">
        <v>0.23</v>
      </c>
      <c r="V740" s="3">
        <v>3.55</v>
      </c>
      <c r="W740">
        <v>2.06</v>
      </c>
      <c r="X740" t="s">
        <v>50</v>
      </c>
      <c r="Y740" s="3">
        <v>16.43</v>
      </c>
      <c r="Z740" t="s">
        <v>73</v>
      </c>
      <c r="AA740" t="s">
        <v>5160</v>
      </c>
      <c r="AB740" t="s">
        <v>53</v>
      </c>
      <c r="AC740" s="3">
        <v>1.29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f t="shared" si="22"/>
        <v>22.34</v>
      </c>
      <c r="AK740" s="3">
        <f t="shared" si="23"/>
        <v>5.91</v>
      </c>
    </row>
    <row r="741" spans="1:37">
      <c r="A741">
        <v>10314016</v>
      </c>
      <c r="B741" t="s">
        <v>37</v>
      </c>
      <c r="C741" t="s">
        <v>5161</v>
      </c>
      <c r="E741" t="s">
        <v>1911</v>
      </c>
      <c r="F741" t="s">
        <v>5162</v>
      </c>
      <c r="G741" t="s">
        <v>5163</v>
      </c>
      <c r="H741" t="s">
        <v>42</v>
      </c>
      <c r="I741" t="s">
        <v>5164</v>
      </c>
      <c r="J741" t="s">
        <v>5165</v>
      </c>
      <c r="K741" t="s">
        <v>5166</v>
      </c>
      <c r="L741" t="s">
        <v>82</v>
      </c>
      <c r="M741" t="s">
        <v>46</v>
      </c>
      <c r="N741" t="s">
        <v>47</v>
      </c>
      <c r="O741">
        <v>1</v>
      </c>
      <c r="P741">
        <v>1</v>
      </c>
      <c r="Q741">
        <v>1</v>
      </c>
      <c r="R741" t="s">
        <v>48</v>
      </c>
      <c r="S741" t="s">
        <v>49</v>
      </c>
      <c r="T741" s="3">
        <v>0.84</v>
      </c>
      <c r="U741" s="3">
        <v>0.23</v>
      </c>
      <c r="V741" s="3">
        <v>0.94</v>
      </c>
      <c r="W741">
        <v>0.59</v>
      </c>
      <c r="X741" t="s">
        <v>50</v>
      </c>
      <c r="Y741" s="3">
        <v>9.19</v>
      </c>
      <c r="Z741" t="s">
        <v>109</v>
      </c>
      <c r="AA741" t="s">
        <v>1776</v>
      </c>
      <c r="AB741" t="s">
        <v>53</v>
      </c>
      <c r="AC741" s="3">
        <v>1.06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f t="shared" si="22"/>
        <v>12.26</v>
      </c>
      <c r="AK741" s="3">
        <f t="shared" si="23"/>
        <v>3.0700000000000003</v>
      </c>
    </row>
    <row r="742" spans="1:37">
      <c r="A742">
        <v>10311056</v>
      </c>
      <c r="B742" t="s">
        <v>37</v>
      </c>
      <c r="C742" t="s">
        <v>5167</v>
      </c>
      <c r="E742" t="s">
        <v>2632</v>
      </c>
      <c r="F742" t="s">
        <v>5168</v>
      </c>
      <c r="G742" t="s">
        <v>5169</v>
      </c>
      <c r="H742" t="s">
        <v>42</v>
      </c>
      <c r="I742" t="s">
        <v>5170</v>
      </c>
      <c r="J742" t="s">
        <v>5171</v>
      </c>
      <c r="K742">
        <v>3784</v>
      </c>
      <c r="L742" t="s">
        <v>369</v>
      </c>
      <c r="M742" t="s">
        <v>46</v>
      </c>
      <c r="N742" t="s">
        <v>47</v>
      </c>
      <c r="O742">
        <v>1</v>
      </c>
      <c r="P742">
        <v>1</v>
      </c>
      <c r="Q742">
        <v>1</v>
      </c>
      <c r="R742" t="s">
        <v>48</v>
      </c>
      <c r="S742" t="s">
        <v>49</v>
      </c>
      <c r="T742" s="3">
        <v>0.84</v>
      </c>
      <c r="U742" s="3">
        <v>0.23</v>
      </c>
      <c r="V742" s="3">
        <v>0.94</v>
      </c>
      <c r="W742">
        <v>0.59</v>
      </c>
      <c r="X742" t="s">
        <v>50</v>
      </c>
      <c r="Y742" s="3">
        <v>9.19</v>
      </c>
      <c r="Z742" t="s">
        <v>109</v>
      </c>
      <c r="AA742" t="s">
        <v>4668</v>
      </c>
      <c r="AB742" t="s">
        <v>53</v>
      </c>
      <c r="AC742" s="3">
        <v>1.06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f t="shared" si="22"/>
        <v>12.26</v>
      </c>
      <c r="AK742" s="3">
        <f t="shared" si="23"/>
        <v>3.0700000000000003</v>
      </c>
    </row>
    <row r="743" spans="1:37">
      <c r="A743">
        <v>10304442</v>
      </c>
      <c r="B743" t="s">
        <v>37</v>
      </c>
      <c r="C743" t="s">
        <v>5172</v>
      </c>
      <c r="E743" t="s">
        <v>5173</v>
      </c>
      <c r="F743" t="s">
        <v>5174</v>
      </c>
      <c r="G743" t="s">
        <v>5175</v>
      </c>
      <c r="H743" t="s">
        <v>42</v>
      </c>
      <c r="I743" t="s">
        <v>5176</v>
      </c>
      <c r="J743" t="s">
        <v>5177</v>
      </c>
      <c r="K743" t="s">
        <v>5178</v>
      </c>
      <c r="L743" t="s">
        <v>62</v>
      </c>
      <c r="M743" t="s">
        <v>46</v>
      </c>
      <c r="N743" t="s">
        <v>47</v>
      </c>
      <c r="O743">
        <v>6</v>
      </c>
      <c r="P743">
        <v>1</v>
      </c>
      <c r="Q743">
        <v>6</v>
      </c>
      <c r="R743" t="s">
        <v>48</v>
      </c>
      <c r="S743" t="s">
        <v>49</v>
      </c>
      <c r="T743" s="3">
        <v>0.84</v>
      </c>
      <c r="U743" s="3">
        <v>0.23</v>
      </c>
      <c r="V743" s="3">
        <v>5.29</v>
      </c>
      <c r="W743">
        <v>2.61</v>
      </c>
      <c r="X743" t="s">
        <v>100</v>
      </c>
      <c r="Y743" s="3">
        <v>52.33</v>
      </c>
      <c r="Z743" t="s">
        <v>83</v>
      </c>
      <c r="AA743" t="s">
        <v>5179</v>
      </c>
      <c r="AB743" t="s">
        <v>53</v>
      </c>
      <c r="AC743" s="3">
        <v>1.27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f t="shared" si="22"/>
        <v>59.96</v>
      </c>
      <c r="AK743" s="3">
        <f t="shared" si="23"/>
        <v>7.6300000000000026</v>
      </c>
    </row>
    <row r="744" spans="1:37">
      <c r="A744">
        <v>10312489</v>
      </c>
      <c r="B744" t="s">
        <v>37</v>
      </c>
      <c r="C744" t="s">
        <v>5180</v>
      </c>
      <c r="E744" t="s">
        <v>5181</v>
      </c>
      <c r="F744" t="s">
        <v>5182</v>
      </c>
      <c r="G744" t="s">
        <v>5183</v>
      </c>
      <c r="H744" t="s">
        <v>42</v>
      </c>
      <c r="I744" t="s">
        <v>5184</v>
      </c>
      <c r="J744" t="s">
        <v>5185</v>
      </c>
      <c r="K744">
        <v>90459</v>
      </c>
      <c r="L744" t="s">
        <v>71</v>
      </c>
      <c r="M744" t="s">
        <v>46</v>
      </c>
      <c r="N744" t="s">
        <v>47</v>
      </c>
      <c r="O744">
        <v>1</v>
      </c>
      <c r="P744">
        <v>1</v>
      </c>
      <c r="Q744">
        <v>1</v>
      </c>
      <c r="R744" t="s">
        <v>48</v>
      </c>
      <c r="S744" t="s">
        <v>49</v>
      </c>
      <c r="T744" s="3">
        <v>0.84</v>
      </c>
      <c r="U744" s="3">
        <v>0.23</v>
      </c>
      <c r="V744" s="3">
        <v>0.94</v>
      </c>
      <c r="W744">
        <v>0.59</v>
      </c>
      <c r="X744" t="s">
        <v>108</v>
      </c>
      <c r="Y744" s="3">
        <v>5.13</v>
      </c>
      <c r="Z744" t="s">
        <v>109</v>
      </c>
      <c r="AA744" t="s">
        <v>5186</v>
      </c>
      <c r="AB744" t="s">
        <v>53</v>
      </c>
      <c r="AC744" s="3">
        <v>1.06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f t="shared" si="22"/>
        <v>8.1999999999999993</v>
      </c>
      <c r="AK744" s="3">
        <f t="shared" si="23"/>
        <v>3.0699999999999994</v>
      </c>
    </row>
    <row r="745" spans="1:37">
      <c r="A745">
        <v>10306961</v>
      </c>
      <c r="B745" t="s">
        <v>37</v>
      </c>
      <c r="C745" t="s">
        <v>5187</v>
      </c>
      <c r="E745" t="s">
        <v>5188</v>
      </c>
      <c r="F745" t="s">
        <v>5189</v>
      </c>
      <c r="G745" t="s">
        <v>5190</v>
      </c>
      <c r="H745" t="s">
        <v>42</v>
      </c>
      <c r="I745" t="s">
        <v>5191</v>
      </c>
      <c r="J745" t="s">
        <v>5192</v>
      </c>
      <c r="K745" t="s">
        <v>5193</v>
      </c>
      <c r="L745" t="s">
        <v>275</v>
      </c>
      <c r="M745" t="s">
        <v>46</v>
      </c>
      <c r="N745" t="s">
        <v>47</v>
      </c>
      <c r="O745">
        <v>4</v>
      </c>
      <c r="P745">
        <v>1</v>
      </c>
      <c r="Q745">
        <v>4</v>
      </c>
      <c r="R745" t="s">
        <v>48</v>
      </c>
      <c r="S745" t="s">
        <v>49</v>
      </c>
      <c r="T745" s="3">
        <v>0.84</v>
      </c>
      <c r="U745" s="3">
        <v>0.23</v>
      </c>
      <c r="V745" s="3">
        <v>3.55</v>
      </c>
      <c r="W745">
        <v>1.71</v>
      </c>
      <c r="X745" t="s">
        <v>50</v>
      </c>
      <c r="Y745" s="3">
        <v>35.840000000000003</v>
      </c>
      <c r="Z745" t="s">
        <v>73</v>
      </c>
      <c r="AA745" t="s">
        <v>5194</v>
      </c>
      <c r="AB745" t="s">
        <v>53</v>
      </c>
      <c r="AC745" s="3">
        <v>1.29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f t="shared" si="22"/>
        <v>41.75</v>
      </c>
      <c r="AK745" s="3">
        <f t="shared" si="23"/>
        <v>5.9099999999999966</v>
      </c>
    </row>
    <row r="746" spans="1:37">
      <c r="A746">
        <v>10313708</v>
      </c>
      <c r="B746" t="s">
        <v>37</v>
      </c>
      <c r="C746" t="s">
        <v>5195</v>
      </c>
      <c r="E746" t="s">
        <v>5196</v>
      </c>
      <c r="F746" t="s">
        <v>5197</v>
      </c>
      <c r="G746" t="s">
        <v>5198</v>
      </c>
      <c r="H746" t="s">
        <v>42</v>
      </c>
      <c r="I746" t="s">
        <v>5199</v>
      </c>
      <c r="J746" t="s">
        <v>5200</v>
      </c>
      <c r="K746" t="s">
        <v>5201</v>
      </c>
      <c r="L746" t="s">
        <v>142</v>
      </c>
      <c r="M746" t="s">
        <v>46</v>
      </c>
      <c r="N746" t="s">
        <v>47</v>
      </c>
      <c r="O746">
        <v>1</v>
      </c>
      <c r="P746">
        <v>1</v>
      </c>
      <c r="Q746">
        <v>1</v>
      </c>
      <c r="R746" t="s">
        <v>48</v>
      </c>
      <c r="S746" t="s">
        <v>49</v>
      </c>
      <c r="T746" s="3">
        <v>0.84</v>
      </c>
      <c r="U746" s="3">
        <v>0.23</v>
      </c>
      <c r="V746" s="3">
        <v>0.94</v>
      </c>
      <c r="W746">
        <v>0.2</v>
      </c>
      <c r="X746" t="s">
        <v>50</v>
      </c>
      <c r="Y746" s="3">
        <v>16.43</v>
      </c>
      <c r="Z746" t="s">
        <v>109</v>
      </c>
      <c r="AA746" t="s">
        <v>4410</v>
      </c>
      <c r="AB746" t="s">
        <v>53</v>
      </c>
      <c r="AC746" s="3">
        <v>1.06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f t="shared" si="22"/>
        <v>19.5</v>
      </c>
      <c r="AK746" s="3">
        <f t="shared" si="23"/>
        <v>3.0700000000000003</v>
      </c>
    </row>
    <row r="747" spans="1:37">
      <c r="A747">
        <v>10312488</v>
      </c>
      <c r="B747" t="s">
        <v>37</v>
      </c>
      <c r="C747" t="s">
        <v>5202</v>
      </c>
      <c r="E747" t="s">
        <v>2299</v>
      </c>
      <c r="F747" t="s">
        <v>5203</v>
      </c>
      <c r="G747" t="s">
        <v>5204</v>
      </c>
      <c r="H747" t="s">
        <v>42</v>
      </c>
      <c r="I747" t="s">
        <v>5205</v>
      </c>
      <c r="J747" t="s">
        <v>5206</v>
      </c>
      <c r="K747">
        <v>26904</v>
      </c>
      <c r="L747" t="s">
        <v>71</v>
      </c>
      <c r="M747" t="s">
        <v>46</v>
      </c>
      <c r="N747" t="s">
        <v>47</v>
      </c>
      <c r="O747">
        <v>1</v>
      </c>
      <c r="P747">
        <v>1</v>
      </c>
      <c r="Q747">
        <v>1</v>
      </c>
      <c r="R747" t="s">
        <v>48</v>
      </c>
      <c r="S747" t="s">
        <v>49</v>
      </c>
      <c r="T747" s="3">
        <v>0.84</v>
      </c>
      <c r="U747" s="3">
        <v>0.23</v>
      </c>
      <c r="V747" s="3">
        <v>0.94</v>
      </c>
      <c r="W747">
        <v>0.25</v>
      </c>
      <c r="X747" t="s">
        <v>108</v>
      </c>
      <c r="Y747" s="3">
        <v>5.13</v>
      </c>
      <c r="Z747" t="s">
        <v>109</v>
      </c>
      <c r="AA747" t="s">
        <v>3880</v>
      </c>
      <c r="AB747" t="s">
        <v>53</v>
      </c>
      <c r="AC747" s="3">
        <v>1.06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f t="shared" si="22"/>
        <v>8.1999999999999993</v>
      </c>
      <c r="AK747" s="3">
        <f t="shared" si="23"/>
        <v>3.0699999999999994</v>
      </c>
    </row>
    <row r="748" spans="1:37">
      <c r="A748">
        <v>10307341</v>
      </c>
      <c r="B748" t="s">
        <v>37</v>
      </c>
      <c r="C748" t="s">
        <v>5207</v>
      </c>
      <c r="E748" t="s">
        <v>1932</v>
      </c>
      <c r="F748" t="s">
        <v>5208</v>
      </c>
      <c r="G748" t="s">
        <v>5209</v>
      </c>
      <c r="H748" t="s">
        <v>42</v>
      </c>
      <c r="I748" t="s">
        <v>5210</v>
      </c>
      <c r="J748" t="s">
        <v>5211</v>
      </c>
      <c r="K748" t="s">
        <v>5212</v>
      </c>
      <c r="L748" t="s">
        <v>142</v>
      </c>
      <c r="M748" t="s">
        <v>46</v>
      </c>
      <c r="N748" t="s">
        <v>47</v>
      </c>
      <c r="O748">
        <v>5</v>
      </c>
      <c r="P748">
        <v>1</v>
      </c>
      <c r="Q748">
        <v>5</v>
      </c>
      <c r="R748" t="s">
        <v>48</v>
      </c>
      <c r="S748" t="s">
        <v>49</v>
      </c>
      <c r="T748" s="3">
        <v>0.84</v>
      </c>
      <c r="U748" s="3">
        <v>0.23</v>
      </c>
      <c r="V748" s="3">
        <v>4.42</v>
      </c>
      <c r="W748">
        <v>2.0499999999999998</v>
      </c>
      <c r="X748" t="s">
        <v>50</v>
      </c>
      <c r="Y748" s="3">
        <v>16.43</v>
      </c>
      <c r="Z748" t="s">
        <v>73</v>
      </c>
      <c r="AA748" t="s">
        <v>5126</v>
      </c>
      <c r="AB748" t="s">
        <v>53</v>
      </c>
      <c r="AC748" s="3">
        <v>1.29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f t="shared" si="22"/>
        <v>23.21</v>
      </c>
      <c r="AK748" s="3">
        <f t="shared" si="23"/>
        <v>6.7800000000000011</v>
      </c>
    </row>
    <row r="749" spans="1:37">
      <c r="A749">
        <v>10311760</v>
      </c>
      <c r="B749" t="s">
        <v>37</v>
      </c>
      <c r="C749" t="s">
        <v>5213</v>
      </c>
      <c r="E749" t="s">
        <v>4006</v>
      </c>
      <c r="F749" t="s">
        <v>5214</v>
      </c>
      <c r="G749" t="s">
        <v>5215</v>
      </c>
      <c r="H749" t="s">
        <v>42</v>
      </c>
      <c r="I749" t="s">
        <v>5216</v>
      </c>
      <c r="J749" t="s">
        <v>5217</v>
      </c>
      <c r="K749">
        <v>1150</v>
      </c>
      <c r="L749" t="s">
        <v>618</v>
      </c>
      <c r="M749" t="s">
        <v>46</v>
      </c>
      <c r="N749" t="s">
        <v>47</v>
      </c>
      <c r="O749">
        <v>1</v>
      </c>
      <c r="P749">
        <v>1</v>
      </c>
      <c r="Q749">
        <v>1</v>
      </c>
      <c r="R749" t="s">
        <v>48</v>
      </c>
      <c r="S749" t="s">
        <v>49</v>
      </c>
      <c r="T749" s="3">
        <v>0.84</v>
      </c>
      <c r="U749" s="3">
        <v>0.23</v>
      </c>
      <c r="V749" s="3">
        <v>0.94</v>
      </c>
      <c r="W749">
        <v>0.36</v>
      </c>
      <c r="X749" t="s">
        <v>50</v>
      </c>
      <c r="Y749" s="3">
        <v>9.19</v>
      </c>
      <c r="Z749" t="s">
        <v>109</v>
      </c>
      <c r="AA749" t="s">
        <v>5218</v>
      </c>
      <c r="AB749" t="s">
        <v>53</v>
      </c>
      <c r="AC749" s="3">
        <v>1.06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f t="shared" si="22"/>
        <v>12.26</v>
      </c>
      <c r="AK749" s="3">
        <f t="shared" si="23"/>
        <v>3.0700000000000003</v>
      </c>
    </row>
    <row r="750" spans="1:37">
      <c r="A750">
        <v>10312256</v>
      </c>
      <c r="B750" t="s">
        <v>37</v>
      </c>
      <c r="C750" t="s">
        <v>5219</v>
      </c>
      <c r="E750" t="s">
        <v>933</v>
      </c>
      <c r="F750" t="s">
        <v>5220</v>
      </c>
      <c r="G750" t="s">
        <v>5221</v>
      </c>
      <c r="H750" t="s">
        <v>42</v>
      </c>
      <c r="I750" t="s">
        <v>5222</v>
      </c>
      <c r="J750" t="s">
        <v>5223</v>
      </c>
      <c r="K750">
        <v>73257</v>
      </c>
      <c r="L750" t="s">
        <v>71</v>
      </c>
      <c r="M750" t="s">
        <v>46</v>
      </c>
      <c r="N750" t="s">
        <v>47</v>
      </c>
      <c r="O750">
        <v>1</v>
      </c>
      <c r="P750">
        <v>1</v>
      </c>
      <c r="Q750">
        <v>1</v>
      </c>
      <c r="R750" t="s">
        <v>48</v>
      </c>
      <c r="S750" t="s">
        <v>49</v>
      </c>
      <c r="T750" s="3">
        <v>0.84</v>
      </c>
      <c r="U750" s="3">
        <v>0.23</v>
      </c>
      <c r="V750" s="3">
        <v>0.94</v>
      </c>
      <c r="W750">
        <v>0.24</v>
      </c>
      <c r="X750" t="s">
        <v>108</v>
      </c>
      <c r="Y750" s="3">
        <v>5.13</v>
      </c>
      <c r="Z750" t="s">
        <v>109</v>
      </c>
      <c r="AA750" t="s">
        <v>213</v>
      </c>
      <c r="AB750" t="s">
        <v>53</v>
      </c>
      <c r="AC750" s="3">
        <v>1.06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f t="shared" si="22"/>
        <v>8.1999999999999993</v>
      </c>
      <c r="AK750" s="3">
        <f t="shared" si="23"/>
        <v>3.0699999999999994</v>
      </c>
    </row>
    <row r="751" spans="1:37">
      <c r="A751">
        <v>10304024</v>
      </c>
      <c r="B751" t="s">
        <v>37</v>
      </c>
      <c r="C751" t="s">
        <v>5224</v>
      </c>
      <c r="E751" t="s">
        <v>5225</v>
      </c>
      <c r="F751" t="s">
        <v>5226</v>
      </c>
      <c r="G751" t="s">
        <v>5227</v>
      </c>
      <c r="H751" t="s">
        <v>42</v>
      </c>
      <c r="I751" t="s">
        <v>5228</v>
      </c>
      <c r="J751" t="s">
        <v>5229</v>
      </c>
      <c r="K751" t="s">
        <v>5230</v>
      </c>
      <c r="L751" t="s">
        <v>142</v>
      </c>
      <c r="M751" t="s">
        <v>46</v>
      </c>
      <c r="N751" t="s">
        <v>47</v>
      </c>
      <c r="O751">
        <v>4</v>
      </c>
      <c r="P751">
        <v>1</v>
      </c>
      <c r="Q751">
        <v>4</v>
      </c>
      <c r="R751" t="s">
        <v>48</v>
      </c>
      <c r="S751" t="s">
        <v>49</v>
      </c>
      <c r="T751" s="3">
        <v>0.84</v>
      </c>
      <c r="U751" s="3">
        <v>0.23</v>
      </c>
      <c r="V751" s="3">
        <v>3.55</v>
      </c>
      <c r="W751">
        <v>1.66</v>
      </c>
      <c r="X751" t="s">
        <v>50</v>
      </c>
      <c r="Y751" s="3">
        <v>16.43</v>
      </c>
      <c r="Z751" t="s">
        <v>73</v>
      </c>
      <c r="AA751" t="s">
        <v>2255</v>
      </c>
      <c r="AB751" t="s">
        <v>53</v>
      </c>
      <c r="AC751" s="3">
        <v>1.29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f t="shared" si="22"/>
        <v>22.34</v>
      </c>
      <c r="AK751" s="3">
        <f t="shared" si="23"/>
        <v>5.91</v>
      </c>
    </row>
    <row r="752" spans="1:37">
      <c r="A752">
        <v>10303613</v>
      </c>
      <c r="B752" t="s">
        <v>37</v>
      </c>
      <c r="C752" t="s">
        <v>5231</v>
      </c>
      <c r="E752" t="s">
        <v>5232</v>
      </c>
      <c r="F752" t="s">
        <v>5233</v>
      </c>
      <c r="G752" t="s">
        <v>5234</v>
      </c>
      <c r="H752" t="s">
        <v>42</v>
      </c>
      <c r="I752" t="s">
        <v>5235</v>
      </c>
      <c r="J752" t="s">
        <v>5236</v>
      </c>
      <c r="K752">
        <v>3001</v>
      </c>
      <c r="L752" t="s">
        <v>505</v>
      </c>
      <c r="M752" t="s">
        <v>46</v>
      </c>
      <c r="N752" t="s">
        <v>47</v>
      </c>
      <c r="O752">
        <v>3</v>
      </c>
      <c r="P752">
        <v>1</v>
      </c>
      <c r="Q752">
        <v>3</v>
      </c>
      <c r="R752" t="s">
        <v>48</v>
      </c>
      <c r="S752" t="s">
        <v>49</v>
      </c>
      <c r="T752" s="3">
        <v>0.84</v>
      </c>
      <c r="U752" s="3">
        <v>0.23</v>
      </c>
      <c r="V752" s="3">
        <v>2.68</v>
      </c>
      <c r="W752">
        <v>1.22</v>
      </c>
      <c r="X752" t="s">
        <v>50</v>
      </c>
      <c r="Y752" s="3">
        <v>9.19</v>
      </c>
      <c r="Z752" t="s">
        <v>73</v>
      </c>
      <c r="AA752" t="s">
        <v>5237</v>
      </c>
      <c r="AB752" t="s">
        <v>53</v>
      </c>
      <c r="AC752" s="3">
        <v>1.29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f t="shared" si="22"/>
        <v>14.23</v>
      </c>
      <c r="AK752" s="3">
        <f t="shared" si="23"/>
        <v>5.0400000000000009</v>
      </c>
    </row>
    <row r="753" spans="1:37">
      <c r="A753">
        <v>10304017</v>
      </c>
      <c r="B753" t="s">
        <v>37</v>
      </c>
      <c r="C753" t="s">
        <v>5238</v>
      </c>
      <c r="E753" t="s">
        <v>2653</v>
      </c>
      <c r="F753" t="s">
        <v>5239</v>
      </c>
      <c r="G753" t="s">
        <v>5240</v>
      </c>
      <c r="H753" t="s">
        <v>42</v>
      </c>
      <c r="I753" t="s">
        <v>5241</v>
      </c>
      <c r="J753" t="s">
        <v>5242</v>
      </c>
      <c r="K753" t="s">
        <v>5243</v>
      </c>
      <c r="L753" t="s">
        <v>82</v>
      </c>
      <c r="M753" t="s">
        <v>46</v>
      </c>
      <c r="N753" t="s">
        <v>47</v>
      </c>
      <c r="O753">
        <v>4</v>
      </c>
      <c r="P753">
        <v>1</v>
      </c>
      <c r="Q753">
        <v>4</v>
      </c>
      <c r="R753" t="s">
        <v>48</v>
      </c>
      <c r="S753" t="s">
        <v>49</v>
      </c>
      <c r="T753" s="3">
        <v>0.84</v>
      </c>
      <c r="U753" s="3">
        <v>0.23</v>
      </c>
      <c r="V753" s="3">
        <v>3.55</v>
      </c>
      <c r="W753">
        <v>2.06</v>
      </c>
      <c r="X753" t="s">
        <v>50</v>
      </c>
      <c r="Y753" s="3">
        <v>9.19</v>
      </c>
      <c r="Z753" t="s">
        <v>73</v>
      </c>
      <c r="AA753" t="s">
        <v>1694</v>
      </c>
      <c r="AB753" t="s">
        <v>53</v>
      </c>
      <c r="AC753" s="3">
        <v>1.29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f t="shared" si="22"/>
        <v>15.100000000000001</v>
      </c>
      <c r="AK753" s="3">
        <f t="shared" si="23"/>
        <v>5.9100000000000019</v>
      </c>
    </row>
    <row r="754" spans="1:37">
      <c r="A754">
        <v>10304654</v>
      </c>
      <c r="B754" t="s">
        <v>37</v>
      </c>
      <c r="C754" t="s">
        <v>5244</v>
      </c>
      <c r="E754" t="s">
        <v>1681</v>
      </c>
      <c r="F754" t="s">
        <v>322</v>
      </c>
      <c r="G754" t="s">
        <v>5245</v>
      </c>
      <c r="H754" t="s">
        <v>42</v>
      </c>
      <c r="I754" t="s">
        <v>5246</v>
      </c>
      <c r="J754" t="s">
        <v>5247</v>
      </c>
      <c r="K754" t="s">
        <v>5248</v>
      </c>
      <c r="L754" t="s">
        <v>142</v>
      </c>
      <c r="M754" t="s">
        <v>46</v>
      </c>
      <c r="N754" t="s">
        <v>47</v>
      </c>
      <c r="O754">
        <v>5</v>
      </c>
      <c r="P754">
        <v>1</v>
      </c>
      <c r="Q754">
        <v>5</v>
      </c>
      <c r="R754" t="s">
        <v>48</v>
      </c>
      <c r="S754" t="s">
        <v>49</v>
      </c>
      <c r="T754" s="3">
        <v>0.84</v>
      </c>
      <c r="U754" s="3">
        <v>0.23</v>
      </c>
      <c r="V754" s="3">
        <v>4.42</v>
      </c>
      <c r="W754">
        <v>1.32</v>
      </c>
      <c r="X754" t="s">
        <v>50</v>
      </c>
      <c r="Y754" s="3">
        <v>16.43</v>
      </c>
      <c r="Z754" t="s">
        <v>73</v>
      </c>
      <c r="AA754" t="s">
        <v>5249</v>
      </c>
      <c r="AB754" t="s">
        <v>53</v>
      </c>
      <c r="AC754" s="3">
        <v>1.29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f t="shared" si="22"/>
        <v>23.21</v>
      </c>
      <c r="AK754" s="3">
        <f t="shared" si="23"/>
        <v>6.7800000000000011</v>
      </c>
    </row>
    <row r="755" spans="1:37">
      <c r="A755">
        <v>10304019</v>
      </c>
      <c r="B755" t="s">
        <v>37</v>
      </c>
      <c r="C755" t="s">
        <v>5250</v>
      </c>
      <c r="E755" t="s">
        <v>166</v>
      </c>
      <c r="F755" t="s">
        <v>5251</v>
      </c>
      <c r="G755" t="s">
        <v>5252</v>
      </c>
      <c r="H755" t="s">
        <v>42</v>
      </c>
      <c r="I755" t="s">
        <v>5253</v>
      </c>
      <c r="J755" t="s">
        <v>5254</v>
      </c>
      <c r="K755">
        <v>45128</v>
      </c>
      <c r="L755" t="s">
        <v>71</v>
      </c>
      <c r="M755" t="s">
        <v>46</v>
      </c>
      <c r="N755" t="s">
        <v>47</v>
      </c>
      <c r="O755">
        <v>4</v>
      </c>
      <c r="P755">
        <v>1</v>
      </c>
      <c r="Q755">
        <v>4</v>
      </c>
      <c r="R755" t="s">
        <v>48</v>
      </c>
      <c r="S755" t="s">
        <v>49</v>
      </c>
      <c r="T755" s="3">
        <v>0.84</v>
      </c>
      <c r="U755" s="3">
        <v>0.23</v>
      </c>
      <c r="V755" s="3">
        <v>3.55</v>
      </c>
      <c r="W755">
        <v>1.32</v>
      </c>
      <c r="X755" t="s">
        <v>72</v>
      </c>
      <c r="Y755" s="3">
        <v>5.43</v>
      </c>
      <c r="Z755" t="s">
        <v>73</v>
      </c>
      <c r="AA755" t="s">
        <v>5255</v>
      </c>
      <c r="AB755" t="s">
        <v>53</v>
      </c>
      <c r="AC755" s="3">
        <v>1.29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f t="shared" si="22"/>
        <v>11.34</v>
      </c>
      <c r="AK755" s="3">
        <f t="shared" si="23"/>
        <v>5.91</v>
      </c>
    </row>
    <row r="756" spans="1:37">
      <c r="A756">
        <v>10311061</v>
      </c>
      <c r="B756" t="s">
        <v>37</v>
      </c>
      <c r="C756" t="s">
        <v>5256</v>
      </c>
      <c r="E756" t="s">
        <v>3325</v>
      </c>
      <c r="F756" t="s">
        <v>5257</v>
      </c>
      <c r="G756" t="s">
        <v>5258</v>
      </c>
      <c r="H756" t="s">
        <v>42</v>
      </c>
      <c r="I756" t="s">
        <v>5259</v>
      </c>
      <c r="J756" t="s">
        <v>5260</v>
      </c>
      <c r="K756">
        <v>6583</v>
      </c>
      <c r="L756" t="s">
        <v>369</v>
      </c>
      <c r="M756" t="s">
        <v>46</v>
      </c>
      <c r="N756" t="s">
        <v>47</v>
      </c>
      <c r="O756">
        <v>6</v>
      </c>
      <c r="P756">
        <v>1</v>
      </c>
      <c r="Q756">
        <v>6</v>
      </c>
      <c r="R756" t="s">
        <v>48</v>
      </c>
      <c r="S756" t="s">
        <v>49</v>
      </c>
      <c r="T756" s="3">
        <v>0.84</v>
      </c>
      <c r="U756" s="3">
        <v>0.23</v>
      </c>
      <c r="V756" s="3">
        <v>5.29</v>
      </c>
      <c r="W756">
        <v>2.36</v>
      </c>
      <c r="X756" t="s">
        <v>50</v>
      </c>
      <c r="Y756" s="3">
        <v>9.19</v>
      </c>
      <c r="Z756" t="s">
        <v>73</v>
      </c>
      <c r="AA756" t="s">
        <v>5261</v>
      </c>
      <c r="AB756" t="s">
        <v>53</v>
      </c>
      <c r="AC756" s="3">
        <v>1.29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f t="shared" si="22"/>
        <v>16.84</v>
      </c>
      <c r="AK756" s="3">
        <f t="shared" si="23"/>
        <v>7.65</v>
      </c>
    </row>
    <row r="757" spans="1:37">
      <c r="A757">
        <v>10311743</v>
      </c>
      <c r="B757" t="s">
        <v>37</v>
      </c>
      <c r="C757" t="s">
        <v>5262</v>
      </c>
      <c r="E757" t="s">
        <v>5263</v>
      </c>
      <c r="F757" t="s">
        <v>5264</v>
      </c>
      <c r="G757" t="s">
        <v>5265</v>
      </c>
      <c r="H757" t="s">
        <v>42</v>
      </c>
      <c r="I757" t="s">
        <v>5266</v>
      </c>
      <c r="J757" t="s">
        <v>5267</v>
      </c>
      <c r="K757" t="s">
        <v>5268</v>
      </c>
      <c r="L757" t="s">
        <v>142</v>
      </c>
      <c r="M757" t="s">
        <v>46</v>
      </c>
      <c r="N757" t="s">
        <v>47</v>
      </c>
      <c r="O757">
        <v>7</v>
      </c>
      <c r="P757">
        <v>1</v>
      </c>
      <c r="Q757">
        <v>7</v>
      </c>
      <c r="R757" t="s">
        <v>48</v>
      </c>
      <c r="S757" t="s">
        <v>49</v>
      </c>
      <c r="T757" s="3">
        <v>0.84</v>
      </c>
      <c r="U757" s="3">
        <v>0.23</v>
      </c>
      <c r="V757" s="3">
        <v>6.16</v>
      </c>
      <c r="W757">
        <v>3.1</v>
      </c>
      <c r="X757" t="s">
        <v>50</v>
      </c>
      <c r="Y757" s="3">
        <v>16.43</v>
      </c>
      <c r="Z757" t="s">
        <v>83</v>
      </c>
      <c r="AA757" t="s">
        <v>5269</v>
      </c>
      <c r="AB757" t="s">
        <v>53</v>
      </c>
      <c r="AC757" s="3">
        <v>1.27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f t="shared" si="22"/>
        <v>24.93</v>
      </c>
      <c r="AK757" s="3">
        <f t="shared" si="23"/>
        <v>8.5</v>
      </c>
    </row>
    <row r="758" spans="1:37">
      <c r="A758">
        <v>10311059</v>
      </c>
      <c r="B758" t="s">
        <v>37</v>
      </c>
      <c r="C758" t="s">
        <v>5270</v>
      </c>
      <c r="E758" t="s">
        <v>5271</v>
      </c>
      <c r="F758" t="s">
        <v>5272</v>
      </c>
      <c r="G758" t="s">
        <v>5273</v>
      </c>
      <c r="H758" t="s">
        <v>42</v>
      </c>
      <c r="I758" t="s">
        <v>5274</v>
      </c>
      <c r="J758" t="s">
        <v>5275</v>
      </c>
      <c r="K758" t="s">
        <v>5276</v>
      </c>
      <c r="L758" t="s">
        <v>82</v>
      </c>
      <c r="M758" t="s">
        <v>46</v>
      </c>
      <c r="N758" t="s">
        <v>47</v>
      </c>
      <c r="O758">
        <v>3</v>
      </c>
      <c r="P758">
        <v>1</v>
      </c>
      <c r="Q758">
        <v>3</v>
      </c>
      <c r="R758" t="s">
        <v>48</v>
      </c>
      <c r="S758" t="s">
        <v>49</v>
      </c>
      <c r="T758" s="3">
        <v>0.84</v>
      </c>
      <c r="U758" s="3">
        <v>0.23</v>
      </c>
      <c r="V758" s="3">
        <v>2.68</v>
      </c>
      <c r="W758">
        <v>1.45</v>
      </c>
      <c r="X758" t="s">
        <v>50</v>
      </c>
      <c r="Y758" s="3">
        <v>9.19</v>
      </c>
      <c r="Z758" t="s">
        <v>73</v>
      </c>
      <c r="AA758" t="s">
        <v>5277</v>
      </c>
      <c r="AB758" t="s">
        <v>53</v>
      </c>
      <c r="AC758" s="3">
        <v>1.29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f t="shared" si="22"/>
        <v>14.23</v>
      </c>
      <c r="AK758" s="3">
        <f t="shared" si="23"/>
        <v>5.0400000000000009</v>
      </c>
    </row>
    <row r="759" spans="1:37">
      <c r="A759">
        <v>10311066</v>
      </c>
      <c r="B759" t="s">
        <v>37</v>
      </c>
      <c r="C759" t="s">
        <v>5278</v>
      </c>
      <c r="E759" t="s">
        <v>5279</v>
      </c>
      <c r="F759" t="s">
        <v>5280</v>
      </c>
      <c r="G759" t="s">
        <v>5281</v>
      </c>
      <c r="H759" t="s">
        <v>42</v>
      </c>
      <c r="I759" t="s">
        <v>5282</v>
      </c>
      <c r="J759" t="s">
        <v>5283</v>
      </c>
      <c r="K759">
        <v>59555</v>
      </c>
      <c r="L759" t="s">
        <v>71</v>
      </c>
      <c r="M759" t="s">
        <v>46</v>
      </c>
      <c r="N759" t="s">
        <v>47</v>
      </c>
      <c r="O759">
        <v>3</v>
      </c>
      <c r="P759">
        <v>1</v>
      </c>
      <c r="Q759">
        <v>3</v>
      </c>
      <c r="R759" t="s">
        <v>48</v>
      </c>
      <c r="S759" t="s">
        <v>49</v>
      </c>
      <c r="T759" s="3">
        <v>0.84</v>
      </c>
      <c r="U759" s="3">
        <v>0.23</v>
      </c>
      <c r="V759" s="3">
        <v>2.68</v>
      </c>
      <c r="W759">
        <v>1.27</v>
      </c>
      <c r="X759" t="s">
        <v>72</v>
      </c>
      <c r="Y759" s="3">
        <v>5.43</v>
      </c>
      <c r="Z759" t="s">
        <v>73</v>
      </c>
      <c r="AA759" t="s">
        <v>3216</v>
      </c>
      <c r="AB759" t="s">
        <v>53</v>
      </c>
      <c r="AC759" s="3">
        <v>1.29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f t="shared" si="22"/>
        <v>10.47</v>
      </c>
      <c r="AK759" s="3">
        <f t="shared" si="23"/>
        <v>5.0400000000000009</v>
      </c>
    </row>
    <row r="760" spans="1:37">
      <c r="A760">
        <v>10311431</v>
      </c>
      <c r="B760" t="s">
        <v>37</v>
      </c>
      <c r="C760" t="s">
        <v>5284</v>
      </c>
      <c r="E760" t="s">
        <v>5285</v>
      </c>
      <c r="F760" t="s">
        <v>5286</v>
      </c>
      <c r="G760" t="s">
        <v>5287</v>
      </c>
      <c r="H760" t="s">
        <v>42</v>
      </c>
      <c r="I760" t="s">
        <v>5288</v>
      </c>
      <c r="J760" t="s">
        <v>5289</v>
      </c>
      <c r="K760">
        <v>2172</v>
      </c>
      <c r="L760" t="s">
        <v>369</v>
      </c>
      <c r="M760" t="s">
        <v>46</v>
      </c>
      <c r="N760" t="s">
        <v>47</v>
      </c>
      <c r="O760">
        <v>6</v>
      </c>
      <c r="P760">
        <v>1</v>
      </c>
      <c r="Q760">
        <v>6</v>
      </c>
      <c r="R760" t="s">
        <v>48</v>
      </c>
      <c r="S760" t="s">
        <v>49</v>
      </c>
      <c r="T760" s="3">
        <v>0.84</v>
      </c>
      <c r="U760" s="3">
        <v>0.23</v>
      </c>
      <c r="V760" s="3">
        <v>5.29</v>
      </c>
      <c r="W760">
        <v>0.94</v>
      </c>
      <c r="X760" t="s">
        <v>50</v>
      </c>
      <c r="Y760" s="3">
        <v>9.19</v>
      </c>
      <c r="Z760" t="s">
        <v>73</v>
      </c>
      <c r="AA760" t="s">
        <v>5290</v>
      </c>
      <c r="AB760" t="s">
        <v>53</v>
      </c>
      <c r="AC760" s="3">
        <v>1.29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f t="shared" si="22"/>
        <v>16.84</v>
      </c>
      <c r="AK760" s="3">
        <f t="shared" si="23"/>
        <v>7.65</v>
      </c>
    </row>
    <row r="761" spans="1:37">
      <c r="A761">
        <v>10304440</v>
      </c>
      <c r="B761" t="s">
        <v>37</v>
      </c>
      <c r="C761" t="s">
        <v>5291</v>
      </c>
      <c r="E761" t="s">
        <v>4622</v>
      </c>
      <c r="F761" t="s">
        <v>4623</v>
      </c>
      <c r="G761" t="s">
        <v>5292</v>
      </c>
      <c r="H761" t="s">
        <v>42</v>
      </c>
      <c r="I761" t="s">
        <v>5293</v>
      </c>
      <c r="J761" t="s">
        <v>4626</v>
      </c>
      <c r="K761">
        <v>82049</v>
      </c>
      <c r="L761" t="s">
        <v>71</v>
      </c>
      <c r="M761" t="s">
        <v>46</v>
      </c>
      <c r="N761" t="s">
        <v>47</v>
      </c>
      <c r="O761">
        <v>1</v>
      </c>
      <c r="P761">
        <v>1</v>
      </c>
      <c r="Q761">
        <v>1</v>
      </c>
      <c r="R761" t="s">
        <v>48</v>
      </c>
      <c r="S761" t="s">
        <v>49</v>
      </c>
      <c r="T761" s="3">
        <v>0.84</v>
      </c>
      <c r="U761" s="3">
        <v>0.23</v>
      </c>
      <c r="V761" s="3">
        <v>0.94</v>
      </c>
      <c r="W761">
        <v>0.49</v>
      </c>
      <c r="X761" t="s">
        <v>108</v>
      </c>
      <c r="Y761" s="3">
        <v>5.13</v>
      </c>
      <c r="Z761" t="s">
        <v>109</v>
      </c>
      <c r="AA761" t="s">
        <v>714</v>
      </c>
      <c r="AB761" t="s">
        <v>53</v>
      </c>
      <c r="AC761" s="3">
        <v>1.06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f t="shared" si="22"/>
        <v>8.1999999999999993</v>
      </c>
      <c r="AK761" s="3">
        <f t="shared" si="23"/>
        <v>3.0699999999999994</v>
      </c>
    </row>
    <row r="762" spans="1:37">
      <c r="A762">
        <v>10311755</v>
      </c>
      <c r="B762" t="s">
        <v>37</v>
      </c>
      <c r="C762" t="s">
        <v>5294</v>
      </c>
      <c r="E762" t="s">
        <v>1462</v>
      </c>
      <c r="F762" t="s">
        <v>5295</v>
      </c>
      <c r="G762" t="s">
        <v>5296</v>
      </c>
      <c r="H762" t="s">
        <v>42</v>
      </c>
      <c r="I762" t="s">
        <v>5297</v>
      </c>
      <c r="J762" t="s">
        <v>5298</v>
      </c>
      <c r="K762">
        <v>41334</v>
      </c>
      <c r="L762" t="s">
        <v>71</v>
      </c>
      <c r="M762" t="s">
        <v>46</v>
      </c>
      <c r="N762" t="s">
        <v>47</v>
      </c>
      <c r="O762">
        <v>4</v>
      </c>
      <c r="P762">
        <v>1</v>
      </c>
      <c r="Q762">
        <v>4</v>
      </c>
      <c r="R762" t="s">
        <v>48</v>
      </c>
      <c r="S762" t="s">
        <v>49</v>
      </c>
      <c r="T762" s="3">
        <v>0.84</v>
      </c>
      <c r="U762" s="3">
        <v>0.23</v>
      </c>
      <c r="V762" s="3">
        <v>3.55</v>
      </c>
      <c r="W762">
        <v>1.66</v>
      </c>
      <c r="X762" t="s">
        <v>72</v>
      </c>
      <c r="Y762" s="3">
        <v>5.43</v>
      </c>
      <c r="Z762" t="s">
        <v>73</v>
      </c>
      <c r="AA762" t="s">
        <v>429</v>
      </c>
      <c r="AB762" t="s">
        <v>53</v>
      </c>
      <c r="AC762" s="3">
        <v>1.29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f t="shared" si="22"/>
        <v>11.34</v>
      </c>
      <c r="AK762" s="3">
        <f t="shared" si="23"/>
        <v>5.91</v>
      </c>
    </row>
    <row r="763" spans="1:37">
      <c r="A763">
        <v>10311761</v>
      </c>
      <c r="B763" t="s">
        <v>37</v>
      </c>
      <c r="C763" t="s">
        <v>5299</v>
      </c>
      <c r="E763" t="s">
        <v>136</v>
      </c>
      <c r="F763" t="s">
        <v>5264</v>
      </c>
      <c r="G763" t="s">
        <v>5300</v>
      </c>
      <c r="H763" t="s">
        <v>42</v>
      </c>
      <c r="I763" t="s">
        <v>5301</v>
      </c>
      <c r="J763" t="s">
        <v>5302</v>
      </c>
      <c r="K763" t="s">
        <v>5303</v>
      </c>
      <c r="L763" t="s">
        <v>142</v>
      </c>
      <c r="M763" t="s">
        <v>46</v>
      </c>
      <c r="N763" t="s">
        <v>47</v>
      </c>
      <c r="O763">
        <v>3</v>
      </c>
      <c r="P763">
        <v>1</v>
      </c>
      <c r="Q763">
        <v>3</v>
      </c>
      <c r="R763" t="s">
        <v>48</v>
      </c>
      <c r="S763" t="s">
        <v>49</v>
      </c>
      <c r="T763" s="3">
        <v>0.84</v>
      </c>
      <c r="U763" s="3">
        <v>0.23</v>
      </c>
      <c r="V763" s="3">
        <v>2.68</v>
      </c>
      <c r="W763">
        <v>1.23</v>
      </c>
      <c r="X763" t="s">
        <v>50</v>
      </c>
      <c r="Y763" s="3">
        <v>16.43</v>
      </c>
      <c r="Z763" t="s">
        <v>73</v>
      </c>
      <c r="AA763" t="s">
        <v>5304</v>
      </c>
      <c r="AB763" t="s">
        <v>53</v>
      </c>
      <c r="AC763" s="3">
        <v>1.29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f t="shared" si="22"/>
        <v>21.47</v>
      </c>
      <c r="AK763" s="3">
        <f t="shared" si="23"/>
        <v>5.0399999999999991</v>
      </c>
    </row>
    <row r="764" spans="1:37">
      <c r="A764">
        <v>10311753</v>
      </c>
      <c r="B764" t="s">
        <v>37</v>
      </c>
      <c r="C764" t="s">
        <v>5305</v>
      </c>
      <c r="E764" t="s">
        <v>731</v>
      </c>
      <c r="F764" t="s">
        <v>5306</v>
      </c>
      <c r="G764" t="s">
        <v>5307</v>
      </c>
      <c r="H764" t="s">
        <v>42</v>
      </c>
      <c r="I764" t="s">
        <v>5308</v>
      </c>
      <c r="J764" t="s">
        <v>5309</v>
      </c>
      <c r="K764">
        <v>64372</v>
      </c>
      <c r="L764" t="s">
        <v>71</v>
      </c>
      <c r="M764" t="s">
        <v>46</v>
      </c>
      <c r="N764" t="s">
        <v>47</v>
      </c>
      <c r="O764">
        <v>4</v>
      </c>
      <c r="P764">
        <v>1</v>
      </c>
      <c r="Q764">
        <v>4</v>
      </c>
      <c r="R764" t="s">
        <v>48</v>
      </c>
      <c r="S764" t="s">
        <v>49</v>
      </c>
      <c r="T764" s="3">
        <v>0.84</v>
      </c>
      <c r="U764" s="3">
        <v>0.23</v>
      </c>
      <c r="V764" s="3">
        <v>3.55</v>
      </c>
      <c r="W764">
        <v>1.86</v>
      </c>
      <c r="X764" t="s">
        <v>72</v>
      </c>
      <c r="Y764" s="3">
        <v>5.43</v>
      </c>
      <c r="Z764" t="s">
        <v>73</v>
      </c>
      <c r="AA764" t="s">
        <v>5310</v>
      </c>
      <c r="AB764" t="s">
        <v>53</v>
      </c>
      <c r="AC764" s="3">
        <v>1.29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f t="shared" si="22"/>
        <v>11.34</v>
      </c>
      <c r="AK764" s="3">
        <f t="shared" si="23"/>
        <v>5.91</v>
      </c>
    </row>
    <row r="765" spans="1:37">
      <c r="A765">
        <v>10311757</v>
      </c>
      <c r="B765" t="s">
        <v>37</v>
      </c>
      <c r="C765" t="s">
        <v>5311</v>
      </c>
      <c r="E765" t="s">
        <v>1527</v>
      </c>
      <c r="F765" t="s">
        <v>5312</v>
      </c>
      <c r="G765" t="s">
        <v>5313</v>
      </c>
      <c r="H765" t="s">
        <v>42</v>
      </c>
      <c r="I765" t="s">
        <v>5314</v>
      </c>
      <c r="J765" t="s">
        <v>5315</v>
      </c>
      <c r="K765">
        <v>72658</v>
      </c>
      <c r="L765" t="s">
        <v>71</v>
      </c>
      <c r="M765" t="s">
        <v>46</v>
      </c>
      <c r="N765" t="s">
        <v>47</v>
      </c>
      <c r="O765">
        <v>2</v>
      </c>
      <c r="P765">
        <v>1</v>
      </c>
      <c r="Q765">
        <v>2</v>
      </c>
      <c r="R765" t="s">
        <v>48</v>
      </c>
      <c r="S765" t="s">
        <v>49</v>
      </c>
      <c r="T765" s="3">
        <v>0.84</v>
      </c>
      <c r="U765" s="3">
        <v>0.23</v>
      </c>
      <c r="V765" s="3">
        <v>1.81</v>
      </c>
      <c r="W765">
        <v>0.88</v>
      </c>
      <c r="X765" t="s">
        <v>72</v>
      </c>
      <c r="Y765" s="3">
        <v>5.43</v>
      </c>
      <c r="Z765" t="s">
        <v>73</v>
      </c>
      <c r="AA765" t="s">
        <v>5316</v>
      </c>
      <c r="AB765" t="s">
        <v>53</v>
      </c>
      <c r="AC765" s="3">
        <v>1.29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f t="shared" si="22"/>
        <v>9.6</v>
      </c>
      <c r="AK765" s="3">
        <f t="shared" si="23"/>
        <v>4.17</v>
      </c>
    </row>
    <row r="766" spans="1:37">
      <c r="A766">
        <v>10312022</v>
      </c>
      <c r="B766" t="s">
        <v>37</v>
      </c>
      <c r="C766" t="s">
        <v>5317</v>
      </c>
      <c r="E766" t="s">
        <v>5318</v>
      </c>
      <c r="F766" t="s">
        <v>1447</v>
      </c>
      <c r="G766" t="s">
        <v>5319</v>
      </c>
      <c r="H766" t="s">
        <v>42</v>
      </c>
      <c r="I766" t="s">
        <v>5320</v>
      </c>
      <c r="J766" t="s">
        <v>5321</v>
      </c>
      <c r="K766" t="s">
        <v>5322</v>
      </c>
      <c r="L766" t="s">
        <v>142</v>
      </c>
      <c r="M766" t="s">
        <v>46</v>
      </c>
      <c r="N766" t="s">
        <v>47</v>
      </c>
      <c r="O766">
        <v>4</v>
      </c>
      <c r="P766">
        <v>1</v>
      </c>
      <c r="Q766">
        <v>4</v>
      </c>
      <c r="R766" t="s">
        <v>48</v>
      </c>
      <c r="S766" t="s">
        <v>49</v>
      </c>
      <c r="T766" s="3">
        <v>0.84</v>
      </c>
      <c r="U766" s="3">
        <v>0.23</v>
      </c>
      <c r="V766" s="3">
        <v>3.55</v>
      </c>
      <c r="W766">
        <v>2.06</v>
      </c>
      <c r="X766" t="s">
        <v>50</v>
      </c>
      <c r="Y766" s="3">
        <v>16.43</v>
      </c>
      <c r="Z766" t="s">
        <v>73</v>
      </c>
      <c r="AA766" t="s">
        <v>5323</v>
      </c>
      <c r="AB766" t="s">
        <v>53</v>
      </c>
      <c r="AC766" s="3">
        <v>1.29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f t="shared" si="22"/>
        <v>22.34</v>
      </c>
      <c r="AK766" s="3">
        <f t="shared" si="23"/>
        <v>5.91</v>
      </c>
    </row>
    <row r="767" spans="1:37">
      <c r="A767">
        <v>10310546</v>
      </c>
      <c r="B767" t="s">
        <v>37</v>
      </c>
      <c r="C767" t="s">
        <v>5324</v>
      </c>
      <c r="E767" t="s">
        <v>2417</v>
      </c>
      <c r="F767" t="s">
        <v>5325</v>
      </c>
      <c r="G767" t="s">
        <v>5326</v>
      </c>
      <c r="H767" t="s">
        <v>42</v>
      </c>
      <c r="I767" t="s">
        <v>5327</v>
      </c>
      <c r="J767" t="s">
        <v>5328</v>
      </c>
      <c r="K767">
        <v>3385</v>
      </c>
      <c r="L767" t="s">
        <v>369</v>
      </c>
      <c r="M767" t="s">
        <v>46</v>
      </c>
      <c r="N767" t="s">
        <v>47</v>
      </c>
      <c r="O767">
        <v>2</v>
      </c>
      <c r="P767">
        <v>1</v>
      </c>
      <c r="Q767">
        <v>2</v>
      </c>
      <c r="R767" t="s">
        <v>48</v>
      </c>
      <c r="S767" t="s">
        <v>49</v>
      </c>
      <c r="T767" s="3">
        <v>0.84</v>
      </c>
      <c r="U767" s="3">
        <v>0.23</v>
      </c>
      <c r="V767" s="3">
        <v>1.81</v>
      </c>
      <c r="W767">
        <v>1.08</v>
      </c>
      <c r="X767" t="s">
        <v>50</v>
      </c>
      <c r="Y767" s="3">
        <v>9.19</v>
      </c>
      <c r="Z767" t="s">
        <v>73</v>
      </c>
      <c r="AA767" t="s">
        <v>1835</v>
      </c>
      <c r="AB767" t="s">
        <v>53</v>
      </c>
      <c r="AC767" s="3">
        <v>1.29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f t="shared" si="22"/>
        <v>13.360000000000001</v>
      </c>
      <c r="AK767" s="3">
        <f t="shared" si="23"/>
        <v>4.1700000000000017</v>
      </c>
    </row>
    <row r="768" spans="1:37">
      <c r="A768">
        <v>10311746</v>
      </c>
      <c r="B768" t="s">
        <v>37</v>
      </c>
      <c r="C768" t="s">
        <v>5329</v>
      </c>
      <c r="E768" t="s">
        <v>5330</v>
      </c>
      <c r="F768" t="s">
        <v>5331</v>
      </c>
      <c r="G768" t="s">
        <v>5332</v>
      </c>
      <c r="H768" t="s">
        <v>42</v>
      </c>
      <c r="I768" t="s">
        <v>5333</v>
      </c>
      <c r="J768" t="s">
        <v>5334</v>
      </c>
      <c r="K768" t="s">
        <v>5335</v>
      </c>
      <c r="L768" t="s">
        <v>82</v>
      </c>
      <c r="M768" t="s">
        <v>46</v>
      </c>
      <c r="N768" t="s">
        <v>47</v>
      </c>
      <c r="O768">
        <v>3</v>
      </c>
      <c r="P768">
        <v>1</v>
      </c>
      <c r="Q768">
        <v>3</v>
      </c>
      <c r="R768" t="s">
        <v>48</v>
      </c>
      <c r="S768" t="s">
        <v>49</v>
      </c>
      <c r="T768" s="3">
        <v>0.84</v>
      </c>
      <c r="U768" s="3">
        <v>0.23</v>
      </c>
      <c r="V768" s="3">
        <v>2.68</v>
      </c>
      <c r="W768">
        <v>1.57</v>
      </c>
      <c r="X768" t="s">
        <v>50</v>
      </c>
      <c r="Y768" s="3">
        <v>9.19</v>
      </c>
      <c r="Z768" t="s">
        <v>109</v>
      </c>
      <c r="AA768" t="s">
        <v>5336</v>
      </c>
      <c r="AB768" t="s">
        <v>53</v>
      </c>
      <c r="AC768" s="3">
        <v>1.06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f t="shared" si="22"/>
        <v>14</v>
      </c>
      <c r="AK768" s="3">
        <f t="shared" si="23"/>
        <v>4.8100000000000005</v>
      </c>
    </row>
    <row r="769" spans="1:37">
      <c r="A769">
        <v>10310171</v>
      </c>
      <c r="B769" t="s">
        <v>37</v>
      </c>
      <c r="C769" t="s">
        <v>5337</v>
      </c>
      <c r="E769" t="s">
        <v>5338</v>
      </c>
      <c r="F769" t="s">
        <v>5339</v>
      </c>
      <c r="G769" t="s">
        <v>5340</v>
      </c>
      <c r="H769" t="s">
        <v>42</v>
      </c>
      <c r="I769" t="s">
        <v>5341</v>
      </c>
      <c r="J769" t="s">
        <v>5342</v>
      </c>
      <c r="K769">
        <v>2100</v>
      </c>
      <c r="L769" t="s">
        <v>505</v>
      </c>
      <c r="M769" t="s">
        <v>46</v>
      </c>
      <c r="N769" t="s">
        <v>47</v>
      </c>
      <c r="O769">
        <v>2</v>
      </c>
      <c r="P769">
        <v>1</v>
      </c>
      <c r="Q769">
        <v>2</v>
      </c>
      <c r="R769" t="s">
        <v>48</v>
      </c>
      <c r="S769" t="s">
        <v>49</v>
      </c>
      <c r="T769" s="3">
        <v>0.84</v>
      </c>
      <c r="U769" s="3">
        <v>0.23</v>
      </c>
      <c r="V769" s="3">
        <v>1.81</v>
      </c>
      <c r="W769">
        <v>1.08</v>
      </c>
      <c r="X769" t="s">
        <v>50</v>
      </c>
      <c r="Y769" s="3">
        <v>9.19</v>
      </c>
      <c r="Z769" t="s">
        <v>73</v>
      </c>
      <c r="AA769" t="s">
        <v>5343</v>
      </c>
      <c r="AB769" t="s">
        <v>53</v>
      </c>
      <c r="AC769" s="3">
        <v>1.29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f t="shared" si="22"/>
        <v>13.360000000000001</v>
      </c>
      <c r="AK769" s="3">
        <f t="shared" si="23"/>
        <v>4.1700000000000017</v>
      </c>
    </row>
    <row r="770" spans="1:37">
      <c r="A770">
        <v>10311070</v>
      </c>
      <c r="B770" t="s">
        <v>37</v>
      </c>
      <c r="C770" t="s">
        <v>5344</v>
      </c>
      <c r="E770" t="s">
        <v>5345</v>
      </c>
      <c r="F770" t="s">
        <v>5346</v>
      </c>
      <c r="G770" t="s">
        <v>5347</v>
      </c>
      <c r="H770" t="s">
        <v>42</v>
      </c>
      <c r="I770" t="s">
        <v>5348</v>
      </c>
      <c r="J770" t="s">
        <v>5349</v>
      </c>
      <c r="K770">
        <v>50825</v>
      </c>
      <c r="L770" t="s">
        <v>71</v>
      </c>
      <c r="M770" t="s">
        <v>46</v>
      </c>
      <c r="N770" t="s">
        <v>47</v>
      </c>
      <c r="O770">
        <v>2</v>
      </c>
      <c r="P770">
        <v>1</v>
      </c>
      <c r="Q770">
        <v>2</v>
      </c>
      <c r="R770" t="s">
        <v>48</v>
      </c>
      <c r="S770" t="s">
        <v>49</v>
      </c>
      <c r="T770" s="3">
        <v>0.84</v>
      </c>
      <c r="U770" s="3">
        <v>0.23</v>
      </c>
      <c r="V770" s="3">
        <v>1.81</v>
      </c>
      <c r="W770">
        <v>0.88</v>
      </c>
      <c r="X770" t="s">
        <v>72</v>
      </c>
      <c r="Y770" s="3">
        <v>6.81</v>
      </c>
      <c r="Z770" t="s">
        <v>73</v>
      </c>
      <c r="AA770" t="s">
        <v>5350</v>
      </c>
      <c r="AB770" t="s">
        <v>53</v>
      </c>
      <c r="AC770" s="3">
        <v>1.29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f t="shared" ref="AJ770:AJ833" si="24">AI770+AH770+AG770+AF770+AE770+AD770+AC770+Y770+V770+U770+T770</f>
        <v>10.98</v>
      </c>
      <c r="AK770" s="3">
        <f t="shared" ref="AK770:AK833" si="25">AJ770-Y770</f>
        <v>4.1700000000000008</v>
      </c>
    </row>
    <row r="771" spans="1:37">
      <c r="A771">
        <v>10312018</v>
      </c>
      <c r="B771" t="s">
        <v>37</v>
      </c>
      <c r="C771" t="s">
        <v>5351</v>
      </c>
      <c r="E771" t="s">
        <v>5352</v>
      </c>
      <c r="F771" t="s">
        <v>5353</v>
      </c>
      <c r="G771" t="s">
        <v>5354</v>
      </c>
      <c r="H771" t="s">
        <v>42</v>
      </c>
      <c r="I771" t="s">
        <v>5355</v>
      </c>
      <c r="J771" t="s">
        <v>5356</v>
      </c>
      <c r="K771">
        <v>85235</v>
      </c>
      <c r="L771" t="s">
        <v>71</v>
      </c>
      <c r="M771" t="s">
        <v>46</v>
      </c>
      <c r="N771" t="s">
        <v>47</v>
      </c>
      <c r="O771">
        <v>2</v>
      </c>
      <c r="P771">
        <v>1</v>
      </c>
      <c r="Q771">
        <v>2</v>
      </c>
      <c r="R771" t="s">
        <v>48</v>
      </c>
      <c r="S771" t="s">
        <v>49</v>
      </c>
      <c r="T771" s="3">
        <v>0.84</v>
      </c>
      <c r="U771" s="3">
        <v>0.23</v>
      </c>
      <c r="V771" s="3">
        <v>1.81</v>
      </c>
      <c r="W771">
        <v>0.98</v>
      </c>
      <c r="X771" t="s">
        <v>72</v>
      </c>
      <c r="Y771" s="3">
        <v>5.43</v>
      </c>
      <c r="Z771" t="s">
        <v>73</v>
      </c>
      <c r="AA771" t="s">
        <v>5357</v>
      </c>
      <c r="AB771" t="s">
        <v>53</v>
      </c>
      <c r="AC771" s="3">
        <v>1.29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f t="shared" si="24"/>
        <v>9.6</v>
      </c>
      <c r="AK771" s="3">
        <f t="shared" si="25"/>
        <v>4.17</v>
      </c>
    </row>
    <row r="772" spans="1:37">
      <c r="A772">
        <v>10310541</v>
      </c>
      <c r="B772" t="s">
        <v>37</v>
      </c>
      <c r="C772" t="s">
        <v>5358</v>
      </c>
      <c r="E772" t="s">
        <v>5359</v>
      </c>
      <c r="F772" t="s">
        <v>5360</v>
      </c>
      <c r="G772" t="s">
        <v>5361</v>
      </c>
      <c r="H772" t="s">
        <v>42</v>
      </c>
      <c r="I772" t="s">
        <v>5362</v>
      </c>
      <c r="J772" t="s">
        <v>5363</v>
      </c>
      <c r="K772">
        <v>85737</v>
      </c>
      <c r="L772" t="s">
        <v>71</v>
      </c>
      <c r="M772" t="s">
        <v>46</v>
      </c>
      <c r="N772" t="s">
        <v>47</v>
      </c>
      <c r="O772">
        <v>2</v>
      </c>
      <c r="P772">
        <v>1</v>
      </c>
      <c r="Q772">
        <v>2</v>
      </c>
      <c r="R772" t="s">
        <v>48</v>
      </c>
      <c r="S772" t="s">
        <v>49</v>
      </c>
      <c r="T772" s="3">
        <v>0.84</v>
      </c>
      <c r="U772" s="3">
        <v>0.23</v>
      </c>
      <c r="V772" s="3">
        <v>1.81</v>
      </c>
      <c r="W772">
        <v>0.73</v>
      </c>
      <c r="X772" t="s">
        <v>72</v>
      </c>
      <c r="Y772" s="3">
        <v>5.43</v>
      </c>
      <c r="Z772" t="s">
        <v>73</v>
      </c>
      <c r="AA772" t="s">
        <v>2372</v>
      </c>
      <c r="AB772" t="s">
        <v>53</v>
      </c>
      <c r="AC772" s="3">
        <v>1.29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f t="shared" si="24"/>
        <v>9.6</v>
      </c>
      <c r="AK772" s="3">
        <f t="shared" si="25"/>
        <v>4.17</v>
      </c>
    </row>
    <row r="773" spans="1:37">
      <c r="A773">
        <v>10310056</v>
      </c>
      <c r="B773" t="s">
        <v>37</v>
      </c>
      <c r="C773" t="s">
        <v>5364</v>
      </c>
      <c r="D773" t="s">
        <v>505</v>
      </c>
      <c r="E773" t="s">
        <v>5365</v>
      </c>
      <c r="F773" t="s">
        <v>5366</v>
      </c>
      <c r="G773" t="s">
        <v>5367</v>
      </c>
      <c r="H773" t="s">
        <v>42</v>
      </c>
      <c r="I773" t="s">
        <v>5368</v>
      </c>
      <c r="J773" t="s">
        <v>5369</v>
      </c>
      <c r="K773">
        <v>2018</v>
      </c>
      <c r="L773" t="s">
        <v>505</v>
      </c>
      <c r="M773" t="s">
        <v>46</v>
      </c>
      <c r="N773" t="s">
        <v>47</v>
      </c>
      <c r="O773">
        <v>2</v>
      </c>
      <c r="P773">
        <v>1</v>
      </c>
      <c r="Q773">
        <v>2</v>
      </c>
      <c r="R773" t="s">
        <v>48</v>
      </c>
      <c r="S773" t="s">
        <v>49</v>
      </c>
      <c r="T773" s="3">
        <v>0.84</v>
      </c>
      <c r="U773" s="3">
        <v>0.23</v>
      </c>
      <c r="V773" s="3">
        <v>1.81</v>
      </c>
      <c r="W773">
        <v>1.08</v>
      </c>
      <c r="X773" t="s">
        <v>50</v>
      </c>
      <c r="Y773" s="3">
        <v>9.19</v>
      </c>
      <c r="Z773" t="s">
        <v>73</v>
      </c>
      <c r="AA773" t="s">
        <v>862</v>
      </c>
      <c r="AB773" t="s">
        <v>53</v>
      </c>
      <c r="AC773" s="3">
        <v>1.29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f t="shared" si="24"/>
        <v>13.360000000000001</v>
      </c>
      <c r="AK773" s="3">
        <f t="shared" si="25"/>
        <v>4.1700000000000017</v>
      </c>
    </row>
    <row r="774" spans="1:37">
      <c r="A774">
        <v>10311759</v>
      </c>
      <c r="B774" t="s">
        <v>37</v>
      </c>
      <c r="C774" t="s">
        <v>5370</v>
      </c>
      <c r="E774" t="s">
        <v>5371</v>
      </c>
      <c r="F774" t="s">
        <v>5372</v>
      </c>
      <c r="G774" t="s">
        <v>5373</v>
      </c>
      <c r="H774" t="s">
        <v>42</v>
      </c>
      <c r="I774" t="s">
        <v>5374</v>
      </c>
      <c r="J774" t="s">
        <v>5375</v>
      </c>
      <c r="K774">
        <v>35418</v>
      </c>
      <c r="L774" t="s">
        <v>71</v>
      </c>
      <c r="M774" t="s">
        <v>46</v>
      </c>
      <c r="N774" t="s">
        <v>47</v>
      </c>
      <c r="O774">
        <v>2</v>
      </c>
      <c r="P774">
        <v>1</v>
      </c>
      <c r="Q774">
        <v>2</v>
      </c>
      <c r="R774" t="s">
        <v>48</v>
      </c>
      <c r="S774" t="s">
        <v>49</v>
      </c>
      <c r="T774" s="3">
        <v>0.84</v>
      </c>
      <c r="U774" s="3">
        <v>0.23</v>
      </c>
      <c r="V774" s="3">
        <v>1.81</v>
      </c>
      <c r="W774">
        <v>0.98</v>
      </c>
      <c r="X774" t="s">
        <v>72</v>
      </c>
      <c r="Y774" s="3">
        <v>5.43</v>
      </c>
      <c r="Z774" t="s">
        <v>73</v>
      </c>
      <c r="AA774" t="s">
        <v>5376</v>
      </c>
      <c r="AB774" t="s">
        <v>53</v>
      </c>
      <c r="AC774" s="3">
        <v>1.29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f t="shared" si="24"/>
        <v>9.6</v>
      </c>
      <c r="AK774" s="3">
        <f t="shared" si="25"/>
        <v>4.17</v>
      </c>
    </row>
    <row r="775" spans="1:37">
      <c r="A775">
        <v>10310054</v>
      </c>
      <c r="B775" t="s">
        <v>37</v>
      </c>
      <c r="C775" t="s">
        <v>5377</v>
      </c>
      <c r="E775" t="s">
        <v>5378</v>
      </c>
      <c r="F775" t="s">
        <v>5379</v>
      </c>
      <c r="G775" t="s">
        <v>5380</v>
      </c>
      <c r="H775" t="s">
        <v>42</v>
      </c>
      <c r="I775" t="s">
        <v>5381</v>
      </c>
      <c r="J775" t="s">
        <v>5382</v>
      </c>
      <c r="K775">
        <v>9177</v>
      </c>
      <c r="L775" t="s">
        <v>369</v>
      </c>
      <c r="M775" t="s">
        <v>46</v>
      </c>
      <c r="N775" t="s">
        <v>47</v>
      </c>
      <c r="O775">
        <v>2</v>
      </c>
      <c r="P775">
        <v>1</v>
      </c>
      <c r="Q775">
        <v>2</v>
      </c>
      <c r="R775" t="s">
        <v>48</v>
      </c>
      <c r="S775" t="s">
        <v>49</v>
      </c>
      <c r="T775" s="3">
        <v>0.84</v>
      </c>
      <c r="U775" s="3">
        <v>0.23</v>
      </c>
      <c r="V775" s="3">
        <v>1.81</v>
      </c>
      <c r="W775">
        <v>0.74</v>
      </c>
      <c r="X775" t="s">
        <v>50</v>
      </c>
      <c r="Y775" s="3">
        <v>9.19</v>
      </c>
      <c r="Z775" t="s">
        <v>73</v>
      </c>
      <c r="AA775" t="s">
        <v>5383</v>
      </c>
      <c r="AB775" t="s">
        <v>53</v>
      </c>
      <c r="AC775" s="3">
        <v>1.29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f t="shared" si="24"/>
        <v>13.360000000000001</v>
      </c>
      <c r="AK775" s="3">
        <f t="shared" si="25"/>
        <v>4.1700000000000017</v>
      </c>
    </row>
    <row r="776" spans="1:37">
      <c r="A776">
        <v>10310057</v>
      </c>
      <c r="B776" t="s">
        <v>37</v>
      </c>
      <c r="C776" t="s">
        <v>5384</v>
      </c>
      <c r="E776" t="s">
        <v>954</v>
      </c>
      <c r="F776" t="s">
        <v>3912</v>
      </c>
      <c r="G776" t="s">
        <v>5385</v>
      </c>
      <c r="H776" t="s">
        <v>42</v>
      </c>
      <c r="I776" t="s">
        <v>5386</v>
      </c>
      <c r="J776" t="s">
        <v>5387</v>
      </c>
      <c r="K776" t="s">
        <v>5388</v>
      </c>
      <c r="L776" t="s">
        <v>142</v>
      </c>
      <c r="M776" t="s">
        <v>46</v>
      </c>
      <c r="N776" t="s">
        <v>47</v>
      </c>
      <c r="O776">
        <v>2</v>
      </c>
      <c r="P776">
        <v>1</v>
      </c>
      <c r="Q776">
        <v>2</v>
      </c>
      <c r="R776" t="s">
        <v>48</v>
      </c>
      <c r="S776" t="s">
        <v>49</v>
      </c>
      <c r="T776" s="3">
        <v>0.84</v>
      </c>
      <c r="U776" s="3">
        <v>0.23</v>
      </c>
      <c r="V776" s="3">
        <v>1.81</v>
      </c>
      <c r="W776">
        <v>2.2400000000000002</v>
      </c>
      <c r="X776" t="s">
        <v>50</v>
      </c>
      <c r="Y776" s="3">
        <v>16.43</v>
      </c>
      <c r="Z776" t="s">
        <v>73</v>
      </c>
      <c r="AA776" t="s">
        <v>5389</v>
      </c>
      <c r="AB776" t="s">
        <v>53</v>
      </c>
      <c r="AC776" s="3">
        <v>1.29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f t="shared" si="24"/>
        <v>20.599999999999998</v>
      </c>
      <c r="AK776" s="3">
        <f t="shared" si="25"/>
        <v>4.1699999999999982</v>
      </c>
    </row>
    <row r="777" spans="1:37">
      <c r="A777">
        <v>10312753</v>
      </c>
      <c r="B777" t="s">
        <v>37</v>
      </c>
      <c r="C777" t="s">
        <v>5390</v>
      </c>
      <c r="E777" t="s">
        <v>5391</v>
      </c>
      <c r="F777" t="s">
        <v>5392</v>
      </c>
      <c r="G777" t="s">
        <v>5393</v>
      </c>
      <c r="H777" t="s">
        <v>42</v>
      </c>
      <c r="I777" t="s">
        <v>5394</v>
      </c>
      <c r="J777" t="s">
        <v>5395</v>
      </c>
      <c r="K777" t="s">
        <v>5396</v>
      </c>
      <c r="L777" t="s">
        <v>142</v>
      </c>
      <c r="M777" t="s">
        <v>46</v>
      </c>
      <c r="N777" t="s">
        <v>47</v>
      </c>
      <c r="O777">
        <v>4</v>
      </c>
      <c r="P777">
        <v>1</v>
      </c>
      <c r="Q777">
        <v>4</v>
      </c>
      <c r="R777" t="s">
        <v>48</v>
      </c>
      <c r="S777" t="s">
        <v>49</v>
      </c>
      <c r="T777" s="3">
        <v>0.84</v>
      </c>
      <c r="U777" s="3">
        <v>0.23</v>
      </c>
      <c r="V777" s="3">
        <v>3.55</v>
      </c>
      <c r="W777">
        <v>1.66</v>
      </c>
      <c r="X777" t="s">
        <v>50</v>
      </c>
      <c r="Y777" s="3">
        <v>16.43</v>
      </c>
      <c r="Z777" t="s">
        <v>73</v>
      </c>
      <c r="AA777" t="s">
        <v>2255</v>
      </c>
      <c r="AB777" t="s">
        <v>53</v>
      </c>
      <c r="AC777" s="3">
        <v>1.29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f t="shared" si="24"/>
        <v>22.34</v>
      </c>
      <c r="AK777" s="3">
        <f t="shared" si="25"/>
        <v>5.91</v>
      </c>
    </row>
    <row r="778" spans="1:37">
      <c r="A778">
        <v>10313215</v>
      </c>
      <c r="B778" t="s">
        <v>37</v>
      </c>
      <c r="C778" t="s">
        <v>5397</v>
      </c>
      <c r="E778" t="s">
        <v>5398</v>
      </c>
      <c r="F778" t="s">
        <v>5399</v>
      </c>
      <c r="G778" t="s">
        <v>5400</v>
      </c>
      <c r="H778" t="s">
        <v>42</v>
      </c>
      <c r="I778" t="s">
        <v>5401</v>
      </c>
      <c r="J778" t="s">
        <v>5402</v>
      </c>
      <c r="K778" t="s">
        <v>5403</v>
      </c>
      <c r="L778" t="s">
        <v>142</v>
      </c>
      <c r="M778" t="s">
        <v>46</v>
      </c>
      <c r="N778" t="s">
        <v>47</v>
      </c>
      <c r="O778">
        <v>3</v>
      </c>
      <c r="P778">
        <v>1</v>
      </c>
      <c r="Q778">
        <v>3</v>
      </c>
      <c r="R778" t="s">
        <v>48</v>
      </c>
      <c r="S778" t="s">
        <v>49</v>
      </c>
      <c r="T778" s="3">
        <v>0.84</v>
      </c>
      <c r="U778" s="3">
        <v>0.23</v>
      </c>
      <c r="V778" s="3">
        <v>2.68</v>
      </c>
      <c r="W778">
        <v>1.45</v>
      </c>
      <c r="X778" t="s">
        <v>50</v>
      </c>
      <c r="Y778" s="3">
        <v>16.43</v>
      </c>
      <c r="Z778" t="s">
        <v>73</v>
      </c>
      <c r="AA778" t="s">
        <v>5404</v>
      </c>
      <c r="AB778" t="s">
        <v>53</v>
      </c>
      <c r="AC778" s="3">
        <v>1.29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f t="shared" si="24"/>
        <v>21.47</v>
      </c>
      <c r="AK778" s="3">
        <f t="shared" si="25"/>
        <v>5.0399999999999991</v>
      </c>
    </row>
    <row r="779" spans="1:37">
      <c r="A779">
        <v>10312254</v>
      </c>
      <c r="B779" t="s">
        <v>37</v>
      </c>
      <c r="C779" t="s">
        <v>5405</v>
      </c>
      <c r="E779" t="s">
        <v>5406</v>
      </c>
      <c r="F779" t="s">
        <v>5407</v>
      </c>
      <c r="G779" t="s">
        <v>5408</v>
      </c>
      <c r="H779" t="s">
        <v>42</v>
      </c>
      <c r="I779" t="s">
        <v>5409</v>
      </c>
      <c r="J779" t="s">
        <v>5410</v>
      </c>
      <c r="K779">
        <v>1070</v>
      </c>
      <c r="L779" t="s">
        <v>505</v>
      </c>
      <c r="M779" t="s">
        <v>46</v>
      </c>
      <c r="N779" t="s">
        <v>47</v>
      </c>
      <c r="O779">
        <v>4</v>
      </c>
      <c r="P779">
        <v>1</v>
      </c>
      <c r="Q779">
        <v>4</v>
      </c>
      <c r="R779" t="s">
        <v>48</v>
      </c>
      <c r="S779" t="s">
        <v>49</v>
      </c>
      <c r="T779" s="3">
        <v>0.84</v>
      </c>
      <c r="U779" s="3">
        <v>0.23</v>
      </c>
      <c r="V779" s="3">
        <v>3.55</v>
      </c>
      <c r="W779">
        <v>1.86</v>
      </c>
      <c r="X779" t="s">
        <v>50</v>
      </c>
      <c r="Y779" s="3">
        <v>9.19</v>
      </c>
      <c r="Z779" t="s">
        <v>73</v>
      </c>
      <c r="AA779" t="s">
        <v>5411</v>
      </c>
      <c r="AB779" t="s">
        <v>53</v>
      </c>
      <c r="AC779" s="3">
        <v>1.29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f t="shared" si="24"/>
        <v>15.100000000000001</v>
      </c>
      <c r="AK779" s="3">
        <f t="shared" si="25"/>
        <v>5.9100000000000019</v>
      </c>
    </row>
    <row r="780" spans="1:37">
      <c r="A780">
        <v>10313707</v>
      </c>
      <c r="B780" t="s">
        <v>37</v>
      </c>
      <c r="C780" t="s">
        <v>5412</v>
      </c>
      <c r="E780" t="s">
        <v>3927</v>
      </c>
      <c r="F780" t="s">
        <v>5413</v>
      </c>
      <c r="G780" t="s">
        <v>5414</v>
      </c>
      <c r="H780" t="s">
        <v>42</v>
      </c>
      <c r="I780" t="s">
        <v>5415</v>
      </c>
      <c r="J780" t="s">
        <v>5416</v>
      </c>
      <c r="K780">
        <v>2860</v>
      </c>
      <c r="L780" t="s">
        <v>505</v>
      </c>
      <c r="M780" t="s">
        <v>46</v>
      </c>
      <c r="N780" t="s">
        <v>47</v>
      </c>
      <c r="O780">
        <v>3</v>
      </c>
      <c r="P780">
        <v>1</v>
      </c>
      <c r="Q780">
        <v>3</v>
      </c>
      <c r="R780" t="s">
        <v>48</v>
      </c>
      <c r="S780" t="s">
        <v>49</v>
      </c>
      <c r="T780" s="3">
        <v>0.84</v>
      </c>
      <c r="U780" s="3">
        <v>0.23</v>
      </c>
      <c r="V780" s="3">
        <v>2.68</v>
      </c>
      <c r="W780">
        <v>1.43</v>
      </c>
      <c r="X780" t="s">
        <v>50</v>
      </c>
      <c r="Y780" s="3">
        <v>9.19</v>
      </c>
      <c r="Z780" t="s">
        <v>73</v>
      </c>
      <c r="AA780" t="s">
        <v>5417</v>
      </c>
      <c r="AB780" t="s">
        <v>53</v>
      </c>
      <c r="AC780" s="3">
        <v>1.29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f t="shared" si="24"/>
        <v>14.23</v>
      </c>
      <c r="AK780" s="3">
        <f t="shared" si="25"/>
        <v>5.0400000000000009</v>
      </c>
    </row>
    <row r="781" spans="1:37">
      <c r="A781">
        <v>10312985</v>
      </c>
      <c r="B781" t="s">
        <v>37</v>
      </c>
      <c r="C781" t="s">
        <v>5418</v>
      </c>
      <c r="E781" t="s">
        <v>5419</v>
      </c>
      <c r="F781" t="s">
        <v>5420</v>
      </c>
      <c r="G781" t="s">
        <v>5421</v>
      </c>
      <c r="H781" t="s">
        <v>42</v>
      </c>
      <c r="I781" t="s">
        <v>5422</v>
      </c>
      <c r="J781" t="s">
        <v>5423</v>
      </c>
      <c r="K781">
        <v>82386</v>
      </c>
      <c r="L781" t="s">
        <v>71</v>
      </c>
      <c r="M781" t="s">
        <v>46</v>
      </c>
      <c r="N781" t="s">
        <v>47</v>
      </c>
      <c r="O781">
        <v>6</v>
      </c>
      <c r="P781">
        <v>1</v>
      </c>
      <c r="Q781">
        <v>6</v>
      </c>
      <c r="R781" t="s">
        <v>48</v>
      </c>
      <c r="S781" t="s">
        <v>49</v>
      </c>
      <c r="T781" s="3">
        <v>0.84</v>
      </c>
      <c r="U781" s="3">
        <v>0.23</v>
      </c>
      <c r="V781" s="3">
        <v>5.29</v>
      </c>
      <c r="W781">
        <v>2.44</v>
      </c>
      <c r="X781" t="s">
        <v>72</v>
      </c>
      <c r="Y781" s="3">
        <v>5.43</v>
      </c>
      <c r="Z781" t="s">
        <v>73</v>
      </c>
      <c r="AA781" t="s">
        <v>4460</v>
      </c>
      <c r="AB781" t="s">
        <v>53</v>
      </c>
      <c r="AC781" s="3">
        <v>1.29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f t="shared" si="24"/>
        <v>13.08</v>
      </c>
      <c r="AK781" s="3">
        <f t="shared" si="25"/>
        <v>7.65</v>
      </c>
    </row>
    <row r="782" spans="1:37">
      <c r="A782">
        <v>10313218</v>
      </c>
      <c r="B782" t="s">
        <v>37</v>
      </c>
      <c r="C782" t="s">
        <v>5424</v>
      </c>
      <c r="D782" t="s">
        <v>5425</v>
      </c>
      <c r="E782" t="s">
        <v>5426</v>
      </c>
      <c r="F782" t="s">
        <v>5427</v>
      </c>
      <c r="G782" t="s">
        <v>5428</v>
      </c>
      <c r="H782" t="s">
        <v>42</v>
      </c>
      <c r="I782" t="s">
        <v>5429</v>
      </c>
      <c r="J782" t="s">
        <v>5430</v>
      </c>
      <c r="K782" t="s">
        <v>5431</v>
      </c>
      <c r="L782" t="s">
        <v>82</v>
      </c>
      <c r="M782" t="s">
        <v>46</v>
      </c>
      <c r="N782" t="s">
        <v>47</v>
      </c>
      <c r="O782">
        <v>4</v>
      </c>
      <c r="P782">
        <v>1</v>
      </c>
      <c r="Q782">
        <v>4</v>
      </c>
      <c r="R782" t="s">
        <v>48</v>
      </c>
      <c r="S782" t="s">
        <v>49</v>
      </c>
      <c r="T782" s="3">
        <v>0.84</v>
      </c>
      <c r="U782" s="3">
        <v>0.23</v>
      </c>
      <c r="V782" s="3">
        <v>3.55</v>
      </c>
      <c r="W782">
        <v>1.36</v>
      </c>
      <c r="X782" t="s">
        <v>50</v>
      </c>
      <c r="Y782" s="3">
        <v>9.19</v>
      </c>
      <c r="Z782" t="s">
        <v>73</v>
      </c>
      <c r="AA782" t="s">
        <v>1452</v>
      </c>
      <c r="AB782" t="s">
        <v>53</v>
      </c>
      <c r="AC782" s="3">
        <v>1.29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f t="shared" si="24"/>
        <v>15.100000000000001</v>
      </c>
      <c r="AK782" s="3">
        <f t="shared" si="25"/>
        <v>5.9100000000000019</v>
      </c>
    </row>
    <row r="783" spans="1:37">
      <c r="A783">
        <v>10312752</v>
      </c>
      <c r="B783" t="s">
        <v>37</v>
      </c>
      <c r="C783" t="s">
        <v>5432</v>
      </c>
      <c r="E783" t="s">
        <v>5433</v>
      </c>
      <c r="F783" t="s">
        <v>5434</v>
      </c>
      <c r="G783" t="s">
        <v>5435</v>
      </c>
      <c r="H783" t="s">
        <v>42</v>
      </c>
      <c r="I783" t="s">
        <v>5436</v>
      </c>
      <c r="J783" t="s">
        <v>5437</v>
      </c>
      <c r="K783">
        <v>9190</v>
      </c>
      <c r="L783" t="s">
        <v>505</v>
      </c>
      <c r="M783" t="s">
        <v>46</v>
      </c>
      <c r="N783" t="s">
        <v>47</v>
      </c>
      <c r="O783">
        <v>4</v>
      </c>
      <c r="P783">
        <v>1</v>
      </c>
      <c r="Q783">
        <v>4</v>
      </c>
      <c r="R783" t="s">
        <v>48</v>
      </c>
      <c r="S783" t="s">
        <v>49</v>
      </c>
      <c r="T783" s="3">
        <v>0.84</v>
      </c>
      <c r="U783" s="3">
        <v>0.23</v>
      </c>
      <c r="V783" s="3">
        <v>3.55</v>
      </c>
      <c r="W783">
        <v>2.06</v>
      </c>
      <c r="X783" t="s">
        <v>50</v>
      </c>
      <c r="Y783" s="3">
        <v>9.19</v>
      </c>
      <c r="Z783" t="s">
        <v>73</v>
      </c>
      <c r="AA783" t="s">
        <v>327</v>
      </c>
      <c r="AB783" t="s">
        <v>53</v>
      </c>
      <c r="AC783" s="3">
        <v>1.29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f t="shared" si="24"/>
        <v>15.100000000000001</v>
      </c>
      <c r="AK783" s="3">
        <f t="shared" si="25"/>
        <v>5.9100000000000019</v>
      </c>
    </row>
    <row r="784" spans="1:37">
      <c r="A784">
        <v>10313217</v>
      </c>
      <c r="B784" t="s">
        <v>37</v>
      </c>
      <c r="C784" t="s">
        <v>5438</v>
      </c>
      <c r="E784" t="s">
        <v>5439</v>
      </c>
      <c r="F784" t="s">
        <v>5440</v>
      </c>
      <c r="G784" t="s">
        <v>5441</v>
      </c>
      <c r="H784" t="s">
        <v>42</v>
      </c>
      <c r="I784" t="s">
        <v>5442</v>
      </c>
      <c r="J784" t="s">
        <v>5443</v>
      </c>
      <c r="K784">
        <v>60323</v>
      </c>
      <c r="L784" t="s">
        <v>71</v>
      </c>
      <c r="M784" t="s">
        <v>46</v>
      </c>
      <c r="N784" t="s">
        <v>47</v>
      </c>
      <c r="O784">
        <v>4</v>
      </c>
      <c r="P784">
        <v>1</v>
      </c>
      <c r="Q784">
        <v>4</v>
      </c>
      <c r="R784" t="s">
        <v>48</v>
      </c>
      <c r="S784" t="s">
        <v>49</v>
      </c>
      <c r="T784" s="3">
        <v>0.84</v>
      </c>
      <c r="U784" s="3">
        <v>0.23</v>
      </c>
      <c r="V784" s="3">
        <v>3.55</v>
      </c>
      <c r="W784">
        <v>1.53</v>
      </c>
      <c r="X784" t="s">
        <v>72</v>
      </c>
      <c r="Y784" s="3">
        <v>5.43</v>
      </c>
      <c r="Z784" t="s">
        <v>73</v>
      </c>
      <c r="AA784" t="s">
        <v>5444</v>
      </c>
      <c r="AB784" t="s">
        <v>53</v>
      </c>
      <c r="AC784" s="3">
        <v>1.29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f t="shared" si="24"/>
        <v>11.34</v>
      </c>
      <c r="AK784" s="3">
        <f t="shared" si="25"/>
        <v>5.91</v>
      </c>
    </row>
    <row r="785" spans="1:37">
      <c r="A785">
        <v>10312751</v>
      </c>
      <c r="B785" t="s">
        <v>37</v>
      </c>
      <c r="C785" t="s">
        <v>5445</v>
      </c>
      <c r="E785" t="s">
        <v>336</v>
      </c>
      <c r="F785" t="s">
        <v>5446</v>
      </c>
      <c r="G785" t="s">
        <v>5447</v>
      </c>
      <c r="H785" t="s">
        <v>42</v>
      </c>
      <c r="I785" t="s">
        <v>5448</v>
      </c>
      <c r="J785" t="s">
        <v>5449</v>
      </c>
      <c r="K785" t="s">
        <v>5450</v>
      </c>
      <c r="L785" t="s">
        <v>142</v>
      </c>
      <c r="M785" t="s">
        <v>46</v>
      </c>
      <c r="N785" t="s">
        <v>47</v>
      </c>
      <c r="O785">
        <v>5</v>
      </c>
      <c r="P785">
        <v>1</v>
      </c>
      <c r="Q785">
        <v>5</v>
      </c>
      <c r="R785" t="s">
        <v>48</v>
      </c>
      <c r="S785" t="s">
        <v>49</v>
      </c>
      <c r="T785" s="3">
        <v>0.84</v>
      </c>
      <c r="U785" s="3">
        <v>0.23</v>
      </c>
      <c r="V785" s="3">
        <v>4.42</v>
      </c>
      <c r="W785">
        <v>1.31</v>
      </c>
      <c r="X785" t="s">
        <v>50</v>
      </c>
      <c r="Y785" s="3">
        <v>16.43</v>
      </c>
      <c r="Z785" t="s">
        <v>73</v>
      </c>
      <c r="AA785" t="s">
        <v>5451</v>
      </c>
      <c r="AB785" t="s">
        <v>53</v>
      </c>
      <c r="AC785" s="3">
        <v>1.29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f t="shared" si="24"/>
        <v>23.21</v>
      </c>
      <c r="AK785" s="3">
        <f t="shared" si="25"/>
        <v>6.7800000000000011</v>
      </c>
    </row>
    <row r="786" spans="1:37">
      <c r="A786">
        <v>10313709</v>
      </c>
      <c r="B786" t="s">
        <v>37</v>
      </c>
      <c r="C786" t="s">
        <v>5452</v>
      </c>
      <c r="E786" t="s">
        <v>5453</v>
      </c>
      <c r="F786" t="s">
        <v>3242</v>
      </c>
      <c r="G786" t="s">
        <v>5454</v>
      </c>
      <c r="H786" t="s">
        <v>42</v>
      </c>
      <c r="I786" t="s">
        <v>5455</v>
      </c>
      <c r="J786" t="s">
        <v>5456</v>
      </c>
      <c r="K786" t="s">
        <v>5457</v>
      </c>
      <c r="L786" t="s">
        <v>142</v>
      </c>
      <c r="M786" t="s">
        <v>46</v>
      </c>
      <c r="N786" t="s">
        <v>47</v>
      </c>
      <c r="O786">
        <v>5</v>
      </c>
      <c r="P786">
        <v>1</v>
      </c>
      <c r="Q786">
        <v>5</v>
      </c>
      <c r="R786" t="s">
        <v>48</v>
      </c>
      <c r="S786" t="s">
        <v>49</v>
      </c>
      <c r="T786" s="3">
        <v>0.84</v>
      </c>
      <c r="U786" s="3">
        <v>0.23</v>
      </c>
      <c r="V786" s="3">
        <v>4.42</v>
      </c>
      <c r="W786">
        <v>1.8</v>
      </c>
      <c r="X786" t="s">
        <v>50</v>
      </c>
      <c r="Y786" s="3">
        <v>16.43</v>
      </c>
      <c r="Z786" t="s">
        <v>73</v>
      </c>
      <c r="AA786" t="s">
        <v>5458</v>
      </c>
      <c r="AB786" t="s">
        <v>53</v>
      </c>
      <c r="AC786" s="3">
        <v>1.29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f t="shared" si="24"/>
        <v>23.21</v>
      </c>
      <c r="AK786" s="3">
        <f t="shared" si="25"/>
        <v>6.7800000000000011</v>
      </c>
    </row>
    <row r="787" spans="1:37">
      <c r="A787">
        <v>10312990</v>
      </c>
      <c r="B787" t="s">
        <v>37</v>
      </c>
      <c r="C787" t="s">
        <v>5459</v>
      </c>
      <c r="E787" t="s">
        <v>5460</v>
      </c>
      <c r="F787" t="s">
        <v>5461</v>
      </c>
      <c r="G787" t="s">
        <v>5462</v>
      </c>
      <c r="H787" t="s">
        <v>42</v>
      </c>
      <c r="I787" t="s">
        <v>5463</v>
      </c>
      <c r="J787" t="s">
        <v>5464</v>
      </c>
      <c r="K787">
        <v>2500</v>
      </c>
      <c r="L787" t="s">
        <v>505</v>
      </c>
      <c r="M787" t="s">
        <v>46</v>
      </c>
      <c r="N787" t="s">
        <v>47</v>
      </c>
      <c r="O787">
        <v>4</v>
      </c>
      <c r="P787">
        <v>1</v>
      </c>
      <c r="Q787">
        <v>4</v>
      </c>
      <c r="R787" t="s">
        <v>48</v>
      </c>
      <c r="S787" t="s">
        <v>49</v>
      </c>
      <c r="T787" s="3">
        <v>0.84</v>
      </c>
      <c r="U787" s="3">
        <v>0.23</v>
      </c>
      <c r="V787" s="3">
        <v>3.55</v>
      </c>
      <c r="W787">
        <v>2.06</v>
      </c>
      <c r="X787" t="s">
        <v>50</v>
      </c>
      <c r="Y787" s="3">
        <v>9.19</v>
      </c>
      <c r="Z787" t="s">
        <v>73</v>
      </c>
      <c r="AA787" t="s">
        <v>1694</v>
      </c>
      <c r="AB787" t="s">
        <v>53</v>
      </c>
      <c r="AC787" s="3">
        <v>1.29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f t="shared" si="24"/>
        <v>15.100000000000001</v>
      </c>
      <c r="AK787" s="3">
        <f t="shared" si="25"/>
        <v>5.9100000000000019</v>
      </c>
    </row>
    <row r="788" spans="1:37">
      <c r="A788">
        <v>10313214</v>
      </c>
      <c r="B788" t="s">
        <v>37</v>
      </c>
      <c r="C788" t="s">
        <v>5465</v>
      </c>
      <c r="E788" t="s">
        <v>314</v>
      </c>
      <c r="F788" t="s">
        <v>5466</v>
      </c>
      <c r="G788" t="s">
        <v>5467</v>
      </c>
      <c r="H788" t="s">
        <v>42</v>
      </c>
      <c r="I788" t="s">
        <v>5468</v>
      </c>
      <c r="J788" t="s">
        <v>5469</v>
      </c>
      <c r="K788">
        <v>80634</v>
      </c>
      <c r="L788" t="s">
        <v>71</v>
      </c>
      <c r="M788" t="s">
        <v>46</v>
      </c>
      <c r="N788" t="s">
        <v>47</v>
      </c>
      <c r="O788">
        <v>7</v>
      </c>
      <c r="P788">
        <v>1</v>
      </c>
      <c r="Q788">
        <v>7</v>
      </c>
      <c r="R788" t="s">
        <v>48</v>
      </c>
      <c r="S788" t="s">
        <v>49</v>
      </c>
      <c r="T788" s="3">
        <v>0.84</v>
      </c>
      <c r="U788" s="3">
        <v>0.23</v>
      </c>
      <c r="V788" s="3">
        <v>6.16</v>
      </c>
      <c r="W788">
        <v>2.96</v>
      </c>
      <c r="X788" t="s">
        <v>72</v>
      </c>
      <c r="Y788" s="3">
        <v>6.57</v>
      </c>
      <c r="Z788" t="s">
        <v>83</v>
      </c>
      <c r="AA788" t="s">
        <v>5470</v>
      </c>
      <c r="AB788" t="s">
        <v>53</v>
      </c>
      <c r="AC788" s="3">
        <v>1.27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f t="shared" si="24"/>
        <v>15.07</v>
      </c>
      <c r="AK788" s="3">
        <f t="shared" si="25"/>
        <v>8.5</v>
      </c>
    </row>
    <row r="789" spans="1:37">
      <c r="A789">
        <v>10312986</v>
      </c>
      <c r="B789" t="s">
        <v>37</v>
      </c>
      <c r="C789" t="s">
        <v>5471</v>
      </c>
      <c r="E789" t="s">
        <v>5472</v>
      </c>
      <c r="F789" t="s">
        <v>5473</v>
      </c>
      <c r="G789" t="s">
        <v>5474</v>
      </c>
      <c r="H789" t="s">
        <v>42</v>
      </c>
      <c r="I789" t="s">
        <v>5475</v>
      </c>
      <c r="J789" t="s">
        <v>5476</v>
      </c>
      <c r="K789">
        <v>70469</v>
      </c>
      <c r="L789" t="s">
        <v>71</v>
      </c>
      <c r="M789" t="s">
        <v>46</v>
      </c>
      <c r="N789" t="s">
        <v>47</v>
      </c>
      <c r="O789">
        <v>4</v>
      </c>
      <c r="P789">
        <v>1</v>
      </c>
      <c r="Q789">
        <v>4</v>
      </c>
      <c r="R789" t="s">
        <v>48</v>
      </c>
      <c r="S789" t="s">
        <v>49</v>
      </c>
      <c r="T789" s="3">
        <v>0.84</v>
      </c>
      <c r="U789" s="3">
        <v>0.23</v>
      </c>
      <c r="V789" s="3">
        <v>3.55</v>
      </c>
      <c r="W789">
        <v>1.38</v>
      </c>
      <c r="X789" t="s">
        <v>72</v>
      </c>
      <c r="Y789" s="3">
        <v>5.43</v>
      </c>
      <c r="Z789" t="s">
        <v>73</v>
      </c>
      <c r="AA789" t="s">
        <v>5477</v>
      </c>
      <c r="AB789" t="s">
        <v>53</v>
      </c>
      <c r="AC789" s="3">
        <v>1.29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f t="shared" si="24"/>
        <v>11.34</v>
      </c>
      <c r="AK789" s="3">
        <f t="shared" si="25"/>
        <v>5.91</v>
      </c>
    </row>
    <row r="790" spans="1:37">
      <c r="A790">
        <v>10313478</v>
      </c>
      <c r="B790" t="s">
        <v>37</v>
      </c>
      <c r="C790" t="s">
        <v>5478</v>
      </c>
      <c r="E790" t="s">
        <v>5479</v>
      </c>
      <c r="F790" t="s">
        <v>5480</v>
      </c>
      <c r="G790" t="s">
        <v>5481</v>
      </c>
      <c r="H790" t="s">
        <v>42</v>
      </c>
      <c r="I790" t="s">
        <v>5482</v>
      </c>
      <c r="J790" t="s">
        <v>5483</v>
      </c>
      <c r="K790" t="s">
        <v>5484</v>
      </c>
      <c r="L790" t="s">
        <v>82</v>
      </c>
      <c r="M790" t="s">
        <v>46</v>
      </c>
      <c r="N790" t="s">
        <v>47</v>
      </c>
      <c r="O790">
        <v>2</v>
      </c>
      <c r="P790">
        <v>1</v>
      </c>
      <c r="Q790">
        <v>2</v>
      </c>
      <c r="R790" t="s">
        <v>48</v>
      </c>
      <c r="S790" t="s">
        <v>49</v>
      </c>
      <c r="T790" s="3">
        <v>0.84</v>
      </c>
      <c r="U790" s="3">
        <v>0.23</v>
      </c>
      <c r="V790" s="3">
        <v>1.81</v>
      </c>
      <c r="W790">
        <v>3.5</v>
      </c>
      <c r="X790" t="s">
        <v>50</v>
      </c>
      <c r="Y790" s="3">
        <v>9.19</v>
      </c>
      <c r="Z790" t="s">
        <v>73</v>
      </c>
      <c r="AA790" t="s">
        <v>5485</v>
      </c>
      <c r="AB790" t="s">
        <v>53</v>
      </c>
      <c r="AC790" s="3">
        <v>1.29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f t="shared" si="24"/>
        <v>13.360000000000001</v>
      </c>
      <c r="AK790" s="3">
        <f t="shared" si="25"/>
        <v>4.1700000000000017</v>
      </c>
    </row>
    <row r="791" spans="1:37">
      <c r="A791">
        <v>10312992</v>
      </c>
      <c r="B791" t="s">
        <v>37</v>
      </c>
      <c r="C791" t="s">
        <v>5486</v>
      </c>
      <c r="E791" t="s">
        <v>5487</v>
      </c>
      <c r="F791" t="s">
        <v>5488</v>
      </c>
      <c r="G791" t="s">
        <v>5489</v>
      </c>
      <c r="H791" t="s">
        <v>42</v>
      </c>
      <c r="I791" t="s">
        <v>5490</v>
      </c>
      <c r="J791" t="s">
        <v>5491</v>
      </c>
      <c r="K791">
        <v>34225</v>
      </c>
      <c r="L791" t="s">
        <v>71</v>
      </c>
      <c r="M791" t="s">
        <v>46</v>
      </c>
      <c r="N791" t="s">
        <v>47</v>
      </c>
      <c r="O791">
        <v>3</v>
      </c>
      <c r="P791">
        <v>1</v>
      </c>
      <c r="Q791">
        <v>3</v>
      </c>
      <c r="R791" t="s">
        <v>48</v>
      </c>
      <c r="S791" t="s">
        <v>49</v>
      </c>
      <c r="T791" s="3">
        <v>0.84</v>
      </c>
      <c r="U791" s="3">
        <v>0.23</v>
      </c>
      <c r="V791" s="3">
        <v>2.68</v>
      </c>
      <c r="W791">
        <v>1.57</v>
      </c>
      <c r="X791" t="s">
        <v>72</v>
      </c>
      <c r="Y791" s="3">
        <v>5.43</v>
      </c>
      <c r="Z791" t="s">
        <v>73</v>
      </c>
      <c r="AA791" t="s">
        <v>2199</v>
      </c>
      <c r="AB791" t="s">
        <v>53</v>
      </c>
      <c r="AC791" s="3">
        <v>1.29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f t="shared" si="24"/>
        <v>10.47</v>
      </c>
      <c r="AK791" s="3">
        <f t="shared" si="25"/>
        <v>5.0400000000000009</v>
      </c>
    </row>
    <row r="792" spans="1:37">
      <c r="A792">
        <v>10312251</v>
      </c>
      <c r="B792" t="s">
        <v>37</v>
      </c>
      <c r="C792" t="s">
        <v>5492</v>
      </c>
      <c r="D792" t="s">
        <v>5493</v>
      </c>
      <c r="E792" t="s">
        <v>2684</v>
      </c>
      <c r="F792" t="s">
        <v>5494</v>
      </c>
      <c r="G792" t="s">
        <v>5495</v>
      </c>
      <c r="H792" t="s">
        <v>42</v>
      </c>
      <c r="I792" t="s">
        <v>5496</v>
      </c>
      <c r="J792" t="s">
        <v>5497</v>
      </c>
      <c r="K792" t="s">
        <v>5498</v>
      </c>
      <c r="L792" t="s">
        <v>142</v>
      </c>
      <c r="M792" t="s">
        <v>46</v>
      </c>
      <c r="N792" t="s">
        <v>47</v>
      </c>
      <c r="O792">
        <v>2</v>
      </c>
      <c r="P792">
        <v>1</v>
      </c>
      <c r="Q792">
        <v>2</v>
      </c>
      <c r="R792" t="s">
        <v>48</v>
      </c>
      <c r="S792" t="s">
        <v>49</v>
      </c>
      <c r="T792" s="3">
        <v>0.84</v>
      </c>
      <c r="U792" s="3">
        <v>0.23</v>
      </c>
      <c r="V792" s="3">
        <v>1.81</v>
      </c>
      <c r="W792">
        <v>0.63</v>
      </c>
      <c r="X792" t="s">
        <v>50</v>
      </c>
      <c r="Y792" s="3">
        <v>16.43</v>
      </c>
      <c r="Z792" t="s">
        <v>109</v>
      </c>
      <c r="AA792" t="s">
        <v>5499</v>
      </c>
      <c r="AB792" t="s">
        <v>53</v>
      </c>
      <c r="AC792" s="3">
        <v>1.06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f t="shared" si="24"/>
        <v>20.369999999999997</v>
      </c>
      <c r="AK792" s="3">
        <f t="shared" si="25"/>
        <v>3.9399999999999977</v>
      </c>
    </row>
    <row r="793" spans="1:37">
      <c r="A793">
        <v>10312987</v>
      </c>
      <c r="B793" t="s">
        <v>37</v>
      </c>
      <c r="C793" t="s">
        <v>5500</v>
      </c>
      <c r="E793" t="s">
        <v>351</v>
      </c>
      <c r="F793" t="s">
        <v>5501</v>
      </c>
      <c r="G793" t="s">
        <v>5502</v>
      </c>
      <c r="H793" t="s">
        <v>42</v>
      </c>
      <c r="I793" t="s">
        <v>5503</v>
      </c>
      <c r="J793" t="s">
        <v>5504</v>
      </c>
      <c r="K793">
        <v>74330</v>
      </c>
      <c r="L793" t="s">
        <v>130</v>
      </c>
      <c r="M793" t="s">
        <v>46</v>
      </c>
      <c r="N793" t="s">
        <v>47</v>
      </c>
      <c r="O793">
        <v>3</v>
      </c>
      <c r="P793">
        <v>1</v>
      </c>
      <c r="Q793">
        <v>3</v>
      </c>
      <c r="R793" t="s">
        <v>48</v>
      </c>
      <c r="S793" t="s">
        <v>49</v>
      </c>
      <c r="T793" s="3">
        <v>0.84</v>
      </c>
      <c r="U793" s="3">
        <v>0.23</v>
      </c>
      <c r="V793" s="3">
        <v>2.68</v>
      </c>
      <c r="W793">
        <v>1.27</v>
      </c>
      <c r="X793" t="s">
        <v>50</v>
      </c>
      <c r="Y793" s="3">
        <v>14.9</v>
      </c>
      <c r="Z793" t="s">
        <v>73</v>
      </c>
      <c r="AA793" t="s">
        <v>5505</v>
      </c>
      <c r="AB793" t="s">
        <v>53</v>
      </c>
      <c r="AC793" s="3">
        <v>1.29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f t="shared" si="24"/>
        <v>19.940000000000001</v>
      </c>
      <c r="AK793" s="3">
        <f t="shared" si="25"/>
        <v>5.0400000000000009</v>
      </c>
    </row>
    <row r="794" spans="1:37">
      <c r="A794">
        <v>10313479</v>
      </c>
      <c r="B794" t="s">
        <v>37</v>
      </c>
      <c r="C794" t="s">
        <v>5506</v>
      </c>
      <c r="E794" t="s">
        <v>515</v>
      </c>
      <c r="F794" t="s">
        <v>541</v>
      </c>
      <c r="G794" t="s">
        <v>5507</v>
      </c>
      <c r="H794" t="s">
        <v>42</v>
      </c>
      <c r="I794" t="s">
        <v>5508</v>
      </c>
      <c r="J794" t="s">
        <v>5509</v>
      </c>
      <c r="K794">
        <v>88525</v>
      </c>
      <c r="L794" t="s">
        <v>71</v>
      </c>
      <c r="M794" t="s">
        <v>46</v>
      </c>
      <c r="N794" t="s">
        <v>47</v>
      </c>
      <c r="O794">
        <v>2</v>
      </c>
      <c r="P794">
        <v>1</v>
      </c>
      <c r="Q794">
        <v>2</v>
      </c>
      <c r="R794" t="s">
        <v>48</v>
      </c>
      <c r="S794" t="s">
        <v>49</v>
      </c>
      <c r="T794" s="3">
        <v>0.84</v>
      </c>
      <c r="U794" s="3">
        <v>0.23</v>
      </c>
      <c r="V794" s="3">
        <v>1.81</v>
      </c>
      <c r="W794">
        <v>2.9</v>
      </c>
      <c r="X794" t="s">
        <v>72</v>
      </c>
      <c r="Y794" s="3">
        <v>6.57</v>
      </c>
      <c r="Z794" t="s">
        <v>83</v>
      </c>
      <c r="AA794" t="s">
        <v>5510</v>
      </c>
      <c r="AB794" t="s">
        <v>53</v>
      </c>
      <c r="AC794" s="3">
        <v>1.27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f t="shared" si="24"/>
        <v>10.72</v>
      </c>
      <c r="AK794" s="3">
        <f t="shared" si="25"/>
        <v>4.1500000000000004</v>
      </c>
    </row>
    <row r="795" spans="1:37">
      <c r="A795">
        <v>10312988</v>
      </c>
      <c r="B795" t="s">
        <v>37</v>
      </c>
      <c r="C795" t="s">
        <v>5511</v>
      </c>
      <c r="E795" t="s">
        <v>857</v>
      </c>
      <c r="F795" t="s">
        <v>5512</v>
      </c>
      <c r="G795" t="s">
        <v>5513</v>
      </c>
      <c r="H795" t="s">
        <v>42</v>
      </c>
      <c r="I795" t="s">
        <v>5514</v>
      </c>
      <c r="J795" t="s">
        <v>5515</v>
      </c>
      <c r="K795">
        <v>60318</v>
      </c>
      <c r="L795" t="s">
        <v>71</v>
      </c>
      <c r="M795" t="s">
        <v>46</v>
      </c>
      <c r="N795" t="s">
        <v>47</v>
      </c>
      <c r="O795">
        <v>2</v>
      </c>
      <c r="P795">
        <v>1</v>
      </c>
      <c r="Q795">
        <v>2</v>
      </c>
      <c r="R795" t="s">
        <v>48</v>
      </c>
      <c r="S795" t="s">
        <v>49</v>
      </c>
      <c r="T795" s="3">
        <v>0.84</v>
      </c>
      <c r="U795" s="3">
        <v>0.23</v>
      </c>
      <c r="V795" s="3">
        <v>1.81</v>
      </c>
      <c r="W795">
        <v>1.1499999999999999</v>
      </c>
      <c r="X795" t="s">
        <v>72</v>
      </c>
      <c r="Y795" s="3">
        <v>5.43</v>
      </c>
      <c r="Z795" t="s">
        <v>83</v>
      </c>
      <c r="AA795" t="s">
        <v>5516</v>
      </c>
      <c r="AB795" t="s">
        <v>53</v>
      </c>
      <c r="AC795" s="3">
        <v>1.27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f t="shared" si="24"/>
        <v>9.58</v>
      </c>
      <c r="AK795" s="3">
        <f t="shared" si="25"/>
        <v>4.1500000000000004</v>
      </c>
    </row>
    <row r="796" spans="1:37">
      <c r="A796">
        <v>10313219</v>
      </c>
      <c r="B796" t="s">
        <v>37</v>
      </c>
      <c r="C796" t="s">
        <v>5517</v>
      </c>
      <c r="E796" t="s">
        <v>5518</v>
      </c>
      <c r="F796" t="s">
        <v>5519</v>
      </c>
      <c r="G796" t="s">
        <v>5520</v>
      </c>
      <c r="H796" t="s">
        <v>42</v>
      </c>
      <c r="I796" t="s">
        <v>5521</v>
      </c>
      <c r="J796" t="s">
        <v>5522</v>
      </c>
      <c r="K796" t="s">
        <v>5523</v>
      </c>
      <c r="L796" t="s">
        <v>142</v>
      </c>
      <c r="M796" t="s">
        <v>46</v>
      </c>
      <c r="N796" t="s">
        <v>47</v>
      </c>
      <c r="O796">
        <v>2</v>
      </c>
      <c r="P796">
        <v>1</v>
      </c>
      <c r="Q796">
        <v>2</v>
      </c>
      <c r="R796" t="s">
        <v>48</v>
      </c>
      <c r="S796" t="s">
        <v>49</v>
      </c>
      <c r="T796" s="3">
        <v>0.84</v>
      </c>
      <c r="U796" s="3">
        <v>0.23</v>
      </c>
      <c r="V796" s="3">
        <v>1.81</v>
      </c>
      <c r="W796">
        <v>1.0900000000000001</v>
      </c>
      <c r="X796" t="s">
        <v>50</v>
      </c>
      <c r="Y796" s="3">
        <v>16.43</v>
      </c>
      <c r="Z796" t="s">
        <v>73</v>
      </c>
      <c r="AA796" t="s">
        <v>5524</v>
      </c>
      <c r="AB796" t="s">
        <v>53</v>
      </c>
      <c r="AC796" s="3">
        <v>1.29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f t="shared" si="24"/>
        <v>20.599999999999998</v>
      </c>
      <c r="AK796" s="3">
        <f t="shared" si="25"/>
        <v>4.1699999999999982</v>
      </c>
    </row>
    <row r="797" spans="1:37">
      <c r="A797">
        <v>10312983</v>
      </c>
      <c r="B797" t="s">
        <v>37</v>
      </c>
      <c r="C797" t="s">
        <v>5525</v>
      </c>
      <c r="E797" t="s">
        <v>5526</v>
      </c>
      <c r="F797" t="s">
        <v>5527</v>
      </c>
      <c r="G797" t="s">
        <v>5528</v>
      </c>
      <c r="H797" t="s">
        <v>42</v>
      </c>
      <c r="I797" t="s">
        <v>5529</v>
      </c>
      <c r="J797" t="s">
        <v>5530</v>
      </c>
      <c r="K797" t="s">
        <v>5531</v>
      </c>
      <c r="L797" t="s">
        <v>142</v>
      </c>
      <c r="M797" t="s">
        <v>46</v>
      </c>
      <c r="N797" t="s">
        <v>47</v>
      </c>
      <c r="O797">
        <v>2</v>
      </c>
      <c r="P797">
        <v>1</v>
      </c>
      <c r="Q797">
        <v>2</v>
      </c>
      <c r="R797" t="s">
        <v>48</v>
      </c>
      <c r="S797" t="s">
        <v>49</v>
      </c>
      <c r="T797" s="3">
        <v>0.84</v>
      </c>
      <c r="U797" s="3">
        <v>0.23</v>
      </c>
      <c r="V797" s="3">
        <v>1.81</v>
      </c>
      <c r="W797">
        <v>1.08</v>
      </c>
      <c r="X797" t="s">
        <v>50</v>
      </c>
      <c r="Y797" s="3">
        <v>16.43</v>
      </c>
      <c r="Z797" t="s">
        <v>73</v>
      </c>
      <c r="AA797" t="s">
        <v>5532</v>
      </c>
      <c r="AB797" t="s">
        <v>53</v>
      </c>
      <c r="AC797" s="3">
        <v>1.29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f t="shared" si="24"/>
        <v>20.599999999999998</v>
      </c>
      <c r="AK797" s="3">
        <f t="shared" si="25"/>
        <v>4.1699999999999982</v>
      </c>
    </row>
    <row r="798" spans="1:37">
      <c r="A798">
        <v>10312021</v>
      </c>
      <c r="B798" t="s">
        <v>37</v>
      </c>
      <c r="C798" t="s">
        <v>5533</v>
      </c>
      <c r="E798" t="s">
        <v>5534</v>
      </c>
      <c r="F798" t="s">
        <v>5535</v>
      </c>
      <c r="G798" t="s">
        <v>5536</v>
      </c>
      <c r="H798" t="s">
        <v>42</v>
      </c>
      <c r="I798" t="s">
        <v>5537</v>
      </c>
      <c r="J798" t="s">
        <v>5538</v>
      </c>
      <c r="K798">
        <v>1950</v>
      </c>
      <c r="L798" t="s">
        <v>505</v>
      </c>
      <c r="M798" t="s">
        <v>46</v>
      </c>
      <c r="N798" t="s">
        <v>47</v>
      </c>
      <c r="O798">
        <v>2</v>
      </c>
      <c r="P798">
        <v>1</v>
      </c>
      <c r="Q798">
        <v>2</v>
      </c>
      <c r="R798" t="s">
        <v>48</v>
      </c>
      <c r="S798" t="s">
        <v>49</v>
      </c>
      <c r="T798" s="3">
        <v>0.84</v>
      </c>
      <c r="U798" s="3">
        <v>0.23</v>
      </c>
      <c r="V798" s="3">
        <v>1.81</v>
      </c>
      <c r="W798">
        <v>1.08</v>
      </c>
      <c r="X798" t="s">
        <v>50</v>
      </c>
      <c r="Y798" s="3">
        <v>9.19</v>
      </c>
      <c r="Z798" t="s">
        <v>73</v>
      </c>
      <c r="AA798" t="s">
        <v>1371</v>
      </c>
      <c r="AB798" t="s">
        <v>53</v>
      </c>
      <c r="AC798" s="3">
        <v>1.29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f t="shared" si="24"/>
        <v>13.360000000000001</v>
      </c>
      <c r="AK798" s="3">
        <f t="shared" si="25"/>
        <v>4.1700000000000017</v>
      </c>
    </row>
    <row r="799" spans="1:37">
      <c r="A799">
        <v>10314018</v>
      </c>
      <c r="B799" t="s">
        <v>37</v>
      </c>
      <c r="C799" t="s">
        <v>5539</v>
      </c>
      <c r="E799" t="s">
        <v>5540</v>
      </c>
      <c r="F799" t="s">
        <v>5541</v>
      </c>
      <c r="G799" t="s">
        <v>5542</v>
      </c>
      <c r="H799" t="s">
        <v>42</v>
      </c>
      <c r="I799" t="s">
        <v>5543</v>
      </c>
      <c r="J799" t="s">
        <v>5544</v>
      </c>
      <c r="K799">
        <v>9040</v>
      </c>
      <c r="L799" t="s">
        <v>505</v>
      </c>
      <c r="M799" t="s">
        <v>46</v>
      </c>
      <c r="N799" t="s">
        <v>47</v>
      </c>
      <c r="O799">
        <v>2</v>
      </c>
      <c r="P799">
        <v>1</v>
      </c>
      <c r="Q799">
        <v>2</v>
      </c>
      <c r="R799" t="s">
        <v>48</v>
      </c>
      <c r="S799" t="s">
        <v>49</v>
      </c>
      <c r="T799" s="3">
        <v>0.84</v>
      </c>
      <c r="U799" s="3">
        <v>0.23</v>
      </c>
      <c r="V799" s="3">
        <v>1.81</v>
      </c>
      <c r="W799">
        <v>1.08</v>
      </c>
      <c r="X799" t="s">
        <v>50</v>
      </c>
      <c r="Y799" s="3">
        <v>9.19</v>
      </c>
      <c r="Z799" t="s">
        <v>73</v>
      </c>
      <c r="AA799" t="s">
        <v>5545</v>
      </c>
      <c r="AB799" t="s">
        <v>53</v>
      </c>
      <c r="AC799" s="3">
        <v>1.29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f t="shared" si="24"/>
        <v>13.360000000000001</v>
      </c>
      <c r="AK799" s="3">
        <f t="shared" si="25"/>
        <v>4.1700000000000017</v>
      </c>
    </row>
    <row r="800" spans="1:37">
      <c r="A800">
        <v>10315689</v>
      </c>
      <c r="B800" t="s">
        <v>37</v>
      </c>
      <c r="C800" t="s">
        <v>5546</v>
      </c>
      <c r="E800" t="s">
        <v>5547</v>
      </c>
      <c r="F800" t="s">
        <v>5548</v>
      </c>
      <c r="G800" t="s">
        <v>5549</v>
      </c>
      <c r="H800" t="s">
        <v>42</v>
      </c>
      <c r="I800" t="s">
        <v>5550</v>
      </c>
      <c r="J800" t="s">
        <v>5551</v>
      </c>
      <c r="K800" t="s">
        <v>5552</v>
      </c>
      <c r="L800" t="s">
        <v>142</v>
      </c>
      <c r="M800" t="s">
        <v>46</v>
      </c>
      <c r="N800" t="s">
        <v>47</v>
      </c>
      <c r="O800">
        <v>2</v>
      </c>
      <c r="P800">
        <v>1</v>
      </c>
      <c r="Q800">
        <v>2</v>
      </c>
      <c r="R800" t="s">
        <v>48</v>
      </c>
      <c r="S800" t="s">
        <v>49</v>
      </c>
      <c r="T800" s="3">
        <v>0.84</v>
      </c>
      <c r="U800" s="3">
        <v>0.23</v>
      </c>
      <c r="V800" s="3">
        <v>1.81</v>
      </c>
      <c r="W800">
        <v>1.04</v>
      </c>
      <c r="X800" t="s">
        <v>50</v>
      </c>
      <c r="Y800" s="3">
        <v>16.43</v>
      </c>
      <c r="Z800" t="s">
        <v>73</v>
      </c>
      <c r="AA800" t="s">
        <v>5553</v>
      </c>
      <c r="AB800" t="s">
        <v>53</v>
      </c>
      <c r="AC800" s="3">
        <v>1.29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f t="shared" si="24"/>
        <v>20.599999999999998</v>
      </c>
      <c r="AK800" s="3">
        <f t="shared" si="25"/>
        <v>4.1699999999999982</v>
      </c>
    </row>
    <row r="801" spans="1:37">
      <c r="A801">
        <v>10314290</v>
      </c>
      <c r="B801" t="s">
        <v>37</v>
      </c>
      <c r="C801" t="s">
        <v>5554</v>
      </c>
      <c r="E801" t="s">
        <v>5555</v>
      </c>
      <c r="F801" t="s">
        <v>5556</v>
      </c>
      <c r="G801" t="s">
        <v>5557</v>
      </c>
      <c r="H801" t="s">
        <v>42</v>
      </c>
      <c r="I801" t="s">
        <v>5558</v>
      </c>
      <c r="J801" t="s">
        <v>5559</v>
      </c>
      <c r="K801">
        <v>1932</v>
      </c>
      <c r="L801" t="s">
        <v>505</v>
      </c>
      <c r="M801" t="s">
        <v>46</v>
      </c>
      <c r="N801" t="s">
        <v>47</v>
      </c>
      <c r="O801">
        <v>2</v>
      </c>
      <c r="P801">
        <v>1</v>
      </c>
      <c r="Q801">
        <v>2</v>
      </c>
      <c r="R801" t="s">
        <v>48</v>
      </c>
      <c r="S801" t="s">
        <v>49</v>
      </c>
      <c r="T801" s="3">
        <v>0.84</v>
      </c>
      <c r="U801" s="3">
        <v>0.23</v>
      </c>
      <c r="V801" s="3">
        <v>1.81</v>
      </c>
      <c r="W801">
        <v>1.08</v>
      </c>
      <c r="X801" t="s">
        <v>50</v>
      </c>
      <c r="Y801" s="3">
        <v>9.19</v>
      </c>
      <c r="Z801" t="s">
        <v>73</v>
      </c>
      <c r="AA801" t="s">
        <v>2623</v>
      </c>
      <c r="AB801" t="s">
        <v>53</v>
      </c>
      <c r="AC801" s="3">
        <v>1.29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f t="shared" si="24"/>
        <v>13.360000000000001</v>
      </c>
      <c r="AK801" s="3">
        <f t="shared" si="25"/>
        <v>4.1700000000000017</v>
      </c>
    </row>
    <row r="802" spans="1:37">
      <c r="A802">
        <v>10315036</v>
      </c>
      <c r="B802" t="s">
        <v>37</v>
      </c>
      <c r="C802" t="s">
        <v>5560</v>
      </c>
      <c r="E802" t="s">
        <v>5561</v>
      </c>
      <c r="F802" t="s">
        <v>5562</v>
      </c>
      <c r="G802" t="s">
        <v>5563</v>
      </c>
      <c r="H802" t="s">
        <v>42</v>
      </c>
      <c r="I802" t="s">
        <v>5564</v>
      </c>
      <c r="J802" t="s">
        <v>5565</v>
      </c>
      <c r="K802" t="s">
        <v>5566</v>
      </c>
      <c r="L802" t="s">
        <v>142</v>
      </c>
      <c r="M802" t="s">
        <v>46</v>
      </c>
      <c r="N802" t="s">
        <v>47</v>
      </c>
      <c r="O802">
        <v>4</v>
      </c>
      <c r="P802">
        <v>1</v>
      </c>
      <c r="Q802">
        <v>4</v>
      </c>
      <c r="R802" t="s">
        <v>48</v>
      </c>
      <c r="S802" t="s">
        <v>49</v>
      </c>
      <c r="T802" s="3">
        <v>0.84</v>
      </c>
      <c r="U802" s="3">
        <v>0.23</v>
      </c>
      <c r="V802" s="3">
        <v>3.55</v>
      </c>
      <c r="W802">
        <v>1.66</v>
      </c>
      <c r="X802" t="s">
        <v>50</v>
      </c>
      <c r="Y802" s="3">
        <v>16.43</v>
      </c>
      <c r="Z802" t="s">
        <v>73</v>
      </c>
      <c r="AA802" t="s">
        <v>5567</v>
      </c>
      <c r="AB802" t="s">
        <v>53</v>
      </c>
      <c r="AC802" s="3">
        <v>1.29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f t="shared" si="24"/>
        <v>22.34</v>
      </c>
      <c r="AK802" s="3">
        <f t="shared" si="25"/>
        <v>5.91</v>
      </c>
    </row>
    <row r="803" spans="1:37">
      <c r="A803">
        <v>10314542</v>
      </c>
      <c r="B803" t="s">
        <v>37</v>
      </c>
      <c r="C803" t="s">
        <v>5568</v>
      </c>
      <c r="E803" t="s">
        <v>5569</v>
      </c>
      <c r="F803" t="s">
        <v>5570</v>
      </c>
      <c r="G803" t="s">
        <v>5571</v>
      </c>
      <c r="H803" t="s">
        <v>42</v>
      </c>
      <c r="I803" t="s">
        <v>5572</v>
      </c>
      <c r="J803" t="s">
        <v>5573</v>
      </c>
      <c r="K803">
        <v>35083</v>
      </c>
      <c r="L803" t="s">
        <v>71</v>
      </c>
      <c r="M803" t="s">
        <v>46</v>
      </c>
      <c r="N803" t="s">
        <v>47</v>
      </c>
      <c r="O803">
        <v>4</v>
      </c>
      <c r="P803">
        <v>1</v>
      </c>
      <c r="Q803">
        <v>4</v>
      </c>
      <c r="R803" t="s">
        <v>48</v>
      </c>
      <c r="S803" t="s">
        <v>49</v>
      </c>
      <c r="T803" s="3">
        <v>0.84</v>
      </c>
      <c r="U803" s="3">
        <v>0.23</v>
      </c>
      <c r="V803" s="3">
        <v>3.55</v>
      </c>
      <c r="W803">
        <v>1.66</v>
      </c>
      <c r="X803" t="s">
        <v>72</v>
      </c>
      <c r="Y803" s="3">
        <v>5.43</v>
      </c>
      <c r="Z803" t="s">
        <v>73</v>
      </c>
      <c r="AA803" t="s">
        <v>429</v>
      </c>
      <c r="AB803" t="s">
        <v>53</v>
      </c>
      <c r="AC803" s="3">
        <v>1.29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f t="shared" si="24"/>
        <v>11.34</v>
      </c>
      <c r="AK803" s="3">
        <f t="shared" si="25"/>
        <v>5.91</v>
      </c>
    </row>
    <row r="804" spans="1:37">
      <c r="A804">
        <v>10312487</v>
      </c>
      <c r="B804" t="s">
        <v>37</v>
      </c>
      <c r="C804" t="s">
        <v>5574</v>
      </c>
      <c r="E804" t="s">
        <v>5575</v>
      </c>
      <c r="F804" t="s">
        <v>5576</v>
      </c>
      <c r="G804" t="s">
        <v>5577</v>
      </c>
      <c r="H804" t="s">
        <v>42</v>
      </c>
      <c r="I804" t="s">
        <v>5578</v>
      </c>
      <c r="J804" t="s">
        <v>5579</v>
      </c>
      <c r="K804">
        <v>5220</v>
      </c>
      <c r="L804" t="s">
        <v>2247</v>
      </c>
      <c r="M804" t="s">
        <v>46</v>
      </c>
      <c r="N804" t="s">
        <v>47</v>
      </c>
      <c r="O804">
        <v>2</v>
      </c>
      <c r="P804">
        <v>1</v>
      </c>
      <c r="Q804">
        <v>2</v>
      </c>
      <c r="R804" t="s">
        <v>48</v>
      </c>
      <c r="S804" t="s">
        <v>49</v>
      </c>
      <c r="T804" s="3">
        <v>0.84</v>
      </c>
      <c r="U804" s="3">
        <v>0.23</v>
      </c>
      <c r="V804" s="3">
        <v>1.81</v>
      </c>
      <c r="W804">
        <v>0.88</v>
      </c>
      <c r="X804" t="s">
        <v>50</v>
      </c>
      <c r="Y804" s="3">
        <v>14.98</v>
      </c>
      <c r="Z804" t="s">
        <v>73</v>
      </c>
      <c r="AA804" t="s">
        <v>5580</v>
      </c>
      <c r="AB804" t="s">
        <v>53</v>
      </c>
      <c r="AC804" s="3">
        <v>1.29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f t="shared" si="24"/>
        <v>19.149999999999999</v>
      </c>
      <c r="AK804" s="3">
        <f t="shared" si="25"/>
        <v>4.1699999999999982</v>
      </c>
    </row>
    <row r="805" spans="1:37">
      <c r="A805">
        <v>10314292</v>
      </c>
      <c r="B805" t="s">
        <v>37</v>
      </c>
      <c r="C805" t="s">
        <v>5581</v>
      </c>
      <c r="E805" t="s">
        <v>5582</v>
      </c>
      <c r="F805" t="s">
        <v>5583</v>
      </c>
      <c r="G805" t="s">
        <v>5584</v>
      </c>
      <c r="H805" t="s">
        <v>42</v>
      </c>
      <c r="I805" t="s">
        <v>5585</v>
      </c>
      <c r="J805" t="s">
        <v>5586</v>
      </c>
      <c r="K805" t="s">
        <v>5587</v>
      </c>
      <c r="L805" t="s">
        <v>142</v>
      </c>
      <c r="M805" t="s">
        <v>46</v>
      </c>
      <c r="N805" t="s">
        <v>47</v>
      </c>
      <c r="O805">
        <v>6</v>
      </c>
      <c r="P805">
        <v>1</v>
      </c>
      <c r="Q805">
        <v>6</v>
      </c>
      <c r="R805" t="s">
        <v>48</v>
      </c>
      <c r="S805" t="s">
        <v>49</v>
      </c>
      <c r="T805" s="3">
        <v>0.84</v>
      </c>
      <c r="U805" s="3">
        <v>0.23</v>
      </c>
      <c r="V805" s="3">
        <v>5.29</v>
      </c>
      <c r="W805">
        <v>2.44</v>
      </c>
      <c r="X805" t="s">
        <v>50</v>
      </c>
      <c r="Y805" s="3">
        <v>16.43</v>
      </c>
      <c r="Z805" t="s">
        <v>83</v>
      </c>
      <c r="AA805" t="s">
        <v>5588</v>
      </c>
      <c r="AB805" t="s">
        <v>53</v>
      </c>
      <c r="AC805" s="3">
        <v>1.27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f t="shared" si="24"/>
        <v>24.06</v>
      </c>
      <c r="AK805" s="3">
        <f t="shared" si="25"/>
        <v>7.629999999999999</v>
      </c>
    </row>
    <row r="806" spans="1:37">
      <c r="A806">
        <v>10314015</v>
      </c>
      <c r="B806" t="s">
        <v>37</v>
      </c>
      <c r="C806" t="s">
        <v>5589</v>
      </c>
      <c r="E806" t="s">
        <v>39</v>
      </c>
      <c r="F806" t="s">
        <v>5590</v>
      </c>
      <c r="G806" t="s">
        <v>5591</v>
      </c>
      <c r="H806" t="s">
        <v>42</v>
      </c>
      <c r="I806" t="s">
        <v>5592</v>
      </c>
      <c r="J806" t="s">
        <v>5593</v>
      </c>
      <c r="K806">
        <v>50996</v>
      </c>
      <c r="L806" t="s">
        <v>71</v>
      </c>
      <c r="M806" t="s">
        <v>46</v>
      </c>
      <c r="N806" t="s">
        <v>47</v>
      </c>
      <c r="O806">
        <v>2</v>
      </c>
      <c r="P806">
        <v>1</v>
      </c>
      <c r="Q806">
        <v>2</v>
      </c>
      <c r="R806" t="s">
        <v>48</v>
      </c>
      <c r="S806" t="s">
        <v>49</v>
      </c>
      <c r="T806" s="3">
        <v>0.84</v>
      </c>
      <c r="U806" s="3">
        <v>0.23</v>
      </c>
      <c r="V806" s="3">
        <v>1.81</v>
      </c>
      <c r="W806">
        <v>0.88</v>
      </c>
      <c r="X806" t="s">
        <v>72</v>
      </c>
      <c r="Y806" s="3">
        <v>5.43</v>
      </c>
      <c r="Z806" t="s">
        <v>73</v>
      </c>
      <c r="AA806" t="s">
        <v>5594</v>
      </c>
      <c r="AB806" t="s">
        <v>53</v>
      </c>
      <c r="AC806" s="3">
        <v>1.29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f t="shared" si="24"/>
        <v>9.6</v>
      </c>
      <c r="AK806" s="3">
        <f t="shared" si="25"/>
        <v>4.17</v>
      </c>
    </row>
    <row r="807" spans="1:37">
      <c r="A807">
        <v>10315685</v>
      </c>
      <c r="B807" t="s">
        <v>37</v>
      </c>
      <c r="C807" t="s">
        <v>5595</v>
      </c>
      <c r="E807" t="s">
        <v>468</v>
      </c>
      <c r="F807" t="s">
        <v>5596</v>
      </c>
      <c r="G807" t="s">
        <v>5597</v>
      </c>
      <c r="H807" t="s">
        <v>42</v>
      </c>
      <c r="I807" t="s">
        <v>5598</v>
      </c>
      <c r="J807" t="s">
        <v>5599</v>
      </c>
      <c r="K807" t="s">
        <v>5600</v>
      </c>
      <c r="L807" t="s">
        <v>142</v>
      </c>
      <c r="M807" t="s">
        <v>46</v>
      </c>
      <c r="N807" t="s">
        <v>47</v>
      </c>
      <c r="O807">
        <v>4</v>
      </c>
      <c r="P807">
        <v>1</v>
      </c>
      <c r="Q807">
        <v>4</v>
      </c>
      <c r="R807" t="s">
        <v>48</v>
      </c>
      <c r="S807" t="s">
        <v>49</v>
      </c>
      <c r="T807" s="3">
        <v>0.84</v>
      </c>
      <c r="U807" s="3">
        <v>0.23</v>
      </c>
      <c r="V807" s="3">
        <v>3.55</v>
      </c>
      <c r="W807">
        <v>2.06</v>
      </c>
      <c r="X807" t="s">
        <v>50</v>
      </c>
      <c r="Y807" s="3">
        <v>16.43</v>
      </c>
      <c r="Z807" t="s">
        <v>73</v>
      </c>
      <c r="AA807" t="s">
        <v>990</v>
      </c>
      <c r="AB807" t="s">
        <v>53</v>
      </c>
      <c r="AC807" s="3">
        <v>1.29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f t="shared" si="24"/>
        <v>22.34</v>
      </c>
      <c r="AK807" s="3">
        <f t="shared" si="25"/>
        <v>5.91</v>
      </c>
    </row>
    <row r="808" spans="1:37">
      <c r="A808">
        <v>10313476</v>
      </c>
      <c r="B808" t="s">
        <v>37</v>
      </c>
      <c r="C808" t="s">
        <v>5601</v>
      </c>
      <c r="E808" t="s">
        <v>3681</v>
      </c>
      <c r="F808" t="s">
        <v>5602</v>
      </c>
      <c r="G808" t="s">
        <v>5603</v>
      </c>
      <c r="H808" t="s">
        <v>42</v>
      </c>
      <c r="I808" t="s">
        <v>5604</v>
      </c>
      <c r="J808" t="s">
        <v>5605</v>
      </c>
      <c r="K808">
        <v>82515</v>
      </c>
      <c r="L808" t="s">
        <v>71</v>
      </c>
      <c r="M808" t="s">
        <v>46</v>
      </c>
      <c r="N808" t="s">
        <v>47</v>
      </c>
      <c r="O808">
        <v>2</v>
      </c>
      <c r="P808">
        <v>1</v>
      </c>
      <c r="Q808">
        <v>2</v>
      </c>
      <c r="R808" t="s">
        <v>48</v>
      </c>
      <c r="S808" t="s">
        <v>49</v>
      </c>
      <c r="T808" s="3">
        <v>0.84</v>
      </c>
      <c r="U808" s="3">
        <v>0.23</v>
      </c>
      <c r="V808" s="3">
        <v>1.81</v>
      </c>
      <c r="W808">
        <v>1</v>
      </c>
      <c r="X808" t="s">
        <v>72</v>
      </c>
      <c r="Y808" s="3">
        <v>5.43</v>
      </c>
      <c r="Z808" t="s">
        <v>73</v>
      </c>
      <c r="AA808" t="s">
        <v>5606</v>
      </c>
      <c r="AB808" t="s">
        <v>53</v>
      </c>
      <c r="AC808" s="3">
        <v>1.29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f t="shared" si="24"/>
        <v>9.6</v>
      </c>
      <c r="AK808" s="3">
        <f t="shared" si="25"/>
        <v>4.17</v>
      </c>
    </row>
    <row r="809" spans="1:37">
      <c r="A809">
        <v>10315035</v>
      </c>
      <c r="B809" t="s">
        <v>37</v>
      </c>
      <c r="C809" t="s">
        <v>5607</v>
      </c>
      <c r="E809" t="s">
        <v>4897</v>
      </c>
      <c r="F809" t="s">
        <v>5608</v>
      </c>
      <c r="G809" t="s">
        <v>5609</v>
      </c>
      <c r="H809" t="s">
        <v>42</v>
      </c>
      <c r="I809" t="s">
        <v>5610</v>
      </c>
      <c r="J809" t="s">
        <v>5611</v>
      </c>
      <c r="K809">
        <v>27339</v>
      </c>
      <c r="L809" t="s">
        <v>71</v>
      </c>
      <c r="M809" t="s">
        <v>46</v>
      </c>
      <c r="N809" t="s">
        <v>47</v>
      </c>
      <c r="O809">
        <v>4</v>
      </c>
      <c r="P809">
        <v>1</v>
      </c>
      <c r="Q809">
        <v>4</v>
      </c>
      <c r="R809" t="s">
        <v>48</v>
      </c>
      <c r="S809" t="s">
        <v>49</v>
      </c>
      <c r="T809" s="3">
        <v>0.84</v>
      </c>
      <c r="U809" s="3">
        <v>0.23</v>
      </c>
      <c r="V809" s="3">
        <v>3.55</v>
      </c>
      <c r="W809">
        <v>2.06</v>
      </c>
      <c r="X809" t="s">
        <v>72</v>
      </c>
      <c r="Y809" s="3">
        <v>5.43</v>
      </c>
      <c r="Z809" t="s">
        <v>73</v>
      </c>
      <c r="AA809" t="s">
        <v>5612</v>
      </c>
      <c r="AB809" t="s">
        <v>53</v>
      </c>
      <c r="AC809" s="3">
        <v>1.29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f t="shared" si="24"/>
        <v>11.34</v>
      </c>
      <c r="AK809" s="3">
        <f t="shared" si="25"/>
        <v>5.91</v>
      </c>
    </row>
    <row r="810" spans="1:37">
      <c r="A810">
        <v>10315901</v>
      </c>
      <c r="B810" t="s">
        <v>37</v>
      </c>
      <c r="C810" t="s">
        <v>5613</v>
      </c>
      <c r="E810" t="s">
        <v>2684</v>
      </c>
      <c r="F810" t="s">
        <v>5614</v>
      </c>
      <c r="G810" t="s">
        <v>5615</v>
      </c>
      <c r="H810" t="s">
        <v>42</v>
      </c>
      <c r="I810" t="s">
        <v>5616</v>
      </c>
      <c r="J810" t="s">
        <v>5617</v>
      </c>
      <c r="K810" t="s">
        <v>5618</v>
      </c>
      <c r="L810" t="s">
        <v>142</v>
      </c>
      <c r="M810" t="s">
        <v>46</v>
      </c>
      <c r="N810" t="s">
        <v>47</v>
      </c>
      <c r="O810">
        <v>7</v>
      </c>
      <c r="P810">
        <v>1</v>
      </c>
      <c r="Q810">
        <v>7</v>
      </c>
      <c r="R810" t="s">
        <v>48</v>
      </c>
      <c r="S810" t="s">
        <v>49</v>
      </c>
      <c r="T810" s="3">
        <v>0.84</v>
      </c>
      <c r="U810" s="3">
        <v>0.23</v>
      </c>
      <c r="V810" s="3">
        <v>6.16</v>
      </c>
      <c r="W810">
        <v>3.01</v>
      </c>
      <c r="X810" t="s">
        <v>50</v>
      </c>
      <c r="Y810" s="3">
        <v>16.43</v>
      </c>
      <c r="Z810" t="s">
        <v>73</v>
      </c>
      <c r="AA810" t="s">
        <v>5619</v>
      </c>
      <c r="AB810" t="s">
        <v>53</v>
      </c>
      <c r="AC810" s="3">
        <v>1.29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f t="shared" si="24"/>
        <v>24.95</v>
      </c>
      <c r="AK810" s="3">
        <f t="shared" si="25"/>
        <v>8.52</v>
      </c>
    </row>
    <row r="811" spans="1:37">
      <c r="A811">
        <v>10316195</v>
      </c>
      <c r="B811" t="s">
        <v>37</v>
      </c>
      <c r="C811" t="s">
        <v>5620</v>
      </c>
      <c r="E811" t="s">
        <v>1960</v>
      </c>
      <c r="F811" t="s">
        <v>1961</v>
      </c>
      <c r="G811" t="s">
        <v>5621</v>
      </c>
      <c r="H811" t="s">
        <v>42</v>
      </c>
      <c r="I811" t="s">
        <v>5622</v>
      </c>
      <c r="J811" t="s">
        <v>1964</v>
      </c>
      <c r="K811" t="s">
        <v>1965</v>
      </c>
      <c r="L811" t="s">
        <v>82</v>
      </c>
      <c r="M811" t="s">
        <v>46</v>
      </c>
      <c r="N811" t="s">
        <v>47</v>
      </c>
      <c r="O811">
        <v>2</v>
      </c>
      <c r="P811">
        <v>1</v>
      </c>
      <c r="Q811">
        <v>2</v>
      </c>
      <c r="R811" t="s">
        <v>48</v>
      </c>
      <c r="S811" t="s">
        <v>49</v>
      </c>
      <c r="T811" s="3">
        <v>0.84</v>
      </c>
      <c r="U811" s="3">
        <v>0.23</v>
      </c>
      <c r="V811" s="3">
        <v>1.81</v>
      </c>
      <c r="W811">
        <v>1.08</v>
      </c>
      <c r="X811" t="s">
        <v>50</v>
      </c>
      <c r="Y811" s="3">
        <v>9.19</v>
      </c>
      <c r="Z811" t="s">
        <v>73</v>
      </c>
      <c r="AA811" t="s">
        <v>1966</v>
      </c>
      <c r="AB811" t="s">
        <v>53</v>
      </c>
      <c r="AC811" s="3">
        <v>1.29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f t="shared" si="24"/>
        <v>13.360000000000001</v>
      </c>
      <c r="AK811" s="3">
        <f t="shared" si="25"/>
        <v>4.1700000000000017</v>
      </c>
    </row>
    <row r="812" spans="1:37">
      <c r="A812">
        <v>10316193</v>
      </c>
      <c r="B812" t="s">
        <v>37</v>
      </c>
      <c r="C812" t="s">
        <v>5623</v>
      </c>
      <c r="E812" t="s">
        <v>3005</v>
      </c>
      <c r="F812" t="s">
        <v>5624</v>
      </c>
      <c r="G812" t="s">
        <v>5625</v>
      </c>
      <c r="H812" t="s">
        <v>42</v>
      </c>
      <c r="I812" t="s">
        <v>5626</v>
      </c>
      <c r="J812" t="s">
        <v>5627</v>
      </c>
      <c r="K812">
        <v>41812</v>
      </c>
      <c r="L812" t="s">
        <v>71</v>
      </c>
      <c r="M812" t="s">
        <v>46</v>
      </c>
      <c r="N812" t="s">
        <v>47</v>
      </c>
      <c r="O812">
        <v>1</v>
      </c>
      <c r="P812">
        <v>1</v>
      </c>
      <c r="Q812">
        <v>1</v>
      </c>
      <c r="R812" t="s">
        <v>48</v>
      </c>
      <c r="S812" t="s">
        <v>49</v>
      </c>
      <c r="T812" s="3">
        <v>0.84</v>
      </c>
      <c r="U812" s="3">
        <v>0.23</v>
      </c>
      <c r="V812" s="3">
        <v>0.94</v>
      </c>
      <c r="W812">
        <v>0.59</v>
      </c>
      <c r="X812" t="s">
        <v>108</v>
      </c>
      <c r="Y812" s="3">
        <v>9.27</v>
      </c>
      <c r="Z812" t="s">
        <v>109</v>
      </c>
      <c r="AA812" t="s">
        <v>245</v>
      </c>
      <c r="AB812" t="s">
        <v>53</v>
      </c>
      <c r="AC812" s="3">
        <v>1.06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f t="shared" si="24"/>
        <v>12.34</v>
      </c>
      <c r="AK812" s="3">
        <f t="shared" si="25"/>
        <v>3.0700000000000003</v>
      </c>
    </row>
    <row r="813" spans="1:37">
      <c r="A813">
        <v>10316182</v>
      </c>
      <c r="B813" t="s">
        <v>37</v>
      </c>
      <c r="C813" t="s">
        <v>5628</v>
      </c>
      <c r="E813" t="s">
        <v>1292</v>
      </c>
      <c r="F813" t="s">
        <v>5629</v>
      </c>
      <c r="G813" t="s">
        <v>5630</v>
      </c>
      <c r="H813" t="s">
        <v>42</v>
      </c>
      <c r="I813" t="s">
        <v>5631</v>
      </c>
      <c r="J813" t="s">
        <v>5632</v>
      </c>
      <c r="K813">
        <v>22307</v>
      </c>
      <c r="L813" t="s">
        <v>71</v>
      </c>
      <c r="M813" t="s">
        <v>46</v>
      </c>
      <c r="N813" t="s">
        <v>47</v>
      </c>
      <c r="O813">
        <v>1</v>
      </c>
      <c r="P813">
        <v>1</v>
      </c>
      <c r="Q813">
        <v>1</v>
      </c>
      <c r="R813" t="s">
        <v>48</v>
      </c>
      <c r="S813" t="s">
        <v>49</v>
      </c>
      <c r="T813" s="3">
        <v>0.84</v>
      </c>
      <c r="U813" s="3">
        <v>0.23</v>
      </c>
      <c r="V813" s="3">
        <v>0.94</v>
      </c>
      <c r="W813">
        <v>0.49</v>
      </c>
      <c r="X813" t="s">
        <v>108</v>
      </c>
      <c r="Y813" s="3">
        <v>5.13</v>
      </c>
      <c r="Z813" t="s">
        <v>109</v>
      </c>
      <c r="AA813" t="s">
        <v>4279</v>
      </c>
      <c r="AB813" t="s">
        <v>53</v>
      </c>
      <c r="AC813" s="3">
        <v>1.06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f t="shared" si="24"/>
        <v>8.1999999999999993</v>
      </c>
      <c r="AK813" s="3">
        <f t="shared" si="25"/>
        <v>3.0699999999999994</v>
      </c>
    </row>
    <row r="814" spans="1:37">
      <c r="A814">
        <v>10316196</v>
      </c>
      <c r="B814" t="s">
        <v>37</v>
      </c>
      <c r="C814" t="s">
        <v>5633</v>
      </c>
      <c r="E814" t="s">
        <v>1221</v>
      </c>
      <c r="F814" t="s">
        <v>5634</v>
      </c>
      <c r="G814" t="s">
        <v>5635</v>
      </c>
      <c r="H814" t="s">
        <v>42</v>
      </c>
      <c r="I814" t="s">
        <v>5636</v>
      </c>
      <c r="J814" t="s">
        <v>5637</v>
      </c>
      <c r="K814">
        <v>45475</v>
      </c>
      <c r="L814" t="s">
        <v>71</v>
      </c>
      <c r="M814" t="s">
        <v>46</v>
      </c>
      <c r="N814" t="s">
        <v>47</v>
      </c>
      <c r="O814">
        <v>1</v>
      </c>
      <c r="P814">
        <v>1</v>
      </c>
      <c r="Q814">
        <v>1</v>
      </c>
      <c r="R814" t="s">
        <v>48</v>
      </c>
      <c r="S814" t="s">
        <v>49</v>
      </c>
      <c r="T814" s="3">
        <v>0.84</v>
      </c>
      <c r="U814" s="3">
        <v>0.23</v>
      </c>
      <c r="V814" s="3">
        <v>0.94</v>
      </c>
      <c r="W814">
        <v>0.59</v>
      </c>
      <c r="X814" t="s">
        <v>72</v>
      </c>
      <c r="Y814" s="3">
        <v>5.43</v>
      </c>
      <c r="Z814" t="s">
        <v>73</v>
      </c>
      <c r="AA814" t="s">
        <v>996</v>
      </c>
      <c r="AB814" t="s">
        <v>53</v>
      </c>
      <c r="AC814" s="3">
        <v>1.29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f t="shared" si="24"/>
        <v>8.73</v>
      </c>
      <c r="AK814" s="3">
        <f t="shared" si="25"/>
        <v>3.3000000000000007</v>
      </c>
    </row>
    <row r="815" spans="1:37">
      <c r="A815">
        <v>10315904</v>
      </c>
      <c r="B815" t="s">
        <v>37</v>
      </c>
      <c r="C815" t="s">
        <v>5638</v>
      </c>
      <c r="E815" t="s">
        <v>5639</v>
      </c>
      <c r="F815" t="s">
        <v>5640</v>
      </c>
      <c r="G815" t="s">
        <v>5641</v>
      </c>
      <c r="H815" t="s">
        <v>42</v>
      </c>
      <c r="I815" t="s">
        <v>5642</v>
      </c>
      <c r="J815" t="s">
        <v>5643</v>
      </c>
      <c r="K815">
        <v>18211</v>
      </c>
      <c r="L815" t="s">
        <v>71</v>
      </c>
      <c r="M815" t="s">
        <v>46</v>
      </c>
      <c r="N815" t="s">
        <v>47</v>
      </c>
      <c r="O815">
        <v>1</v>
      </c>
      <c r="P815">
        <v>1</v>
      </c>
      <c r="Q815">
        <v>1</v>
      </c>
      <c r="R815" t="s">
        <v>48</v>
      </c>
      <c r="S815" t="s">
        <v>49</v>
      </c>
      <c r="T815" s="3">
        <v>0.84</v>
      </c>
      <c r="U815" s="3">
        <v>0.23</v>
      </c>
      <c r="V815" s="3">
        <v>0.94</v>
      </c>
      <c r="W815">
        <v>0.49</v>
      </c>
      <c r="X815" t="s">
        <v>108</v>
      </c>
      <c r="Y815" s="3">
        <v>5.13</v>
      </c>
      <c r="Z815" t="s">
        <v>109</v>
      </c>
      <c r="AA815" t="s">
        <v>3216</v>
      </c>
      <c r="AB815" t="s">
        <v>53</v>
      </c>
      <c r="AC815" s="3">
        <v>1.06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f t="shared" si="24"/>
        <v>8.1999999999999993</v>
      </c>
      <c r="AK815" s="3">
        <f t="shared" si="25"/>
        <v>3.0699999999999994</v>
      </c>
    </row>
    <row r="816" spans="1:37">
      <c r="A816">
        <v>10316191</v>
      </c>
      <c r="B816" t="s">
        <v>37</v>
      </c>
      <c r="C816" t="s">
        <v>5644</v>
      </c>
      <c r="E816" t="s">
        <v>2970</v>
      </c>
      <c r="F816" t="s">
        <v>2971</v>
      </c>
      <c r="G816" t="s">
        <v>5645</v>
      </c>
      <c r="H816" t="s">
        <v>42</v>
      </c>
      <c r="I816" t="s">
        <v>5646</v>
      </c>
      <c r="J816" t="s">
        <v>2974</v>
      </c>
      <c r="K816" t="s">
        <v>2975</v>
      </c>
      <c r="L816" t="s">
        <v>82</v>
      </c>
      <c r="M816" t="s">
        <v>46</v>
      </c>
      <c r="N816" t="s">
        <v>47</v>
      </c>
      <c r="O816">
        <v>1</v>
      </c>
      <c r="P816">
        <v>1</v>
      </c>
      <c r="Q816">
        <v>1</v>
      </c>
      <c r="R816" t="s">
        <v>48</v>
      </c>
      <c r="S816" t="s">
        <v>49</v>
      </c>
      <c r="T816" s="3">
        <v>0.84</v>
      </c>
      <c r="U816" s="3">
        <v>0.23</v>
      </c>
      <c r="V816" s="3">
        <v>0.94</v>
      </c>
      <c r="W816">
        <v>0.59</v>
      </c>
      <c r="X816" t="s">
        <v>50</v>
      </c>
      <c r="Y816" s="3">
        <v>9.19</v>
      </c>
      <c r="Z816" t="s">
        <v>109</v>
      </c>
      <c r="AA816" t="s">
        <v>1652</v>
      </c>
      <c r="AB816" t="s">
        <v>53</v>
      </c>
      <c r="AC816" s="3">
        <v>1.06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f t="shared" si="24"/>
        <v>12.26</v>
      </c>
      <c r="AK816" s="3">
        <f t="shared" si="25"/>
        <v>3.0700000000000003</v>
      </c>
    </row>
    <row r="817" spans="1:37">
      <c r="A817">
        <v>10316190</v>
      </c>
      <c r="B817" t="s">
        <v>37</v>
      </c>
      <c r="C817" t="s">
        <v>5647</v>
      </c>
      <c r="E817" t="s">
        <v>445</v>
      </c>
      <c r="F817" t="s">
        <v>2175</v>
      </c>
      <c r="G817" t="s">
        <v>5648</v>
      </c>
      <c r="H817" t="s">
        <v>42</v>
      </c>
      <c r="I817" t="s">
        <v>5649</v>
      </c>
      <c r="J817" t="s">
        <v>5650</v>
      </c>
      <c r="K817" t="s">
        <v>5651</v>
      </c>
      <c r="L817" t="s">
        <v>142</v>
      </c>
      <c r="M817" t="s">
        <v>46</v>
      </c>
      <c r="N817" t="s">
        <v>47</v>
      </c>
      <c r="O817">
        <v>1</v>
      </c>
      <c r="P817">
        <v>1</v>
      </c>
      <c r="Q817">
        <v>1</v>
      </c>
      <c r="R817" t="s">
        <v>48</v>
      </c>
      <c r="S817" t="s">
        <v>49</v>
      </c>
      <c r="T817" s="3">
        <v>0.84</v>
      </c>
      <c r="U817" s="3">
        <v>0.23</v>
      </c>
      <c r="V817" s="3">
        <v>0.94</v>
      </c>
      <c r="W817">
        <v>2.1</v>
      </c>
      <c r="X817" t="s">
        <v>50</v>
      </c>
      <c r="Y817" s="3">
        <v>16.43</v>
      </c>
      <c r="Z817" t="s">
        <v>73</v>
      </c>
      <c r="AA817" t="s">
        <v>4162</v>
      </c>
      <c r="AB817" t="s">
        <v>53</v>
      </c>
      <c r="AC817" s="3">
        <v>1.29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f t="shared" si="24"/>
        <v>19.73</v>
      </c>
      <c r="AK817" s="3">
        <f t="shared" si="25"/>
        <v>3.3000000000000007</v>
      </c>
    </row>
    <row r="818" spans="1:37">
      <c r="A818">
        <v>10314017</v>
      </c>
      <c r="B818" t="s">
        <v>37</v>
      </c>
      <c r="C818" t="s">
        <v>5652</v>
      </c>
      <c r="D818" t="s">
        <v>5653</v>
      </c>
      <c r="E818" t="s">
        <v>5654</v>
      </c>
      <c r="F818" t="s">
        <v>5655</v>
      </c>
      <c r="G818" t="s">
        <v>5656</v>
      </c>
      <c r="H818" t="s">
        <v>42</v>
      </c>
      <c r="I818" t="s">
        <v>5657</v>
      </c>
      <c r="J818" t="s">
        <v>5658</v>
      </c>
      <c r="K818" t="s">
        <v>5659</v>
      </c>
      <c r="L818" t="s">
        <v>91</v>
      </c>
      <c r="M818" t="s">
        <v>46</v>
      </c>
      <c r="N818" t="s">
        <v>47</v>
      </c>
      <c r="O818">
        <v>5</v>
      </c>
      <c r="P818">
        <v>1</v>
      </c>
      <c r="Q818">
        <v>5</v>
      </c>
      <c r="R818" t="s">
        <v>48</v>
      </c>
      <c r="S818" t="s">
        <v>49</v>
      </c>
      <c r="T818" s="3">
        <v>0.84</v>
      </c>
      <c r="U818" s="3">
        <v>0.23</v>
      </c>
      <c r="V818" s="3">
        <v>4.42</v>
      </c>
      <c r="W818">
        <v>1.64</v>
      </c>
      <c r="X818" t="s">
        <v>50</v>
      </c>
      <c r="Y818" s="3">
        <v>16.43</v>
      </c>
      <c r="Z818" t="s">
        <v>83</v>
      </c>
      <c r="AA818" t="s">
        <v>5660</v>
      </c>
      <c r="AB818" t="s">
        <v>53</v>
      </c>
      <c r="AC818" s="3">
        <v>1.27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f t="shared" si="24"/>
        <v>23.189999999999998</v>
      </c>
      <c r="AK818" s="3">
        <f t="shared" si="25"/>
        <v>6.759999999999998</v>
      </c>
    </row>
    <row r="819" spans="1:37">
      <c r="A819">
        <v>10299604</v>
      </c>
      <c r="B819" t="s">
        <v>37</v>
      </c>
      <c r="C819" t="s">
        <v>5661</v>
      </c>
      <c r="E819" t="s">
        <v>3779</v>
      </c>
      <c r="F819" t="s">
        <v>3780</v>
      </c>
      <c r="G819" t="s">
        <v>5662</v>
      </c>
      <c r="H819" t="s">
        <v>42</v>
      </c>
      <c r="I819" t="s">
        <v>5663</v>
      </c>
      <c r="J819" t="s">
        <v>3783</v>
      </c>
      <c r="K819">
        <v>85276</v>
      </c>
      <c r="L819" t="s">
        <v>71</v>
      </c>
      <c r="M819" t="s">
        <v>46</v>
      </c>
      <c r="N819" t="s">
        <v>47</v>
      </c>
      <c r="O819">
        <v>10</v>
      </c>
      <c r="P819">
        <v>1</v>
      </c>
      <c r="Q819">
        <v>10</v>
      </c>
      <c r="R819" t="s">
        <v>48</v>
      </c>
      <c r="S819" t="s">
        <v>49</v>
      </c>
      <c r="T819" s="3">
        <v>7</v>
      </c>
      <c r="U819" s="3">
        <v>0.23</v>
      </c>
      <c r="V819" s="3">
        <v>13.2</v>
      </c>
      <c r="W819">
        <v>2.9</v>
      </c>
      <c r="X819" t="s">
        <v>72</v>
      </c>
      <c r="Y819" s="3">
        <v>6.57</v>
      </c>
      <c r="Z819" t="s">
        <v>83</v>
      </c>
      <c r="AA819" t="s">
        <v>5664</v>
      </c>
      <c r="AB819" t="s">
        <v>53</v>
      </c>
      <c r="AC819" s="3">
        <v>1.27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f t="shared" si="24"/>
        <v>28.27</v>
      </c>
      <c r="AK819" s="3">
        <f t="shared" si="25"/>
        <v>21.7</v>
      </c>
    </row>
    <row r="820" spans="1:37">
      <c r="A820">
        <v>10314022</v>
      </c>
      <c r="B820" t="s">
        <v>37</v>
      </c>
      <c r="C820" t="s">
        <v>5665</v>
      </c>
      <c r="E820" t="s">
        <v>2534</v>
      </c>
      <c r="F820" t="s">
        <v>5666</v>
      </c>
      <c r="G820" t="s">
        <v>5667</v>
      </c>
      <c r="H820" t="s">
        <v>42</v>
      </c>
      <c r="I820" t="s">
        <v>5668</v>
      </c>
      <c r="J820" t="s">
        <v>5669</v>
      </c>
      <c r="K820">
        <v>80469</v>
      </c>
      <c r="L820" t="s">
        <v>71</v>
      </c>
      <c r="M820" t="s">
        <v>46</v>
      </c>
      <c r="N820" t="s">
        <v>47</v>
      </c>
      <c r="O820">
        <v>9</v>
      </c>
      <c r="P820">
        <v>1</v>
      </c>
      <c r="Q820">
        <v>9</v>
      </c>
      <c r="R820" t="s">
        <v>48</v>
      </c>
      <c r="S820" t="s">
        <v>49</v>
      </c>
      <c r="T820" s="3">
        <v>0.84</v>
      </c>
      <c r="U820" s="3">
        <v>0.23</v>
      </c>
      <c r="V820" s="3">
        <v>7.9</v>
      </c>
      <c r="W820">
        <v>3.44</v>
      </c>
      <c r="X820" t="s">
        <v>72</v>
      </c>
      <c r="Y820" s="3">
        <v>6.6</v>
      </c>
      <c r="Z820" t="s">
        <v>83</v>
      </c>
      <c r="AA820" t="s">
        <v>5670</v>
      </c>
      <c r="AB820" t="s">
        <v>53</v>
      </c>
      <c r="AC820" s="3">
        <v>1.27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f t="shared" si="24"/>
        <v>16.84</v>
      </c>
      <c r="AK820" s="3">
        <f t="shared" si="25"/>
        <v>10.24</v>
      </c>
    </row>
    <row r="821" spans="1:37">
      <c r="A821">
        <v>10314020</v>
      </c>
      <c r="B821" t="s">
        <v>37</v>
      </c>
      <c r="C821" t="s">
        <v>5671</v>
      </c>
      <c r="E821" t="s">
        <v>2684</v>
      </c>
      <c r="F821" t="s">
        <v>2606</v>
      </c>
      <c r="G821" t="s">
        <v>5672</v>
      </c>
      <c r="H821" t="s">
        <v>42</v>
      </c>
      <c r="I821" t="s">
        <v>5673</v>
      </c>
      <c r="J821" t="s">
        <v>5674</v>
      </c>
      <c r="K821" t="s">
        <v>5675</v>
      </c>
      <c r="L821" t="s">
        <v>142</v>
      </c>
      <c r="M821" t="s">
        <v>46</v>
      </c>
      <c r="N821" t="s">
        <v>47</v>
      </c>
      <c r="O821">
        <v>6</v>
      </c>
      <c r="P821">
        <v>1</v>
      </c>
      <c r="Q821">
        <v>6</v>
      </c>
      <c r="R821" t="s">
        <v>48</v>
      </c>
      <c r="S821" t="s">
        <v>49</v>
      </c>
      <c r="T821" s="3">
        <v>0.84</v>
      </c>
      <c r="U821" s="3">
        <v>0.23</v>
      </c>
      <c r="V821" s="3">
        <v>5.29</v>
      </c>
      <c r="W821">
        <v>2.44</v>
      </c>
      <c r="X821" t="s">
        <v>50</v>
      </c>
      <c r="Y821" s="3">
        <v>16.43</v>
      </c>
      <c r="Z821" t="s">
        <v>73</v>
      </c>
      <c r="AA821" t="s">
        <v>4460</v>
      </c>
      <c r="AB821" t="s">
        <v>53</v>
      </c>
      <c r="AC821" s="3">
        <v>1.29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f t="shared" si="24"/>
        <v>24.08</v>
      </c>
      <c r="AK821" s="3">
        <f t="shared" si="25"/>
        <v>7.6499999999999986</v>
      </c>
    </row>
    <row r="822" spans="1:37">
      <c r="A822">
        <v>10314291</v>
      </c>
      <c r="B822" t="s">
        <v>37</v>
      </c>
      <c r="C822" t="s">
        <v>5676</v>
      </c>
      <c r="E822" t="s">
        <v>3869</v>
      </c>
      <c r="F822" t="s">
        <v>5677</v>
      </c>
      <c r="G822" t="s">
        <v>5678</v>
      </c>
      <c r="H822" t="s">
        <v>42</v>
      </c>
      <c r="I822" t="s">
        <v>5679</v>
      </c>
      <c r="J822" t="s">
        <v>5680</v>
      </c>
      <c r="K822">
        <v>44600</v>
      </c>
      <c r="L822" t="s">
        <v>130</v>
      </c>
      <c r="M822" t="s">
        <v>46</v>
      </c>
      <c r="N822" t="s">
        <v>47</v>
      </c>
      <c r="O822">
        <v>5</v>
      </c>
      <c r="P822">
        <v>1</v>
      </c>
      <c r="Q822">
        <v>5</v>
      </c>
      <c r="R822" t="s">
        <v>48</v>
      </c>
      <c r="S822" t="s">
        <v>49</v>
      </c>
      <c r="T822" s="3">
        <v>0.84</v>
      </c>
      <c r="U822" s="3">
        <v>0.23</v>
      </c>
      <c r="V822" s="3">
        <v>4.42</v>
      </c>
      <c r="W822">
        <v>2.5499999999999998</v>
      </c>
      <c r="X822" t="s">
        <v>50</v>
      </c>
      <c r="Y822" s="3">
        <v>14.9</v>
      </c>
      <c r="Z822" t="s">
        <v>73</v>
      </c>
      <c r="AA822" t="s">
        <v>245</v>
      </c>
      <c r="AB822" t="s">
        <v>53</v>
      </c>
      <c r="AC822" s="3">
        <v>1.29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f t="shared" si="24"/>
        <v>21.68</v>
      </c>
      <c r="AK822" s="3">
        <f t="shared" si="25"/>
        <v>6.7799999999999994</v>
      </c>
    </row>
    <row r="823" spans="1:37">
      <c r="A823">
        <v>10314021</v>
      </c>
      <c r="B823" t="s">
        <v>37</v>
      </c>
      <c r="C823" t="s">
        <v>5681</v>
      </c>
      <c r="E823" t="s">
        <v>5682</v>
      </c>
      <c r="F823" t="s">
        <v>5683</v>
      </c>
      <c r="G823" t="s">
        <v>5684</v>
      </c>
      <c r="H823" t="s">
        <v>42</v>
      </c>
      <c r="I823" t="s">
        <v>5685</v>
      </c>
      <c r="J823" t="s">
        <v>5686</v>
      </c>
      <c r="K823" t="s">
        <v>5687</v>
      </c>
      <c r="L823" t="s">
        <v>142</v>
      </c>
      <c r="M823" t="s">
        <v>46</v>
      </c>
      <c r="N823" t="s">
        <v>47</v>
      </c>
      <c r="O823">
        <v>4</v>
      </c>
      <c r="P823">
        <v>1</v>
      </c>
      <c r="Q823">
        <v>4</v>
      </c>
      <c r="R823" t="s">
        <v>48</v>
      </c>
      <c r="S823" t="s">
        <v>49</v>
      </c>
      <c r="T823" s="3">
        <v>0.84</v>
      </c>
      <c r="U823" s="3">
        <v>0.23</v>
      </c>
      <c r="V823" s="3">
        <v>3.55</v>
      </c>
      <c r="W823">
        <v>1.66</v>
      </c>
      <c r="X823" t="s">
        <v>50</v>
      </c>
      <c r="Y823" s="3">
        <v>16.43</v>
      </c>
      <c r="Z823" t="s">
        <v>73</v>
      </c>
      <c r="AA823" t="s">
        <v>2255</v>
      </c>
      <c r="AB823" t="s">
        <v>53</v>
      </c>
      <c r="AC823" s="3">
        <v>1.29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f t="shared" si="24"/>
        <v>22.34</v>
      </c>
      <c r="AK823" s="3">
        <f t="shared" si="25"/>
        <v>5.91</v>
      </c>
    </row>
    <row r="824" spans="1:37">
      <c r="A824">
        <v>10301098</v>
      </c>
      <c r="B824" t="s">
        <v>37</v>
      </c>
      <c r="C824" t="s">
        <v>5688</v>
      </c>
      <c r="D824" t="s">
        <v>5689</v>
      </c>
      <c r="E824" t="s">
        <v>5690</v>
      </c>
      <c r="F824" t="s">
        <v>5691</v>
      </c>
      <c r="G824" t="s">
        <v>5692</v>
      </c>
      <c r="H824" t="s">
        <v>42</v>
      </c>
      <c r="I824" t="s">
        <v>5693</v>
      </c>
      <c r="J824" t="s">
        <v>5694</v>
      </c>
      <c r="K824" t="s">
        <v>5695</v>
      </c>
      <c r="L824" t="s">
        <v>130</v>
      </c>
      <c r="M824" t="s">
        <v>46</v>
      </c>
      <c r="N824" t="s">
        <v>47</v>
      </c>
      <c r="O824">
        <v>80</v>
      </c>
      <c r="P824">
        <v>2</v>
      </c>
      <c r="Q824">
        <v>80</v>
      </c>
      <c r="R824" t="s">
        <v>48</v>
      </c>
      <c r="S824" t="s">
        <v>49</v>
      </c>
      <c r="T824" s="3">
        <v>7</v>
      </c>
      <c r="U824" s="3">
        <v>0.23</v>
      </c>
      <c r="V824" s="3">
        <v>67.55</v>
      </c>
      <c r="W824">
        <v>31.4</v>
      </c>
      <c r="X824" t="s">
        <v>50</v>
      </c>
      <c r="Y824" s="3">
        <v>32.69</v>
      </c>
      <c r="Z824" t="s">
        <v>744</v>
      </c>
      <c r="AA824" t="s">
        <v>2255</v>
      </c>
      <c r="AB824" t="s">
        <v>53</v>
      </c>
      <c r="AC824" s="3">
        <v>3.74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f t="shared" si="24"/>
        <v>111.21</v>
      </c>
      <c r="AK824" s="3">
        <f t="shared" si="25"/>
        <v>78.52</v>
      </c>
    </row>
    <row r="825" spans="1:37">
      <c r="A825">
        <v>10316194</v>
      </c>
      <c r="B825" t="s">
        <v>37</v>
      </c>
      <c r="C825" t="s">
        <v>5696</v>
      </c>
      <c r="E825" t="s">
        <v>215</v>
      </c>
      <c r="F825" t="s">
        <v>5697</v>
      </c>
      <c r="G825" t="s">
        <v>5698</v>
      </c>
      <c r="H825" t="s">
        <v>42</v>
      </c>
      <c r="I825" t="s">
        <v>5699</v>
      </c>
      <c r="J825" t="s">
        <v>5700</v>
      </c>
      <c r="K825" t="s">
        <v>5701</v>
      </c>
      <c r="L825" t="s">
        <v>142</v>
      </c>
      <c r="M825" t="s">
        <v>46</v>
      </c>
      <c r="N825" t="s">
        <v>47</v>
      </c>
      <c r="O825">
        <v>4</v>
      </c>
      <c r="P825">
        <v>1</v>
      </c>
      <c r="Q825">
        <v>4</v>
      </c>
      <c r="R825" t="s">
        <v>48</v>
      </c>
      <c r="S825" t="s">
        <v>49</v>
      </c>
      <c r="T825" s="3">
        <v>0.84</v>
      </c>
      <c r="U825" s="3">
        <v>0.23</v>
      </c>
      <c r="V825" s="3">
        <v>3.55</v>
      </c>
      <c r="W825">
        <v>2.06</v>
      </c>
      <c r="X825" t="s">
        <v>50</v>
      </c>
      <c r="Y825" s="3">
        <v>16.43</v>
      </c>
      <c r="Z825" t="s">
        <v>83</v>
      </c>
      <c r="AA825" t="s">
        <v>1694</v>
      </c>
      <c r="AB825" t="s">
        <v>53</v>
      </c>
      <c r="AC825" s="3">
        <v>1.27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f t="shared" si="24"/>
        <v>22.32</v>
      </c>
      <c r="AK825" s="3">
        <f t="shared" si="25"/>
        <v>5.8900000000000006</v>
      </c>
    </row>
    <row r="826" spans="1:37">
      <c r="A826">
        <v>10295590</v>
      </c>
      <c r="B826" t="s">
        <v>111</v>
      </c>
      <c r="C826" t="s">
        <v>5702</v>
      </c>
      <c r="D826" t="s">
        <v>5703</v>
      </c>
      <c r="E826" t="s">
        <v>5704</v>
      </c>
      <c r="F826" t="s">
        <v>5705</v>
      </c>
      <c r="G826" t="s">
        <v>5706</v>
      </c>
      <c r="H826" t="s">
        <v>117</v>
      </c>
      <c r="I826" t="s">
        <v>5707</v>
      </c>
      <c r="J826" t="s">
        <v>5708</v>
      </c>
      <c r="K826">
        <v>17450</v>
      </c>
      <c r="L826" t="s">
        <v>130</v>
      </c>
      <c r="M826" t="s">
        <v>46</v>
      </c>
      <c r="N826" t="s">
        <v>47</v>
      </c>
      <c r="O826">
        <v>44</v>
      </c>
      <c r="P826">
        <v>2</v>
      </c>
      <c r="Q826">
        <v>44</v>
      </c>
      <c r="R826" t="s">
        <v>48</v>
      </c>
      <c r="S826" t="s">
        <v>49</v>
      </c>
      <c r="T826" s="3">
        <v>7</v>
      </c>
      <c r="U826" s="3">
        <v>0.23</v>
      </c>
      <c r="V826" s="3">
        <v>44.69</v>
      </c>
      <c r="W826">
        <v>26</v>
      </c>
      <c r="X826" t="s">
        <v>131</v>
      </c>
      <c r="Y826" s="3">
        <v>28.16</v>
      </c>
      <c r="Z826" t="s">
        <v>744</v>
      </c>
      <c r="AA826" t="s">
        <v>5709</v>
      </c>
      <c r="AB826" t="s">
        <v>53</v>
      </c>
      <c r="AC826" s="3">
        <v>3.74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f t="shared" si="24"/>
        <v>83.820000000000007</v>
      </c>
      <c r="AK826" s="3">
        <f t="shared" si="25"/>
        <v>55.660000000000011</v>
      </c>
    </row>
    <row r="827" spans="1:37">
      <c r="A827">
        <v>10291613</v>
      </c>
      <c r="B827" t="s">
        <v>111</v>
      </c>
      <c r="C827" t="s">
        <v>5710</v>
      </c>
      <c r="D827" t="s">
        <v>5711</v>
      </c>
      <c r="E827" t="s">
        <v>4437</v>
      </c>
      <c r="F827" t="s">
        <v>194</v>
      </c>
      <c r="G827" t="s">
        <v>5712</v>
      </c>
      <c r="H827" t="s">
        <v>117</v>
      </c>
      <c r="I827" t="s">
        <v>5713</v>
      </c>
      <c r="J827" t="s">
        <v>5714</v>
      </c>
      <c r="K827">
        <v>33130</v>
      </c>
      <c r="L827" t="s">
        <v>130</v>
      </c>
      <c r="M827" t="s">
        <v>46</v>
      </c>
      <c r="N827" t="s">
        <v>47</v>
      </c>
      <c r="O827">
        <v>96</v>
      </c>
      <c r="P827">
        <v>2</v>
      </c>
      <c r="Q827">
        <v>96</v>
      </c>
      <c r="R827" t="s">
        <v>48</v>
      </c>
      <c r="S827" t="s">
        <v>49</v>
      </c>
      <c r="T827" s="3">
        <v>7</v>
      </c>
      <c r="U827" s="3">
        <v>0.23</v>
      </c>
      <c r="V827" s="3">
        <v>76.989999999999995</v>
      </c>
      <c r="W827">
        <v>28</v>
      </c>
      <c r="X827" t="s">
        <v>131</v>
      </c>
      <c r="Y827" s="3">
        <v>32.47</v>
      </c>
      <c r="Z827" t="s">
        <v>744</v>
      </c>
      <c r="AA827" t="s">
        <v>5715</v>
      </c>
      <c r="AB827" t="s">
        <v>53</v>
      </c>
      <c r="AC827" s="3">
        <v>3.74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f t="shared" si="24"/>
        <v>120.42999999999999</v>
      </c>
      <c r="AK827" s="3">
        <f t="shared" si="25"/>
        <v>87.96</v>
      </c>
    </row>
    <row r="828" spans="1:37">
      <c r="A828">
        <v>10299137</v>
      </c>
      <c r="B828" t="s">
        <v>111</v>
      </c>
      <c r="C828" t="s">
        <v>5716</v>
      </c>
      <c r="D828" t="s">
        <v>5717</v>
      </c>
      <c r="E828" t="s">
        <v>1149</v>
      </c>
      <c r="F828" t="s">
        <v>1150</v>
      </c>
      <c r="G828" t="s">
        <v>5718</v>
      </c>
      <c r="H828" t="s">
        <v>117</v>
      </c>
      <c r="I828" t="s">
        <v>5719</v>
      </c>
      <c r="J828" t="s">
        <v>5720</v>
      </c>
      <c r="K828">
        <v>92200</v>
      </c>
      <c r="L828" t="s">
        <v>130</v>
      </c>
      <c r="M828" t="s">
        <v>46</v>
      </c>
      <c r="N828" t="s">
        <v>47</v>
      </c>
      <c r="O828">
        <v>66</v>
      </c>
      <c r="P828">
        <v>2</v>
      </c>
      <c r="Q828">
        <v>66</v>
      </c>
      <c r="R828" t="s">
        <v>48</v>
      </c>
      <c r="S828" t="s">
        <v>49</v>
      </c>
      <c r="T828" s="3">
        <v>7</v>
      </c>
      <c r="U828" s="3">
        <v>0.23</v>
      </c>
      <c r="V828" s="3">
        <v>59.29</v>
      </c>
      <c r="W828">
        <v>34</v>
      </c>
      <c r="X828" t="s">
        <v>131</v>
      </c>
      <c r="Y828" s="3">
        <v>28.16</v>
      </c>
      <c r="Z828" t="s">
        <v>744</v>
      </c>
      <c r="AA828" t="s">
        <v>1155</v>
      </c>
      <c r="AB828" t="s">
        <v>53</v>
      </c>
      <c r="AC828" s="3">
        <v>3.74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f t="shared" si="24"/>
        <v>98.42</v>
      </c>
      <c r="AK828" s="3">
        <f t="shared" si="25"/>
        <v>70.260000000000005</v>
      </c>
    </row>
    <row r="829" spans="1:37">
      <c r="A829">
        <v>10300526</v>
      </c>
      <c r="B829" t="s">
        <v>111</v>
      </c>
      <c r="C829" t="s">
        <v>5721</v>
      </c>
      <c r="D829" t="s">
        <v>5722</v>
      </c>
      <c r="E829" t="s">
        <v>5723</v>
      </c>
      <c r="F829" t="s">
        <v>5724</v>
      </c>
      <c r="G829" t="s">
        <v>5725</v>
      </c>
      <c r="H829" t="s">
        <v>117</v>
      </c>
      <c r="I829" t="s">
        <v>5726</v>
      </c>
      <c r="J829" t="s">
        <v>5727</v>
      </c>
      <c r="K829">
        <v>83000</v>
      </c>
      <c r="L829" t="s">
        <v>130</v>
      </c>
      <c r="M829" t="s">
        <v>46</v>
      </c>
      <c r="N829" t="s">
        <v>47</v>
      </c>
      <c r="O829">
        <v>54</v>
      </c>
      <c r="P829">
        <v>2</v>
      </c>
      <c r="Q829">
        <v>54</v>
      </c>
      <c r="R829" t="s">
        <v>48</v>
      </c>
      <c r="S829" t="s">
        <v>49</v>
      </c>
      <c r="T829" s="3">
        <v>7</v>
      </c>
      <c r="U829" s="3">
        <v>0.23</v>
      </c>
      <c r="V829" s="3">
        <v>52.21</v>
      </c>
      <c r="W829">
        <v>22</v>
      </c>
      <c r="X829" t="s">
        <v>131</v>
      </c>
      <c r="Y829" s="3">
        <v>29.81</v>
      </c>
      <c r="Z829" t="s">
        <v>744</v>
      </c>
      <c r="AA829" t="s">
        <v>5728</v>
      </c>
      <c r="AB829" t="s">
        <v>53</v>
      </c>
      <c r="AC829" s="3">
        <v>3.74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f t="shared" si="24"/>
        <v>92.99</v>
      </c>
      <c r="AK829" s="3">
        <f t="shared" si="25"/>
        <v>63.179999999999993</v>
      </c>
    </row>
    <row r="830" spans="1:37">
      <c r="A830">
        <v>10291363</v>
      </c>
      <c r="B830" t="s">
        <v>111</v>
      </c>
      <c r="C830" t="s">
        <v>5729</v>
      </c>
      <c r="E830" t="s">
        <v>2417</v>
      </c>
      <c r="F830" t="s">
        <v>5730</v>
      </c>
      <c r="G830" t="s">
        <v>5731</v>
      </c>
      <c r="H830" t="s">
        <v>117</v>
      </c>
      <c r="I830" t="s">
        <v>5732</v>
      </c>
      <c r="J830" t="s">
        <v>5733</v>
      </c>
      <c r="K830" t="s">
        <v>5734</v>
      </c>
      <c r="L830" t="s">
        <v>130</v>
      </c>
      <c r="M830" t="s">
        <v>46</v>
      </c>
      <c r="N830" t="s">
        <v>47</v>
      </c>
      <c r="O830">
        <v>135</v>
      </c>
      <c r="P830">
        <v>4</v>
      </c>
      <c r="Q830">
        <v>135</v>
      </c>
      <c r="R830" t="s">
        <v>48</v>
      </c>
      <c r="S830" t="s">
        <v>49</v>
      </c>
      <c r="T830" s="3">
        <v>7</v>
      </c>
      <c r="U830" s="3">
        <v>0.23</v>
      </c>
      <c r="V830" s="3">
        <v>91.95</v>
      </c>
      <c r="W830">
        <v>62</v>
      </c>
      <c r="X830" t="s">
        <v>131</v>
      </c>
      <c r="Y830" s="3">
        <v>64.930000000000007</v>
      </c>
      <c r="Z830" t="s">
        <v>5735</v>
      </c>
      <c r="AA830" t="s">
        <v>5736</v>
      </c>
      <c r="AB830" t="s">
        <v>53</v>
      </c>
      <c r="AC830" s="3">
        <v>7.48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f t="shared" si="24"/>
        <v>171.59</v>
      </c>
      <c r="AK830" s="3">
        <f t="shared" si="25"/>
        <v>106.66</v>
      </c>
    </row>
    <row r="831" spans="1:37">
      <c r="A831">
        <v>10284117</v>
      </c>
      <c r="B831" t="s">
        <v>111</v>
      </c>
      <c r="C831" t="s">
        <v>5737</v>
      </c>
      <c r="D831" t="s">
        <v>1148</v>
      </c>
      <c r="E831" t="s">
        <v>1149</v>
      </c>
      <c r="F831" t="s">
        <v>1150</v>
      </c>
      <c r="G831" t="s">
        <v>5738</v>
      </c>
      <c r="H831" t="s">
        <v>117</v>
      </c>
      <c r="I831" t="s">
        <v>5739</v>
      </c>
      <c r="J831" t="s">
        <v>1153</v>
      </c>
      <c r="K831" t="s">
        <v>1154</v>
      </c>
      <c r="L831" t="s">
        <v>130</v>
      </c>
      <c r="M831" t="s">
        <v>46</v>
      </c>
      <c r="N831" t="s">
        <v>47</v>
      </c>
      <c r="O831">
        <v>235</v>
      </c>
      <c r="P831">
        <v>6</v>
      </c>
      <c r="Q831">
        <v>235</v>
      </c>
      <c r="R831" t="s">
        <v>48</v>
      </c>
      <c r="S831" t="s">
        <v>49</v>
      </c>
      <c r="T831" s="3">
        <v>7</v>
      </c>
      <c r="U831" s="3">
        <v>0.23</v>
      </c>
      <c r="V831" s="3">
        <v>127.95</v>
      </c>
      <c r="W831">
        <v>84</v>
      </c>
      <c r="X831" t="s">
        <v>131</v>
      </c>
      <c r="Y831" s="3">
        <v>93.05</v>
      </c>
      <c r="Z831" t="s">
        <v>3057</v>
      </c>
      <c r="AA831" t="s">
        <v>5740</v>
      </c>
      <c r="AB831" t="s">
        <v>53</v>
      </c>
      <c r="AC831" s="3">
        <v>11.22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f t="shared" si="24"/>
        <v>239.45</v>
      </c>
      <c r="AK831" s="3">
        <f t="shared" si="25"/>
        <v>146.39999999999998</v>
      </c>
    </row>
    <row r="832" spans="1:37">
      <c r="A832">
        <v>10316444</v>
      </c>
      <c r="B832" t="s">
        <v>37</v>
      </c>
      <c r="C832" t="s">
        <v>5741</v>
      </c>
      <c r="E832" t="s">
        <v>5742</v>
      </c>
      <c r="F832" t="s">
        <v>5743</v>
      </c>
      <c r="G832" t="s">
        <v>5744</v>
      </c>
      <c r="H832" t="s">
        <v>42</v>
      </c>
      <c r="I832" t="s">
        <v>5745</v>
      </c>
      <c r="J832" t="s">
        <v>5746</v>
      </c>
      <c r="K832" t="s">
        <v>5747</v>
      </c>
      <c r="L832" t="s">
        <v>142</v>
      </c>
      <c r="M832" t="s">
        <v>46</v>
      </c>
      <c r="N832" t="s">
        <v>47</v>
      </c>
      <c r="O832">
        <v>6</v>
      </c>
      <c r="P832">
        <v>1</v>
      </c>
      <c r="Q832">
        <v>6</v>
      </c>
      <c r="R832" t="s">
        <v>48</v>
      </c>
      <c r="S832" t="s">
        <v>49</v>
      </c>
      <c r="T832" s="3">
        <v>0.84</v>
      </c>
      <c r="U832" s="3">
        <v>0.23</v>
      </c>
      <c r="V832" s="3">
        <v>5.29</v>
      </c>
      <c r="W832">
        <v>3</v>
      </c>
      <c r="X832" t="s">
        <v>50</v>
      </c>
      <c r="Y832" s="3">
        <v>16.43</v>
      </c>
      <c r="Z832" t="s">
        <v>83</v>
      </c>
      <c r="AA832" t="s">
        <v>5748</v>
      </c>
      <c r="AB832" t="s">
        <v>53</v>
      </c>
      <c r="AC832" s="3">
        <v>1.27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f t="shared" si="24"/>
        <v>24.06</v>
      </c>
      <c r="AK832" s="3">
        <f t="shared" si="25"/>
        <v>7.629999999999999</v>
      </c>
    </row>
    <row r="833" spans="1:37">
      <c r="A833">
        <v>10316442</v>
      </c>
      <c r="B833" t="s">
        <v>37</v>
      </c>
      <c r="C833" t="s">
        <v>5749</v>
      </c>
      <c r="E833" t="s">
        <v>2484</v>
      </c>
      <c r="F833" t="s">
        <v>3882</v>
      </c>
      <c r="G833" t="s">
        <v>5750</v>
      </c>
      <c r="H833" t="s">
        <v>42</v>
      </c>
      <c r="I833" t="s">
        <v>5751</v>
      </c>
      <c r="J833" t="s">
        <v>5752</v>
      </c>
      <c r="K833" t="s">
        <v>5753</v>
      </c>
      <c r="L833" t="s">
        <v>142</v>
      </c>
      <c r="M833" t="s">
        <v>46</v>
      </c>
      <c r="N833" t="s">
        <v>47</v>
      </c>
      <c r="O833">
        <v>6</v>
      </c>
      <c r="P833">
        <v>1</v>
      </c>
      <c r="Q833">
        <v>6</v>
      </c>
      <c r="R833" t="s">
        <v>48</v>
      </c>
      <c r="S833" t="s">
        <v>49</v>
      </c>
      <c r="T833" s="3">
        <v>0.84</v>
      </c>
      <c r="U833" s="3">
        <v>0.23</v>
      </c>
      <c r="V833" s="3">
        <v>5.29</v>
      </c>
      <c r="W833">
        <v>2.44</v>
      </c>
      <c r="X833" t="s">
        <v>50</v>
      </c>
      <c r="Y833" s="3">
        <v>17.809999999999999</v>
      </c>
      <c r="Z833" t="s">
        <v>73</v>
      </c>
      <c r="AA833" t="s">
        <v>4460</v>
      </c>
      <c r="AB833" t="s">
        <v>53</v>
      </c>
      <c r="AC833" s="3">
        <v>1.29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f t="shared" si="24"/>
        <v>25.459999999999997</v>
      </c>
      <c r="AK833" s="3">
        <f t="shared" si="25"/>
        <v>7.6499999999999986</v>
      </c>
    </row>
    <row r="834" spans="1:37">
      <c r="A834">
        <v>10316704</v>
      </c>
      <c r="B834" t="s">
        <v>37</v>
      </c>
      <c r="C834" t="s">
        <v>5754</v>
      </c>
      <c r="E834" t="s">
        <v>664</v>
      </c>
      <c r="F834" t="s">
        <v>5755</v>
      </c>
      <c r="G834" t="s">
        <v>5756</v>
      </c>
      <c r="H834" t="s">
        <v>42</v>
      </c>
      <c r="I834" t="s">
        <v>5757</v>
      </c>
      <c r="J834" t="s">
        <v>5758</v>
      </c>
      <c r="K834" t="s">
        <v>5759</v>
      </c>
      <c r="L834" t="s">
        <v>142</v>
      </c>
      <c r="M834" t="s">
        <v>46</v>
      </c>
      <c r="N834" t="s">
        <v>47</v>
      </c>
      <c r="O834">
        <v>4</v>
      </c>
      <c r="P834">
        <v>1</v>
      </c>
      <c r="Q834">
        <v>4</v>
      </c>
      <c r="R834" t="s">
        <v>48</v>
      </c>
      <c r="S834" t="s">
        <v>49</v>
      </c>
      <c r="T834" s="3">
        <v>0.84</v>
      </c>
      <c r="U834" s="3">
        <v>0.23</v>
      </c>
      <c r="V834" s="3">
        <v>3.55</v>
      </c>
      <c r="W834">
        <v>1.66</v>
      </c>
      <c r="X834" t="s">
        <v>50</v>
      </c>
      <c r="Y834" s="3">
        <v>16.43</v>
      </c>
      <c r="Z834" t="s">
        <v>73</v>
      </c>
      <c r="AA834" t="s">
        <v>429</v>
      </c>
      <c r="AB834" t="s">
        <v>53</v>
      </c>
      <c r="AC834" s="3">
        <v>1.29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f t="shared" ref="AJ834:AJ897" si="26">AI834+AH834+AG834+AF834+AE834+AD834+AC834+Y834+V834+U834+T834</f>
        <v>22.34</v>
      </c>
      <c r="AK834" s="3">
        <f t="shared" ref="AK834:AK897" si="27">AJ834-Y834</f>
        <v>5.91</v>
      </c>
    </row>
    <row r="835" spans="1:37">
      <c r="A835">
        <v>10316702</v>
      </c>
      <c r="B835" t="s">
        <v>37</v>
      </c>
      <c r="C835" t="s">
        <v>5760</v>
      </c>
      <c r="E835" t="s">
        <v>5761</v>
      </c>
      <c r="F835" t="s">
        <v>5762</v>
      </c>
      <c r="G835" t="s">
        <v>5763</v>
      </c>
      <c r="H835" t="s">
        <v>42</v>
      </c>
      <c r="I835" t="s">
        <v>5764</v>
      </c>
      <c r="J835" t="s">
        <v>5765</v>
      </c>
      <c r="K835">
        <v>80639</v>
      </c>
      <c r="L835" t="s">
        <v>71</v>
      </c>
      <c r="M835" t="s">
        <v>46</v>
      </c>
      <c r="N835" t="s">
        <v>47</v>
      </c>
      <c r="O835">
        <v>1</v>
      </c>
      <c r="P835">
        <v>1</v>
      </c>
      <c r="Q835">
        <v>1</v>
      </c>
      <c r="R835" t="s">
        <v>48</v>
      </c>
      <c r="S835" t="s">
        <v>49</v>
      </c>
      <c r="T835" s="3">
        <v>0.84</v>
      </c>
      <c r="U835" s="3">
        <v>0.23</v>
      </c>
      <c r="V835" s="3">
        <v>0.94</v>
      </c>
      <c r="W835">
        <v>0.59</v>
      </c>
      <c r="X835" t="s">
        <v>108</v>
      </c>
      <c r="Y835" s="3">
        <v>5.13</v>
      </c>
      <c r="Z835" t="s">
        <v>109</v>
      </c>
      <c r="AA835" t="s">
        <v>184</v>
      </c>
      <c r="AB835" t="s">
        <v>53</v>
      </c>
      <c r="AC835" s="3">
        <v>1.06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f t="shared" si="26"/>
        <v>8.1999999999999993</v>
      </c>
      <c r="AK835" s="3">
        <f t="shared" si="27"/>
        <v>3.0699999999999994</v>
      </c>
    </row>
    <row r="836" spans="1:37">
      <c r="A836">
        <v>10301383</v>
      </c>
      <c r="B836" t="s">
        <v>37</v>
      </c>
      <c r="C836" t="s">
        <v>5766</v>
      </c>
      <c r="E836" t="s">
        <v>5767</v>
      </c>
      <c r="F836" t="s">
        <v>3724</v>
      </c>
      <c r="G836" t="s">
        <v>5768</v>
      </c>
      <c r="H836" t="s">
        <v>42</v>
      </c>
      <c r="I836" t="s">
        <v>5769</v>
      </c>
      <c r="J836" t="s">
        <v>5770</v>
      </c>
      <c r="K836" t="s">
        <v>5771</v>
      </c>
      <c r="L836" t="s">
        <v>142</v>
      </c>
      <c r="M836" t="s">
        <v>46</v>
      </c>
      <c r="N836" t="s">
        <v>47</v>
      </c>
      <c r="O836">
        <v>4</v>
      </c>
      <c r="P836">
        <v>1</v>
      </c>
      <c r="Q836">
        <v>4</v>
      </c>
      <c r="R836" t="s">
        <v>48</v>
      </c>
      <c r="S836" t="s">
        <v>49</v>
      </c>
      <c r="T836" s="3">
        <v>0.84</v>
      </c>
      <c r="U836" s="3">
        <v>0.23</v>
      </c>
      <c r="V836" s="3">
        <v>3.55</v>
      </c>
      <c r="W836">
        <v>1.41</v>
      </c>
      <c r="X836" t="s">
        <v>50</v>
      </c>
      <c r="Y836" s="3">
        <v>16.43</v>
      </c>
      <c r="Z836" t="s">
        <v>73</v>
      </c>
      <c r="AA836" t="s">
        <v>5772</v>
      </c>
      <c r="AB836" t="s">
        <v>53</v>
      </c>
      <c r="AC836" s="3">
        <v>1.29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f t="shared" si="26"/>
        <v>22.34</v>
      </c>
      <c r="AK836" s="3">
        <f t="shared" si="27"/>
        <v>5.91</v>
      </c>
    </row>
    <row r="837" spans="1:37">
      <c r="A837">
        <v>10319465</v>
      </c>
      <c r="B837" t="s">
        <v>37</v>
      </c>
      <c r="C837" t="s">
        <v>5773</v>
      </c>
      <c r="E837" t="s">
        <v>5774</v>
      </c>
      <c r="F837" t="s">
        <v>4398</v>
      </c>
      <c r="G837" t="s">
        <v>5775</v>
      </c>
      <c r="H837" t="s">
        <v>42</v>
      </c>
      <c r="I837" t="s">
        <v>5776</v>
      </c>
      <c r="J837" t="s">
        <v>5777</v>
      </c>
      <c r="K837" t="s">
        <v>5778</v>
      </c>
      <c r="L837" t="s">
        <v>142</v>
      </c>
      <c r="M837" t="s">
        <v>46</v>
      </c>
      <c r="N837" t="s">
        <v>47</v>
      </c>
      <c r="O837">
        <v>4</v>
      </c>
      <c r="P837">
        <v>1</v>
      </c>
      <c r="Q837">
        <v>4</v>
      </c>
      <c r="R837" t="s">
        <v>48</v>
      </c>
      <c r="S837" t="s">
        <v>49</v>
      </c>
      <c r="T837" s="3">
        <v>0.84</v>
      </c>
      <c r="U837" s="3">
        <v>0.23</v>
      </c>
      <c r="V837" s="3">
        <v>3.55</v>
      </c>
      <c r="W837">
        <v>2.06</v>
      </c>
      <c r="X837" t="s">
        <v>50</v>
      </c>
      <c r="Y837" s="3">
        <v>17.809999999999999</v>
      </c>
      <c r="Z837" t="s">
        <v>73</v>
      </c>
      <c r="AA837" t="s">
        <v>327</v>
      </c>
      <c r="AB837" t="s">
        <v>53</v>
      </c>
      <c r="AC837" s="3">
        <v>1.29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f t="shared" si="26"/>
        <v>23.72</v>
      </c>
      <c r="AK837" s="3">
        <f t="shared" si="27"/>
        <v>5.91</v>
      </c>
    </row>
    <row r="838" spans="1:37">
      <c r="A838">
        <v>10319693</v>
      </c>
      <c r="B838" t="s">
        <v>37</v>
      </c>
      <c r="C838" t="s">
        <v>5779</v>
      </c>
      <c r="E838" t="s">
        <v>1527</v>
      </c>
      <c r="F838" t="s">
        <v>5780</v>
      </c>
      <c r="G838" t="s">
        <v>5781</v>
      </c>
      <c r="H838" t="s">
        <v>42</v>
      </c>
      <c r="I838" t="s">
        <v>5782</v>
      </c>
      <c r="J838" t="s">
        <v>5783</v>
      </c>
      <c r="K838" t="s">
        <v>5784</v>
      </c>
      <c r="L838" t="s">
        <v>142</v>
      </c>
      <c r="M838" t="s">
        <v>46</v>
      </c>
      <c r="N838" t="s">
        <v>47</v>
      </c>
      <c r="O838">
        <v>3</v>
      </c>
      <c r="P838">
        <v>1</v>
      </c>
      <c r="Q838">
        <v>3</v>
      </c>
      <c r="R838" t="s">
        <v>48</v>
      </c>
      <c r="S838" t="s">
        <v>49</v>
      </c>
      <c r="T838" s="3">
        <v>0.84</v>
      </c>
      <c r="U838" s="3">
        <v>0.23</v>
      </c>
      <c r="V838" s="3">
        <v>2.68</v>
      </c>
      <c r="W838">
        <v>1.18</v>
      </c>
      <c r="X838" t="s">
        <v>50</v>
      </c>
      <c r="Y838" s="3">
        <v>17.809999999999999</v>
      </c>
      <c r="Z838" t="s">
        <v>109</v>
      </c>
      <c r="AA838" t="s">
        <v>5785</v>
      </c>
      <c r="AB838" t="s">
        <v>53</v>
      </c>
      <c r="AC838" s="3">
        <v>1.06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f t="shared" si="26"/>
        <v>22.619999999999997</v>
      </c>
      <c r="AK838" s="3">
        <f t="shared" si="27"/>
        <v>4.8099999999999987</v>
      </c>
    </row>
    <row r="839" spans="1:37">
      <c r="A839">
        <v>10319462</v>
      </c>
      <c r="B839" t="s">
        <v>37</v>
      </c>
      <c r="C839" t="s">
        <v>5786</v>
      </c>
      <c r="E839" t="s">
        <v>5787</v>
      </c>
      <c r="F839" t="s">
        <v>5788</v>
      </c>
      <c r="G839" t="s">
        <v>5789</v>
      </c>
      <c r="H839" t="s">
        <v>42</v>
      </c>
      <c r="I839" t="s">
        <v>5790</v>
      </c>
      <c r="J839" t="s">
        <v>5791</v>
      </c>
      <c r="K839">
        <v>66706</v>
      </c>
      <c r="L839" t="s">
        <v>71</v>
      </c>
      <c r="M839" t="s">
        <v>46</v>
      </c>
      <c r="N839" t="s">
        <v>47</v>
      </c>
      <c r="O839">
        <v>2</v>
      </c>
      <c r="P839">
        <v>1</v>
      </c>
      <c r="Q839">
        <v>2</v>
      </c>
      <c r="R839" t="s">
        <v>48</v>
      </c>
      <c r="S839" t="s">
        <v>49</v>
      </c>
      <c r="T839" s="3">
        <v>0.84</v>
      </c>
      <c r="U839" s="3">
        <v>0.23</v>
      </c>
      <c r="V839" s="3">
        <v>1.81</v>
      </c>
      <c r="W839">
        <v>1.08</v>
      </c>
      <c r="X839" t="s">
        <v>108</v>
      </c>
      <c r="Y839" s="3">
        <v>13.45</v>
      </c>
      <c r="Z839" t="s">
        <v>109</v>
      </c>
      <c r="AA839" t="s">
        <v>1835</v>
      </c>
      <c r="AB839" t="s">
        <v>53</v>
      </c>
      <c r="AC839" s="3">
        <v>1.06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f t="shared" si="26"/>
        <v>17.39</v>
      </c>
      <c r="AK839" s="3">
        <f t="shared" si="27"/>
        <v>3.9400000000000013</v>
      </c>
    </row>
    <row r="840" spans="1:37">
      <c r="A840">
        <v>10318200</v>
      </c>
      <c r="B840" t="s">
        <v>37</v>
      </c>
      <c r="C840" t="s">
        <v>5792</v>
      </c>
      <c r="E840" t="s">
        <v>3946</v>
      </c>
      <c r="F840" t="s">
        <v>5793</v>
      </c>
      <c r="G840" t="s">
        <v>5794</v>
      </c>
      <c r="H840" t="s">
        <v>42</v>
      </c>
      <c r="I840" t="s">
        <v>5795</v>
      </c>
      <c r="J840" t="s">
        <v>5796</v>
      </c>
      <c r="K840">
        <v>22083</v>
      </c>
      <c r="L840" t="s">
        <v>71</v>
      </c>
      <c r="M840" t="s">
        <v>46</v>
      </c>
      <c r="N840" t="s">
        <v>47</v>
      </c>
      <c r="O840">
        <v>2</v>
      </c>
      <c r="P840">
        <v>1</v>
      </c>
      <c r="Q840">
        <v>2</v>
      </c>
      <c r="R840" t="s">
        <v>48</v>
      </c>
      <c r="S840" t="s">
        <v>49</v>
      </c>
      <c r="T840" s="3">
        <v>0.84</v>
      </c>
      <c r="U840" s="3">
        <v>0.23</v>
      </c>
      <c r="V840" s="3">
        <v>1.81</v>
      </c>
      <c r="W840">
        <v>1.6</v>
      </c>
      <c r="X840" t="s">
        <v>72</v>
      </c>
      <c r="Y840" s="3">
        <v>5.43</v>
      </c>
      <c r="Z840" t="s">
        <v>73</v>
      </c>
      <c r="AA840" t="s">
        <v>5797</v>
      </c>
      <c r="AB840" t="s">
        <v>53</v>
      </c>
      <c r="AC840" s="3">
        <v>1.29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f t="shared" si="26"/>
        <v>9.6</v>
      </c>
      <c r="AK840" s="3">
        <f t="shared" si="27"/>
        <v>4.17</v>
      </c>
    </row>
    <row r="841" spans="1:37">
      <c r="A841">
        <v>10314287</v>
      </c>
      <c r="B841" t="s">
        <v>37</v>
      </c>
      <c r="C841" t="s">
        <v>5798</v>
      </c>
      <c r="E841" t="s">
        <v>1593</v>
      </c>
      <c r="F841" t="s">
        <v>5799</v>
      </c>
      <c r="G841" t="s">
        <v>5800</v>
      </c>
      <c r="H841" t="s">
        <v>42</v>
      </c>
      <c r="I841" t="s">
        <v>5801</v>
      </c>
      <c r="J841" t="s">
        <v>5802</v>
      </c>
      <c r="K841">
        <v>60320</v>
      </c>
      <c r="L841" t="s">
        <v>71</v>
      </c>
      <c r="M841" t="s">
        <v>46</v>
      </c>
      <c r="N841" t="s">
        <v>47</v>
      </c>
      <c r="O841">
        <v>2</v>
      </c>
      <c r="P841">
        <v>1</v>
      </c>
      <c r="Q841">
        <v>2</v>
      </c>
      <c r="R841" t="s">
        <v>48</v>
      </c>
      <c r="S841" t="s">
        <v>49</v>
      </c>
      <c r="T841" s="3">
        <v>0.84</v>
      </c>
      <c r="U841" s="3">
        <v>0.23</v>
      </c>
      <c r="V841" s="3">
        <v>1.81</v>
      </c>
      <c r="W841">
        <v>1.26</v>
      </c>
      <c r="X841" t="s">
        <v>108</v>
      </c>
      <c r="Y841" s="3">
        <v>5.41</v>
      </c>
      <c r="Z841" t="s">
        <v>109</v>
      </c>
      <c r="AA841" t="s">
        <v>5803</v>
      </c>
      <c r="AB841" t="s">
        <v>53</v>
      </c>
      <c r="AC841" s="3">
        <v>1.06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f t="shared" si="26"/>
        <v>9.3500000000000014</v>
      </c>
      <c r="AK841" s="3">
        <f t="shared" si="27"/>
        <v>3.9400000000000013</v>
      </c>
    </row>
    <row r="842" spans="1:37">
      <c r="A842">
        <v>10319164</v>
      </c>
      <c r="B842" t="s">
        <v>37</v>
      </c>
      <c r="C842" t="s">
        <v>5804</v>
      </c>
      <c r="E842" t="s">
        <v>5805</v>
      </c>
      <c r="F842" t="s">
        <v>5806</v>
      </c>
      <c r="G842" t="s">
        <v>5807</v>
      </c>
      <c r="H842" t="s">
        <v>42</v>
      </c>
      <c r="I842" t="s">
        <v>5808</v>
      </c>
      <c r="J842" t="s">
        <v>5809</v>
      </c>
      <c r="K842" t="s">
        <v>5810</v>
      </c>
      <c r="L842" t="s">
        <v>142</v>
      </c>
      <c r="M842" t="s">
        <v>46</v>
      </c>
      <c r="N842" t="s">
        <v>47</v>
      </c>
      <c r="O842">
        <v>2</v>
      </c>
      <c r="P842">
        <v>1</v>
      </c>
      <c r="Q842">
        <v>2</v>
      </c>
      <c r="R842" t="s">
        <v>48</v>
      </c>
      <c r="S842" t="s">
        <v>49</v>
      </c>
      <c r="T842" s="3">
        <v>0.84</v>
      </c>
      <c r="U842" s="3">
        <v>0.23</v>
      </c>
      <c r="V842" s="3">
        <v>1.81</v>
      </c>
      <c r="W842">
        <v>0.64</v>
      </c>
      <c r="X842" t="s">
        <v>50</v>
      </c>
      <c r="Y842" s="3">
        <v>17.809999999999999</v>
      </c>
      <c r="Z842" t="s">
        <v>109</v>
      </c>
      <c r="AA842" t="s">
        <v>5811</v>
      </c>
      <c r="AB842" t="s">
        <v>53</v>
      </c>
      <c r="AC842" s="3">
        <v>1.06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f t="shared" si="26"/>
        <v>21.749999999999996</v>
      </c>
      <c r="AK842" s="3">
        <f t="shared" si="27"/>
        <v>3.9399999999999977</v>
      </c>
    </row>
    <row r="843" spans="1:37">
      <c r="A843">
        <v>10318602</v>
      </c>
      <c r="B843" t="s">
        <v>37</v>
      </c>
      <c r="C843" t="s">
        <v>5812</v>
      </c>
      <c r="E843" t="s">
        <v>1712</v>
      </c>
      <c r="F843" t="s">
        <v>5813</v>
      </c>
      <c r="G843" t="s">
        <v>5814</v>
      </c>
      <c r="H843" t="s">
        <v>42</v>
      </c>
      <c r="I843" t="s">
        <v>5815</v>
      </c>
      <c r="J843" t="s">
        <v>5816</v>
      </c>
      <c r="K843">
        <v>99423</v>
      </c>
      <c r="L843" t="s">
        <v>71</v>
      </c>
      <c r="M843" t="s">
        <v>46</v>
      </c>
      <c r="N843" t="s">
        <v>47</v>
      </c>
      <c r="O843">
        <v>2</v>
      </c>
      <c r="P843">
        <v>1</v>
      </c>
      <c r="Q843">
        <v>2</v>
      </c>
      <c r="R843" t="s">
        <v>48</v>
      </c>
      <c r="S843" t="s">
        <v>49</v>
      </c>
      <c r="T843" s="3">
        <v>0.84</v>
      </c>
      <c r="U843" s="3">
        <v>0.23</v>
      </c>
      <c r="V843" s="3">
        <v>1.81</v>
      </c>
      <c r="W843">
        <v>0.79</v>
      </c>
      <c r="X843" t="s">
        <v>108</v>
      </c>
      <c r="Y843" s="3">
        <v>5.13</v>
      </c>
      <c r="Z843" t="s">
        <v>109</v>
      </c>
      <c r="AA843" t="s">
        <v>5817</v>
      </c>
      <c r="AB843" t="s">
        <v>53</v>
      </c>
      <c r="AC843" s="3">
        <v>1.06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f t="shared" si="26"/>
        <v>9.07</v>
      </c>
      <c r="AK843" s="3">
        <f t="shared" si="27"/>
        <v>3.9400000000000004</v>
      </c>
    </row>
    <row r="844" spans="1:37">
      <c r="A844">
        <v>10316445</v>
      </c>
      <c r="B844" t="s">
        <v>37</v>
      </c>
      <c r="C844" t="s">
        <v>5818</v>
      </c>
      <c r="E844" t="s">
        <v>5819</v>
      </c>
      <c r="F844" t="s">
        <v>5820</v>
      </c>
      <c r="G844" t="s">
        <v>5821</v>
      </c>
      <c r="H844" t="s">
        <v>42</v>
      </c>
      <c r="I844" t="s">
        <v>5822</v>
      </c>
      <c r="J844" t="s">
        <v>5823</v>
      </c>
      <c r="K844">
        <v>65183</v>
      </c>
      <c r="L844" t="s">
        <v>71</v>
      </c>
      <c r="M844" t="s">
        <v>46</v>
      </c>
      <c r="N844" t="s">
        <v>47</v>
      </c>
      <c r="O844">
        <v>2</v>
      </c>
      <c r="P844">
        <v>1</v>
      </c>
      <c r="Q844">
        <v>2</v>
      </c>
      <c r="R844" t="s">
        <v>48</v>
      </c>
      <c r="S844" t="s">
        <v>49</v>
      </c>
      <c r="T844" s="3">
        <v>0.84</v>
      </c>
      <c r="U844" s="3">
        <v>0.23</v>
      </c>
      <c r="V844" s="3">
        <v>1.81</v>
      </c>
      <c r="W844">
        <v>0.88</v>
      </c>
      <c r="X844" t="s">
        <v>108</v>
      </c>
      <c r="Y844" s="3">
        <v>5.13</v>
      </c>
      <c r="Z844" t="s">
        <v>109</v>
      </c>
      <c r="AA844" t="s">
        <v>5824</v>
      </c>
      <c r="AB844" t="s">
        <v>53</v>
      </c>
      <c r="AC844" s="3">
        <v>1.06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f t="shared" si="26"/>
        <v>9.07</v>
      </c>
      <c r="AK844" s="3">
        <f t="shared" si="27"/>
        <v>3.9400000000000004</v>
      </c>
    </row>
    <row r="845" spans="1:37">
      <c r="A845">
        <v>10316447</v>
      </c>
      <c r="B845" t="s">
        <v>37</v>
      </c>
      <c r="C845" t="s">
        <v>5825</v>
      </c>
      <c r="E845" t="s">
        <v>5826</v>
      </c>
      <c r="F845" t="s">
        <v>5827</v>
      </c>
      <c r="G845" t="s">
        <v>5828</v>
      </c>
      <c r="H845" t="s">
        <v>42</v>
      </c>
      <c r="I845" t="s">
        <v>5829</v>
      </c>
      <c r="J845" t="s">
        <v>5830</v>
      </c>
      <c r="K845" t="s">
        <v>5831</v>
      </c>
      <c r="L845" t="s">
        <v>142</v>
      </c>
      <c r="M845" t="s">
        <v>46</v>
      </c>
      <c r="N845" t="s">
        <v>47</v>
      </c>
      <c r="O845">
        <v>2</v>
      </c>
      <c r="P845">
        <v>1</v>
      </c>
      <c r="Q845">
        <v>2</v>
      </c>
      <c r="R845" t="s">
        <v>48</v>
      </c>
      <c r="S845" t="s">
        <v>49</v>
      </c>
      <c r="T845" s="3">
        <v>0.84</v>
      </c>
      <c r="U845" s="3">
        <v>0.23</v>
      </c>
      <c r="V845" s="3">
        <v>1.81</v>
      </c>
      <c r="W845">
        <v>0.69</v>
      </c>
      <c r="X845" t="s">
        <v>50</v>
      </c>
      <c r="Y845" s="3">
        <v>17.809999999999999</v>
      </c>
      <c r="Z845" t="s">
        <v>109</v>
      </c>
      <c r="AA845" t="s">
        <v>5832</v>
      </c>
      <c r="AB845" t="s">
        <v>53</v>
      </c>
      <c r="AC845" s="3">
        <v>1.06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f t="shared" si="26"/>
        <v>21.749999999999996</v>
      </c>
      <c r="AK845" s="3">
        <f t="shared" si="27"/>
        <v>3.9399999999999977</v>
      </c>
    </row>
    <row r="846" spans="1:37">
      <c r="A846">
        <v>10316706</v>
      </c>
      <c r="B846" t="s">
        <v>37</v>
      </c>
      <c r="C846" t="s">
        <v>5833</v>
      </c>
      <c r="E846" t="s">
        <v>5834</v>
      </c>
      <c r="F846" t="s">
        <v>2390</v>
      </c>
      <c r="G846" t="s">
        <v>5835</v>
      </c>
      <c r="H846" t="s">
        <v>42</v>
      </c>
      <c r="I846" t="s">
        <v>5836</v>
      </c>
      <c r="J846" t="s">
        <v>5837</v>
      </c>
      <c r="K846">
        <v>10179</v>
      </c>
      <c r="L846" t="s">
        <v>71</v>
      </c>
      <c r="M846" t="s">
        <v>46</v>
      </c>
      <c r="N846" t="s">
        <v>47</v>
      </c>
      <c r="O846">
        <v>2</v>
      </c>
      <c r="P846">
        <v>1</v>
      </c>
      <c r="Q846">
        <v>2</v>
      </c>
      <c r="R846" t="s">
        <v>48</v>
      </c>
      <c r="S846" t="s">
        <v>49</v>
      </c>
      <c r="T846" s="3">
        <v>0.84</v>
      </c>
      <c r="U846" s="3">
        <v>0.23</v>
      </c>
      <c r="V846" s="3">
        <v>1.81</v>
      </c>
      <c r="W846">
        <v>0.88</v>
      </c>
      <c r="X846" t="s">
        <v>108</v>
      </c>
      <c r="Y846" s="3">
        <v>5.13</v>
      </c>
      <c r="Z846" t="s">
        <v>109</v>
      </c>
      <c r="AA846" t="s">
        <v>5838</v>
      </c>
      <c r="AB846" t="s">
        <v>53</v>
      </c>
      <c r="AC846" s="3">
        <v>1.06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f t="shared" si="26"/>
        <v>9.07</v>
      </c>
      <c r="AK846" s="3">
        <f t="shared" si="27"/>
        <v>3.9400000000000004</v>
      </c>
    </row>
    <row r="847" spans="1:37">
      <c r="A847">
        <v>10316450</v>
      </c>
      <c r="B847" t="s">
        <v>37</v>
      </c>
      <c r="C847" t="s">
        <v>5839</v>
      </c>
      <c r="E847" t="s">
        <v>5840</v>
      </c>
      <c r="F847" t="s">
        <v>5841</v>
      </c>
      <c r="G847" t="s">
        <v>5842</v>
      </c>
      <c r="H847" t="s">
        <v>42</v>
      </c>
      <c r="I847" t="s">
        <v>5843</v>
      </c>
      <c r="J847" t="s">
        <v>5844</v>
      </c>
      <c r="K847" t="s">
        <v>5845</v>
      </c>
      <c r="L847" t="s">
        <v>142</v>
      </c>
      <c r="M847" t="s">
        <v>46</v>
      </c>
      <c r="N847" t="s">
        <v>47</v>
      </c>
      <c r="O847">
        <v>2</v>
      </c>
      <c r="P847">
        <v>1</v>
      </c>
      <c r="Q847">
        <v>2</v>
      </c>
      <c r="R847" t="s">
        <v>48</v>
      </c>
      <c r="S847" t="s">
        <v>49</v>
      </c>
      <c r="T847" s="3">
        <v>0.84</v>
      </c>
      <c r="U847" s="3">
        <v>0.23</v>
      </c>
      <c r="V847" s="3">
        <v>1.81</v>
      </c>
      <c r="W847">
        <v>0.88</v>
      </c>
      <c r="X847" t="s">
        <v>50</v>
      </c>
      <c r="Y847" s="3">
        <v>16.43</v>
      </c>
      <c r="Z847" t="s">
        <v>109</v>
      </c>
      <c r="AA847" t="s">
        <v>5846</v>
      </c>
      <c r="AB847" t="s">
        <v>53</v>
      </c>
      <c r="AC847" s="3">
        <v>1.06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f t="shared" si="26"/>
        <v>20.369999999999997</v>
      </c>
      <c r="AK847" s="3">
        <f t="shared" si="27"/>
        <v>3.9399999999999977</v>
      </c>
    </row>
    <row r="848" spans="1:37">
      <c r="A848">
        <v>10316443</v>
      </c>
      <c r="B848" t="s">
        <v>37</v>
      </c>
      <c r="C848" t="s">
        <v>5847</v>
      </c>
      <c r="E848" t="s">
        <v>240</v>
      </c>
      <c r="F848" t="s">
        <v>5848</v>
      </c>
      <c r="G848" t="s">
        <v>5849</v>
      </c>
      <c r="H848" t="s">
        <v>42</v>
      </c>
      <c r="I848" t="s">
        <v>5850</v>
      </c>
      <c r="J848" t="s">
        <v>5851</v>
      </c>
      <c r="K848">
        <v>10439</v>
      </c>
      <c r="L848" t="s">
        <v>71</v>
      </c>
      <c r="M848" t="s">
        <v>46</v>
      </c>
      <c r="N848" t="s">
        <v>47</v>
      </c>
      <c r="O848">
        <v>2</v>
      </c>
      <c r="P848">
        <v>1</v>
      </c>
      <c r="Q848">
        <v>2</v>
      </c>
      <c r="R848" t="s">
        <v>48</v>
      </c>
      <c r="S848" t="s">
        <v>49</v>
      </c>
      <c r="T848" s="3">
        <v>0.84</v>
      </c>
      <c r="U848" s="3">
        <v>0.23</v>
      </c>
      <c r="V848" s="3">
        <v>1.81</v>
      </c>
      <c r="W848">
        <v>1.08</v>
      </c>
      <c r="X848" t="s">
        <v>108</v>
      </c>
      <c r="Y848" s="3">
        <v>5.13</v>
      </c>
      <c r="Z848" t="s">
        <v>109</v>
      </c>
      <c r="AA848" t="s">
        <v>4330</v>
      </c>
      <c r="AB848" t="s">
        <v>53</v>
      </c>
      <c r="AC848" s="3">
        <v>1.06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f t="shared" si="26"/>
        <v>9.07</v>
      </c>
      <c r="AK848" s="3">
        <f t="shared" si="27"/>
        <v>3.9400000000000004</v>
      </c>
    </row>
    <row r="849" spans="1:37">
      <c r="A849">
        <v>10317626</v>
      </c>
      <c r="B849" t="s">
        <v>37</v>
      </c>
      <c r="C849" t="s">
        <v>5852</v>
      </c>
      <c r="E849" t="s">
        <v>809</v>
      </c>
      <c r="F849" t="s">
        <v>5853</v>
      </c>
      <c r="G849" t="s">
        <v>5854</v>
      </c>
      <c r="H849" t="s">
        <v>42</v>
      </c>
      <c r="I849" t="s">
        <v>5855</v>
      </c>
      <c r="J849" t="s">
        <v>5856</v>
      </c>
      <c r="K849" t="s">
        <v>5857</v>
      </c>
      <c r="L849" t="s">
        <v>142</v>
      </c>
      <c r="M849" t="s">
        <v>46</v>
      </c>
      <c r="N849" t="s">
        <v>47</v>
      </c>
      <c r="O849">
        <v>5</v>
      </c>
      <c r="P849">
        <v>1</v>
      </c>
      <c r="Q849">
        <v>5</v>
      </c>
      <c r="R849" t="s">
        <v>48</v>
      </c>
      <c r="S849" t="s">
        <v>49</v>
      </c>
      <c r="T849" s="3">
        <v>0.84</v>
      </c>
      <c r="U849" s="3">
        <v>0.23</v>
      </c>
      <c r="V849" s="3">
        <v>4.42</v>
      </c>
      <c r="W849">
        <v>2.11</v>
      </c>
      <c r="X849" t="s">
        <v>50</v>
      </c>
      <c r="Y849" s="3">
        <v>16.43</v>
      </c>
      <c r="Z849" t="s">
        <v>73</v>
      </c>
      <c r="AA849" t="s">
        <v>5858</v>
      </c>
      <c r="AB849" t="s">
        <v>53</v>
      </c>
      <c r="AC849" s="3">
        <v>1.29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f t="shared" si="26"/>
        <v>23.21</v>
      </c>
      <c r="AK849" s="3">
        <f t="shared" si="27"/>
        <v>6.7800000000000011</v>
      </c>
    </row>
    <row r="850" spans="1:37">
      <c r="A850">
        <v>10317953</v>
      </c>
      <c r="B850" t="s">
        <v>37</v>
      </c>
      <c r="C850" t="s">
        <v>5859</v>
      </c>
      <c r="E850" t="s">
        <v>5860</v>
      </c>
      <c r="F850" t="s">
        <v>5861</v>
      </c>
      <c r="G850" t="s">
        <v>5862</v>
      </c>
      <c r="H850" t="s">
        <v>42</v>
      </c>
      <c r="I850" t="s">
        <v>5863</v>
      </c>
      <c r="J850" t="s">
        <v>5864</v>
      </c>
      <c r="K850">
        <v>80636</v>
      </c>
      <c r="L850" t="s">
        <v>71</v>
      </c>
      <c r="M850" t="s">
        <v>46</v>
      </c>
      <c r="N850" t="s">
        <v>47</v>
      </c>
      <c r="O850">
        <v>4</v>
      </c>
      <c r="P850">
        <v>1</v>
      </c>
      <c r="Q850">
        <v>4</v>
      </c>
      <c r="R850" t="s">
        <v>48</v>
      </c>
      <c r="S850" t="s">
        <v>49</v>
      </c>
      <c r="T850" s="3">
        <v>0.84</v>
      </c>
      <c r="U850" s="3">
        <v>0.23</v>
      </c>
      <c r="V850" s="3">
        <v>3.55</v>
      </c>
      <c r="W850">
        <v>1.66</v>
      </c>
      <c r="X850" t="s">
        <v>72</v>
      </c>
      <c r="Y850" s="3">
        <v>5.43</v>
      </c>
      <c r="Z850" t="s">
        <v>73</v>
      </c>
      <c r="AA850" t="s">
        <v>2255</v>
      </c>
      <c r="AB850" t="s">
        <v>53</v>
      </c>
      <c r="AC850" s="3">
        <v>1.29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f t="shared" si="26"/>
        <v>11.34</v>
      </c>
      <c r="AK850" s="3">
        <f t="shared" si="27"/>
        <v>5.91</v>
      </c>
    </row>
    <row r="851" spans="1:37">
      <c r="A851">
        <v>10307141</v>
      </c>
      <c r="B851" t="s">
        <v>111</v>
      </c>
      <c r="C851" t="s">
        <v>5865</v>
      </c>
      <c r="D851" t="s">
        <v>5866</v>
      </c>
      <c r="E851" t="s">
        <v>3527</v>
      </c>
      <c r="F851" t="s">
        <v>5867</v>
      </c>
      <c r="G851" t="s">
        <v>5868</v>
      </c>
      <c r="H851" t="s">
        <v>117</v>
      </c>
      <c r="I851" t="s">
        <v>5869</v>
      </c>
      <c r="J851" t="s">
        <v>5870</v>
      </c>
      <c r="K851">
        <v>1010</v>
      </c>
      <c r="L851" t="s">
        <v>618</v>
      </c>
      <c r="M851" t="s">
        <v>46</v>
      </c>
      <c r="N851" t="s">
        <v>47</v>
      </c>
      <c r="O851">
        <v>32</v>
      </c>
      <c r="P851">
        <v>1</v>
      </c>
      <c r="Q851">
        <v>32</v>
      </c>
      <c r="R851" t="s">
        <v>48</v>
      </c>
      <c r="S851" t="s">
        <v>49</v>
      </c>
      <c r="T851" s="3">
        <v>7</v>
      </c>
      <c r="U851" s="3">
        <v>0.23</v>
      </c>
      <c r="V851" s="3">
        <v>34.369999999999997</v>
      </c>
      <c r="W851">
        <v>5</v>
      </c>
      <c r="X851" t="s">
        <v>50</v>
      </c>
      <c r="Y851" s="3">
        <v>9.19</v>
      </c>
      <c r="Z851" t="s">
        <v>51</v>
      </c>
      <c r="AA851" t="s">
        <v>5871</v>
      </c>
      <c r="AB851" t="s">
        <v>53</v>
      </c>
      <c r="AC851" s="3">
        <v>1.87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f t="shared" si="26"/>
        <v>52.659999999999989</v>
      </c>
      <c r="AK851" s="3">
        <f t="shared" si="27"/>
        <v>43.469999999999992</v>
      </c>
    </row>
    <row r="852" spans="1:37">
      <c r="A852">
        <v>10317629</v>
      </c>
      <c r="B852" t="s">
        <v>37</v>
      </c>
      <c r="C852" t="s">
        <v>5872</v>
      </c>
      <c r="E852" t="s">
        <v>1135</v>
      </c>
      <c r="F852" t="s">
        <v>5873</v>
      </c>
      <c r="G852" t="s">
        <v>5874</v>
      </c>
      <c r="H852" t="s">
        <v>42</v>
      </c>
      <c r="I852" t="s">
        <v>5875</v>
      </c>
      <c r="J852" t="s">
        <v>5876</v>
      </c>
      <c r="K852">
        <v>33818</v>
      </c>
      <c r="L852" t="s">
        <v>71</v>
      </c>
      <c r="M852" t="s">
        <v>46</v>
      </c>
      <c r="N852" t="s">
        <v>47</v>
      </c>
      <c r="O852">
        <v>4</v>
      </c>
      <c r="P852">
        <v>1</v>
      </c>
      <c r="Q852">
        <v>4</v>
      </c>
      <c r="R852" t="s">
        <v>48</v>
      </c>
      <c r="S852" t="s">
        <v>49</v>
      </c>
      <c r="T852" s="3">
        <v>0.84</v>
      </c>
      <c r="U852" s="3">
        <v>0.23</v>
      </c>
      <c r="V852" s="3">
        <v>3.55</v>
      </c>
      <c r="W852">
        <v>2.06</v>
      </c>
      <c r="X852" t="s">
        <v>72</v>
      </c>
      <c r="Y852" s="3">
        <v>19.3</v>
      </c>
      <c r="Z852" t="s">
        <v>73</v>
      </c>
      <c r="AA852" t="s">
        <v>327</v>
      </c>
      <c r="AB852" t="s">
        <v>53</v>
      </c>
      <c r="AC852" s="3">
        <v>1.29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f t="shared" si="26"/>
        <v>25.21</v>
      </c>
      <c r="AK852" s="3">
        <f t="shared" si="27"/>
        <v>5.91</v>
      </c>
    </row>
    <row r="853" spans="1:37">
      <c r="A853">
        <v>10317955</v>
      </c>
      <c r="B853" t="s">
        <v>37</v>
      </c>
      <c r="C853" t="s">
        <v>5877</v>
      </c>
      <c r="E853" t="s">
        <v>1647</v>
      </c>
      <c r="F853" t="s">
        <v>5878</v>
      </c>
      <c r="G853" t="s">
        <v>5879</v>
      </c>
      <c r="H853" t="s">
        <v>42</v>
      </c>
      <c r="I853" t="s">
        <v>5880</v>
      </c>
      <c r="J853" t="s">
        <v>5881</v>
      </c>
      <c r="K853">
        <v>21643</v>
      </c>
      <c r="L853" t="s">
        <v>71</v>
      </c>
      <c r="M853" t="s">
        <v>46</v>
      </c>
      <c r="N853" t="s">
        <v>47</v>
      </c>
      <c r="O853">
        <v>3</v>
      </c>
      <c r="P853">
        <v>1</v>
      </c>
      <c r="Q853">
        <v>3</v>
      </c>
      <c r="R853" t="s">
        <v>48</v>
      </c>
      <c r="S853" t="s">
        <v>49</v>
      </c>
      <c r="T853" s="3">
        <v>0.84</v>
      </c>
      <c r="U853" s="3">
        <v>0.23</v>
      </c>
      <c r="V853" s="3">
        <v>2.68</v>
      </c>
      <c r="W853">
        <v>0.52</v>
      </c>
      <c r="X853" t="s">
        <v>108</v>
      </c>
      <c r="Y853" s="3">
        <v>6.51</v>
      </c>
      <c r="Z853" t="s">
        <v>109</v>
      </c>
      <c r="AA853" t="s">
        <v>5882</v>
      </c>
      <c r="AB853" t="s">
        <v>53</v>
      </c>
      <c r="AC853" s="3">
        <v>1.06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f t="shared" si="26"/>
        <v>11.32</v>
      </c>
      <c r="AK853" s="3">
        <f t="shared" si="27"/>
        <v>4.8100000000000005</v>
      </c>
    </row>
    <row r="854" spans="1:37">
      <c r="A854">
        <v>10319691</v>
      </c>
      <c r="B854" t="s">
        <v>37</v>
      </c>
      <c r="C854" t="s">
        <v>5883</v>
      </c>
      <c r="E854" t="s">
        <v>5884</v>
      </c>
      <c r="F854" t="s">
        <v>5885</v>
      </c>
      <c r="G854" t="s">
        <v>5886</v>
      </c>
      <c r="H854" t="s">
        <v>42</v>
      </c>
      <c r="I854" t="s">
        <v>5887</v>
      </c>
      <c r="J854" t="s">
        <v>5888</v>
      </c>
      <c r="K854">
        <v>2531</v>
      </c>
      <c r="L854" t="s">
        <v>505</v>
      </c>
      <c r="M854" t="s">
        <v>46</v>
      </c>
      <c r="N854" t="s">
        <v>47</v>
      </c>
      <c r="O854">
        <v>2</v>
      </c>
      <c r="P854">
        <v>1</v>
      </c>
      <c r="Q854">
        <v>2</v>
      </c>
      <c r="R854" t="s">
        <v>48</v>
      </c>
      <c r="S854" t="s">
        <v>49</v>
      </c>
      <c r="T854" s="3">
        <v>0.84</v>
      </c>
      <c r="U854" s="3">
        <v>0.23</v>
      </c>
      <c r="V854" s="3">
        <v>1.81</v>
      </c>
      <c r="W854">
        <v>1.08</v>
      </c>
      <c r="X854" t="s">
        <v>50</v>
      </c>
      <c r="Y854" s="3">
        <v>9.19</v>
      </c>
      <c r="Z854" t="s">
        <v>73</v>
      </c>
      <c r="AA854" t="s">
        <v>5889</v>
      </c>
      <c r="AB854" t="s">
        <v>53</v>
      </c>
      <c r="AC854" s="3">
        <v>1.29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f t="shared" si="26"/>
        <v>13.360000000000001</v>
      </c>
      <c r="AK854" s="3">
        <f t="shared" si="27"/>
        <v>4.1700000000000017</v>
      </c>
    </row>
    <row r="855" spans="1:37">
      <c r="A855">
        <v>10317308</v>
      </c>
      <c r="B855" t="s">
        <v>37</v>
      </c>
      <c r="C855" t="s">
        <v>5890</v>
      </c>
      <c r="E855" t="s">
        <v>2561</v>
      </c>
      <c r="F855" t="s">
        <v>2562</v>
      </c>
      <c r="G855" t="s">
        <v>5891</v>
      </c>
      <c r="H855" t="s">
        <v>42</v>
      </c>
      <c r="I855" t="s">
        <v>5892</v>
      </c>
      <c r="J855" t="s">
        <v>2565</v>
      </c>
      <c r="K855" t="s">
        <v>2566</v>
      </c>
      <c r="L855" t="s">
        <v>82</v>
      </c>
      <c r="M855" t="s">
        <v>46</v>
      </c>
      <c r="N855" t="s">
        <v>47</v>
      </c>
      <c r="O855">
        <v>4</v>
      </c>
      <c r="P855">
        <v>1</v>
      </c>
      <c r="Q855">
        <v>4</v>
      </c>
      <c r="R855" t="s">
        <v>48</v>
      </c>
      <c r="S855" t="s">
        <v>49</v>
      </c>
      <c r="T855" s="3">
        <v>0.84</v>
      </c>
      <c r="U855" s="3">
        <v>0.23</v>
      </c>
      <c r="V855" s="3">
        <v>3.55</v>
      </c>
      <c r="W855">
        <v>1.39</v>
      </c>
      <c r="X855" t="s">
        <v>50</v>
      </c>
      <c r="Y855" s="3">
        <v>9.19</v>
      </c>
      <c r="Z855" t="s">
        <v>73</v>
      </c>
      <c r="AA855" t="s">
        <v>5893</v>
      </c>
      <c r="AB855" t="s">
        <v>53</v>
      </c>
      <c r="AC855" s="3">
        <v>1.29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f t="shared" si="26"/>
        <v>15.100000000000001</v>
      </c>
      <c r="AK855" s="3">
        <f t="shared" si="27"/>
        <v>5.9100000000000019</v>
      </c>
    </row>
    <row r="856" spans="1:37">
      <c r="A856">
        <v>10320063</v>
      </c>
      <c r="B856" t="s">
        <v>37</v>
      </c>
      <c r="C856" t="s">
        <v>5894</v>
      </c>
      <c r="E856" t="s">
        <v>4443</v>
      </c>
      <c r="F856" t="s">
        <v>4444</v>
      </c>
      <c r="G856" t="s">
        <v>5895</v>
      </c>
      <c r="H856" t="s">
        <v>42</v>
      </c>
      <c r="I856" t="s">
        <v>5896</v>
      </c>
      <c r="J856" t="s">
        <v>5897</v>
      </c>
      <c r="K856" t="s">
        <v>4448</v>
      </c>
      <c r="L856" t="s">
        <v>886</v>
      </c>
      <c r="M856" t="s">
        <v>46</v>
      </c>
      <c r="N856" t="s">
        <v>47</v>
      </c>
      <c r="O856">
        <v>2</v>
      </c>
      <c r="P856">
        <v>1</v>
      </c>
      <c r="Q856">
        <v>2</v>
      </c>
      <c r="R856" t="s">
        <v>48</v>
      </c>
      <c r="S856" t="s">
        <v>49</v>
      </c>
      <c r="T856" s="3">
        <v>0.84</v>
      </c>
      <c r="U856" s="3">
        <v>0.23</v>
      </c>
      <c r="V856" s="3">
        <v>1.81</v>
      </c>
      <c r="W856">
        <v>0.34</v>
      </c>
      <c r="X856" t="s">
        <v>50</v>
      </c>
      <c r="Y856" s="3">
        <v>12.02</v>
      </c>
      <c r="Z856" t="s">
        <v>109</v>
      </c>
      <c r="AA856" t="s">
        <v>5898</v>
      </c>
      <c r="AB856" t="s">
        <v>53</v>
      </c>
      <c r="AC856" s="3">
        <v>1.06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f t="shared" si="26"/>
        <v>15.96</v>
      </c>
      <c r="AK856" s="3">
        <f t="shared" si="27"/>
        <v>3.9400000000000013</v>
      </c>
    </row>
    <row r="857" spans="1:37">
      <c r="A857">
        <v>10295594</v>
      </c>
      <c r="B857" t="s">
        <v>111</v>
      </c>
      <c r="C857" t="s">
        <v>5899</v>
      </c>
      <c r="E857" t="s">
        <v>5900</v>
      </c>
      <c r="F857" t="s">
        <v>5901</v>
      </c>
      <c r="G857" t="s">
        <v>5902</v>
      </c>
      <c r="H857" t="s">
        <v>117</v>
      </c>
      <c r="I857" t="s">
        <v>5903</v>
      </c>
      <c r="J857" t="s">
        <v>5904</v>
      </c>
      <c r="K857">
        <v>99098</v>
      </c>
      <c r="L857" t="s">
        <v>71</v>
      </c>
      <c r="M857" t="s">
        <v>46</v>
      </c>
      <c r="N857" t="s">
        <v>47</v>
      </c>
      <c r="O857">
        <v>300</v>
      </c>
      <c r="P857">
        <v>10</v>
      </c>
      <c r="Q857">
        <v>77</v>
      </c>
      <c r="R857" t="s">
        <v>48</v>
      </c>
      <c r="S857" t="s">
        <v>49</v>
      </c>
      <c r="T857" s="3">
        <v>7</v>
      </c>
      <c r="U857" s="3">
        <v>0.23</v>
      </c>
      <c r="V857" s="3">
        <v>65.78</v>
      </c>
      <c r="W857">
        <v>144</v>
      </c>
      <c r="X857" t="s">
        <v>5905</v>
      </c>
      <c r="Y857" s="3">
        <v>441.94</v>
      </c>
      <c r="Z857" t="s">
        <v>5906</v>
      </c>
      <c r="AA857" t="s">
        <v>5907</v>
      </c>
      <c r="AB857" t="s">
        <v>53</v>
      </c>
      <c r="AC857" s="3">
        <v>8.7900000000000009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f t="shared" si="26"/>
        <v>523.74</v>
      </c>
      <c r="AK857" s="3">
        <f t="shared" si="27"/>
        <v>81.800000000000011</v>
      </c>
    </row>
    <row r="858" spans="1:37">
      <c r="A858">
        <v>10299141</v>
      </c>
      <c r="B858" t="s">
        <v>111</v>
      </c>
      <c r="C858" t="s">
        <v>5908</v>
      </c>
      <c r="D858" t="s">
        <v>5909</v>
      </c>
      <c r="E858" t="s">
        <v>5910</v>
      </c>
      <c r="F858" t="s">
        <v>5911</v>
      </c>
      <c r="G858" t="s">
        <v>5912</v>
      </c>
      <c r="H858" t="s">
        <v>117</v>
      </c>
      <c r="I858" t="s">
        <v>5913</v>
      </c>
      <c r="J858" t="s">
        <v>5914</v>
      </c>
      <c r="K858" t="s">
        <v>5915</v>
      </c>
      <c r="L858" t="s">
        <v>130</v>
      </c>
      <c r="M858" t="s">
        <v>46</v>
      </c>
      <c r="N858" t="s">
        <v>47</v>
      </c>
      <c r="O858">
        <v>104</v>
      </c>
      <c r="P858">
        <v>2</v>
      </c>
      <c r="Q858">
        <v>104</v>
      </c>
      <c r="R858" t="s">
        <v>48</v>
      </c>
      <c r="S858" t="s">
        <v>49</v>
      </c>
      <c r="T858" s="3">
        <v>7</v>
      </c>
      <c r="U858" s="3">
        <v>0.23</v>
      </c>
      <c r="V858" s="3">
        <v>80.790000000000006</v>
      </c>
      <c r="W858">
        <v>21</v>
      </c>
      <c r="X858" t="s">
        <v>50</v>
      </c>
      <c r="Y858" s="3">
        <v>32.69</v>
      </c>
      <c r="Z858" t="s">
        <v>5916</v>
      </c>
      <c r="AA858" t="s">
        <v>5917</v>
      </c>
      <c r="AB858" t="s">
        <v>53</v>
      </c>
      <c r="AC858" s="3">
        <v>6.08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f t="shared" si="26"/>
        <v>126.79</v>
      </c>
      <c r="AK858" s="3">
        <f t="shared" si="27"/>
        <v>94.100000000000009</v>
      </c>
    </row>
    <row r="859" spans="1:37">
      <c r="A859">
        <v>10319169</v>
      </c>
      <c r="B859" t="s">
        <v>37</v>
      </c>
      <c r="C859" t="s">
        <v>5918</v>
      </c>
      <c r="E859" t="s">
        <v>933</v>
      </c>
      <c r="F859" t="s">
        <v>5919</v>
      </c>
      <c r="G859" t="s">
        <v>5920</v>
      </c>
      <c r="H859" t="s">
        <v>42</v>
      </c>
      <c r="I859" t="s">
        <v>5921</v>
      </c>
      <c r="J859" t="s">
        <v>5922</v>
      </c>
      <c r="K859">
        <v>1070</v>
      </c>
      <c r="L859" t="s">
        <v>618</v>
      </c>
      <c r="M859" t="s">
        <v>46</v>
      </c>
      <c r="N859" t="s">
        <v>47</v>
      </c>
      <c r="O859">
        <v>3</v>
      </c>
      <c r="P859">
        <v>1</v>
      </c>
      <c r="Q859">
        <v>3</v>
      </c>
      <c r="R859" t="s">
        <v>48</v>
      </c>
      <c r="S859" t="s">
        <v>49</v>
      </c>
      <c r="T859" s="3">
        <v>0.84</v>
      </c>
      <c r="U859" s="3">
        <v>0.23</v>
      </c>
      <c r="V859" s="3">
        <v>2.68</v>
      </c>
      <c r="W859">
        <v>1.23</v>
      </c>
      <c r="X859" t="s">
        <v>50</v>
      </c>
      <c r="Y859" s="3">
        <v>9.19</v>
      </c>
      <c r="Z859" t="s">
        <v>73</v>
      </c>
      <c r="AA859" t="s">
        <v>5923</v>
      </c>
      <c r="AB859" t="s">
        <v>53</v>
      </c>
      <c r="AC859" s="3">
        <v>1.29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f t="shared" si="26"/>
        <v>14.23</v>
      </c>
      <c r="AK859" s="3">
        <f t="shared" si="27"/>
        <v>5.0400000000000009</v>
      </c>
    </row>
    <row r="860" spans="1:37">
      <c r="A860">
        <v>10319463</v>
      </c>
      <c r="B860" t="s">
        <v>37</v>
      </c>
      <c r="C860" t="s">
        <v>5924</v>
      </c>
      <c r="E860" t="s">
        <v>5925</v>
      </c>
      <c r="F860" t="s">
        <v>5926</v>
      </c>
      <c r="G860" t="s">
        <v>5927</v>
      </c>
      <c r="H860" t="s">
        <v>42</v>
      </c>
      <c r="I860" t="s">
        <v>5928</v>
      </c>
      <c r="J860" t="s">
        <v>5929</v>
      </c>
      <c r="K860">
        <v>2160</v>
      </c>
      <c r="L860" t="s">
        <v>505</v>
      </c>
      <c r="M860" t="s">
        <v>46</v>
      </c>
      <c r="N860" t="s">
        <v>47</v>
      </c>
      <c r="O860">
        <v>3</v>
      </c>
      <c r="P860">
        <v>1</v>
      </c>
      <c r="Q860">
        <v>3</v>
      </c>
      <c r="R860" t="s">
        <v>48</v>
      </c>
      <c r="S860" t="s">
        <v>49</v>
      </c>
      <c r="T860" s="3">
        <v>0.84</v>
      </c>
      <c r="U860" s="3">
        <v>0.23</v>
      </c>
      <c r="V860" s="3">
        <v>2.68</v>
      </c>
      <c r="W860">
        <v>1.57</v>
      </c>
      <c r="X860" t="s">
        <v>50</v>
      </c>
      <c r="Y860" s="3">
        <v>9.19</v>
      </c>
      <c r="Z860" t="s">
        <v>73</v>
      </c>
      <c r="AA860" t="s">
        <v>5930</v>
      </c>
      <c r="AB860" t="s">
        <v>53</v>
      </c>
      <c r="AC860" s="3">
        <v>1.29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f t="shared" si="26"/>
        <v>14.23</v>
      </c>
      <c r="AK860" s="3">
        <f t="shared" si="27"/>
        <v>5.0400000000000009</v>
      </c>
    </row>
    <row r="861" spans="1:37">
      <c r="A861">
        <v>10319161</v>
      </c>
      <c r="B861" t="s">
        <v>37</v>
      </c>
      <c r="C861" t="s">
        <v>5931</v>
      </c>
      <c r="E861" t="s">
        <v>437</v>
      </c>
      <c r="F861" t="s">
        <v>5932</v>
      </c>
      <c r="G861" t="s">
        <v>5933</v>
      </c>
      <c r="H861" t="s">
        <v>42</v>
      </c>
      <c r="I861" t="s">
        <v>5934</v>
      </c>
      <c r="J861" t="s">
        <v>5935</v>
      </c>
      <c r="K861">
        <v>87534</v>
      </c>
      <c r="L861" t="s">
        <v>71</v>
      </c>
      <c r="M861" t="s">
        <v>46</v>
      </c>
      <c r="N861" t="s">
        <v>47</v>
      </c>
      <c r="O861">
        <v>3</v>
      </c>
      <c r="P861">
        <v>1</v>
      </c>
      <c r="Q861">
        <v>3</v>
      </c>
      <c r="R861" t="s">
        <v>48</v>
      </c>
      <c r="S861" t="s">
        <v>49</v>
      </c>
      <c r="T861" s="3">
        <v>0.84</v>
      </c>
      <c r="U861" s="3">
        <v>0.23</v>
      </c>
      <c r="V861" s="3">
        <v>2.68</v>
      </c>
      <c r="W861">
        <v>1.57</v>
      </c>
      <c r="X861" t="s">
        <v>72</v>
      </c>
      <c r="Y861" s="3">
        <v>6.81</v>
      </c>
      <c r="Z861" t="s">
        <v>73</v>
      </c>
      <c r="AA861" t="s">
        <v>5936</v>
      </c>
      <c r="AB861" t="s">
        <v>53</v>
      </c>
      <c r="AC861" s="3">
        <v>1.29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f t="shared" si="26"/>
        <v>11.85</v>
      </c>
      <c r="AK861" s="3">
        <f t="shared" si="27"/>
        <v>5.04</v>
      </c>
    </row>
    <row r="862" spans="1:37">
      <c r="A862">
        <v>10318842</v>
      </c>
      <c r="B862" t="s">
        <v>37</v>
      </c>
      <c r="C862" t="s">
        <v>5937</v>
      </c>
      <c r="E862" t="s">
        <v>321</v>
      </c>
      <c r="F862" t="s">
        <v>5938</v>
      </c>
      <c r="G862" t="s">
        <v>5939</v>
      </c>
      <c r="H862" t="s">
        <v>42</v>
      </c>
      <c r="I862" t="s">
        <v>5940</v>
      </c>
      <c r="J862" t="s">
        <v>5941</v>
      </c>
      <c r="K862" t="s">
        <v>5942</v>
      </c>
      <c r="L862" t="s">
        <v>142</v>
      </c>
      <c r="M862" t="s">
        <v>46</v>
      </c>
      <c r="N862" t="s">
        <v>47</v>
      </c>
      <c r="O862">
        <v>5</v>
      </c>
      <c r="P862">
        <v>1</v>
      </c>
      <c r="Q862">
        <v>5</v>
      </c>
      <c r="R862" t="s">
        <v>48</v>
      </c>
      <c r="S862" t="s">
        <v>49</v>
      </c>
      <c r="T862" s="3">
        <v>0.84</v>
      </c>
      <c r="U862" s="3">
        <v>0.23</v>
      </c>
      <c r="V862" s="3">
        <v>4.42</v>
      </c>
      <c r="W862">
        <v>2.23</v>
      </c>
      <c r="X862" t="s">
        <v>50</v>
      </c>
      <c r="Y862" s="3">
        <v>16.43</v>
      </c>
      <c r="Z862" t="s">
        <v>73</v>
      </c>
      <c r="AA862" t="s">
        <v>5943</v>
      </c>
      <c r="AB862" t="s">
        <v>53</v>
      </c>
      <c r="AC862" s="3">
        <v>1.29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f t="shared" si="26"/>
        <v>23.21</v>
      </c>
      <c r="AK862" s="3">
        <f t="shared" si="27"/>
        <v>6.7800000000000011</v>
      </c>
    </row>
    <row r="863" spans="1:37">
      <c r="A863">
        <v>10318603</v>
      </c>
      <c r="B863" t="s">
        <v>37</v>
      </c>
      <c r="C863" t="s">
        <v>5944</v>
      </c>
      <c r="E863" t="s">
        <v>5945</v>
      </c>
      <c r="F863" t="s">
        <v>5946</v>
      </c>
      <c r="G863" t="s">
        <v>5947</v>
      </c>
      <c r="H863" t="s">
        <v>42</v>
      </c>
      <c r="I863" t="s">
        <v>5948</v>
      </c>
      <c r="J863" t="s">
        <v>5949</v>
      </c>
      <c r="K863" t="s">
        <v>5950</v>
      </c>
      <c r="L863" t="s">
        <v>275</v>
      </c>
      <c r="M863" t="s">
        <v>46</v>
      </c>
      <c r="N863" t="s">
        <v>47</v>
      </c>
      <c r="O863">
        <v>3</v>
      </c>
      <c r="P863">
        <v>1</v>
      </c>
      <c r="Q863">
        <v>3</v>
      </c>
      <c r="R863" t="s">
        <v>48</v>
      </c>
      <c r="S863" t="s">
        <v>49</v>
      </c>
      <c r="T863" s="3">
        <v>0.84</v>
      </c>
      <c r="U863" s="3">
        <v>0.23</v>
      </c>
      <c r="V863" s="3">
        <v>2.68</v>
      </c>
      <c r="W863">
        <v>0.55000000000000004</v>
      </c>
      <c r="X863" t="s">
        <v>50</v>
      </c>
      <c r="Y863" s="3">
        <v>16.43</v>
      </c>
      <c r="Z863" t="s">
        <v>109</v>
      </c>
      <c r="AA863" t="s">
        <v>5951</v>
      </c>
      <c r="AB863" t="s">
        <v>53</v>
      </c>
      <c r="AC863" s="3">
        <v>1.06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f t="shared" si="26"/>
        <v>21.24</v>
      </c>
      <c r="AK863" s="3">
        <f t="shared" si="27"/>
        <v>4.8099999999999987</v>
      </c>
    </row>
    <row r="864" spans="1:37">
      <c r="A864">
        <v>10320501</v>
      </c>
      <c r="B864" t="s">
        <v>37</v>
      </c>
      <c r="C864" t="s">
        <v>5952</v>
      </c>
      <c r="E864" t="s">
        <v>1712</v>
      </c>
      <c r="F864" t="s">
        <v>5953</v>
      </c>
      <c r="G864" t="s">
        <v>5954</v>
      </c>
      <c r="H864" t="s">
        <v>42</v>
      </c>
      <c r="I864" t="s">
        <v>5955</v>
      </c>
      <c r="J864" t="s">
        <v>5956</v>
      </c>
      <c r="K864">
        <v>9674</v>
      </c>
      <c r="L864" t="s">
        <v>369</v>
      </c>
      <c r="M864" t="s">
        <v>46</v>
      </c>
      <c r="N864" t="s">
        <v>47</v>
      </c>
      <c r="O864">
        <v>2</v>
      </c>
      <c r="P864">
        <v>1</v>
      </c>
      <c r="Q864">
        <v>2</v>
      </c>
      <c r="R864" t="s">
        <v>48</v>
      </c>
      <c r="S864" t="s">
        <v>49</v>
      </c>
      <c r="T864" s="3">
        <v>0.84</v>
      </c>
      <c r="U864" s="3">
        <v>0.23</v>
      </c>
      <c r="V864" s="3">
        <v>1.81</v>
      </c>
      <c r="W864">
        <v>0.98</v>
      </c>
      <c r="X864" t="s">
        <v>50</v>
      </c>
      <c r="Y864" s="3">
        <v>9.19</v>
      </c>
      <c r="Z864" t="s">
        <v>73</v>
      </c>
      <c r="AA864" t="s">
        <v>5957</v>
      </c>
      <c r="AB864" t="s">
        <v>53</v>
      </c>
      <c r="AC864" s="3">
        <v>1.29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f t="shared" si="26"/>
        <v>13.360000000000001</v>
      </c>
      <c r="AK864" s="3">
        <f t="shared" si="27"/>
        <v>4.1700000000000017</v>
      </c>
    </row>
    <row r="865" spans="1:37">
      <c r="A865">
        <v>10307941</v>
      </c>
      <c r="B865" t="s">
        <v>37</v>
      </c>
      <c r="C865" t="s">
        <v>5958</v>
      </c>
      <c r="E865" t="s">
        <v>5959</v>
      </c>
      <c r="F865" t="s">
        <v>5960</v>
      </c>
      <c r="G865" t="s">
        <v>5961</v>
      </c>
      <c r="H865" t="s">
        <v>42</v>
      </c>
      <c r="I865" t="s">
        <v>5962</v>
      </c>
      <c r="J865" t="s">
        <v>5963</v>
      </c>
      <c r="K865">
        <v>28002</v>
      </c>
      <c r="L865" t="s">
        <v>91</v>
      </c>
      <c r="M865" t="s">
        <v>46</v>
      </c>
      <c r="N865" t="s">
        <v>47</v>
      </c>
      <c r="O865">
        <v>12</v>
      </c>
      <c r="P865">
        <v>1</v>
      </c>
      <c r="Q865">
        <v>12</v>
      </c>
      <c r="R865" t="s">
        <v>48</v>
      </c>
      <c r="S865" t="s">
        <v>49</v>
      </c>
      <c r="T865" s="3">
        <v>7</v>
      </c>
      <c r="U865" s="3">
        <v>0.23</v>
      </c>
      <c r="V865" s="3">
        <v>15.82</v>
      </c>
      <c r="W865">
        <v>4.78</v>
      </c>
      <c r="X865" t="s">
        <v>50</v>
      </c>
      <c r="Y865" s="3">
        <v>16.43</v>
      </c>
      <c r="Z865" t="s">
        <v>83</v>
      </c>
      <c r="AA865" t="s">
        <v>4460</v>
      </c>
      <c r="AB865" t="s">
        <v>53</v>
      </c>
      <c r="AC865" s="3">
        <v>1.27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f t="shared" si="26"/>
        <v>40.749999999999993</v>
      </c>
      <c r="AK865" s="3">
        <f t="shared" si="27"/>
        <v>24.319999999999993</v>
      </c>
    </row>
    <row r="866" spans="1:37">
      <c r="A866">
        <v>10319460</v>
      </c>
      <c r="B866" t="s">
        <v>37</v>
      </c>
      <c r="C866" t="s">
        <v>5964</v>
      </c>
      <c r="E866" t="s">
        <v>5965</v>
      </c>
      <c r="F866" t="s">
        <v>5966</v>
      </c>
      <c r="G866" t="s">
        <v>5967</v>
      </c>
      <c r="H866" t="s">
        <v>42</v>
      </c>
      <c r="I866" t="s">
        <v>5968</v>
      </c>
      <c r="J866" t="s">
        <v>5969</v>
      </c>
      <c r="K866" t="s">
        <v>5970</v>
      </c>
      <c r="L866" t="s">
        <v>142</v>
      </c>
      <c r="M866" t="s">
        <v>46</v>
      </c>
      <c r="N866" t="s">
        <v>47</v>
      </c>
      <c r="O866">
        <v>4</v>
      </c>
      <c r="P866">
        <v>1</v>
      </c>
      <c r="Q866">
        <v>4</v>
      </c>
      <c r="R866" t="s">
        <v>48</v>
      </c>
      <c r="S866" t="s">
        <v>49</v>
      </c>
      <c r="T866" s="3">
        <v>0.84</v>
      </c>
      <c r="U866" s="3">
        <v>0.23</v>
      </c>
      <c r="V866" s="3">
        <v>3.55</v>
      </c>
      <c r="W866">
        <v>2.06</v>
      </c>
      <c r="X866" t="s">
        <v>50</v>
      </c>
      <c r="Y866" s="3">
        <v>16.43</v>
      </c>
      <c r="Z866" t="s">
        <v>73</v>
      </c>
      <c r="AA866" t="s">
        <v>990</v>
      </c>
      <c r="AB866" t="s">
        <v>53</v>
      </c>
      <c r="AC866" s="3">
        <v>1.29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f t="shared" si="26"/>
        <v>22.34</v>
      </c>
      <c r="AK866" s="3">
        <f t="shared" si="27"/>
        <v>5.91</v>
      </c>
    </row>
    <row r="867" spans="1:37">
      <c r="A867">
        <v>10319156</v>
      </c>
      <c r="B867" t="s">
        <v>37</v>
      </c>
      <c r="C867" t="s">
        <v>5971</v>
      </c>
      <c r="E867" t="s">
        <v>5972</v>
      </c>
      <c r="F867" t="s">
        <v>4259</v>
      </c>
      <c r="G867" t="s">
        <v>5973</v>
      </c>
      <c r="H867" t="s">
        <v>42</v>
      </c>
      <c r="I867" t="s">
        <v>5974</v>
      </c>
      <c r="J867" t="s">
        <v>5975</v>
      </c>
      <c r="K867" t="s">
        <v>5976</v>
      </c>
      <c r="L867" t="s">
        <v>142</v>
      </c>
      <c r="M867" t="s">
        <v>46</v>
      </c>
      <c r="N867" t="s">
        <v>47</v>
      </c>
      <c r="O867">
        <v>4</v>
      </c>
      <c r="P867">
        <v>1</v>
      </c>
      <c r="Q867">
        <v>4</v>
      </c>
      <c r="R867" t="s">
        <v>48</v>
      </c>
      <c r="S867" t="s">
        <v>49</v>
      </c>
      <c r="T867" s="3">
        <v>0.84</v>
      </c>
      <c r="U867" s="3">
        <v>0.23</v>
      </c>
      <c r="V867" s="3">
        <v>3.55</v>
      </c>
      <c r="W867">
        <v>1.66</v>
      </c>
      <c r="X867" t="s">
        <v>50</v>
      </c>
      <c r="Y867" s="3">
        <v>16.43</v>
      </c>
      <c r="Z867" t="s">
        <v>73</v>
      </c>
      <c r="AA867" t="s">
        <v>583</v>
      </c>
      <c r="AB867" t="s">
        <v>53</v>
      </c>
      <c r="AC867" s="3">
        <v>1.29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f t="shared" si="26"/>
        <v>22.34</v>
      </c>
      <c r="AK867" s="3">
        <f t="shared" si="27"/>
        <v>5.91</v>
      </c>
    </row>
    <row r="868" spans="1:37">
      <c r="A868">
        <v>10319461</v>
      </c>
      <c r="B868" t="s">
        <v>37</v>
      </c>
      <c r="C868" t="s">
        <v>5977</v>
      </c>
      <c r="E868" t="s">
        <v>5978</v>
      </c>
      <c r="F868" t="s">
        <v>5979</v>
      </c>
      <c r="G868" t="s">
        <v>5980</v>
      </c>
      <c r="H868" t="s">
        <v>42</v>
      </c>
      <c r="I868" t="s">
        <v>5981</v>
      </c>
      <c r="J868" t="s">
        <v>5982</v>
      </c>
      <c r="K868">
        <v>1000</v>
      </c>
      <c r="L868" t="s">
        <v>3924</v>
      </c>
      <c r="M868" t="s">
        <v>46</v>
      </c>
      <c r="N868" t="s">
        <v>47</v>
      </c>
      <c r="O868">
        <v>3</v>
      </c>
      <c r="P868">
        <v>1</v>
      </c>
      <c r="Q868">
        <v>3</v>
      </c>
      <c r="R868" t="s">
        <v>48</v>
      </c>
      <c r="S868" t="s">
        <v>49</v>
      </c>
      <c r="T868" s="3">
        <v>0.84</v>
      </c>
      <c r="U868" s="3">
        <v>0.23</v>
      </c>
      <c r="V868" s="3">
        <v>2.68</v>
      </c>
      <c r="W868">
        <v>1.74</v>
      </c>
      <c r="X868" t="s">
        <v>100</v>
      </c>
      <c r="Y868" s="3">
        <v>32.770000000000003</v>
      </c>
      <c r="Z868" t="s">
        <v>73</v>
      </c>
      <c r="AA868" t="s">
        <v>5983</v>
      </c>
      <c r="AB868" t="s">
        <v>53</v>
      </c>
      <c r="AC868" s="3">
        <v>1.29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f t="shared" si="26"/>
        <v>37.81</v>
      </c>
      <c r="AK868" s="3">
        <f t="shared" si="27"/>
        <v>5.0399999999999991</v>
      </c>
    </row>
    <row r="869" spans="1:37">
      <c r="A869">
        <v>10320626</v>
      </c>
      <c r="B869" t="s">
        <v>37</v>
      </c>
      <c r="C869" t="s">
        <v>5984</v>
      </c>
      <c r="E869" t="s">
        <v>5985</v>
      </c>
      <c r="F869" t="s">
        <v>3907</v>
      </c>
      <c r="G869" t="s">
        <v>5986</v>
      </c>
      <c r="H869" t="s">
        <v>42</v>
      </c>
      <c r="I869" t="s">
        <v>5987</v>
      </c>
      <c r="J869" t="s">
        <v>5988</v>
      </c>
      <c r="K869" t="s">
        <v>5989</v>
      </c>
      <c r="L869" t="s">
        <v>82</v>
      </c>
      <c r="M869" t="s">
        <v>46</v>
      </c>
      <c r="N869" t="s">
        <v>47</v>
      </c>
      <c r="O869">
        <v>4</v>
      </c>
      <c r="P869">
        <v>1</v>
      </c>
      <c r="Q869">
        <v>4</v>
      </c>
      <c r="R869" t="s">
        <v>48</v>
      </c>
      <c r="S869" t="s">
        <v>49</v>
      </c>
      <c r="T869" s="3">
        <v>0.84</v>
      </c>
      <c r="U869" s="3">
        <v>0.23</v>
      </c>
      <c r="V869" s="3">
        <v>3.55</v>
      </c>
      <c r="W869">
        <v>1.1599999999999999</v>
      </c>
      <c r="X869" t="s">
        <v>50</v>
      </c>
      <c r="Y869" s="3">
        <v>9.19</v>
      </c>
      <c r="Z869" t="s">
        <v>73</v>
      </c>
      <c r="AA869" t="s">
        <v>5990</v>
      </c>
      <c r="AB869" t="s">
        <v>53</v>
      </c>
      <c r="AC869" s="3">
        <v>1.29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f t="shared" si="26"/>
        <v>15.100000000000001</v>
      </c>
      <c r="AK869" s="3">
        <f t="shared" si="27"/>
        <v>5.9100000000000019</v>
      </c>
    </row>
    <row r="870" spans="1:37">
      <c r="A870">
        <v>10319166</v>
      </c>
      <c r="B870" t="s">
        <v>37</v>
      </c>
      <c r="C870" t="s">
        <v>5991</v>
      </c>
      <c r="E870" t="s">
        <v>5992</v>
      </c>
      <c r="F870" t="s">
        <v>5993</v>
      </c>
      <c r="G870" t="s">
        <v>5994</v>
      </c>
      <c r="H870" t="s">
        <v>42</v>
      </c>
      <c r="I870" t="s">
        <v>5995</v>
      </c>
      <c r="J870" t="s">
        <v>5996</v>
      </c>
      <c r="K870" t="s">
        <v>5997</v>
      </c>
      <c r="L870" t="s">
        <v>82</v>
      </c>
      <c r="M870" t="s">
        <v>46</v>
      </c>
      <c r="N870" t="s">
        <v>47</v>
      </c>
      <c r="O870">
        <v>4</v>
      </c>
      <c r="P870">
        <v>1</v>
      </c>
      <c r="Q870">
        <v>4</v>
      </c>
      <c r="R870" t="s">
        <v>48</v>
      </c>
      <c r="S870" t="s">
        <v>49</v>
      </c>
      <c r="T870" s="3">
        <v>0.84</v>
      </c>
      <c r="U870" s="3">
        <v>0.23</v>
      </c>
      <c r="V870" s="3">
        <v>3.55</v>
      </c>
      <c r="W870">
        <v>1.66</v>
      </c>
      <c r="X870" t="s">
        <v>50</v>
      </c>
      <c r="Y870" s="3">
        <v>9.19</v>
      </c>
      <c r="Z870" t="s">
        <v>73</v>
      </c>
      <c r="AA870" t="s">
        <v>583</v>
      </c>
      <c r="AB870" t="s">
        <v>53</v>
      </c>
      <c r="AC870" s="3">
        <v>1.29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f t="shared" si="26"/>
        <v>15.100000000000001</v>
      </c>
      <c r="AK870" s="3">
        <f t="shared" si="27"/>
        <v>5.9100000000000019</v>
      </c>
    </row>
    <row r="871" spans="1:37">
      <c r="A871">
        <v>10309788</v>
      </c>
      <c r="B871" t="s">
        <v>37</v>
      </c>
      <c r="C871" t="s">
        <v>5998</v>
      </c>
      <c r="E871" t="s">
        <v>2913</v>
      </c>
      <c r="F871" t="s">
        <v>5999</v>
      </c>
      <c r="G871" t="s">
        <v>6000</v>
      </c>
      <c r="H871" t="s">
        <v>42</v>
      </c>
      <c r="I871" t="s">
        <v>6001</v>
      </c>
      <c r="J871" t="s">
        <v>6002</v>
      </c>
      <c r="K871" t="s">
        <v>6003</v>
      </c>
      <c r="L871" t="s">
        <v>142</v>
      </c>
      <c r="M871" t="s">
        <v>46</v>
      </c>
      <c r="N871" t="s">
        <v>47</v>
      </c>
      <c r="O871">
        <v>13</v>
      </c>
      <c r="P871">
        <v>1</v>
      </c>
      <c r="Q871">
        <v>13</v>
      </c>
      <c r="R871" t="s">
        <v>48</v>
      </c>
      <c r="S871" t="s">
        <v>49</v>
      </c>
      <c r="T871" s="3">
        <v>7</v>
      </c>
      <c r="U871" s="3">
        <v>0.23</v>
      </c>
      <c r="V871" s="3">
        <v>17.13</v>
      </c>
      <c r="W871">
        <v>5.28</v>
      </c>
      <c r="X871" t="s">
        <v>50</v>
      </c>
      <c r="Y871" s="3">
        <v>16.43</v>
      </c>
      <c r="Z871" t="s">
        <v>51</v>
      </c>
      <c r="AA871" t="s">
        <v>6004</v>
      </c>
      <c r="AB871" t="s">
        <v>53</v>
      </c>
      <c r="AC871" s="3">
        <v>1.87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f t="shared" si="26"/>
        <v>42.66</v>
      </c>
      <c r="AK871" s="3">
        <f t="shared" si="27"/>
        <v>26.229999999999997</v>
      </c>
    </row>
    <row r="872" spans="1:37">
      <c r="A872">
        <v>10316705</v>
      </c>
      <c r="B872" t="s">
        <v>37</v>
      </c>
      <c r="C872" t="s">
        <v>6005</v>
      </c>
      <c r="E872" t="s">
        <v>6006</v>
      </c>
      <c r="F872" t="s">
        <v>6007</v>
      </c>
      <c r="G872" t="s">
        <v>6008</v>
      </c>
      <c r="H872" t="s">
        <v>42</v>
      </c>
      <c r="I872" t="s">
        <v>6009</v>
      </c>
      <c r="J872" t="s">
        <v>6010</v>
      </c>
      <c r="K872" t="s">
        <v>6011</v>
      </c>
      <c r="L872" t="s">
        <v>82</v>
      </c>
      <c r="M872" t="s">
        <v>46</v>
      </c>
      <c r="N872" t="s">
        <v>47</v>
      </c>
      <c r="O872">
        <v>4</v>
      </c>
      <c r="P872">
        <v>1</v>
      </c>
      <c r="Q872">
        <v>4</v>
      </c>
      <c r="R872" t="s">
        <v>48</v>
      </c>
      <c r="S872" t="s">
        <v>49</v>
      </c>
      <c r="T872" s="3">
        <v>0.84</v>
      </c>
      <c r="U872" s="3">
        <v>0.23</v>
      </c>
      <c r="V872" s="3">
        <v>3.55</v>
      </c>
      <c r="W872">
        <v>1.36</v>
      </c>
      <c r="X872" t="s">
        <v>50</v>
      </c>
      <c r="Y872" s="3">
        <v>9.19</v>
      </c>
      <c r="Z872" t="s">
        <v>73</v>
      </c>
      <c r="AA872" t="s">
        <v>6012</v>
      </c>
      <c r="AB872" t="s">
        <v>53</v>
      </c>
      <c r="AC872" s="3">
        <v>1.29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f t="shared" si="26"/>
        <v>15.100000000000001</v>
      </c>
      <c r="AK872" s="3">
        <f t="shared" si="27"/>
        <v>5.9100000000000019</v>
      </c>
    </row>
    <row r="873" spans="1:37">
      <c r="A873">
        <v>10317946</v>
      </c>
      <c r="B873" t="s">
        <v>37</v>
      </c>
      <c r="C873" t="s">
        <v>6013</v>
      </c>
      <c r="E873" t="s">
        <v>6014</v>
      </c>
      <c r="F873" t="s">
        <v>6015</v>
      </c>
      <c r="G873" t="s">
        <v>6016</v>
      </c>
      <c r="H873" t="s">
        <v>42</v>
      </c>
      <c r="I873" t="s">
        <v>6017</v>
      </c>
      <c r="J873" t="s">
        <v>6018</v>
      </c>
      <c r="K873">
        <v>2570</v>
      </c>
      <c r="L873" t="s">
        <v>505</v>
      </c>
      <c r="M873" t="s">
        <v>46</v>
      </c>
      <c r="N873" t="s">
        <v>47</v>
      </c>
      <c r="O873">
        <v>7</v>
      </c>
      <c r="P873">
        <v>1</v>
      </c>
      <c r="Q873">
        <v>7</v>
      </c>
      <c r="R873" t="s">
        <v>48</v>
      </c>
      <c r="S873" t="s">
        <v>49</v>
      </c>
      <c r="T873" s="3">
        <v>0.84</v>
      </c>
      <c r="U873" s="3">
        <v>0.23</v>
      </c>
      <c r="V873" s="3">
        <v>6.16</v>
      </c>
      <c r="W873">
        <v>4.24</v>
      </c>
      <c r="X873" t="s">
        <v>50</v>
      </c>
      <c r="Y873" s="3">
        <v>9.19</v>
      </c>
      <c r="Z873" t="s">
        <v>83</v>
      </c>
      <c r="AA873" t="s">
        <v>6019</v>
      </c>
      <c r="AB873" t="s">
        <v>53</v>
      </c>
      <c r="AC873" s="3">
        <v>1.27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f t="shared" si="26"/>
        <v>17.689999999999998</v>
      </c>
      <c r="AK873" s="3">
        <f t="shared" si="27"/>
        <v>8.4999999999999982</v>
      </c>
    </row>
    <row r="874" spans="1:37">
      <c r="A874">
        <v>10317950</v>
      </c>
      <c r="B874" t="s">
        <v>37</v>
      </c>
      <c r="C874" t="s">
        <v>6020</v>
      </c>
      <c r="E874" t="s">
        <v>2122</v>
      </c>
      <c r="F874" t="s">
        <v>6021</v>
      </c>
      <c r="G874" t="s">
        <v>6022</v>
      </c>
      <c r="H874" t="s">
        <v>42</v>
      </c>
      <c r="I874" t="s">
        <v>6023</v>
      </c>
      <c r="J874" t="s">
        <v>6024</v>
      </c>
      <c r="K874" t="s">
        <v>6025</v>
      </c>
      <c r="L874" t="s">
        <v>142</v>
      </c>
      <c r="M874" t="s">
        <v>46</v>
      </c>
      <c r="N874" t="s">
        <v>47</v>
      </c>
      <c r="O874">
        <v>4</v>
      </c>
      <c r="P874">
        <v>1</v>
      </c>
      <c r="Q874">
        <v>4</v>
      </c>
      <c r="R874" t="s">
        <v>48</v>
      </c>
      <c r="S874" t="s">
        <v>49</v>
      </c>
      <c r="T874" s="3">
        <v>0.84</v>
      </c>
      <c r="U874" s="3">
        <v>0.23</v>
      </c>
      <c r="V874" s="3">
        <v>3.55</v>
      </c>
      <c r="W874">
        <v>2.06</v>
      </c>
      <c r="X874" t="s">
        <v>50</v>
      </c>
      <c r="Y874" s="3">
        <v>16.43</v>
      </c>
      <c r="Z874" t="s">
        <v>73</v>
      </c>
      <c r="AA874" t="s">
        <v>1694</v>
      </c>
      <c r="AB874" t="s">
        <v>53</v>
      </c>
      <c r="AC874" s="3">
        <v>1.29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f t="shared" si="26"/>
        <v>22.34</v>
      </c>
      <c r="AK874" s="3">
        <f t="shared" si="27"/>
        <v>5.91</v>
      </c>
    </row>
    <row r="875" spans="1:37">
      <c r="A875">
        <v>10317635</v>
      </c>
      <c r="B875" t="s">
        <v>37</v>
      </c>
      <c r="C875" t="s">
        <v>6026</v>
      </c>
      <c r="E875" t="s">
        <v>223</v>
      </c>
      <c r="F875" t="s">
        <v>6027</v>
      </c>
      <c r="G875" t="s">
        <v>6028</v>
      </c>
      <c r="H875" t="s">
        <v>42</v>
      </c>
      <c r="I875" t="s">
        <v>6029</v>
      </c>
      <c r="J875" t="s">
        <v>6030</v>
      </c>
      <c r="K875">
        <v>56858</v>
      </c>
      <c r="L875" t="s">
        <v>71</v>
      </c>
      <c r="M875" t="s">
        <v>46</v>
      </c>
      <c r="N875" t="s">
        <v>47</v>
      </c>
      <c r="O875">
        <v>1</v>
      </c>
      <c r="P875">
        <v>1</v>
      </c>
      <c r="Q875">
        <v>1</v>
      </c>
      <c r="R875" t="s">
        <v>48</v>
      </c>
      <c r="S875" t="s">
        <v>49</v>
      </c>
      <c r="T875" s="3">
        <v>0.84</v>
      </c>
      <c r="U875" s="3">
        <v>0.23</v>
      </c>
      <c r="V875" s="3">
        <v>0.94</v>
      </c>
      <c r="W875">
        <v>0.59</v>
      </c>
      <c r="X875" t="s">
        <v>108</v>
      </c>
      <c r="Y875" s="3">
        <v>5.13</v>
      </c>
      <c r="Z875" t="s">
        <v>109</v>
      </c>
      <c r="AA875" t="s">
        <v>1776</v>
      </c>
      <c r="AB875" t="s">
        <v>53</v>
      </c>
      <c r="AC875" s="3">
        <v>1.06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f t="shared" si="26"/>
        <v>8.1999999999999993</v>
      </c>
      <c r="AK875" s="3">
        <f t="shared" si="27"/>
        <v>3.0699999999999994</v>
      </c>
    </row>
    <row r="876" spans="1:37">
      <c r="A876">
        <v>10316703</v>
      </c>
      <c r="B876" t="s">
        <v>37</v>
      </c>
      <c r="C876" t="s">
        <v>6031</v>
      </c>
      <c r="E876" t="s">
        <v>6032</v>
      </c>
      <c r="F876" t="s">
        <v>6033</v>
      </c>
      <c r="G876" t="s">
        <v>6034</v>
      </c>
      <c r="H876" t="s">
        <v>42</v>
      </c>
      <c r="I876" t="s">
        <v>6035</v>
      </c>
      <c r="J876" t="s">
        <v>6036</v>
      </c>
      <c r="K876" t="s">
        <v>6037</v>
      </c>
      <c r="L876" t="s">
        <v>82</v>
      </c>
      <c r="M876" t="s">
        <v>46</v>
      </c>
      <c r="N876" t="s">
        <v>47</v>
      </c>
      <c r="O876">
        <v>3</v>
      </c>
      <c r="P876">
        <v>1</v>
      </c>
      <c r="Q876">
        <v>3</v>
      </c>
      <c r="R876" t="s">
        <v>48</v>
      </c>
      <c r="S876" t="s">
        <v>49</v>
      </c>
      <c r="T876" s="3">
        <v>0.84</v>
      </c>
      <c r="U876" s="3">
        <v>0.23</v>
      </c>
      <c r="V876" s="3">
        <v>2.68</v>
      </c>
      <c r="W876">
        <v>1.22</v>
      </c>
      <c r="X876" t="s">
        <v>50</v>
      </c>
      <c r="Y876" s="3">
        <v>9.19</v>
      </c>
      <c r="Z876" t="s">
        <v>73</v>
      </c>
      <c r="AA876" t="s">
        <v>6038</v>
      </c>
      <c r="AB876" t="s">
        <v>53</v>
      </c>
      <c r="AC876" s="3">
        <v>1.29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f t="shared" si="26"/>
        <v>14.23</v>
      </c>
      <c r="AK876" s="3">
        <f t="shared" si="27"/>
        <v>5.0400000000000009</v>
      </c>
    </row>
    <row r="877" spans="1:37">
      <c r="A877">
        <v>10319466</v>
      </c>
      <c r="B877" t="s">
        <v>37</v>
      </c>
      <c r="C877" t="s">
        <v>6039</v>
      </c>
      <c r="E877" t="s">
        <v>2366</v>
      </c>
      <c r="F877" t="s">
        <v>6040</v>
      </c>
      <c r="G877" t="s">
        <v>6041</v>
      </c>
      <c r="H877" t="s">
        <v>42</v>
      </c>
      <c r="I877" t="s">
        <v>6042</v>
      </c>
      <c r="J877" t="s">
        <v>6043</v>
      </c>
      <c r="K877">
        <v>17121</v>
      </c>
      <c r="L877" t="s">
        <v>71</v>
      </c>
      <c r="M877" t="s">
        <v>46</v>
      </c>
      <c r="N877" t="s">
        <v>47</v>
      </c>
      <c r="O877">
        <v>1</v>
      </c>
      <c r="P877">
        <v>1</v>
      </c>
      <c r="Q877">
        <v>1</v>
      </c>
      <c r="R877" t="s">
        <v>48</v>
      </c>
      <c r="S877" t="s">
        <v>49</v>
      </c>
      <c r="T877" s="3">
        <v>0.84</v>
      </c>
      <c r="U877" s="3">
        <v>0.23</v>
      </c>
      <c r="V877" s="3">
        <v>0.94</v>
      </c>
      <c r="W877">
        <v>0.49</v>
      </c>
      <c r="X877" t="s">
        <v>108</v>
      </c>
      <c r="Y877" s="3">
        <v>5.13</v>
      </c>
      <c r="Z877" t="s">
        <v>109</v>
      </c>
      <c r="AA877" t="s">
        <v>785</v>
      </c>
      <c r="AB877" t="s">
        <v>53</v>
      </c>
      <c r="AC877" s="3">
        <v>1.06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f t="shared" si="26"/>
        <v>8.1999999999999993</v>
      </c>
      <c r="AK877" s="3">
        <f t="shared" si="27"/>
        <v>3.0699999999999994</v>
      </c>
    </row>
    <row r="878" spans="1:37">
      <c r="A878">
        <v>10317948</v>
      </c>
      <c r="B878" t="s">
        <v>37</v>
      </c>
      <c r="C878" t="s">
        <v>6044</v>
      </c>
      <c r="E878" t="s">
        <v>2984</v>
      </c>
      <c r="F878" t="s">
        <v>6045</v>
      </c>
      <c r="G878" t="s">
        <v>6046</v>
      </c>
      <c r="H878" t="s">
        <v>42</v>
      </c>
      <c r="I878" t="s">
        <v>6047</v>
      </c>
      <c r="J878" t="s">
        <v>6048</v>
      </c>
      <c r="K878">
        <v>34290</v>
      </c>
      <c r="L878" t="s">
        <v>130</v>
      </c>
      <c r="M878" t="s">
        <v>46</v>
      </c>
      <c r="N878" t="s">
        <v>47</v>
      </c>
      <c r="O878">
        <v>3</v>
      </c>
      <c r="P878">
        <v>1</v>
      </c>
      <c r="Q878">
        <v>3</v>
      </c>
      <c r="R878" t="s">
        <v>48</v>
      </c>
      <c r="S878" t="s">
        <v>49</v>
      </c>
      <c r="T878" s="3">
        <v>0.84</v>
      </c>
      <c r="U878" s="3">
        <v>0.23</v>
      </c>
      <c r="V878" s="3">
        <v>2.68</v>
      </c>
      <c r="W878">
        <v>1.19</v>
      </c>
      <c r="X878" t="s">
        <v>50</v>
      </c>
      <c r="Y878" s="3">
        <v>34.31</v>
      </c>
      <c r="Z878" t="s">
        <v>73</v>
      </c>
      <c r="AA878" t="s">
        <v>6049</v>
      </c>
      <c r="AB878" t="s">
        <v>53</v>
      </c>
      <c r="AC878" s="3">
        <v>1.29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f t="shared" si="26"/>
        <v>39.35</v>
      </c>
      <c r="AK878" s="3">
        <f t="shared" si="27"/>
        <v>5.0399999999999991</v>
      </c>
    </row>
    <row r="879" spans="1:37">
      <c r="A879">
        <v>10320624</v>
      </c>
      <c r="B879" t="s">
        <v>37</v>
      </c>
      <c r="C879" t="s">
        <v>6050</v>
      </c>
      <c r="E879" t="s">
        <v>232</v>
      </c>
      <c r="F879" t="s">
        <v>6051</v>
      </c>
      <c r="G879" t="s">
        <v>6052</v>
      </c>
      <c r="H879" t="s">
        <v>42</v>
      </c>
      <c r="I879" t="s">
        <v>6053</v>
      </c>
      <c r="J879" t="s">
        <v>6054</v>
      </c>
      <c r="K879">
        <v>93155</v>
      </c>
      <c r="L879" t="s">
        <v>71</v>
      </c>
      <c r="M879" t="s">
        <v>46</v>
      </c>
      <c r="N879" t="s">
        <v>47</v>
      </c>
      <c r="O879">
        <v>1</v>
      </c>
      <c r="P879">
        <v>1</v>
      </c>
      <c r="Q879">
        <v>1</v>
      </c>
      <c r="R879" t="s">
        <v>48</v>
      </c>
      <c r="S879" t="s">
        <v>49</v>
      </c>
      <c r="T879" s="3">
        <v>0.84</v>
      </c>
      <c r="U879" s="3">
        <v>0.23</v>
      </c>
      <c r="V879" s="3">
        <v>0.94</v>
      </c>
      <c r="W879">
        <v>0.49</v>
      </c>
      <c r="X879" t="s">
        <v>108</v>
      </c>
      <c r="Y879" s="3">
        <v>5.13</v>
      </c>
      <c r="Z879" t="s">
        <v>109</v>
      </c>
      <c r="AA879" t="s">
        <v>785</v>
      </c>
      <c r="AB879" t="s">
        <v>53</v>
      </c>
      <c r="AC879" s="3">
        <v>1.06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f t="shared" si="26"/>
        <v>8.1999999999999993</v>
      </c>
      <c r="AK879" s="3">
        <f t="shared" si="27"/>
        <v>3.0699999999999994</v>
      </c>
    </row>
    <row r="880" spans="1:37">
      <c r="A880">
        <v>10320627</v>
      </c>
      <c r="B880" t="s">
        <v>37</v>
      </c>
      <c r="C880" t="s">
        <v>6055</v>
      </c>
      <c r="E880" t="s">
        <v>1236</v>
      </c>
      <c r="F880" t="s">
        <v>6056</v>
      </c>
      <c r="G880" t="s">
        <v>6057</v>
      </c>
      <c r="H880" t="s">
        <v>42</v>
      </c>
      <c r="I880" t="s">
        <v>6058</v>
      </c>
      <c r="J880" t="s">
        <v>6059</v>
      </c>
      <c r="K880">
        <v>74564</v>
      </c>
      <c r="L880" t="s">
        <v>71</v>
      </c>
      <c r="M880" t="s">
        <v>46</v>
      </c>
      <c r="N880" t="s">
        <v>47</v>
      </c>
      <c r="O880">
        <v>2</v>
      </c>
      <c r="P880">
        <v>1</v>
      </c>
      <c r="Q880">
        <v>2</v>
      </c>
      <c r="R880" t="s">
        <v>48</v>
      </c>
      <c r="S880" t="s">
        <v>49</v>
      </c>
      <c r="T880" s="3">
        <v>0.84</v>
      </c>
      <c r="U880" s="3">
        <v>0.23</v>
      </c>
      <c r="V880" s="3">
        <v>1.81</v>
      </c>
      <c r="W880">
        <v>1.08</v>
      </c>
      <c r="X880" t="s">
        <v>108</v>
      </c>
      <c r="Y880" s="3">
        <v>5.13</v>
      </c>
      <c r="Z880" t="s">
        <v>109</v>
      </c>
      <c r="AA880" t="s">
        <v>6060</v>
      </c>
      <c r="AB880" t="s">
        <v>53</v>
      </c>
      <c r="AC880" s="3">
        <v>1.06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f t="shared" si="26"/>
        <v>9.07</v>
      </c>
      <c r="AK880" s="3">
        <f t="shared" si="27"/>
        <v>3.9400000000000004</v>
      </c>
    </row>
    <row r="881" spans="1:37">
      <c r="A881">
        <v>10320628</v>
      </c>
      <c r="B881" t="s">
        <v>37</v>
      </c>
      <c r="C881" t="s">
        <v>6061</v>
      </c>
      <c r="E881" t="s">
        <v>3582</v>
      </c>
      <c r="F881" t="s">
        <v>6062</v>
      </c>
      <c r="G881" t="s">
        <v>6063</v>
      </c>
      <c r="H881" t="s">
        <v>42</v>
      </c>
      <c r="I881" t="s">
        <v>6064</v>
      </c>
      <c r="J881" t="s">
        <v>6065</v>
      </c>
      <c r="K881">
        <v>6637</v>
      </c>
      <c r="L881" t="s">
        <v>369</v>
      </c>
      <c r="M881" t="s">
        <v>46</v>
      </c>
      <c r="N881" t="s">
        <v>47</v>
      </c>
      <c r="O881">
        <v>2</v>
      </c>
      <c r="P881">
        <v>1</v>
      </c>
      <c r="Q881">
        <v>2</v>
      </c>
      <c r="R881" t="s">
        <v>48</v>
      </c>
      <c r="S881" t="s">
        <v>49</v>
      </c>
      <c r="T881" s="3">
        <v>0.84</v>
      </c>
      <c r="U881" s="3">
        <v>0.23</v>
      </c>
      <c r="V881" s="3">
        <v>1.81</v>
      </c>
      <c r="W881">
        <v>1.08</v>
      </c>
      <c r="X881" t="s">
        <v>50</v>
      </c>
      <c r="Y881" s="3">
        <v>9.19</v>
      </c>
      <c r="Z881" t="s">
        <v>109</v>
      </c>
      <c r="AA881" t="s">
        <v>4396</v>
      </c>
      <c r="AB881" t="s">
        <v>53</v>
      </c>
      <c r="AC881" s="3">
        <v>1.06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f t="shared" si="26"/>
        <v>13.13</v>
      </c>
      <c r="AK881" s="3">
        <f t="shared" si="27"/>
        <v>3.9400000000000013</v>
      </c>
    </row>
    <row r="882" spans="1:37">
      <c r="A882">
        <v>10317623</v>
      </c>
      <c r="B882" t="s">
        <v>37</v>
      </c>
      <c r="C882" t="s">
        <v>6066</v>
      </c>
      <c r="E882" t="s">
        <v>6067</v>
      </c>
      <c r="F882" t="s">
        <v>1658</v>
      </c>
      <c r="G882" t="s">
        <v>6068</v>
      </c>
      <c r="H882" t="s">
        <v>42</v>
      </c>
      <c r="I882" t="s">
        <v>6069</v>
      </c>
      <c r="J882" t="s">
        <v>6070</v>
      </c>
      <c r="K882">
        <v>22880</v>
      </c>
      <c r="L882" t="s">
        <v>71</v>
      </c>
      <c r="M882" t="s">
        <v>46</v>
      </c>
      <c r="N882" t="s">
        <v>47</v>
      </c>
      <c r="O882">
        <v>2</v>
      </c>
      <c r="P882">
        <v>1</v>
      </c>
      <c r="Q882">
        <v>2</v>
      </c>
      <c r="R882" t="s">
        <v>48</v>
      </c>
      <c r="S882" t="s">
        <v>49</v>
      </c>
      <c r="T882" s="3">
        <v>0.84</v>
      </c>
      <c r="U882" s="3">
        <v>0.23</v>
      </c>
      <c r="V882" s="3">
        <v>1.81</v>
      </c>
      <c r="W882">
        <v>0.98</v>
      </c>
      <c r="X882" t="s">
        <v>108</v>
      </c>
      <c r="Y882" s="3">
        <v>5.13</v>
      </c>
      <c r="Z882" t="s">
        <v>109</v>
      </c>
      <c r="AA882" t="s">
        <v>6071</v>
      </c>
      <c r="AB882" t="s">
        <v>53</v>
      </c>
      <c r="AC882" s="3">
        <v>1.06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f t="shared" si="26"/>
        <v>9.07</v>
      </c>
      <c r="AK882" s="3">
        <f t="shared" si="27"/>
        <v>3.9400000000000004</v>
      </c>
    </row>
    <row r="883" spans="1:37">
      <c r="A883">
        <v>10318201</v>
      </c>
      <c r="B883" t="s">
        <v>37</v>
      </c>
      <c r="C883" t="s">
        <v>6072</v>
      </c>
      <c r="E883" t="s">
        <v>1330</v>
      </c>
      <c r="F883" t="s">
        <v>187</v>
      </c>
      <c r="G883" t="s">
        <v>6073</v>
      </c>
      <c r="H883" t="s">
        <v>42</v>
      </c>
      <c r="I883" t="s">
        <v>6074</v>
      </c>
      <c r="J883" t="s">
        <v>6075</v>
      </c>
      <c r="K883">
        <v>51061</v>
      </c>
      <c r="L883" t="s">
        <v>71</v>
      </c>
      <c r="M883" t="s">
        <v>46</v>
      </c>
      <c r="N883" t="s">
        <v>47</v>
      </c>
      <c r="O883">
        <v>2</v>
      </c>
      <c r="P883">
        <v>1</v>
      </c>
      <c r="Q883">
        <v>2</v>
      </c>
      <c r="R883" t="s">
        <v>48</v>
      </c>
      <c r="S883" t="s">
        <v>49</v>
      </c>
      <c r="T883" s="3">
        <v>0.84</v>
      </c>
      <c r="U883" s="3">
        <v>0.23</v>
      </c>
      <c r="V883" s="3">
        <v>1.81</v>
      </c>
      <c r="W883">
        <v>1.08</v>
      </c>
      <c r="X883" t="s">
        <v>108</v>
      </c>
      <c r="Y883" s="3">
        <v>5.13</v>
      </c>
      <c r="Z883" t="s">
        <v>109</v>
      </c>
      <c r="AA883" t="s">
        <v>5545</v>
      </c>
      <c r="AB883" t="s">
        <v>53</v>
      </c>
      <c r="AC883" s="3">
        <v>1.06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f t="shared" si="26"/>
        <v>9.07</v>
      </c>
      <c r="AK883" s="3">
        <f t="shared" si="27"/>
        <v>3.9400000000000004</v>
      </c>
    </row>
    <row r="884" spans="1:37">
      <c r="A884">
        <v>10318204</v>
      </c>
      <c r="B884" t="s">
        <v>37</v>
      </c>
      <c r="C884" t="s">
        <v>6076</v>
      </c>
      <c r="E884" t="s">
        <v>6077</v>
      </c>
      <c r="F884" t="s">
        <v>5697</v>
      </c>
      <c r="G884" t="s">
        <v>6078</v>
      </c>
      <c r="H884" t="s">
        <v>42</v>
      </c>
      <c r="I884" t="s">
        <v>6079</v>
      </c>
      <c r="J884" t="s">
        <v>6080</v>
      </c>
      <c r="K884" t="s">
        <v>6081</v>
      </c>
      <c r="L884" t="s">
        <v>142</v>
      </c>
      <c r="M884" t="s">
        <v>46</v>
      </c>
      <c r="N884" t="s">
        <v>47</v>
      </c>
      <c r="O884">
        <v>2</v>
      </c>
      <c r="P884">
        <v>1</v>
      </c>
      <c r="Q884">
        <v>2</v>
      </c>
      <c r="R884" t="s">
        <v>48</v>
      </c>
      <c r="S884" t="s">
        <v>49</v>
      </c>
      <c r="T884" s="3">
        <v>0.84</v>
      </c>
      <c r="U884" s="3">
        <v>0.23</v>
      </c>
      <c r="V884" s="3">
        <v>1.81</v>
      </c>
      <c r="W884">
        <v>1.08</v>
      </c>
      <c r="X884" t="s">
        <v>50</v>
      </c>
      <c r="Y884" s="3">
        <v>16.43</v>
      </c>
      <c r="Z884" t="s">
        <v>109</v>
      </c>
      <c r="AA884" t="s">
        <v>6082</v>
      </c>
      <c r="AB884" t="s">
        <v>53</v>
      </c>
      <c r="AC884" s="3">
        <v>1.06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f t="shared" si="26"/>
        <v>20.369999999999997</v>
      </c>
      <c r="AK884" s="3">
        <f t="shared" si="27"/>
        <v>3.9399999999999977</v>
      </c>
    </row>
    <row r="885" spans="1:37">
      <c r="A885">
        <v>10287001</v>
      </c>
      <c r="B885" t="s">
        <v>37</v>
      </c>
      <c r="C885" t="s">
        <v>6083</v>
      </c>
      <c r="D885" t="s">
        <v>6084</v>
      </c>
      <c r="E885" t="s">
        <v>6085</v>
      </c>
      <c r="F885" t="s">
        <v>6086</v>
      </c>
      <c r="G885" t="s">
        <v>6087</v>
      </c>
      <c r="H885" t="s">
        <v>42</v>
      </c>
      <c r="I885" t="s">
        <v>6088</v>
      </c>
      <c r="J885" t="s">
        <v>6089</v>
      </c>
      <c r="K885" t="s">
        <v>6090</v>
      </c>
      <c r="L885" t="s">
        <v>130</v>
      </c>
      <c r="M885" t="s">
        <v>46</v>
      </c>
      <c r="N885" t="s">
        <v>47</v>
      </c>
      <c r="O885">
        <v>30</v>
      </c>
      <c r="P885">
        <v>1</v>
      </c>
      <c r="Q885">
        <v>30</v>
      </c>
      <c r="R885" t="s">
        <v>48</v>
      </c>
      <c r="S885" t="s">
        <v>49</v>
      </c>
      <c r="T885" s="3">
        <v>7</v>
      </c>
      <c r="U885" s="3">
        <v>0.23</v>
      </c>
      <c r="V885" s="3">
        <v>32.65</v>
      </c>
      <c r="W885">
        <v>11.7</v>
      </c>
      <c r="X885" t="s">
        <v>50</v>
      </c>
      <c r="Y885" s="3">
        <v>19.809999999999999</v>
      </c>
      <c r="Z885" t="s">
        <v>6091</v>
      </c>
      <c r="AA885" t="s">
        <v>6092</v>
      </c>
      <c r="AB885" t="s">
        <v>53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f t="shared" si="26"/>
        <v>59.689999999999991</v>
      </c>
      <c r="AK885" s="3">
        <f t="shared" si="27"/>
        <v>39.879999999999995</v>
      </c>
    </row>
    <row r="886" spans="1:37">
      <c r="A886">
        <v>10286249</v>
      </c>
      <c r="B886" t="s">
        <v>111</v>
      </c>
      <c r="C886" t="s">
        <v>6093</v>
      </c>
      <c r="E886" t="s">
        <v>5704</v>
      </c>
      <c r="F886" t="s">
        <v>6094</v>
      </c>
      <c r="G886" t="s">
        <v>6095</v>
      </c>
      <c r="H886" t="s">
        <v>117</v>
      </c>
      <c r="I886" t="s">
        <v>6096</v>
      </c>
      <c r="J886" t="s">
        <v>6097</v>
      </c>
      <c r="K886">
        <v>13260</v>
      </c>
      <c r="L886" t="s">
        <v>130</v>
      </c>
      <c r="M886" t="s">
        <v>46</v>
      </c>
      <c r="N886" t="s">
        <v>47</v>
      </c>
      <c r="O886">
        <v>42</v>
      </c>
      <c r="P886">
        <v>1</v>
      </c>
      <c r="Q886">
        <v>42</v>
      </c>
      <c r="R886" t="s">
        <v>48</v>
      </c>
      <c r="S886" t="s">
        <v>49</v>
      </c>
      <c r="T886" s="3">
        <v>7</v>
      </c>
      <c r="U886" s="3">
        <v>0.23</v>
      </c>
      <c r="V886" s="3">
        <v>42.97</v>
      </c>
      <c r="W886">
        <v>20</v>
      </c>
      <c r="X886" t="s">
        <v>131</v>
      </c>
      <c r="Y886" s="3">
        <v>14.42</v>
      </c>
      <c r="Z886" t="s">
        <v>51</v>
      </c>
      <c r="AA886" t="s">
        <v>6098</v>
      </c>
      <c r="AB886" t="s">
        <v>53</v>
      </c>
      <c r="AC886" s="3">
        <v>1.87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f t="shared" si="26"/>
        <v>66.489999999999995</v>
      </c>
      <c r="AK886" s="3">
        <f t="shared" si="27"/>
        <v>52.069999999999993</v>
      </c>
    </row>
    <row r="887" spans="1:37">
      <c r="A887">
        <v>10316441</v>
      </c>
      <c r="B887" t="s">
        <v>111</v>
      </c>
      <c r="C887" t="s">
        <v>6099</v>
      </c>
      <c r="D887" t="s">
        <v>6100</v>
      </c>
      <c r="E887" t="s">
        <v>6101</v>
      </c>
      <c r="F887" t="s">
        <v>2366</v>
      </c>
      <c r="G887" t="s">
        <v>6102</v>
      </c>
      <c r="H887" t="s">
        <v>117</v>
      </c>
      <c r="I887" t="s">
        <v>6103</v>
      </c>
      <c r="J887" t="s">
        <v>6104</v>
      </c>
      <c r="K887" t="s">
        <v>6105</v>
      </c>
      <c r="L887" t="s">
        <v>3866</v>
      </c>
      <c r="M887" t="s">
        <v>46</v>
      </c>
      <c r="N887" t="s">
        <v>47</v>
      </c>
      <c r="O887">
        <v>24</v>
      </c>
      <c r="P887">
        <v>1</v>
      </c>
      <c r="Q887">
        <v>24</v>
      </c>
      <c r="R887" t="s">
        <v>48</v>
      </c>
      <c r="S887" t="s">
        <v>49</v>
      </c>
      <c r="T887" s="3">
        <v>7</v>
      </c>
      <c r="U887" s="3">
        <v>0.23</v>
      </c>
      <c r="V887" s="3">
        <v>27.49</v>
      </c>
      <c r="W887">
        <v>15</v>
      </c>
      <c r="X887" t="s">
        <v>50</v>
      </c>
      <c r="Y887" s="3">
        <v>46.67</v>
      </c>
      <c r="Z887" t="s">
        <v>51</v>
      </c>
      <c r="AA887" t="s">
        <v>6106</v>
      </c>
      <c r="AB887" t="s">
        <v>53</v>
      </c>
      <c r="AC887" s="3">
        <v>1.87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f t="shared" si="26"/>
        <v>83.26</v>
      </c>
      <c r="AK887" s="3">
        <f t="shared" si="27"/>
        <v>36.590000000000003</v>
      </c>
    </row>
    <row r="888" spans="1:37">
      <c r="A888">
        <v>10317305</v>
      </c>
      <c r="B888" t="s">
        <v>37</v>
      </c>
      <c r="C888" t="s">
        <v>6107</v>
      </c>
      <c r="E888" t="s">
        <v>6108</v>
      </c>
      <c r="F888" t="s">
        <v>6109</v>
      </c>
      <c r="G888" t="s">
        <v>6110</v>
      </c>
      <c r="H888" t="s">
        <v>42</v>
      </c>
      <c r="I888" t="s">
        <v>6111</v>
      </c>
      <c r="J888" t="s">
        <v>6112</v>
      </c>
      <c r="K888">
        <v>1268</v>
      </c>
      <c r="L888" t="s">
        <v>369</v>
      </c>
      <c r="M888" t="s">
        <v>46</v>
      </c>
      <c r="N888" t="s">
        <v>47</v>
      </c>
      <c r="O888">
        <v>1</v>
      </c>
      <c r="P888">
        <v>1</v>
      </c>
      <c r="Q888">
        <v>1</v>
      </c>
      <c r="R888" t="s">
        <v>48</v>
      </c>
      <c r="S888" t="s">
        <v>49</v>
      </c>
      <c r="T888" s="3">
        <v>0.84</v>
      </c>
      <c r="U888" s="3">
        <v>0.23</v>
      </c>
      <c r="V888" s="3">
        <v>0.94</v>
      </c>
      <c r="W888">
        <v>2.1</v>
      </c>
      <c r="X888" t="s">
        <v>50</v>
      </c>
      <c r="Y888" s="3">
        <v>9.19</v>
      </c>
      <c r="Z888" t="s">
        <v>83</v>
      </c>
      <c r="AA888" t="s">
        <v>6113</v>
      </c>
      <c r="AB888" t="s">
        <v>53</v>
      </c>
      <c r="AC888" s="3">
        <v>1.27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f t="shared" si="26"/>
        <v>12.469999999999999</v>
      </c>
      <c r="AK888" s="3">
        <f t="shared" si="27"/>
        <v>3.2799999999999994</v>
      </c>
    </row>
    <row r="889" spans="1:37">
      <c r="A889">
        <v>10304831</v>
      </c>
      <c r="B889" t="s">
        <v>37</v>
      </c>
      <c r="C889" t="s">
        <v>6114</v>
      </c>
      <c r="E889" t="s">
        <v>6115</v>
      </c>
      <c r="F889" t="s">
        <v>6116</v>
      </c>
      <c r="G889" t="s">
        <v>6117</v>
      </c>
      <c r="H889" t="s">
        <v>42</v>
      </c>
      <c r="I889" t="s">
        <v>6118</v>
      </c>
      <c r="J889" t="s">
        <v>6119</v>
      </c>
      <c r="K889">
        <v>85635</v>
      </c>
      <c r="L889" t="s">
        <v>71</v>
      </c>
      <c r="M889" t="s">
        <v>46</v>
      </c>
      <c r="N889" t="s">
        <v>47</v>
      </c>
      <c r="O889">
        <v>1</v>
      </c>
      <c r="P889">
        <v>1</v>
      </c>
      <c r="Q889">
        <v>1</v>
      </c>
      <c r="R889" t="s">
        <v>48</v>
      </c>
      <c r="S889" t="s">
        <v>49</v>
      </c>
      <c r="T889" s="3">
        <v>0.84</v>
      </c>
      <c r="U889" s="3">
        <v>0.23</v>
      </c>
      <c r="V889" s="3">
        <v>0.94</v>
      </c>
      <c r="W889">
        <v>2.1</v>
      </c>
      <c r="X889" t="s">
        <v>72</v>
      </c>
      <c r="Y889" s="3">
        <v>5.43</v>
      </c>
      <c r="Z889" t="s">
        <v>83</v>
      </c>
      <c r="AA889" t="s">
        <v>5063</v>
      </c>
      <c r="AB889" t="s">
        <v>53</v>
      </c>
      <c r="AC889" s="3">
        <v>1.27</v>
      </c>
      <c r="AD889" s="3">
        <v>0</v>
      </c>
      <c r="AE889" s="3">
        <v>0</v>
      </c>
      <c r="AF889" s="3">
        <v>0</v>
      </c>
      <c r="AG889" s="3">
        <v>0</v>
      </c>
      <c r="AH889" s="3">
        <v>5</v>
      </c>
      <c r="AI889" s="3">
        <v>0</v>
      </c>
      <c r="AJ889" s="3">
        <f t="shared" si="26"/>
        <v>13.709999999999999</v>
      </c>
      <c r="AK889" s="3">
        <f t="shared" si="27"/>
        <v>8.2799999999999994</v>
      </c>
    </row>
    <row r="890" spans="1:37">
      <c r="A890">
        <v>10317954</v>
      </c>
      <c r="B890" t="s">
        <v>37</v>
      </c>
      <c r="C890" t="s">
        <v>6120</v>
      </c>
      <c r="E890" t="s">
        <v>6121</v>
      </c>
      <c r="F890" t="s">
        <v>4266</v>
      </c>
      <c r="G890" t="s">
        <v>6122</v>
      </c>
      <c r="H890" t="s">
        <v>42</v>
      </c>
      <c r="I890" t="s">
        <v>6123</v>
      </c>
      <c r="J890" t="s">
        <v>6124</v>
      </c>
      <c r="K890" t="s">
        <v>6125</v>
      </c>
      <c r="L890" t="s">
        <v>142</v>
      </c>
      <c r="M890" t="s">
        <v>46</v>
      </c>
      <c r="N890" t="s">
        <v>47</v>
      </c>
      <c r="O890">
        <v>1</v>
      </c>
      <c r="P890">
        <v>1</v>
      </c>
      <c r="Q890">
        <v>1</v>
      </c>
      <c r="R890" t="s">
        <v>48</v>
      </c>
      <c r="S890" t="s">
        <v>49</v>
      </c>
      <c r="T890" s="3">
        <v>0.84</v>
      </c>
      <c r="U890" s="3">
        <v>0.23</v>
      </c>
      <c r="V890" s="3">
        <v>0.94</v>
      </c>
      <c r="W890">
        <v>2.1</v>
      </c>
      <c r="X890" t="s">
        <v>50</v>
      </c>
      <c r="Y890" s="3">
        <v>16.43</v>
      </c>
      <c r="Z890" t="s">
        <v>83</v>
      </c>
      <c r="AA890" t="s">
        <v>5063</v>
      </c>
      <c r="AB890" t="s">
        <v>53</v>
      </c>
      <c r="AC890" s="3">
        <v>1.27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f t="shared" si="26"/>
        <v>19.71</v>
      </c>
      <c r="AK890" s="3">
        <f t="shared" si="27"/>
        <v>3.2800000000000011</v>
      </c>
    </row>
    <row r="891" spans="1:37">
      <c r="A891">
        <v>10319152</v>
      </c>
      <c r="B891" t="s">
        <v>37</v>
      </c>
      <c r="C891" t="s">
        <v>6126</v>
      </c>
      <c r="E891" t="s">
        <v>2292</v>
      </c>
      <c r="F891" t="s">
        <v>6127</v>
      </c>
      <c r="G891" t="s">
        <v>6128</v>
      </c>
      <c r="H891" t="s">
        <v>42</v>
      </c>
      <c r="I891" t="s">
        <v>6129</v>
      </c>
      <c r="J891" t="s">
        <v>6130</v>
      </c>
      <c r="K891">
        <v>96253</v>
      </c>
      <c r="L891" t="s">
        <v>71</v>
      </c>
      <c r="M891" t="s">
        <v>46</v>
      </c>
      <c r="N891" t="s">
        <v>47</v>
      </c>
      <c r="O891">
        <v>1</v>
      </c>
      <c r="P891">
        <v>1</v>
      </c>
      <c r="Q891">
        <v>1</v>
      </c>
      <c r="R891" t="s">
        <v>48</v>
      </c>
      <c r="S891" t="s">
        <v>49</v>
      </c>
      <c r="T891" s="3">
        <v>0.84</v>
      </c>
      <c r="U891" s="3">
        <v>0.23</v>
      </c>
      <c r="V891" s="3">
        <v>0.94</v>
      </c>
      <c r="W891">
        <v>0.59</v>
      </c>
      <c r="X891" t="s">
        <v>72</v>
      </c>
      <c r="Y891" s="3">
        <v>9.57</v>
      </c>
      <c r="Z891" t="s">
        <v>73</v>
      </c>
      <c r="AA891" t="s">
        <v>184</v>
      </c>
      <c r="AB891" t="s">
        <v>53</v>
      </c>
      <c r="AC891" s="3">
        <v>1.29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f t="shared" si="26"/>
        <v>12.87</v>
      </c>
      <c r="AK891" s="3">
        <f t="shared" si="27"/>
        <v>3.2999999999999989</v>
      </c>
    </row>
    <row r="892" spans="1:37">
      <c r="A892">
        <v>10317952</v>
      </c>
      <c r="B892" t="s">
        <v>37</v>
      </c>
      <c r="C892" t="s">
        <v>6131</v>
      </c>
      <c r="E892" t="s">
        <v>6132</v>
      </c>
      <c r="F892" t="s">
        <v>6133</v>
      </c>
      <c r="G892" t="s">
        <v>6134</v>
      </c>
      <c r="H892" t="s">
        <v>42</v>
      </c>
      <c r="I892" t="s">
        <v>6135</v>
      </c>
      <c r="J892" t="s">
        <v>6136</v>
      </c>
      <c r="K892">
        <v>33012</v>
      </c>
      <c r="L892" t="s">
        <v>91</v>
      </c>
      <c r="M892" t="s">
        <v>46</v>
      </c>
      <c r="N892" t="s">
        <v>47</v>
      </c>
      <c r="O892">
        <v>1</v>
      </c>
      <c r="P892">
        <v>1</v>
      </c>
      <c r="Q892">
        <v>1</v>
      </c>
      <c r="R892" t="s">
        <v>48</v>
      </c>
      <c r="S892" t="s">
        <v>49</v>
      </c>
      <c r="T892" s="3">
        <v>0.84</v>
      </c>
      <c r="U892" s="3">
        <v>0.23</v>
      </c>
      <c r="V892" s="3">
        <v>0.94</v>
      </c>
      <c r="W892">
        <v>0.59</v>
      </c>
      <c r="X892" t="s">
        <v>50</v>
      </c>
      <c r="Y892" s="3">
        <v>16.43</v>
      </c>
      <c r="Z892" t="s">
        <v>73</v>
      </c>
      <c r="AA892" t="s">
        <v>862</v>
      </c>
      <c r="AB892" t="s">
        <v>53</v>
      </c>
      <c r="AC892" s="3">
        <v>1.29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f t="shared" si="26"/>
        <v>19.73</v>
      </c>
      <c r="AK892" s="3">
        <f t="shared" si="27"/>
        <v>3.3000000000000007</v>
      </c>
    </row>
    <row r="893" spans="1:37">
      <c r="A893">
        <v>10319158</v>
      </c>
      <c r="B893" t="s">
        <v>37</v>
      </c>
      <c r="C893" t="s">
        <v>6137</v>
      </c>
      <c r="E893" t="s">
        <v>6138</v>
      </c>
      <c r="F893" t="s">
        <v>6139</v>
      </c>
      <c r="G893" t="s">
        <v>6140</v>
      </c>
      <c r="H893" t="s">
        <v>42</v>
      </c>
      <c r="I893" t="s">
        <v>6141</v>
      </c>
      <c r="J893" t="s">
        <v>6142</v>
      </c>
      <c r="K893">
        <v>41516</v>
      </c>
      <c r="L893" t="s">
        <v>71</v>
      </c>
      <c r="M893" t="s">
        <v>46</v>
      </c>
      <c r="N893" t="s">
        <v>47</v>
      </c>
      <c r="O893">
        <v>1</v>
      </c>
      <c r="P893">
        <v>1</v>
      </c>
      <c r="Q893">
        <v>1</v>
      </c>
      <c r="R893" t="s">
        <v>48</v>
      </c>
      <c r="S893" t="s">
        <v>49</v>
      </c>
      <c r="T893" s="3">
        <v>0.84</v>
      </c>
      <c r="U893" s="3">
        <v>0.23</v>
      </c>
      <c r="V893" s="3">
        <v>0.94</v>
      </c>
      <c r="W893">
        <v>0.59</v>
      </c>
      <c r="X893" t="s">
        <v>72</v>
      </c>
      <c r="Y893" s="3">
        <v>5.43</v>
      </c>
      <c r="Z893" t="s">
        <v>73</v>
      </c>
      <c r="AA893" t="s">
        <v>184</v>
      </c>
      <c r="AB893" t="s">
        <v>53</v>
      </c>
      <c r="AC893" s="3">
        <v>1.29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f t="shared" si="26"/>
        <v>8.73</v>
      </c>
      <c r="AK893" s="3">
        <f t="shared" si="27"/>
        <v>3.3000000000000007</v>
      </c>
    </row>
    <row r="894" spans="1:37">
      <c r="A894">
        <v>10304225</v>
      </c>
      <c r="B894" t="s">
        <v>37</v>
      </c>
      <c r="C894" t="s">
        <v>6143</v>
      </c>
      <c r="D894" t="s">
        <v>6144</v>
      </c>
      <c r="E894" t="s">
        <v>6145</v>
      </c>
      <c r="F894" t="s">
        <v>6146</v>
      </c>
      <c r="G894" t="s">
        <v>6147</v>
      </c>
      <c r="H894" t="s">
        <v>42</v>
      </c>
      <c r="I894" t="s">
        <v>6148</v>
      </c>
      <c r="J894" t="s">
        <v>6149</v>
      </c>
      <c r="K894">
        <v>90441</v>
      </c>
      <c r="L894" t="s">
        <v>71</v>
      </c>
      <c r="M894" t="s">
        <v>46</v>
      </c>
      <c r="N894" t="s">
        <v>47</v>
      </c>
      <c r="O894">
        <v>1</v>
      </c>
      <c r="P894">
        <v>1</v>
      </c>
      <c r="Q894">
        <v>1</v>
      </c>
      <c r="R894" t="s">
        <v>48</v>
      </c>
      <c r="S894" t="s">
        <v>49</v>
      </c>
      <c r="T894" s="3">
        <v>0.84</v>
      </c>
      <c r="U894" s="3">
        <v>0.23</v>
      </c>
      <c r="V894" s="3">
        <v>0.94</v>
      </c>
      <c r="W894">
        <v>1.5</v>
      </c>
      <c r="X894" t="s">
        <v>72</v>
      </c>
      <c r="Y894" s="3">
        <v>5.43</v>
      </c>
      <c r="Z894" t="s">
        <v>73</v>
      </c>
      <c r="AA894" t="s">
        <v>848</v>
      </c>
      <c r="AB894" t="s">
        <v>53</v>
      </c>
      <c r="AC894" s="3">
        <v>1.29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f t="shared" si="26"/>
        <v>8.73</v>
      </c>
      <c r="AK894" s="3">
        <f t="shared" si="27"/>
        <v>3.3000000000000007</v>
      </c>
    </row>
    <row r="895" spans="1:37">
      <c r="A895">
        <v>10320798</v>
      </c>
      <c r="B895" t="s">
        <v>37</v>
      </c>
      <c r="C895" t="s">
        <v>6150</v>
      </c>
      <c r="E895" t="s">
        <v>6151</v>
      </c>
      <c r="F895" t="s">
        <v>6152</v>
      </c>
      <c r="G895" t="s">
        <v>6153</v>
      </c>
      <c r="H895" t="s">
        <v>42</v>
      </c>
      <c r="I895" t="s">
        <v>6154</v>
      </c>
      <c r="J895" t="s">
        <v>6155</v>
      </c>
      <c r="K895">
        <v>1180</v>
      </c>
      <c r="L895" t="s">
        <v>505</v>
      </c>
      <c r="M895" t="s">
        <v>46</v>
      </c>
      <c r="N895" t="s">
        <v>47</v>
      </c>
      <c r="O895">
        <v>1</v>
      </c>
      <c r="P895">
        <v>1</v>
      </c>
      <c r="Q895">
        <v>1</v>
      </c>
      <c r="R895" t="s">
        <v>48</v>
      </c>
      <c r="S895" t="s">
        <v>49</v>
      </c>
      <c r="T895" s="3">
        <v>0.84</v>
      </c>
      <c r="U895" s="3">
        <v>0.23</v>
      </c>
      <c r="V895" s="3">
        <v>0.94</v>
      </c>
      <c r="W895">
        <v>0.49</v>
      </c>
      <c r="X895" t="s">
        <v>50</v>
      </c>
      <c r="Y895" s="3">
        <v>9.19</v>
      </c>
      <c r="Z895" t="s">
        <v>109</v>
      </c>
      <c r="AA895" t="s">
        <v>1139</v>
      </c>
      <c r="AB895" t="s">
        <v>53</v>
      </c>
      <c r="AC895" s="3">
        <v>1.06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f t="shared" si="26"/>
        <v>12.26</v>
      </c>
      <c r="AK895" s="3">
        <f t="shared" si="27"/>
        <v>3.0700000000000003</v>
      </c>
    </row>
    <row r="896" spans="1:37">
      <c r="A896">
        <v>10316448</v>
      </c>
      <c r="B896" t="s">
        <v>37</v>
      </c>
      <c r="C896" t="s">
        <v>6156</v>
      </c>
      <c r="E896" t="s">
        <v>6157</v>
      </c>
      <c r="F896" t="s">
        <v>6158</v>
      </c>
      <c r="G896" t="s">
        <v>6159</v>
      </c>
      <c r="H896" t="s">
        <v>42</v>
      </c>
      <c r="I896" t="s">
        <v>6160</v>
      </c>
      <c r="J896" t="s">
        <v>6161</v>
      </c>
      <c r="K896">
        <v>55116</v>
      </c>
      <c r="L896" t="s">
        <v>71</v>
      </c>
      <c r="M896" t="s">
        <v>46</v>
      </c>
      <c r="N896" t="s">
        <v>47</v>
      </c>
      <c r="O896">
        <v>1</v>
      </c>
      <c r="P896">
        <v>1</v>
      </c>
      <c r="Q896">
        <v>1</v>
      </c>
      <c r="R896" t="s">
        <v>48</v>
      </c>
      <c r="S896" t="s">
        <v>49</v>
      </c>
      <c r="T896" s="3">
        <v>0.84</v>
      </c>
      <c r="U896" s="3">
        <v>0.23</v>
      </c>
      <c r="V896" s="3">
        <v>0.94</v>
      </c>
      <c r="W896">
        <v>0.59</v>
      </c>
      <c r="X896" t="s">
        <v>72</v>
      </c>
      <c r="Y896" s="3">
        <v>5.43</v>
      </c>
      <c r="Z896" t="s">
        <v>73</v>
      </c>
      <c r="AA896" t="s">
        <v>996</v>
      </c>
      <c r="AB896" t="s">
        <v>53</v>
      </c>
      <c r="AC896" s="3">
        <v>1.29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f t="shared" si="26"/>
        <v>8.73</v>
      </c>
      <c r="AK896" s="3">
        <f t="shared" si="27"/>
        <v>3.3000000000000007</v>
      </c>
    </row>
    <row r="897" spans="1:37">
      <c r="A897">
        <v>10317616</v>
      </c>
      <c r="B897" t="s">
        <v>37</v>
      </c>
      <c r="C897" t="s">
        <v>6162</v>
      </c>
      <c r="E897" t="s">
        <v>6163</v>
      </c>
      <c r="F897" t="s">
        <v>6164</v>
      </c>
      <c r="G897" t="s">
        <v>6165</v>
      </c>
      <c r="H897" t="s">
        <v>42</v>
      </c>
      <c r="I897" t="s">
        <v>6166</v>
      </c>
      <c r="J897" t="s">
        <v>6167</v>
      </c>
      <c r="K897">
        <v>87435</v>
      </c>
      <c r="L897" t="s">
        <v>71</v>
      </c>
      <c r="M897" t="s">
        <v>46</v>
      </c>
      <c r="N897" t="s">
        <v>47</v>
      </c>
      <c r="O897">
        <v>1</v>
      </c>
      <c r="P897">
        <v>1</v>
      </c>
      <c r="Q897">
        <v>1</v>
      </c>
      <c r="R897" t="s">
        <v>48</v>
      </c>
      <c r="S897" t="s">
        <v>49</v>
      </c>
      <c r="T897" s="3">
        <v>0.84</v>
      </c>
      <c r="U897" s="3">
        <v>0.23</v>
      </c>
      <c r="V897" s="3">
        <v>0.94</v>
      </c>
      <c r="W897">
        <v>0.59</v>
      </c>
      <c r="X897" t="s">
        <v>72</v>
      </c>
      <c r="Y897" s="3">
        <v>9.57</v>
      </c>
      <c r="Z897" t="s">
        <v>73</v>
      </c>
      <c r="AA897" t="s">
        <v>3486</v>
      </c>
      <c r="AB897" t="s">
        <v>53</v>
      </c>
      <c r="AC897" s="3">
        <v>1.29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f t="shared" si="26"/>
        <v>12.87</v>
      </c>
      <c r="AK897" s="3">
        <f t="shared" si="27"/>
        <v>3.2999999999999989</v>
      </c>
    </row>
    <row r="898" spans="1:37">
      <c r="A898">
        <v>10317632</v>
      </c>
      <c r="B898" t="s">
        <v>37</v>
      </c>
      <c r="C898" t="s">
        <v>6168</v>
      </c>
      <c r="E898" t="s">
        <v>1292</v>
      </c>
      <c r="F898" t="s">
        <v>6169</v>
      </c>
      <c r="G898" t="s">
        <v>6170</v>
      </c>
      <c r="H898" t="s">
        <v>42</v>
      </c>
      <c r="I898" t="s">
        <v>6171</v>
      </c>
      <c r="J898" t="s">
        <v>6172</v>
      </c>
      <c r="K898">
        <v>4563</v>
      </c>
      <c r="L898" t="s">
        <v>618</v>
      </c>
      <c r="M898" t="s">
        <v>46</v>
      </c>
      <c r="N898" t="s">
        <v>47</v>
      </c>
      <c r="O898">
        <v>1</v>
      </c>
      <c r="P898">
        <v>1</v>
      </c>
      <c r="Q898">
        <v>1</v>
      </c>
      <c r="R898" t="s">
        <v>48</v>
      </c>
      <c r="S898" t="s">
        <v>49</v>
      </c>
      <c r="T898" s="3">
        <v>0.84</v>
      </c>
      <c r="U898" s="3">
        <v>0.23</v>
      </c>
      <c r="V898" s="3">
        <v>0.94</v>
      </c>
      <c r="W898">
        <v>0.59</v>
      </c>
      <c r="X898" t="s">
        <v>50</v>
      </c>
      <c r="Y898" s="3">
        <v>9.19</v>
      </c>
      <c r="Z898" t="s">
        <v>73</v>
      </c>
      <c r="AA898" t="s">
        <v>2718</v>
      </c>
      <c r="AB898" t="s">
        <v>53</v>
      </c>
      <c r="AC898" s="3">
        <v>1.29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f t="shared" ref="AJ898:AJ961" si="28">AI898+AH898+AG898+AF898+AE898+AD898+AC898+Y898+V898+U898+T898</f>
        <v>12.49</v>
      </c>
      <c r="AK898" s="3">
        <f t="shared" ref="AK898:AK961" si="29">AJ898-Y898</f>
        <v>3.3000000000000007</v>
      </c>
    </row>
    <row r="899" spans="1:37">
      <c r="A899">
        <v>10319464</v>
      </c>
      <c r="B899" t="s">
        <v>37</v>
      </c>
      <c r="C899" t="s">
        <v>6173</v>
      </c>
      <c r="E899" t="s">
        <v>1221</v>
      </c>
      <c r="F899" t="s">
        <v>6174</v>
      </c>
      <c r="G899" t="s">
        <v>6175</v>
      </c>
      <c r="H899" t="s">
        <v>42</v>
      </c>
      <c r="I899" t="s">
        <v>6176</v>
      </c>
      <c r="J899" t="s">
        <v>6177</v>
      </c>
      <c r="K899" t="s">
        <v>6178</v>
      </c>
      <c r="L899" t="s">
        <v>82</v>
      </c>
      <c r="M899" t="s">
        <v>46</v>
      </c>
      <c r="N899" t="s">
        <v>47</v>
      </c>
      <c r="O899">
        <v>1</v>
      </c>
      <c r="P899">
        <v>1</v>
      </c>
      <c r="Q899">
        <v>1</v>
      </c>
      <c r="R899" t="s">
        <v>48</v>
      </c>
      <c r="S899" t="s">
        <v>49</v>
      </c>
      <c r="T899" s="3">
        <v>0.84</v>
      </c>
      <c r="U899" s="3">
        <v>0.23</v>
      </c>
      <c r="V899" s="3">
        <v>0.94</v>
      </c>
      <c r="W899">
        <v>0.55000000000000004</v>
      </c>
      <c r="X899" t="s">
        <v>50</v>
      </c>
      <c r="Y899" s="3">
        <v>9.19</v>
      </c>
      <c r="Z899" t="s">
        <v>73</v>
      </c>
      <c r="AA899" t="s">
        <v>3367</v>
      </c>
      <c r="AB899" t="s">
        <v>53</v>
      </c>
      <c r="AC899" s="3">
        <v>1.29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f t="shared" si="28"/>
        <v>12.49</v>
      </c>
      <c r="AK899" s="3">
        <f t="shared" si="29"/>
        <v>3.3000000000000007</v>
      </c>
    </row>
    <row r="900" spans="1:37">
      <c r="A900">
        <v>10319151</v>
      </c>
      <c r="B900" t="s">
        <v>37</v>
      </c>
      <c r="C900" t="s">
        <v>6179</v>
      </c>
      <c r="E900" t="s">
        <v>6180</v>
      </c>
      <c r="F900" t="s">
        <v>6181</v>
      </c>
      <c r="G900" t="s">
        <v>6182</v>
      </c>
      <c r="H900" t="s">
        <v>42</v>
      </c>
      <c r="I900" t="s">
        <v>6183</v>
      </c>
      <c r="J900" t="s">
        <v>6184</v>
      </c>
      <c r="K900">
        <v>55118</v>
      </c>
      <c r="L900" t="s">
        <v>71</v>
      </c>
      <c r="M900" t="s">
        <v>46</v>
      </c>
      <c r="N900" t="s">
        <v>47</v>
      </c>
      <c r="O900">
        <v>1</v>
      </c>
      <c r="P900">
        <v>1</v>
      </c>
      <c r="Q900">
        <v>1</v>
      </c>
      <c r="R900" t="s">
        <v>48</v>
      </c>
      <c r="S900" t="s">
        <v>49</v>
      </c>
      <c r="T900" s="3">
        <v>0.84</v>
      </c>
      <c r="U900" s="3">
        <v>0.23</v>
      </c>
      <c r="V900" s="3">
        <v>0.94</v>
      </c>
      <c r="W900">
        <v>0.49</v>
      </c>
      <c r="X900" t="s">
        <v>72</v>
      </c>
      <c r="Y900" s="3">
        <v>10.95</v>
      </c>
      <c r="Z900" t="s">
        <v>73</v>
      </c>
      <c r="AA900" t="s">
        <v>2824</v>
      </c>
      <c r="AB900" t="s">
        <v>53</v>
      </c>
      <c r="AC900" s="3">
        <v>1.29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f t="shared" si="28"/>
        <v>14.249999999999998</v>
      </c>
      <c r="AK900" s="3">
        <f t="shared" si="29"/>
        <v>3.2999999999999989</v>
      </c>
    </row>
    <row r="901" spans="1:37">
      <c r="A901">
        <v>10319154</v>
      </c>
      <c r="B901" t="s">
        <v>37</v>
      </c>
      <c r="C901" t="s">
        <v>6185</v>
      </c>
      <c r="E901" t="s">
        <v>39</v>
      </c>
      <c r="F901" t="s">
        <v>6186</v>
      </c>
      <c r="G901" t="s">
        <v>6187</v>
      </c>
      <c r="H901" t="s">
        <v>42</v>
      </c>
      <c r="I901" t="s">
        <v>6188</v>
      </c>
      <c r="J901" t="s">
        <v>6189</v>
      </c>
      <c r="K901">
        <v>28777</v>
      </c>
      <c r="L901" t="s">
        <v>71</v>
      </c>
      <c r="M901" t="s">
        <v>46</v>
      </c>
      <c r="N901" t="s">
        <v>47</v>
      </c>
      <c r="O901">
        <v>1</v>
      </c>
      <c r="P901">
        <v>1</v>
      </c>
      <c r="Q901">
        <v>1</v>
      </c>
      <c r="R901" t="s">
        <v>48</v>
      </c>
      <c r="S901" t="s">
        <v>49</v>
      </c>
      <c r="T901" s="3">
        <v>0.84</v>
      </c>
      <c r="U901" s="3">
        <v>0.23</v>
      </c>
      <c r="V901" s="3">
        <v>0.94</v>
      </c>
      <c r="W901">
        <v>0.49</v>
      </c>
      <c r="X901" t="s">
        <v>72</v>
      </c>
      <c r="Y901" s="3">
        <v>5.43</v>
      </c>
      <c r="Z901" t="s">
        <v>73</v>
      </c>
      <c r="AA901" t="s">
        <v>110</v>
      </c>
      <c r="AB901" t="s">
        <v>53</v>
      </c>
      <c r="AC901" s="3">
        <v>1.29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f t="shared" si="28"/>
        <v>8.73</v>
      </c>
      <c r="AK901" s="3">
        <f t="shared" si="29"/>
        <v>3.3000000000000007</v>
      </c>
    </row>
    <row r="902" spans="1:37">
      <c r="A902">
        <v>10319167</v>
      </c>
      <c r="B902" t="s">
        <v>37</v>
      </c>
      <c r="C902" t="s">
        <v>6190</v>
      </c>
      <c r="E902" t="s">
        <v>6191</v>
      </c>
      <c r="F902" t="s">
        <v>6192</v>
      </c>
      <c r="G902" t="s">
        <v>6193</v>
      </c>
      <c r="H902" t="s">
        <v>42</v>
      </c>
      <c r="I902" t="s">
        <v>6194</v>
      </c>
      <c r="J902" t="s">
        <v>6195</v>
      </c>
      <c r="K902">
        <v>92712</v>
      </c>
      <c r="L902" t="s">
        <v>71</v>
      </c>
      <c r="M902" t="s">
        <v>46</v>
      </c>
      <c r="N902" t="s">
        <v>47</v>
      </c>
      <c r="O902">
        <v>1</v>
      </c>
      <c r="P902">
        <v>1</v>
      </c>
      <c r="Q902">
        <v>1</v>
      </c>
      <c r="R902" t="s">
        <v>48</v>
      </c>
      <c r="S902" t="s">
        <v>49</v>
      </c>
      <c r="T902" s="3">
        <v>0.84</v>
      </c>
      <c r="U902" s="3">
        <v>0.23</v>
      </c>
      <c r="V902" s="3">
        <v>0.94</v>
      </c>
      <c r="W902">
        <v>0.49</v>
      </c>
      <c r="X902" t="s">
        <v>72</v>
      </c>
      <c r="Y902" s="3">
        <v>5.43</v>
      </c>
      <c r="Z902" t="s">
        <v>73</v>
      </c>
      <c r="AA902" t="s">
        <v>6196</v>
      </c>
      <c r="AB902" t="s">
        <v>53</v>
      </c>
      <c r="AC902" s="3">
        <v>1.29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f t="shared" si="28"/>
        <v>8.73</v>
      </c>
      <c r="AK902" s="3">
        <f t="shared" si="29"/>
        <v>3.3000000000000007</v>
      </c>
    </row>
    <row r="903" spans="1:37">
      <c r="A903">
        <v>10320811</v>
      </c>
      <c r="B903" t="s">
        <v>37</v>
      </c>
      <c r="C903" t="s">
        <v>6197</v>
      </c>
      <c r="E903" t="s">
        <v>6198</v>
      </c>
      <c r="F903" t="s">
        <v>6199</v>
      </c>
      <c r="G903" t="s">
        <v>6200</v>
      </c>
      <c r="H903" t="s">
        <v>42</v>
      </c>
      <c r="I903" t="s">
        <v>6201</v>
      </c>
      <c r="J903" t="s">
        <v>6202</v>
      </c>
      <c r="K903">
        <v>3511</v>
      </c>
      <c r="L903" t="s">
        <v>505</v>
      </c>
      <c r="M903" t="s">
        <v>46</v>
      </c>
      <c r="N903" t="s">
        <v>47</v>
      </c>
      <c r="O903">
        <v>5</v>
      </c>
      <c r="P903">
        <v>1</v>
      </c>
      <c r="Q903">
        <v>5</v>
      </c>
      <c r="R903" t="s">
        <v>48</v>
      </c>
      <c r="S903" t="s">
        <v>49</v>
      </c>
      <c r="T903" s="3">
        <v>0.84</v>
      </c>
      <c r="U903" s="3">
        <v>0.23</v>
      </c>
      <c r="V903" s="3">
        <v>4.42</v>
      </c>
      <c r="W903">
        <v>2.0169999999999999</v>
      </c>
      <c r="X903" t="s">
        <v>50</v>
      </c>
      <c r="Y903" s="3">
        <v>9.19</v>
      </c>
      <c r="Z903" t="s">
        <v>73</v>
      </c>
      <c r="AA903" t="s">
        <v>6203</v>
      </c>
      <c r="AB903" t="s">
        <v>53</v>
      </c>
      <c r="AC903" s="3">
        <v>1.29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f t="shared" si="28"/>
        <v>15.97</v>
      </c>
      <c r="AK903" s="3">
        <f t="shared" si="29"/>
        <v>6.7800000000000011</v>
      </c>
    </row>
    <row r="904" spans="1:37">
      <c r="A904">
        <v>10312989</v>
      </c>
      <c r="B904" t="s">
        <v>37</v>
      </c>
      <c r="C904" t="s">
        <v>6204</v>
      </c>
      <c r="E904" t="s">
        <v>6205</v>
      </c>
      <c r="F904" t="s">
        <v>6206</v>
      </c>
      <c r="G904" t="s">
        <v>6207</v>
      </c>
      <c r="H904" t="s">
        <v>42</v>
      </c>
      <c r="I904" t="s">
        <v>6208</v>
      </c>
      <c r="J904" t="s">
        <v>6209</v>
      </c>
      <c r="K904" t="s">
        <v>6210</v>
      </c>
      <c r="L904" t="s">
        <v>2198</v>
      </c>
      <c r="M904" t="s">
        <v>46</v>
      </c>
      <c r="N904" t="s">
        <v>47</v>
      </c>
      <c r="O904">
        <v>3</v>
      </c>
      <c r="P904">
        <v>1</v>
      </c>
      <c r="Q904">
        <v>3</v>
      </c>
      <c r="R904" t="s">
        <v>48</v>
      </c>
      <c r="S904" t="s">
        <v>49</v>
      </c>
      <c r="T904" s="3">
        <v>0.84</v>
      </c>
      <c r="U904" s="3">
        <v>0.23</v>
      </c>
      <c r="V904" s="3">
        <v>2.68</v>
      </c>
      <c r="W904">
        <v>2.1</v>
      </c>
      <c r="X904" t="s">
        <v>50</v>
      </c>
      <c r="Y904" s="3">
        <v>16.43</v>
      </c>
      <c r="Z904" t="s">
        <v>73</v>
      </c>
      <c r="AA904" t="s">
        <v>6211</v>
      </c>
      <c r="AB904" t="s">
        <v>53</v>
      </c>
      <c r="AC904" s="3">
        <v>1.29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f t="shared" si="28"/>
        <v>21.47</v>
      </c>
      <c r="AK904" s="3">
        <f t="shared" si="29"/>
        <v>5.0399999999999991</v>
      </c>
    </row>
    <row r="905" spans="1:37">
      <c r="A905">
        <v>10320812</v>
      </c>
      <c r="B905" t="s">
        <v>37</v>
      </c>
      <c r="C905" t="s">
        <v>6212</v>
      </c>
      <c r="E905" t="s">
        <v>299</v>
      </c>
      <c r="F905" t="s">
        <v>6213</v>
      </c>
      <c r="G905" t="s">
        <v>6214</v>
      </c>
      <c r="H905" t="s">
        <v>42</v>
      </c>
      <c r="I905" t="s">
        <v>6215</v>
      </c>
      <c r="J905" t="s">
        <v>6216</v>
      </c>
      <c r="K905" t="s">
        <v>6217</v>
      </c>
      <c r="L905" t="s">
        <v>142</v>
      </c>
      <c r="M905" t="s">
        <v>46</v>
      </c>
      <c r="N905" t="s">
        <v>47</v>
      </c>
      <c r="O905">
        <v>3</v>
      </c>
      <c r="P905">
        <v>1</v>
      </c>
      <c r="Q905">
        <v>3</v>
      </c>
      <c r="R905" t="s">
        <v>48</v>
      </c>
      <c r="S905" t="s">
        <v>49</v>
      </c>
      <c r="T905" s="3">
        <v>0.84</v>
      </c>
      <c r="U905" s="3">
        <v>0.23</v>
      </c>
      <c r="V905" s="3">
        <v>2.68</v>
      </c>
      <c r="W905">
        <v>1.47</v>
      </c>
      <c r="X905" t="s">
        <v>50</v>
      </c>
      <c r="Y905" s="3">
        <v>16.43</v>
      </c>
      <c r="Z905" t="s">
        <v>73</v>
      </c>
      <c r="AA905" t="s">
        <v>6218</v>
      </c>
      <c r="AB905" t="s">
        <v>53</v>
      </c>
      <c r="AC905" s="3">
        <v>1.29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f t="shared" si="28"/>
        <v>21.47</v>
      </c>
      <c r="AK905" s="3">
        <f t="shared" si="29"/>
        <v>5.0399999999999991</v>
      </c>
    </row>
    <row r="906" spans="1:37">
      <c r="A906">
        <v>10320807</v>
      </c>
      <c r="B906" t="s">
        <v>37</v>
      </c>
      <c r="C906" t="s">
        <v>6219</v>
      </c>
      <c r="E906" t="s">
        <v>6220</v>
      </c>
      <c r="F906" t="s">
        <v>6221</v>
      </c>
      <c r="G906" t="s">
        <v>6222</v>
      </c>
      <c r="H906" t="s">
        <v>42</v>
      </c>
      <c r="I906" t="s">
        <v>6223</v>
      </c>
      <c r="J906" t="s">
        <v>6224</v>
      </c>
      <c r="K906">
        <v>80809</v>
      </c>
      <c r="L906" t="s">
        <v>71</v>
      </c>
      <c r="M906" t="s">
        <v>46</v>
      </c>
      <c r="N906" t="s">
        <v>47</v>
      </c>
      <c r="O906">
        <v>4</v>
      </c>
      <c r="P906">
        <v>1</v>
      </c>
      <c r="Q906">
        <v>4</v>
      </c>
      <c r="R906" t="s">
        <v>48</v>
      </c>
      <c r="S906" t="s">
        <v>49</v>
      </c>
      <c r="T906" s="3">
        <v>0.84</v>
      </c>
      <c r="U906" s="3">
        <v>0.23</v>
      </c>
      <c r="V906" s="3">
        <v>3.55</v>
      </c>
      <c r="W906">
        <v>1.32</v>
      </c>
      <c r="X906" t="s">
        <v>72</v>
      </c>
      <c r="Y906" s="3">
        <v>6.81</v>
      </c>
      <c r="Z906" t="s">
        <v>73</v>
      </c>
      <c r="AA906" t="s">
        <v>6225</v>
      </c>
      <c r="AB906" t="s">
        <v>53</v>
      </c>
      <c r="AC906" s="3">
        <v>1.29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f t="shared" si="28"/>
        <v>12.719999999999999</v>
      </c>
      <c r="AK906" s="3">
        <f t="shared" si="29"/>
        <v>5.9099999999999993</v>
      </c>
    </row>
    <row r="907" spans="1:37">
      <c r="A907">
        <v>10304438</v>
      </c>
      <c r="B907" t="s">
        <v>111</v>
      </c>
      <c r="C907" t="s">
        <v>6226</v>
      </c>
      <c r="D907" t="s">
        <v>6227</v>
      </c>
      <c r="E907" t="s">
        <v>6228</v>
      </c>
      <c r="F907" t="s">
        <v>6229</v>
      </c>
      <c r="G907" t="s">
        <v>6230</v>
      </c>
      <c r="H907" t="s">
        <v>117</v>
      </c>
      <c r="I907" t="s">
        <v>6231</v>
      </c>
      <c r="J907" t="s">
        <v>6232</v>
      </c>
      <c r="K907">
        <v>34000</v>
      </c>
      <c r="L907" t="s">
        <v>130</v>
      </c>
      <c r="M907" t="s">
        <v>46</v>
      </c>
      <c r="N907" t="s">
        <v>47</v>
      </c>
      <c r="O907">
        <v>54</v>
      </c>
      <c r="P907">
        <v>2</v>
      </c>
      <c r="Q907">
        <v>54</v>
      </c>
      <c r="R907" t="s">
        <v>48</v>
      </c>
      <c r="S907" t="s">
        <v>49</v>
      </c>
      <c r="T907" s="3">
        <v>7</v>
      </c>
      <c r="U907" s="3">
        <v>0.23</v>
      </c>
      <c r="V907" s="3">
        <v>52.21</v>
      </c>
      <c r="W907">
        <v>27</v>
      </c>
      <c r="X907" t="s">
        <v>131</v>
      </c>
      <c r="Y907" s="3">
        <v>31.63</v>
      </c>
      <c r="Z907" t="s">
        <v>744</v>
      </c>
      <c r="AA907" t="s">
        <v>6233</v>
      </c>
      <c r="AB907" t="s">
        <v>53</v>
      </c>
      <c r="AC907" s="3">
        <v>3.74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f t="shared" si="28"/>
        <v>94.81</v>
      </c>
      <c r="AK907" s="3">
        <f t="shared" si="29"/>
        <v>63.180000000000007</v>
      </c>
    </row>
    <row r="908" spans="1:37">
      <c r="A908">
        <v>10321065</v>
      </c>
      <c r="B908" t="s">
        <v>37</v>
      </c>
      <c r="C908" t="s">
        <v>6234</v>
      </c>
      <c r="E908" t="s">
        <v>6235</v>
      </c>
      <c r="F908" t="s">
        <v>6236</v>
      </c>
      <c r="G908" t="s">
        <v>6237</v>
      </c>
      <c r="H908" t="s">
        <v>42</v>
      </c>
      <c r="I908" t="s">
        <v>6238</v>
      </c>
      <c r="J908" t="s">
        <v>6239</v>
      </c>
      <c r="K908">
        <v>8713</v>
      </c>
      <c r="L908" t="s">
        <v>45</v>
      </c>
      <c r="M908" t="s">
        <v>46</v>
      </c>
      <c r="N908" t="s">
        <v>47</v>
      </c>
      <c r="O908">
        <v>4</v>
      </c>
      <c r="P908">
        <v>1</v>
      </c>
      <c r="Q908">
        <v>4</v>
      </c>
      <c r="R908" t="s">
        <v>48</v>
      </c>
      <c r="S908" t="s">
        <v>49</v>
      </c>
      <c r="T908" s="3">
        <v>0.84</v>
      </c>
      <c r="U908" s="3">
        <v>0.23</v>
      </c>
      <c r="V908" s="3">
        <v>3.55</v>
      </c>
      <c r="W908">
        <v>1.33</v>
      </c>
      <c r="X908" t="s">
        <v>50</v>
      </c>
      <c r="Y908" s="3">
        <v>94.87</v>
      </c>
      <c r="Z908" t="s">
        <v>73</v>
      </c>
      <c r="AA908" t="s">
        <v>6240</v>
      </c>
      <c r="AB908" t="s">
        <v>53</v>
      </c>
      <c r="AC908" s="3">
        <v>1.29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f t="shared" si="28"/>
        <v>100.78000000000002</v>
      </c>
      <c r="AK908" s="3">
        <f t="shared" si="29"/>
        <v>5.9100000000000108</v>
      </c>
    </row>
    <row r="909" spans="1:37">
      <c r="A909">
        <v>10321072</v>
      </c>
      <c r="B909" t="s">
        <v>37</v>
      </c>
      <c r="C909" t="s">
        <v>6241</v>
      </c>
      <c r="E909" t="s">
        <v>2638</v>
      </c>
      <c r="F909" t="s">
        <v>6242</v>
      </c>
      <c r="G909" t="s">
        <v>6243</v>
      </c>
      <c r="H909" t="s">
        <v>42</v>
      </c>
      <c r="I909" t="s">
        <v>6244</v>
      </c>
      <c r="J909" t="s">
        <v>6245</v>
      </c>
      <c r="K909" t="s">
        <v>6246</v>
      </c>
      <c r="L909" t="s">
        <v>142</v>
      </c>
      <c r="M909" t="s">
        <v>46</v>
      </c>
      <c r="N909" t="s">
        <v>47</v>
      </c>
      <c r="O909">
        <v>4</v>
      </c>
      <c r="P909">
        <v>1</v>
      </c>
      <c r="Q909">
        <v>4</v>
      </c>
      <c r="R909" t="s">
        <v>48</v>
      </c>
      <c r="S909" t="s">
        <v>49</v>
      </c>
      <c r="T909" s="3">
        <v>0.84</v>
      </c>
      <c r="U909" s="3">
        <v>0.23</v>
      </c>
      <c r="V909" s="3">
        <v>3.55</v>
      </c>
      <c r="W909">
        <v>2.06</v>
      </c>
      <c r="X909" t="s">
        <v>50</v>
      </c>
      <c r="Y909" s="3">
        <v>16.43</v>
      </c>
      <c r="Z909" t="s">
        <v>109</v>
      </c>
      <c r="AA909" t="s">
        <v>990</v>
      </c>
      <c r="AB909" t="s">
        <v>53</v>
      </c>
      <c r="AC909" s="3">
        <v>1.06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f t="shared" si="28"/>
        <v>22.11</v>
      </c>
      <c r="AK909" s="3">
        <f t="shared" si="29"/>
        <v>5.68</v>
      </c>
    </row>
    <row r="910" spans="1:37">
      <c r="A910">
        <v>10321074</v>
      </c>
      <c r="B910" t="s">
        <v>37</v>
      </c>
      <c r="C910" t="s">
        <v>6247</v>
      </c>
      <c r="E910" t="s">
        <v>6248</v>
      </c>
      <c r="F910" t="s">
        <v>6249</v>
      </c>
      <c r="G910" t="s">
        <v>6250</v>
      </c>
      <c r="H910" t="s">
        <v>42</v>
      </c>
      <c r="I910" t="s">
        <v>6251</v>
      </c>
      <c r="J910" t="s">
        <v>6252</v>
      </c>
      <c r="K910">
        <v>25462</v>
      </c>
      <c r="L910" t="s">
        <v>71</v>
      </c>
      <c r="M910" t="s">
        <v>46</v>
      </c>
      <c r="N910" t="s">
        <v>47</v>
      </c>
      <c r="O910">
        <v>4</v>
      </c>
      <c r="P910">
        <v>1</v>
      </c>
      <c r="Q910">
        <v>4</v>
      </c>
      <c r="R910" t="s">
        <v>48</v>
      </c>
      <c r="S910" t="s">
        <v>49</v>
      </c>
      <c r="T910" s="3">
        <v>0.84</v>
      </c>
      <c r="U910" s="3">
        <v>0.23</v>
      </c>
      <c r="V910" s="3">
        <v>3.55</v>
      </c>
      <c r="W910">
        <v>1.53</v>
      </c>
      <c r="X910" t="s">
        <v>72</v>
      </c>
      <c r="Y910" s="3">
        <v>5.43</v>
      </c>
      <c r="Z910" t="s">
        <v>73</v>
      </c>
      <c r="AA910" t="s">
        <v>6253</v>
      </c>
      <c r="AB910" t="s">
        <v>53</v>
      </c>
      <c r="AC910" s="3">
        <v>1.29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f t="shared" si="28"/>
        <v>11.34</v>
      </c>
      <c r="AK910" s="3">
        <f t="shared" si="29"/>
        <v>5.91</v>
      </c>
    </row>
    <row r="911" spans="1:37">
      <c r="A911">
        <v>10321068</v>
      </c>
      <c r="B911" t="s">
        <v>37</v>
      </c>
      <c r="C911" t="s">
        <v>6254</v>
      </c>
      <c r="E911" t="s">
        <v>6255</v>
      </c>
      <c r="F911" t="s">
        <v>6256</v>
      </c>
      <c r="G911" t="s">
        <v>6257</v>
      </c>
      <c r="H911" t="s">
        <v>42</v>
      </c>
      <c r="I911" t="s">
        <v>6258</v>
      </c>
      <c r="J911" t="s">
        <v>6259</v>
      </c>
      <c r="K911">
        <v>40133</v>
      </c>
      <c r="L911" t="s">
        <v>283</v>
      </c>
      <c r="M911" t="s">
        <v>46</v>
      </c>
      <c r="N911" t="s">
        <v>47</v>
      </c>
      <c r="O911">
        <v>4</v>
      </c>
      <c r="P911">
        <v>1</v>
      </c>
      <c r="Q911">
        <v>4</v>
      </c>
      <c r="R911" t="s">
        <v>48</v>
      </c>
      <c r="S911" t="s">
        <v>49</v>
      </c>
      <c r="T911" s="3">
        <v>0.84</v>
      </c>
      <c r="U911" s="3">
        <v>0.23</v>
      </c>
      <c r="V911" s="3">
        <v>3.55</v>
      </c>
      <c r="W911">
        <v>2.06</v>
      </c>
      <c r="X911" t="s">
        <v>50</v>
      </c>
      <c r="Y911" s="3">
        <v>16.36</v>
      </c>
      <c r="Z911" t="s">
        <v>73</v>
      </c>
      <c r="AA911" t="s">
        <v>6260</v>
      </c>
      <c r="AB911" t="s">
        <v>53</v>
      </c>
      <c r="AC911" s="3">
        <v>1.29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f t="shared" si="28"/>
        <v>22.27</v>
      </c>
      <c r="AK911" s="3">
        <f t="shared" si="29"/>
        <v>5.91</v>
      </c>
    </row>
    <row r="912" spans="1:37">
      <c r="A912">
        <v>10316187</v>
      </c>
      <c r="B912" t="s">
        <v>111</v>
      </c>
      <c r="C912" t="s">
        <v>6261</v>
      </c>
      <c r="D912" t="s">
        <v>6262</v>
      </c>
      <c r="E912" t="s">
        <v>5371</v>
      </c>
      <c r="F912" t="s">
        <v>6263</v>
      </c>
      <c r="G912" t="s">
        <v>6264</v>
      </c>
      <c r="H912" t="s">
        <v>117</v>
      </c>
      <c r="I912" t="s">
        <v>6265</v>
      </c>
      <c r="J912" t="s">
        <v>6266</v>
      </c>
      <c r="K912">
        <v>1407</v>
      </c>
      <c r="L912" t="s">
        <v>3924</v>
      </c>
      <c r="M912" t="s">
        <v>46</v>
      </c>
      <c r="N912" t="s">
        <v>47</v>
      </c>
      <c r="O912">
        <v>20</v>
      </c>
      <c r="P912">
        <v>1</v>
      </c>
      <c r="Q912">
        <v>20</v>
      </c>
      <c r="R912" t="s">
        <v>48</v>
      </c>
      <c r="S912" t="s">
        <v>49</v>
      </c>
      <c r="T912" s="3">
        <v>7</v>
      </c>
      <c r="U912" s="3">
        <v>0.23</v>
      </c>
      <c r="V912" s="3">
        <v>24.05</v>
      </c>
      <c r="W912">
        <v>2</v>
      </c>
      <c r="X912" t="s">
        <v>100</v>
      </c>
      <c r="Y912" s="3">
        <v>129.31</v>
      </c>
      <c r="Z912" t="s">
        <v>83</v>
      </c>
      <c r="AA912" t="s">
        <v>6267</v>
      </c>
      <c r="AB912" t="s">
        <v>53</v>
      </c>
      <c r="AC912" s="3">
        <v>1.27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f t="shared" si="28"/>
        <v>161.86000000000001</v>
      </c>
      <c r="AK912" s="3">
        <f t="shared" si="29"/>
        <v>32.550000000000011</v>
      </c>
    </row>
    <row r="913" spans="1:37">
      <c r="A913">
        <v>10321073</v>
      </c>
      <c r="B913" t="s">
        <v>37</v>
      </c>
      <c r="C913" t="s">
        <v>6268</v>
      </c>
      <c r="E913" t="s">
        <v>6269</v>
      </c>
      <c r="F913" t="s">
        <v>6270</v>
      </c>
      <c r="G913" t="s">
        <v>6271</v>
      </c>
      <c r="H913" t="s">
        <v>42</v>
      </c>
      <c r="I913" t="s">
        <v>6272</v>
      </c>
      <c r="J913" t="s">
        <v>6273</v>
      </c>
      <c r="K913" t="s">
        <v>6274</v>
      </c>
      <c r="L913" t="s">
        <v>142</v>
      </c>
      <c r="M913" t="s">
        <v>46</v>
      </c>
      <c r="N913" t="s">
        <v>47</v>
      </c>
      <c r="O913">
        <v>1</v>
      </c>
      <c r="P913">
        <v>1</v>
      </c>
      <c r="Q913">
        <v>1</v>
      </c>
      <c r="R913" t="s">
        <v>48</v>
      </c>
      <c r="S913" t="s">
        <v>49</v>
      </c>
      <c r="T913" s="3">
        <v>0.84</v>
      </c>
      <c r="U913" s="3">
        <v>0.23</v>
      </c>
      <c r="V913" s="3">
        <v>0.94</v>
      </c>
      <c r="W913">
        <v>1.7</v>
      </c>
      <c r="X913" t="s">
        <v>50</v>
      </c>
      <c r="Y913" s="3">
        <v>16.43</v>
      </c>
      <c r="Z913" t="s">
        <v>83</v>
      </c>
      <c r="AA913" t="s">
        <v>490</v>
      </c>
      <c r="AB913" t="s">
        <v>53</v>
      </c>
      <c r="AC913" s="3">
        <v>1.27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f t="shared" si="28"/>
        <v>19.71</v>
      </c>
      <c r="AK913" s="3">
        <f t="shared" si="29"/>
        <v>3.2800000000000011</v>
      </c>
    </row>
    <row r="914" spans="1:37">
      <c r="A914">
        <v>10321069</v>
      </c>
      <c r="B914" t="s">
        <v>37</v>
      </c>
      <c r="C914" t="s">
        <v>6275</v>
      </c>
      <c r="E914" t="s">
        <v>6276</v>
      </c>
      <c r="F914" t="s">
        <v>6277</v>
      </c>
      <c r="G914" t="s">
        <v>6278</v>
      </c>
      <c r="H914" t="s">
        <v>42</v>
      </c>
      <c r="I914" t="s">
        <v>6279</v>
      </c>
      <c r="J914" t="s">
        <v>6280</v>
      </c>
      <c r="K914" t="s">
        <v>6281</v>
      </c>
      <c r="L914" t="s">
        <v>142</v>
      </c>
      <c r="M914" t="s">
        <v>46</v>
      </c>
      <c r="N914" t="s">
        <v>47</v>
      </c>
      <c r="O914">
        <v>1</v>
      </c>
      <c r="P914">
        <v>1</v>
      </c>
      <c r="Q914">
        <v>1</v>
      </c>
      <c r="R914" t="s">
        <v>48</v>
      </c>
      <c r="S914" t="s">
        <v>49</v>
      </c>
      <c r="T914" s="3">
        <v>0.84</v>
      </c>
      <c r="U914" s="3">
        <v>0.23</v>
      </c>
      <c r="V914" s="3">
        <v>0.94</v>
      </c>
      <c r="W914">
        <v>2.1</v>
      </c>
      <c r="X914" t="s">
        <v>50</v>
      </c>
      <c r="Y914" s="3">
        <v>16.43</v>
      </c>
      <c r="Z914" t="s">
        <v>83</v>
      </c>
      <c r="AA914" t="s">
        <v>5063</v>
      </c>
      <c r="AB914" t="s">
        <v>53</v>
      </c>
      <c r="AC914" s="3">
        <v>1.27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f t="shared" si="28"/>
        <v>19.71</v>
      </c>
      <c r="AK914" s="3">
        <f t="shared" si="29"/>
        <v>3.2800000000000011</v>
      </c>
    </row>
    <row r="915" spans="1:37">
      <c r="A915">
        <v>10321075</v>
      </c>
      <c r="B915" t="s">
        <v>37</v>
      </c>
      <c r="C915" t="s">
        <v>6282</v>
      </c>
      <c r="E915" t="s">
        <v>6283</v>
      </c>
      <c r="F915" t="s">
        <v>6284</v>
      </c>
      <c r="G915" t="s">
        <v>6285</v>
      </c>
      <c r="H915" t="s">
        <v>42</v>
      </c>
      <c r="I915" t="s">
        <v>6286</v>
      </c>
      <c r="J915" t="s">
        <v>6287</v>
      </c>
      <c r="K915">
        <v>10553</v>
      </c>
      <c r="L915" t="s">
        <v>71</v>
      </c>
      <c r="M915" t="s">
        <v>46</v>
      </c>
      <c r="N915" t="s">
        <v>47</v>
      </c>
      <c r="O915">
        <v>1</v>
      </c>
      <c r="P915">
        <v>1</v>
      </c>
      <c r="Q915">
        <v>1</v>
      </c>
      <c r="R915" t="s">
        <v>48</v>
      </c>
      <c r="S915" t="s">
        <v>49</v>
      </c>
      <c r="T915" s="3">
        <v>0.84</v>
      </c>
      <c r="U915" s="3">
        <v>0.23</v>
      </c>
      <c r="V915" s="3">
        <v>0.94</v>
      </c>
      <c r="W915">
        <v>1.5</v>
      </c>
      <c r="X915" t="s">
        <v>72</v>
      </c>
      <c r="Y915" s="3">
        <v>5.43</v>
      </c>
      <c r="Z915" t="s">
        <v>73</v>
      </c>
      <c r="AA915" t="s">
        <v>74</v>
      </c>
      <c r="AB915" t="s">
        <v>53</v>
      </c>
      <c r="AC915" s="3">
        <v>1.29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f t="shared" si="28"/>
        <v>8.73</v>
      </c>
      <c r="AK915" s="3">
        <f t="shared" si="29"/>
        <v>3.3000000000000007</v>
      </c>
    </row>
    <row r="916" spans="1:37">
      <c r="A916">
        <v>10321071</v>
      </c>
      <c r="B916" t="s">
        <v>37</v>
      </c>
      <c r="C916" t="s">
        <v>6288</v>
      </c>
      <c r="E916" t="s">
        <v>3681</v>
      </c>
      <c r="F916" t="s">
        <v>5953</v>
      </c>
      <c r="G916" t="s">
        <v>6289</v>
      </c>
      <c r="H916" t="s">
        <v>42</v>
      </c>
      <c r="I916" t="s">
        <v>6290</v>
      </c>
      <c r="J916" t="s">
        <v>6291</v>
      </c>
      <c r="K916" t="s">
        <v>6292</v>
      </c>
      <c r="L916" t="s">
        <v>142</v>
      </c>
      <c r="M916" t="s">
        <v>46</v>
      </c>
      <c r="N916" t="s">
        <v>47</v>
      </c>
      <c r="O916">
        <v>1</v>
      </c>
      <c r="P916">
        <v>1</v>
      </c>
      <c r="Q916">
        <v>1</v>
      </c>
      <c r="R916" t="s">
        <v>48</v>
      </c>
      <c r="S916" t="s">
        <v>49</v>
      </c>
      <c r="T916" s="3">
        <v>0.84</v>
      </c>
      <c r="U916" s="3">
        <v>0.23</v>
      </c>
      <c r="V916" s="3">
        <v>0.94</v>
      </c>
      <c r="W916">
        <v>0.49</v>
      </c>
      <c r="X916" t="s">
        <v>50</v>
      </c>
      <c r="Y916" s="3">
        <v>16.43</v>
      </c>
      <c r="Z916" t="s">
        <v>109</v>
      </c>
      <c r="AA916" t="s">
        <v>714</v>
      </c>
      <c r="AB916" t="s">
        <v>53</v>
      </c>
      <c r="AC916" s="3">
        <v>1.06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f t="shared" si="28"/>
        <v>19.5</v>
      </c>
      <c r="AK916" s="3">
        <f t="shared" si="29"/>
        <v>3.0700000000000003</v>
      </c>
    </row>
    <row r="917" spans="1:37">
      <c r="A917">
        <v>10320805</v>
      </c>
      <c r="B917" t="s">
        <v>37</v>
      </c>
      <c r="C917" t="s">
        <v>6293</v>
      </c>
      <c r="D917" t="s">
        <v>6294</v>
      </c>
      <c r="E917" t="s">
        <v>6295</v>
      </c>
      <c r="F917" t="s">
        <v>6296</v>
      </c>
      <c r="G917" t="s">
        <v>6297</v>
      </c>
      <c r="H917" t="s">
        <v>42</v>
      </c>
      <c r="I917" t="s">
        <v>6298</v>
      </c>
      <c r="J917" t="s">
        <v>6299</v>
      </c>
      <c r="K917">
        <v>10178</v>
      </c>
      <c r="L917" t="s">
        <v>71</v>
      </c>
      <c r="M917" t="s">
        <v>46</v>
      </c>
      <c r="N917" t="s">
        <v>47</v>
      </c>
      <c r="O917">
        <v>2</v>
      </c>
      <c r="P917">
        <v>1</v>
      </c>
      <c r="Q917">
        <v>2</v>
      </c>
      <c r="R917" t="s">
        <v>48</v>
      </c>
      <c r="S917" t="s">
        <v>49</v>
      </c>
      <c r="T917" s="3">
        <v>0.84</v>
      </c>
      <c r="U917" s="3">
        <v>0.23</v>
      </c>
      <c r="V917" s="3">
        <v>1.81</v>
      </c>
      <c r="W917">
        <v>1.08</v>
      </c>
      <c r="X917" t="s">
        <v>72</v>
      </c>
      <c r="Y917" s="3">
        <v>5.43</v>
      </c>
      <c r="Z917" t="s">
        <v>73</v>
      </c>
      <c r="AA917" t="s">
        <v>6300</v>
      </c>
      <c r="AB917" t="s">
        <v>53</v>
      </c>
      <c r="AC917" s="3">
        <v>1.29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f t="shared" si="28"/>
        <v>9.6</v>
      </c>
      <c r="AK917" s="3">
        <f t="shared" si="29"/>
        <v>4.17</v>
      </c>
    </row>
    <row r="918" spans="1:37">
      <c r="A918">
        <v>10321070</v>
      </c>
      <c r="B918" t="s">
        <v>37</v>
      </c>
      <c r="C918" t="s">
        <v>6301</v>
      </c>
      <c r="E918" t="s">
        <v>1330</v>
      </c>
      <c r="F918" t="s">
        <v>6302</v>
      </c>
      <c r="G918" t="s">
        <v>6303</v>
      </c>
      <c r="H918" t="s">
        <v>42</v>
      </c>
      <c r="I918" t="s">
        <v>6304</v>
      </c>
      <c r="J918" t="s">
        <v>6305</v>
      </c>
      <c r="K918">
        <v>76865</v>
      </c>
      <c r="L918" t="s">
        <v>71</v>
      </c>
      <c r="M918" t="s">
        <v>46</v>
      </c>
      <c r="N918" t="s">
        <v>47</v>
      </c>
      <c r="O918">
        <v>2</v>
      </c>
      <c r="P918">
        <v>1</v>
      </c>
      <c r="Q918">
        <v>2</v>
      </c>
      <c r="R918" t="s">
        <v>48</v>
      </c>
      <c r="S918" t="s">
        <v>49</v>
      </c>
      <c r="T918" s="3">
        <v>0.84</v>
      </c>
      <c r="U918" s="3">
        <v>0.23</v>
      </c>
      <c r="V918" s="3">
        <v>1.81</v>
      </c>
      <c r="W918">
        <v>1.08</v>
      </c>
      <c r="X918" t="s">
        <v>72</v>
      </c>
      <c r="Y918" s="3">
        <v>5.43</v>
      </c>
      <c r="Z918" t="s">
        <v>73</v>
      </c>
      <c r="AA918" t="s">
        <v>1341</v>
      </c>
      <c r="AB918" t="s">
        <v>53</v>
      </c>
      <c r="AC918" s="3">
        <v>1.29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f t="shared" si="28"/>
        <v>9.6</v>
      </c>
      <c r="AK918" s="3">
        <f t="shared" si="29"/>
        <v>4.17</v>
      </c>
    </row>
    <row r="919" spans="1:37">
      <c r="A919">
        <v>10321295</v>
      </c>
      <c r="B919" t="s">
        <v>37</v>
      </c>
      <c r="C919" t="s">
        <v>6306</v>
      </c>
      <c r="E919" t="s">
        <v>6307</v>
      </c>
      <c r="F919" t="s">
        <v>6308</v>
      </c>
      <c r="G919" t="s">
        <v>6309</v>
      </c>
      <c r="H919" t="s">
        <v>42</v>
      </c>
      <c r="I919" t="s">
        <v>6310</v>
      </c>
      <c r="J919" t="s">
        <v>6311</v>
      </c>
      <c r="K919" t="s">
        <v>6312</v>
      </c>
      <c r="L919" t="s">
        <v>82</v>
      </c>
      <c r="M919" t="s">
        <v>46</v>
      </c>
      <c r="N919" t="s">
        <v>47</v>
      </c>
      <c r="O919">
        <v>2</v>
      </c>
      <c r="P919">
        <v>1</v>
      </c>
      <c r="Q919">
        <v>2</v>
      </c>
      <c r="R919" t="s">
        <v>48</v>
      </c>
      <c r="S919" t="s">
        <v>49</v>
      </c>
      <c r="T919" s="3">
        <v>0.84</v>
      </c>
      <c r="U919" s="3">
        <v>0.23</v>
      </c>
      <c r="V919" s="3">
        <v>1.81</v>
      </c>
      <c r="W919">
        <v>0.73</v>
      </c>
      <c r="X919" t="s">
        <v>50</v>
      </c>
      <c r="Y919" s="3">
        <v>9.19</v>
      </c>
      <c r="Z919" t="s">
        <v>73</v>
      </c>
      <c r="AA919" t="s">
        <v>6313</v>
      </c>
      <c r="AB919" t="s">
        <v>53</v>
      </c>
      <c r="AC919" s="3">
        <v>1.29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f t="shared" si="28"/>
        <v>13.360000000000001</v>
      </c>
      <c r="AK919" s="3">
        <f t="shared" si="29"/>
        <v>4.1700000000000017</v>
      </c>
    </row>
    <row r="920" spans="1:37">
      <c r="A920">
        <v>10303137</v>
      </c>
      <c r="B920" t="s">
        <v>37</v>
      </c>
      <c r="C920" t="s">
        <v>6314</v>
      </c>
      <c r="E920" t="s">
        <v>6315</v>
      </c>
      <c r="F920" t="s">
        <v>6316</v>
      </c>
      <c r="G920" t="s">
        <v>6317</v>
      </c>
      <c r="H920" t="s">
        <v>42</v>
      </c>
      <c r="I920" t="s">
        <v>6318</v>
      </c>
      <c r="J920" t="s">
        <v>6319</v>
      </c>
      <c r="K920">
        <v>4280</v>
      </c>
      <c r="L920" t="s">
        <v>505</v>
      </c>
      <c r="M920" t="s">
        <v>46</v>
      </c>
      <c r="N920" t="s">
        <v>47</v>
      </c>
      <c r="O920">
        <v>8</v>
      </c>
      <c r="P920">
        <v>1</v>
      </c>
      <c r="Q920">
        <v>8</v>
      </c>
      <c r="R920" t="s">
        <v>48</v>
      </c>
      <c r="S920" t="s">
        <v>49</v>
      </c>
      <c r="T920" s="3">
        <v>0.84</v>
      </c>
      <c r="U920" s="3">
        <v>0.23</v>
      </c>
      <c r="V920" s="3">
        <v>7.03</v>
      </c>
      <c r="W920">
        <v>3.8</v>
      </c>
      <c r="X920" t="s">
        <v>50</v>
      </c>
      <c r="Y920" s="3">
        <v>9.19</v>
      </c>
      <c r="Z920" t="s">
        <v>83</v>
      </c>
      <c r="AA920" t="s">
        <v>6320</v>
      </c>
      <c r="AB920" t="s">
        <v>53</v>
      </c>
      <c r="AC920" s="3">
        <v>1.27</v>
      </c>
      <c r="AD920" s="3">
        <v>0</v>
      </c>
      <c r="AE920" s="3">
        <v>0</v>
      </c>
      <c r="AF920" s="3">
        <v>0</v>
      </c>
      <c r="AG920" s="3">
        <v>0</v>
      </c>
      <c r="AH920" s="3">
        <v>5</v>
      </c>
      <c r="AI920" s="3">
        <v>0</v>
      </c>
      <c r="AJ920" s="3">
        <f t="shared" si="28"/>
        <v>23.56</v>
      </c>
      <c r="AK920" s="3">
        <f t="shared" si="29"/>
        <v>14.37</v>
      </c>
    </row>
    <row r="921" spans="1:37">
      <c r="A921">
        <v>10321076</v>
      </c>
      <c r="B921" t="s">
        <v>37</v>
      </c>
      <c r="C921" t="s">
        <v>6321</v>
      </c>
      <c r="E921" t="s">
        <v>6322</v>
      </c>
      <c r="F921" t="s">
        <v>6323</v>
      </c>
      <c r="G921" t="s">
        <v>6324</v>
      </c>
      <c r="H921" t="s">
        <v>42</v>
      </c>
      <c r="I921" t="s">
        <v>6325</v>
      </c>
      <c r="J921" t="s">
        <v>6326</v>
      </c>
      <c r="K921">
        <v>1651</v>
      </c>
      <c r="L921" t="s">
        <v>505</v>
      </c>
      <c r="M921" t="s">
        <v>46</v>
      </c>
      <c r="N921" t="s">
        <v>47</v>
      </c>
      <c r="O921">
        <v>6</v>
      </c>
      <c r="P921">
        <v>1</v>
      </c>
      <c r="Q921">
        <v>6</v>
      </c>
      <c r="R921" t="s">
        <v>48</v>
      </c>
      <c r="S921" t="s">
        <v>49</v>
      </c>
      <c r="T921" s="3">
        <v>0.84</v>
      </c>
      <c r="U921" s="3">
        <v>0.23</v>
      </c>
      <c r="V921" s="3">
        <v>5.29</v>
      </c>
      <c r="W921">
        <v>3.04</v>
      </c>
      <c r="X921" t="s">
        <v>50</v>
      </c>
      <c r="Y921" s="3">
        <v>9.19</v>
      </c>
      <c r="Z921" t="s">
        <v>73</v>
      </c>
      <c r="AA921" t="s">
        <v>6327</v>
      </c>
      <c r="AB921" t="s">
        <v>53</v>
      </c>
      <c r="AC921" s="3">
        <v>1.29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f t="shared" si="28"/>
        <v>16.84</v>
      </c>
      <c r="AK921" s="3">
        <f t="shared" si="29"/>
        <v>7.65</v>
      </c>
    </row>
    <row r="922" spans="1:37">
      <c r="A922">
        <v>10321299</v>
      </c>
      <c r="B922" t="s">
        <v>37</v>
      </c>
      <c r="C922" t="s">
        <v>6328</v>
      </c>
      <c r="E922" t="s">
        <v>6329</v>
      </c>
      <c r="F922" t="s">
        <v>6330</v>
      </c>
      <c r="G922" t="s">
        <v>6331</v>
      </c>
      <c r="H922" t="s">
        <v>42</v>
      </c>
      <c r="I922" t="s">
        <v>6332</v>
      </c>
      <c r="J922" t="s">
        <v>6333</v>
      </c>
      <c r="K922">
        <v>21521</v>
      </c>
      <c r="L922" t="s">
        <v>71</v>
      </c>
      <c r="M922" t="s">
        <v>46</v>
      </c>
      <c r="N922" t="s">
        <v>47</v>
      </c>
      <c r="O922">
        <v>4</v>
      </c>
      <c r="P922">
        <v>1</v>
      </c>
      <c r="Q922">
        <v>4</v>
      </c>
      <c r="R922" t="s">
        <v>48</v>
      </c>
      <c r="S922" t="s">
        <v>49</v>
      </c>
      <c r="T922" s="3">
        <v>0.84</v>
      </c>
      <c r="U922" s="3">
        <v>0.23</v>
      </c>
      <c r="V922" s="3">
        <v>3.55</v>
      </c>
      <c r="W922">
        <v>1.66</v>
      </c>
      <c r="X922" t="s">
        <v>72</v>
      </c>
      <c r="Y922" s="3">
        <v>5.43</v>
      </c>
      <c r="Z922" t="s">
        <v>73</v>
      </c>
      <c r="AA922" t="s">
        <v>3438</v>
      </c>
      <c r="AB922" t="s">
        <v>53</v>
      </c>
      <c r="AC922" s="3">
        <v>1.29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f t="shared" si="28"/>
        <v>11.34</v>
      </c>
      <c r="AK922" s="3">
        <f t="shared" si="29"/>
        <v>5.91</v>
      </c>
    </row>
    <row r="923" spans="1:37">
      <c r="A923">
        <v>10321077</v>
      </c>
      <c r="B923" t="s">
        <v>37</v>
      </c>
      <c r="C923" t="s">
        <v>6334</v>
      </c>
      <c r="E923" t="s">
        <v>5774</v>
      </c>
      <c r="F923" t="s">
        <v>6335</v>
      </c>
      <c r="G923" t="s">
        <v>6336</v>
      </c>
      <c r="H923" t="s">
        <v>42</v>
      </c>
      <c r="I923" t="s">
        <v>6337</v>
      </c>
      <c r="J923" t="s">
        <v>6338</v>
      </c>
      <c r="K923" t="s">
        <v>6339</v>
      </c>
      <c r="L923" t="s">
        <v>142</v>
      </c>
      <c r="M923" t="s">
        <v>46</v>
      </c>
      <c r="N923" t="s">
        <v>47</v>
      </c>
      <c r="O923">
        <v>4</v>
      </c>
      <c r="P923">
        <v>1</v>
      </c>
      <c r="Q923">
        <v>4</v>
      </c>
      <c r="R923" t="s">
        <v>48</v>
      </c>
      <c r="S923" t="s">
        <v>49</v>
      </c>
      <c r="T923" s="3">
        <v>0.84</v>
      </c>
      <c r="U923" s="3">
        <v>0.23</v>
      </c>
      <c r="V923" s="3">
        <v>3.55</v>
      </c>
      <c r="W923">
        <v>2.06</v>
      </c>
      <c r="X923" t="s">
        <v>50</v>
      </c>
      <c r="Y923" s="3">
        <v>16.43</v>
      </c>
      <c r="Z923" t="s">
        <v>73</v>
      </c>
      <c r="AA923" t="s">
        <v>327</v>
      </c>
      <c r="AB923" t="s">
        <v>53</v>
      </c>
      <c r="AC923" s="3">
        <v>1.29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f t="shared" si="28"/>
        <v>22.34</v>
      </c>
      <c r="AK923" s="3">
        <f t="shared" si="29"/>
        <v>5.91</v>
      </c>
    </row>
    <row r="924" spans="1:37">
      <c r="A924">
        <v>10321309</v>
      </c>
      <c r="B924" t="s">
        <v>37</v>
      </c>
      <c r="C924" t="s">
        <v>6340</v>
      </c>
      <c r="E924" t="s">
        <v>6014</v>
      </c>
      <c r="F924" t="s">
        <v>6341</v>
      </c>
      <c r="G924" t="s">
        <v>6342</v>
      </c>
      <c r="H924" t="s">
        <v>42</v>
      </c>
      <c r="I924" t="s">
        <v>6343</v>
      </c>
      <c r="J924" t="s">
        <v>6344</v>
      </c>
      <c r="K924">
        <v>2600</v>
      </c>
      <c r="L924" t="s">
        <v>505</v>
      </c>
      <c r="M924" t="s">
        <v>46</v>
      </c>
      <c r="N924" t="s">
        <v>47</v>
      </c>
      <c r="O924">
        <v>4</v>
      </c>
      <c r="P924">
        <v>1</v>
      </c>
      <c r="Q924">
        <v>4</v>
      </c>
      <c r="R924" t="s">
        <v>48</v>
      </c>
      <c r="S924" t="s">
        <v>49</v>
      </c>
      <c r="T924" s="3">
        <v>0.84</v>
      </c>
      <c r="U924" s="3">
        <v>0.23</v>
      </c>
      <c r="V924" s="3">
        <v>3.55</v>
      </c>
      <c r="W924">
        <v>2.06</v>
      </c>
      <c r="X924" t="s">
        <v>50</v>
      </c>
      <c r="Y924" s="3">
        <v>9.19</v>
      </c>
      <c r="Z924" t="s">
        <v>73</v>
      </c>
      <c r="AA924" t="s">
        <v>327</v>
      </c>
      <c r="AB924" t="s">
        <v>53</v>
      </c>
      <c r="AC924" s="3">
        <v>1.29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f t="shared" si="28"/>
        <v>15.100000000000001</v>
      </c>
      <c r="AK924" s="3">
        <f t="shared" si="29"/>
        <v>5.9100000000000019</v>
      </c>
    </row>
    <row r="925" spans="1:37">
      <c r="A925">
        <v>10321302</v>
      </c>
      <c r="B925" t="s">
        <v>37</v>
      </c>
      <c r="C925" t="s">
        <v>6345</v>
      </c>
      <c r="E925" t="s">
        <v>4006</v>
      </c>
      <c r="F925" t="s">
        <v>6346</v>
      </c>
      <c r="G925" t="s">
        <v>6347</v>
      </c>
      <c r="H925" t="s">
        <v>42</v>
      </c>
      <c r="I925" t="s">
        <v>6348</v>
      </c>
      <c r="J925" t="s">
        <v>6349</v>
      </c>
      <c r="K925" t="s">
        <v>6350</v>
      </c>
      <c r="L925" t="s">
        <v>142</v>
      </c>
      <c r="M925" t="s">
        <v>46</v>
      </c>
      <c r="N925" t="s">
        <v>47</v>
      </c>
      <c r="O925">
        <v>6</v>
      </c>
      <c r="P925">
        <v>1</v>
      </c>
      <c r="Q925">
        <v>6</v>
      </c>
      <c r="R925" t="s">
        <v>48</v>
      </c>
      <c r="S925" t="s">
        <v>49</v>
      </c>
      <c r="T925" s="3">
        <v>0.84</v>
      </c>
      <c r="U925" s="3">
        <v>0.23</v>
      </c>
      <c r="V925" s="3">
        <v>5.29</v>
      </c>
      <c r="W925">
        <v>3.04</v>
      </c>
      <c r="X925" t="s">
        <v>50</v>
      </c>
      <c r="Y925" s="3">
        <v>16.43</v>
      </c>
      <c r="Z925" t="s">
        <v>73</v>
      </c>
      <c r="AA925" t="s">
        <v>6351</v>
      </c>
      <c r="AB925" t="s">
        <v>53</v>
      </c>
      <c r="AC925" s="3">
        <v>1.29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f t="shared" si="28"/>
        <v>24.08</v>
      </c>
      <c r="AK925" s="3">
        <f t="shared" si="29"/>
        <v>7.6499999999999986</v>
      </c>
    </row>
    <row r="926" spans="1:37">
      <c r="A926">
        <v>10295586</v>
      </c>
      <c r="B926" t="s">
        <v>111</v>
      </c>
      <c r="C926" t="s">
        <v>6352</v>
      </c>
      <c r="D926" t="s">
        <v>6353</v>
      </c>
      <c r="E926" t="s">
        <v>6354</v>
      </c>
      <c r="F926" t="s">
        <v>6355</v>
      </c>
      <c r="G926" t="s">
        <v>6356</v>
      </c>
      <c r="H926" t="s">
        <v>117</v>
      </c>
      <c r="I926" t="s">
        <v>6357</v>
      </c>
      <c r="J926" t="s">
        <v>6358</v>
      </c>
      <c r="K926">
        <v>20220</v>
      </c>
      <c r="L926" t="s">
        <v>130</v>
      </c>
      <c r="M926" t="s">
        <v>46</v>
      </c>
      <c r="N926" t="s">
        <v>47</v>
      </c>
      <c r="O926">
        <v>54</v>
      </c>
      <c r="P926">
        <v>3</v>
      </c>
      <c r="Q926">
        <v>54</v>
      </c>
      <c r="R926" t="s">
        <v>48</v>
      </c>
      <c r="S926" t="s">
        <v>49</v>
      </c>
      <c r="T926" s="3">
        <v>7</v>
      </c>
      <c r="U926" s="3">
        <v>0.23</v>
      </c>
      <c r="V926" s="3">
        <v>52.21</v>
      </c>
      <c r="W926">
        <v>29</v>
      </c>
      <c r="X926" t="s">
        <v>131</v>
      </c>
      <c r="Y926" s="3">
        <v>174.65</v>
      </c>
      <c r="Z926" t="s">
        <v>6359</v>
      </c>
      <c r="AA926" t="s">
        <v>6360</v>
      </c>
      <c r="AB926" t="s">
        <v>53</v>
      </c>
      <c r="AC926" s="3">
        <v>4.28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f t="shared" si="28"/>
        <v>238.37</v>
      </c>
      <c r="AK926" s="3">
        <f t="shared" si="29"/>
        <v>63.72</v>
      </c>
    </row>
    <row r="927" spans="1:37">
      <c r="A927">
        <v>10321312</v>
      </c>
      <c r="B927" t="s">
        <v>37</v>
      </c>
      <c r="C927" t="s">
        <v>6361</v>
      </c>
      <c r="E927" t="s">
        <v>6362</v>
      </c>
      <c r="F927" t="s">
        <v>6363</v>
      </c>
      <c r="G927" t="s">
        <v>6364</v>
      </c>
      <c r="H927" t="s">
        <v>42</v>
      </c>
      <c r="I927" t="s">
        <v>6365</v>
      </c>
      <c r="J927" t="s">
        <v>6366</v>
      </c>
      <c r="K927" t="s">
        <v>6367</v>
      </c>
      <c r="L927" t="s">
        <v>142</v>
      </c>
      <c r="M927" t="s">
        <v>46</v>
      </c>
      <c r="N927" t="s">
        <v>47</v>
      </c>
      <c r="O927">
        <v>8</v>
      </c>
      <c r="P927">
        <v>1</v>
      </c>
      <c r="Q927">
        <v>8</v>
      </c>
      <c r="R927" t="s">
        <v>48</v>
      </c>
      <c r="S927" t="s">
        <v>49</v>
      </c>
      <c r="T927" s="3">
        <v>0.84</v>
      </c>
      <c r="U927" s="3">
        <v>0.23</v>
      </c>
      <c r="V927" s="3">
        <v>7.03</v>
      </c>
      <c r="W927">
        <v>2.7</v>
      </c>
      <c r="X927" t="s">
        <v>50</v>
      </c>
      <c r="Y927" s="3">
        <v>16.43</v>
      </c>
      <c r="Z927" t="s">
        <v>83</v>
      </c>
      <c r="AA927" t="s">
        <v>6368</v>
      </c>
      <c r="AB927" t="s">
        <v>53</v>
      </c>
      <c r="AC927" s="3">
        <v>1.27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f t="shared" si="28"/>
        <v>25.8</v>
      </c>
      <c r="AK927" s="3">
        <f t="shared" si="29"/>
        <v>9.370000000000001</v>
      </c>
    </row>
    <row r="928" spans="1:37">
      <c r="A928">
        <v>10315687</v>
      </c>
      <c r="B928" t="s">
        <v>37</v>
      </c>
      <c r="C928" t="s">
        <v>6369</v>
      </c>
      <c r="E928" t="s">
        <v>6370</v>
      </c>
      <c r="F928" t="s">
        <v>6371</v>
      </c>
      <c r="G928" t="s">
        <v>6372</v>
      </c>
      <c r="H928" t="s">
        <v>42</v>
      </c>
      <c r="I928" t="s">
        <v>6373</v>
      </c>
      <c r="J928" t="s">
        <v>6374</v>
      </c>
      <c r="K928">
        <v>85635</v>
      </c>
      <c r="L928" t="s">
        <v>71</v>
      </c>
      <c r="M928" t="s">
        <v>46</v>
      </c>
      <c r="N928" t="s">
        <v>47</v>
      </c>
      <c r="O928">
        <v>4</v>
      </c>
      <c r="P928">
        <v>1</v>
      </c>
      <c r="Q928">
        <v>4</v>
      </c>
      <c r="R928" t="s">
        <v>48</v>
      </c>
      <c r="S928" t="s">
        <v>49</v>
      </c>
      <c r="T928" s="3">
        <v>0.84</v>
      </c>
      <c r="U928" s="3">
        <v>0.23</v>
      </c>
      <c r="V928" s="3">
        <v>3.55</v>
      </c>
      <c r="W928">
        <v>1.77</v>
      </c>
      <c r="X928" t="s">
        <v>72</v>
      </c>
      <c r="Y928" s="3">
        <v>5.43</v>
      </c>
      <c r="Z928" t="s">
        <v>73</v>
      </c>
      <c r="AA928" t="s">
        <v>6375</v>
      </c>
      <c r="AB928" t="s">
        <v>53</v>
      </c>
      <c r="AC928" s="3">
        <v>1.29</v>
      </c>
      <c r="AD928" s="3">
        <v>0</v>
      </c>
      <c r="AE928" s="3">
        <v>0</v>
      </c>
      <c r="AF928" s="3">
        <v>0</v>
      </c>
      <c r="AG928" s="3">
        <v>0</v>
      </c>
      <c r="AH928" s="3">
        <v>5</v>
      </c>
      <c r="AI928" s="3">
        <v>0</v>
      </c>
      <c r="AJ928" s="3">
        <f t="shared" si="28"/>
        <v>16.34</v>
      </c>
      <c r="AK928" s="3">
        <f t="shared" si="29"/>
        <v>10.91</v>
      </c>
    </row>
    <row r="929" spans="1:37">
      <c r="A929">
        <v>10269419</v>
      </c>
      <c r="B929" t="s">
        <v>37</v>
      </c>
      <c r="C929" t="s">
        <v>6376</v>
      </c>
      <c r="E929" t="s">
        <v>6362</v>
      </c>
      <c r="F929" t="s">
        <v>6377</v>
      </c>
      <c r="G929" t="s">
        <v>6378</v>
      </c>
      <c r="H929" t="s">
        <v>42</v>
      </c>
      <c r="I929" t="s">
        <v>6379</v>
      </c>
      <c r="J929" t="s">
        <v>6380</v>
      </c>
      <c r="K929" t="s">
        <v>6381</v>
      </c>
      <c r="L929" t="s">
        <v>142</v>
      </c>
      <c r="M929" t="s">
        <v>46</v>
      </c>
      <c r="N929" t="s">
        <v>47</v>
      </c>
      <c r="O929">
        <v>4</v>
      </c>
      <c r="P929">
        <v>1</v>
      </c>
      <c r="Q929">
        <v>4</v>
      </c>
      <c r="R929" t="s">
        <v>48</v>
      </c>
      <c r="S929" t="s">
        <v>49</v>
      </c>
      <c r="T929" s="3">
        <v>0.84</v>
      </c>
      <c r="U929" s="3">
        <v>0.23</v>
      </c>
      <c r="V929" s="3">
        <v>3.55</v>
      </c>
      <c r="W929">
        <v>1.66</v>
      </c>
      <c r="X929" t="s">
        <v>50</v>
      </c>
      <c r="Y929" s="3">
        <v>16.43</v>
      </c>
      <c r="Z929" t="s">
        <v>73</v>
      </c>
      <c r="AA929" t="s">
        <v>6382</v>
      </c>
      <c r="AB929" t="s">
        <v>53</v>
      </c>
      <c r="AC929" s="3">
        <v>1.29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f t="shared" si="28"/>
        <v>22.34</v>
      </c>
      <c r="AK929" s="3">
        <f t="shared" si="29"/>
        <v>5.91</v>
      </c>
    </row>
    <row r="930" spans="1:37">
      <c r="A930">
        <v>10322047</v>
      </c>
      <c r="B930" t="s">
        <v>37</v>
      </c>
      <c r="C930" t="s">
        <v>6383</v>
      </c>
      <c r="E930" t="s">
        <v>6384</v>
      </c>
      <c r="F930" t="s">
        <v>6385</v>
      </c>
      <c r="G930" t="s">
        <v>6386</v>
      </c>
      <c r="H930" t="s">
        <v>42</v>
      </c>
      <c r="I930" t="s">
        <v>6387</v>
      </c>
      <c r="J930" t="s">
        <v>6388</v>
      </c>
      <c r="K930">
        <v>1026</v>
      </c>
      <c r="L930" t="s">
        <v>1701</v>
      </c>
      <c r="M930" t="s">
        <v>46</v>
      </c>
      <c r="N930" t="s">
        <v>47</v>
      </c>
      <c r="O930">
        <v>4</v>
      </c>
      <c r="P930">
        <v>1</v>
      </c>
      <c r="Q930">
        <v>4</v>
      </c>
      <c r="R930" t="s">
        <v>48</v>
      </c>
      <c r="S930" t="s">
        <v>49</v>
      </c>
      <c r="T930" s="3">
        <v>0.84</v>
      </c>
      <c r="U930" s="3">
        <v>0.23</v>
      </c>
      <c r="V930" s="3">
        <v>3.55</v>
      </c>
      <c r="W930">
        <v>1.66</v>
      </c>
      <c r="X930" t="s">
        <v>1702</v>
      </c>
      <c r="Y930" s="3">
        <v>39.76</v>
      </c>
      <c r="Z930" t="s">
        <v>73</v>
      </c>
      <c r="AA930" t="s">
        <v>6389</v>
      </c>
      <c r="AB930" t="s">
        <v>53</v>
      </c>
      <c r="AC930" s="3">
        <v>1.29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f t="shared" si="28"/>
        <v>45.669999999999995</v>
      </c>
      <c r="AK930" s="3">
        <f t="shared" si="29"/>
        <v>5.9099999999999966</v>
      </c>
    </row>
    <row r="931" spans="1:37">
      <c r="A931">
        <v>10304833</v>
      </c>
      <c r="B931" t="s">
        <v>37</v>
      </c>
      <c r="C931" t="s">
        <v>6390</v>
      </c>
      <c r="E931" t="s">
        <v>208</v>
      </c>
      <c r="F931" t="s">
        <v>6391</v>
      </c>
      <c r="G931" t="s">
        <v>6392</v>
      </c>
      <c r="H931" t="s">
        <v>42</v>
      </c>
      <c r="I931" t="s">
        <v>6393</v>
      </c>
      <c r="J931" t="s">
        <v>6394</v>
      </c>
      <c r="K931">
        <v>42350</v>
      </c>
      <c r="L931" t="s">
        <v>130</v>
      </c>
      <c r="M931" t="s">
        <v>46</v>
      </c>
      <c r="N931" t="s">
        <v>47</v>
      </c>
      <c r="O931">
        <v>3</v>
      </c>
      <c r="P931">
        <v>1</v>
      </c>
      <c r="Q931">
        <v>3</v>
      </c>
      <c r="R931" t="s">
        <v>48</v>
      </c>
      <c r="S931" t="s">
        <v>49</v>
      </c>
      <c r="T931" s="3">
        <v>0.84</v>
      </c>
      <c r="U931" s="3">
        <v>0.23</v>
      </c>
      <c r="V931" s="3">
        <v>2.68</v>
      </c>
      <c r="W931">
        <v>0.78</v>
      </c>
      <c r="X931" t="s">
        <v>50</v>
      </c>
      <c r="Y931" s="3">
        <v>14.9</v>
      </c>
      <c r="Z931" t="s">
        <v>109</v>
      </c>
      <c r="AA931" t="s">
        <v>6395</v>
      </c>
      <c r="AB931" t="s">
        <v>53</v>
      </c>
      <c r="AC931" s="3">
        <v>1.06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f t="shared" si="28"/>
        <v>19.71</v>
      </c>
      <c r="AK931" s="3">
        <f t="shared" si="29"/>
        <v>4.8100000000000005</v>
      </c>
    </row>
    <row r="932" spans="1:37">
      <c r="A932">
        <v>10323822</v>
      </c>
      <c r="B932" t="s">
        <v>37</v>
      </c>
      <c r="C932" t="s">
        <v>6396</v>
      </c>
      <c r="D932" t="s">
        <v>6397</v>
      </c>
      <c r="E932" t="s">
        <v>6398</v>
      </c>
      <c r="F932" t="s">
        <v>6399</v>
      </c>
      <c r="G932" t="s">
        <v>6400</v>
      </c>
      <c r="H932" t="s">
        <v>42</v>
      </c>
      <c r="I932" t="s">
        <v>6401</v>
      </c>
      <c r="J932" t="s">
        <v>6402</v>
      </c>
      <c r="K932" t="s">
        <v>6403</v>
      </c>
      <c r="L932" t="s">
        <v>142</v>
      </c>
      <c r="M932" t="s">
        <v>46</v>
      </c>
      <c r="N932" t="s">
        <v>47</v>
      </c>
      <c r="O932">
        <v>4</v>
      </c>
      <c r="P932">
        <v>1</v>
      </c>
      <c r="Q932">
        <v>4</v>
      </c>
      <c r="R932" t="s">
        <v>48</v>
      </c>
      <c r="S932" t="s">
        <v>49</v>
      </c>
      <c r="T932" s="3">
        <v>0.84</v>
      </c>
      <c r="U932" s="3">
        <v>0.23</v>
      </c>
      <c r="V932" s="3">
        <v>3.55</v>
      </c>
      <c r="W932">
        <v>1.66</v>
      </c>
      <c r="X932" t="s">
        <v>50</v>
      </c>
      <c r="Y932" s="3">
        <v>16.43</v>
      </c>
      <c r="Z932" t="s">
        <v>73</v>
      </c>
      <c r="AA932" t="s">
        <v>1878</v>
      </c>
      <c r="AB932" t="s">
        <v>53</v>
      </c>
      <c r="AC932" s="3">
        <v>1.29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f t="shared" si="28"/>
        <v>22.34</v>
      </c>
      <c r="AK932" s="3">
        <f t="shared" si="29"/>
        <v>5.91</v>
      </c>
    </row>
    <row r="933" spans="1:37">
      <c r="A933">
        <v>10323823</v>
      </c>
      <c r="B933" t="s">
        <v>37</v>
      </c>
      <c r="C933" t="s">
        <v>6404</v>
      </c>
      <c r="E933" t="s">
        <v>6405</v>
      </c>
      <c r="F933" t="s">
        <v>6406</v>
      </c>
      <c r="G933" t="s">
        <v>6407</v>
      </c>
      <c r="H933" t="s">
        <v>42</v>
      </c>
      <c r="I933" t="s">
        <v>6408</v>
      </c>
      <c r="J933" t="s">
        <v>6409</v>
      </c>
      <c r="K933" t="s">
        <v>6410</v>
      </c>
      <c r="L933" t="s">
        <v>142</v>
      </c>
      <c r="M933" t="s">
        <v>46</v>
      </c>
      <c r="N933" t="s">
        <v>47</v>
      </c>
      <c r="O933">
        <v>3</v>
      </c>
      <c r="P933">
        <v>1</v>
      </c>
      <c r="Q933">
        <v>3</v>
      </c>
      <c r="R933" t="s">
        <v>48</v>
      </c>
      <c r="S933" t="s">
        <v>49</v>
      </c>
      <c r="T933" s="3">
        <v>0.84</v>
      </c>
      <c r="U933" s="3">
        <v>0.23</v>
      </c>
      <c r="V933" s="3">
        <v>2.68</v>
      </c>
      <c r="W933">
        <v>1.27</v>
      </c>
      <c r="X933" t="s">
        <v>50</v>
      </c>
      <c r="Y933" s="3">
        <v>16.43</v>
      </c>
      <c r="Z933" t="s">
        <v>73</v>
      </c>
      <c r="AA933" t="s">
        <v>6411</v>
      </c>
      <c r="AB933" t="s">
        <v>53</v>
      </c>
      <c r="AC933" s="3">
        <v>1.29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f t="shared" si="28"/>
        <v>21.47</v>
      </c>
      <c r="AK933" s="3">
        <f t="shared" si="29"/>
        <v>5.0399999999999991</v>
      </c>
    </row>
    <row r="934" spans="1:37">
      <c r="A934">
        <v>10322441</v>
      </c>
      <c r="B934" t="s">
        <v>37</v>
      </c>
      <c r="C934" t="s">
        <v>6412</v>
      </c>
      <c r="E934" t="s">
        <v>3681</v>
      </c>
      <c r="F934" t="s">
        <v>5602</v>
      </c>
      <c r="G934" t="s">
        <v>6413</v>
      </c>
      <c r="H934" t="s">
        <v>42</v>
      </c>
      <c r="I934" t="s">
        <v>6414</v>
      </c>
      <c r="J934" t="s">
        <v>6415</v>
      </c>
      <c r="K934" t="s">
        <v>6416</v>
      </c>
      <c r="L934" t="s">
        <v>142</v>
      </c>
      <c r="M934" t="s">
        <v>46</v>
      </c>
      <c r="N934" t="s">
        <v>47</v>
      </c>
      <c r="O934">
        <v>6</v>
      </c>
      <c r="P934">
        <v>1</v>
      </c>
      <c r="Q934">
        <v>6</v>
      </c>
      <c r="R934" t="s">
        <v>48</v>
      </c>
      <c r="S934" t="s">
        <v>49</v>
      </c>
      <c r="T934" s="3">
        <v>0.84</v>
      </c>
      <c r="U934" s="3">
        <v>0.23</v>
      </c>
      <c r="V934" s="3">
        <v>5.29</v>
      </c>
      <c r="W934">
        <v>2.57</v>
      </c>
      <c r="X934" t="s">
        <v>50</v>
      </c>
      <c r="Y934" s="3">
        <v>16.43</v>
      </c>
      <c r="Z934" t="s">
        <v>73</v>
      </c>
      <c r="AA934" t="s">
        <v>6417</v>
      </c>
      <c r="AB934" t="s">
        <v>53</v>
      </c>
      <c r="AC934" s="3">
        <v>1.29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f t="shared" si="28"/>
        <v>24.08</v>
      </c>
      <c r="AK934" s="3">
        <f t="shared" si="29"/>
        <v>7.6499999999999986</v>
      </c>
    </row>
    <row r="935" spans="1:37">
      <c r="A935">
        <v>10322852</v>
      </c>
      <c r="B935" t="s">
        <v>37</v>
      </c>
      <c r="C935" t="s">
        <v>6418</v>
      </c>
      <c r="E935" t="s">
        <v>5103</v>
      </c>
      <c r="F935" t="s">
        <v>6419</v>
      </c>
      <c r="G935" t="s">
        <v>6420</v>
      </c>
      <c r="H935" t="s">
        <v>42</v>
      </c>
      <c r="I935" t="s">
        <v>6421</v>
      </c>
      <c r="J935" t="s">
        <v>6422</v>
      </c>
      <c r="K935">
        <v>2050</v>
      </c>
      <c r="L935" t="s">
        <v>505</v>
      </c>
      <c r="M935" t="s">
        <v>46</v>
      </c>
      <c r="N935" t="s">
        <v>47</v>
      </c>
      <c r="O935">
        <v>3</v>
      </c>
      <c r="P935">
        <v>1</v>
      </c>
      <c r="Q935">
        <v>3</v>
      </c>
      <c r="R935" t="s">
        <v>48</v>
      </c>
      <c r="S935" t="s">
        <v>49</v>
      </c>
      <c r="T935" s="3">
        <v>0.84</v>
      </c>
      <c r="U935" s="3">
        <v>0.23</v>
      </c>
      <c r="V935" s="3">
        <v>2.68</v>
      </c>
      <c r="W935">
        <v>1.57</v>
      </c>
      <c r="X935" t="s">
        <v>50</v>
      </c>
      <c r="Y935" s="3">
        <v>9.19</v>
      </c>
      <c r="Z935" t="s">
        <v>73</v>
      </c>
      <c r="AA935" t="s">
        <v>6423</v>
      </c>
      <c r="AB935" t="s">
        <v>53</v>
      </c>
      <c r="AC935" s="3">
        <v>1.29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f t="shared" si="28"/>
        <v>14.23</v>
      </c>
      <c r="AK935" s="3">
        <f t="shared" si="29"/>
        <v>5.0400000000000009</v>
      </c>
    </row>
    <row r="936" spans="1:37">
      <c r="A936">
        <v>10309272</v>
      </c>
      <c r="B936" t="s">
        <v>37</v>
      </c>
      <c r="C936" t="s">
        <v>6424</v>
      </c>
      <c r="D936" t="s">
        <v>6425</v>
      </c>
      <c r="E936" t="s">
        <v>1438</v>
      </c>
      <c r="F936" t="s">
        <v>6426</v>
      </c>
      <c r="G936" t="s">
        <v>6427</v>
      </c>
      <c r="H936" t="s">
        <v>42</v>
      </c>
      <c r="I936" t="s">
        <v>6428</v>
      </c>
      <c r="J936" t="s">
        <v>6429</v>
      </c>
      <c r="K936" t="s">
        <v>6430</v>
      </c>
      <c r="L936" t="s">
        <v>142</v>
      </c>
      <c r="M936" t="s">
        <v>46</v>
      </c>
      <c r="N936" t="s">
        <v>47</v>
      </c>
      <c r="O936">
        <v>3</v>
      </c>
      <c r="P936">
        <v>1</v>
      </c>
      <c r="Q936">
        <v>3</v>
      </c>
      <c r="R936" t="s">
        <v>48</v>
      </c>
      <c r="S936" t="s">
        <v>49</v>
      </c>
      <c r="T936" s="3">
        <v>0.84</v>
      </c>
      <c r="U936" s="3">
        <v>0.23</v>
      </c>
      <c r="V936" s="3">
        <v>2.68</v>
      </c>
      <c r="W936">
        <v>1.45</v>
      </c>
      <c r="X936" t="s">
        <v>50</v>
      </c>
      <c r="Y936" s="3">
        <v>16.43</v>
      </c>
      <c r="Z936" t="s">
        <v>73</v>
      </c>
      <c r="AA936" t="s">
        <v>6431</v>
      </c>
      <c r="AB936" t="s">
        <v>53</v>
      </c>
      <c r="AC936" s="3">
        <v>1.29</v>
      </c>
      <c r="AD936" s="3">
        <v>0</v>
      </c>
      <c r="AE936" s="3">
        <v>0</v>
      </c>
      <c r="AF936" s="3">
        <v>0</v>
      </c>
      <c r="AG936" s="3">
        <v>0</v>
      </c>
      <c r="AH936" s="3">
        <v>5</v>
      </c>
      <c r="AI936" s="3">
        <v>0</v>
      </c>
      <c r="AJ936" s="3">
        <f t="shared" si="28"/>
        <v>26.47</v>
      </c>
      <c r="AK936" s="3">
        <f t="shared" si="29"/>
        <v>10.039999999999999</v>
      </c>
    </row>
    <row r="937" spans="1:37">
      <c r="A937">
        <v>10322043</v>
      </c>
      <c r="B937" t="s">
        <v>37</v>
      </c>
      <c r="C937" t="s">
        <v>6432</v>
      </c>
      <c r="E937" t="s">
        <v>1292</v>
      </c>
      <c r="F937" t="s">
        <v>6433</v>
      </c>
      <c r="G937" t="s">
        <v>6434</v>
      </c>
      <c r="H937" t="s">
        <v>42</v>
      </c>
      <c r="I937" t="s">
        <v>6435</v>
      </c>
      <c r="J937" t="s">
        <v>6436</v>
      </c>
      <c r="K937">
        <v>21031</v>
      </c>
      <c r="L937" t="s">
        <v>71</v>
      </c>
      <c r="M937" t="s">
        <v>46</v>
      </c>
      <c r="N937" t="s">
        <v>47</v>
      </c>
      <c r="O937">
        <v>1</v>
      </c>
      <c r="P937">
        <v>1</v>
      </c>
      <c r="Q937">
        <v>1</v>
      </c>
      <c r="R937" t="s">
        <v>48</v>
      </c>
      <c r="S937" t="s">
        <v>49</v>
      </c>
      <c r="T937" s="3">
        <v>0.84</v>
      </c>
      <c r="U937" s="3">
        <v>0.23</v>
      </c>
      <c r="V937" s="3">
        <v>0.94</v>
      </c>
      <c r="W937">
        <v>0.49</v>
      </c>
      <c r="X937" t="s">
        <v>108</v>
      </c>
      <c r="Y937" s="3">
        <v>5.13</v>
      </c>
      <c r="Z937" t="s">
        <v>109</v>
      </c>
      <c r="AA937" t="s">
        <v>1385</v>
      </c>
      <c r="AB937" t="s">
        <v>53</v>
      </c>
      <c r="AC937" s="3">
        <v>1.06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f t="shared" si="28"/>
        <v>8.1999999999999993</v>
      </c>
      <c r="AK937" s="3">
        <f t="shared" si="29"/>
        <v>3.0699999999999994</v>
      </c>
    </row>
    <row r="938" spans="1:37">
      <c r="A938">
        <v>10323233</v>
      </c>
      <c r="B938" t="s">
        <v>37</v>
      </c>
      <c r="C938" t="s">
        <v>6437</v>
      </c>
      <c r="E938" t="s">
        <v>1470</v>
      </c>
      <c r="F938" t="s">
        <v>4052</v>
      </c>
      <c r="G938" t="s">
        <v>6438</v>
      </c>
      <c r="H938" t="s">
        <v>42</v>
      </c>
      <c r="I938" t="s">
        <v>6439</v>
      </c>
      <c r="J938" t="s">
        <v>4055</v>
      </c>
      <c r="K938">
        <v>91126</v>
      </c>
      <c r="L938" t="s">
        <v>71</v>
      </c>
      <c r="M938" t="s">
        <v>46</v>
      </c>
      <c r="N938" t="s">
        <v>47</v>
      </c>
      <c r="O938">
        <v>1</v>
      </c>
      <c r="P938">
        <v>1</v>
      </c>
      <c r="Q938">
        <v>1</v>
      </c>
      <c r="R938" t="s">
        <v>48</v>
      </c>
      <c r="S938" t="s">
        <v>49</v>
      </c>
      <c r="T938" s="3">
        <v>0.84</v>
      </c>
      <c r="U938" s="3">
        <v>0.23</v>
      </c>
      <c r="V938" s="3">
        <v>0.94</v>
      </c>
      <c r="W938">
        <v>1.1200000000000001</v>
      </c>
      <c r="X938" t="s">
        <v>72</v>
      </c>
      <c r="Y938" s="3">
        <v>16.52</v>
      </c>
      <c r="Z938" t="s">
        <v>73</v>
      </c>
      <c r="AA938" t="s">
        <v>3456</v>
      </c>
      <c r="AB938" t="s">
        <v>53</v>
      </c>
      <c r="AC938" s="3">
        <v>1.29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f t="shared" si="28"/>
        <v>19.82</v>
      </c>
      <c r="AK938" s="3">
        <f t="shared" si="29"/>
        <v>3.3000000000000007</v>
      </c>
    </row>
    <row r="939" spans="1:37">
      <c r="A939">
        <v>10321798</v>
      </c>
      <c r="B939" t="s">
        <v>37</v>
      </c>
      <c r="C939" t="s">
        <v>6440</v>
      </c>
      <c r="E939" t="s">
        <v>6441</v>
      </c>
      <c r="F939" t="s">
        <v>6442</v>
      </c>
      <c r="G939" t="s">
        <v>6443</v>
      </c>
      <c r="H939" t="s">
        <v>42</v>
      </c>
      <c r="I939" t="s">
        <v>6444</v>
      </c>
      <c r="J939" t="s">
        <v>6445</v>
      </c>
      <c r="K939" t="s">
        <v>6446</v>
      </c>
      <c r="L939" t="s">
        <v>275</v>
      </c>
      <c r="M939" t="s">
        <v>46</v>
      </c>
      <c r="N939" t="s">
        <v>47</v>
      </c>
      <c r="O939">
        <v>1</v>
      </c>
      <c r="P939">
        <v>1</v>
      </c>
      <c r="Q939">
        <v>1</v>
      </c>
      <c r="R939" t="s">
        <v>48</v>
      </c>
      <c r="S939" t="s">
        <v>49</v>
      </c>
      <c r="T939" s="3">
        <v>0.84</v>
      </c>
      <c r="U939" s="3">
        <v>0.23</v>
      </c>
      <c r="V939" s="3">
        <v>0.94</v>
      </c>
      <c r="W939">
        <v>1.5</v>
      </c>
      <c r="X939" t="s">
        <v>50</v>
      </c>
      <c r="Y939" s="3">
        <v>16.43</v>
      </c>
      <c r="Z939" t="s">
        <v>73</v>
      </c>
      <c r="AA939" t="s">
        <v>74</v>
      </c>
      <c r="AB939" t="s">
        <v>53</v>
      </c>
      <c r="AC939" s="3">
        <v>1.29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f t="shared" si="28"/>
        <v>19.73</v>
      </c>
      <c r="AK939" s="3">
        <f t="shared" si="29"/>
        <v>3.3000000000000007</v>
      </c>
    </row>
    <row r="940" spans="1:37">
      <c r="A940">
        <v>10323819</v>
      </c>
      <c r="B940" t="s">
        <v>37</v>
      </c>
      <c r="C940" t="s">
        <v>6447</v>
      </c>
      <c r="E940" t="s">
        <v>6448</v>
      </c>
      <c r="F940" t="s">
        <v>6449</v>
      </c>
      <c r="G940" t="s">
        <v>6450</v>
      </c>
      <c r="H940" t="s">
        <v>42</v>
      </c>
      <c r="I940" t="s">
        <v>6451</v>
      </c>
      <c r="J940" t="s">
        <v>6452</v>
      </c>
      <c r="K940" t="s">
        <v>6453</v>
      </c>
      <c r="L940" t="s">
        <v>142</v>
      </c>
      <c r="M940" t="s">
        <v>46</v>
      </c>
      <c r="N940" t="s">
        <v>47</v>
      </c>
      <c r="O940">
        <v>1</v>
      </c>
      <c r="P940">
        <v>1</v>
      </c>
      <c r="Q940">
        <v>1</v>
      </c>
      <c r="R940" t="s">
        <v>48</v>
      </c>
      <c r="S940" t="s">
        <v>49</v>
      </c>
      <c r="T940" s="3">
        <v>0.84</v>
      </c>
      <c r="U940" s="3">
        <v>0.23</v>
      </c>
      <c r="V940" s="3">
        <v>0.94</v>
      </c>
      <c r="W940">
        <v>0.49</v>
      </c>
      <c r="X940" t="s">
        <v>50</v>
      </c>
      <c r="Y940" s="3">
        <v>16.43</v>
      </c>
      <c r="Z940" t="s">
        <v>109</v>
      </c>
      <c r="AA940" t="s">
        <v>3998</v>
      </c>
      <c r="AB940" t="s">
        <v>53</v>
      </c>
      <c r="AC940" s="3">
        <v>1.06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f t="shared" si="28"/>
        <v>19.5</v>
      </c>
      <c r="AK940" s="3">
        <f t="shared" si="29"/>
        <v>3.0700000000000003</v>
      </c>
    </row>
    <row r="941" spans="1:37">
      <c r="A941">
        <v>10322653</v>
      </c>
      <c r="B941" t="s">
        <v>37</v>
      </c>
      <c r="C941" t="s">
        <v>6454</v>
      </c>
      <c r="E941" t="s">
        <v>2526</v>
      </c>
      <c r="F941" t="s">
        <v>1743</v>
      </c>
      <c r="G941" t="s">
        <v>6455</v>
      </c>
      <c r="H941" t="s">
        <v>42</v>
      </c>
      <c r="I941" t="s">
        <v>6456</v>
      </c>
      <c r="J941" t="s">
        <v>3448</v>
      </c>
      <c r="K941" t="s">
        <v>3449</v>
      </c>
      <c r="L941" t="s">
        <v>142</v>
      </c>
      <c r="M941" t="s">
        <v>46</v>
      </c>
      <c r="N941" t="s">
        <v>47</v>
      </c>
      <c r="O941">
        <v>1</v>
      </c>
      <c r="P941">
        <v>1</v>
      </c>
      <c r="Q941">
        <v>1</v>
      </c>
      <c r="R941" t="s">
        <v>48</v>
      </c>
      <c r="S941" t="s">
        <v>49</v>
      </c>
      <c r="T941" s="3">
        <v>0.84</v>
      </c>
      <c r="U941" s="3">
        <v>0.23</v>
      </c>
      <c r="V941" s="3">
        <v>0.94</v>
      </c>
      <c r="W941">
        <v>0.25</v>
      </c>
      <c r="X941" t="s">
        <v>50</v>
      </c>
      <c r="Y941" s="3">
        <v>16.43</v>
      </c>
      <c r="Z941" t="s">
        <v>109</v>
      </c>
      <c r="AA941" t="s">
        <v>6457</v>
      </c>
      <c r="AB941" t="s">
        <v>53</v>
      </c>
      <c r="AC941" s="3">
        <v>1.06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f t="shared" si="28"/>
        <v>19.5</v>
      </c>
      <c r="AK941" s="3">
        <f t="shared" si="29"/>
        <v>3.0700000000000003</v>
      </c>
    </row>
    <row r="942" spans="1:37">
      <c r="A942">
        <v>10269152</v>
      </c>
      <c r="B942" t="s">
        <v>37</v>
      </c>
      <c r="C942" t="s">
        <v>6458</v>
      </c>
      <c r="E942" t="s">
        <v>6459</v>
      </c>
      <c r="F942" t="s">
        <v>6460</v>
      </c>
      <c r="G942" t="s">
        <v>6461</v>
      </c>
      <c r="H942" t="s">
        <v>42</v>
      </c>
      <c r="I942" t="s">
        <v>6462</v>
      </c>
      <c r="J942" t="s">
        <v>6463</v>
      </c>
      <c r="K942">
        <v>77855</v>
      </c>
      <c r="L942" t="s">
        <v>71</v>
      </c>
      <c r="M942" t="s">
        <v>46</v>
      </c>
      <c r="N942" t="s">
        <v>47</v>
      </c>
      <c r="O942">
        <v>1</v>
      </c>
      <c r="P942">
        <v>1</v>
      </c>
      <c r="Q942">
        <v>1</v>
      </c>
      <c r="R942" t="s">
        <v>48</v>
      </c>
      <c r="S942" t="s">
        <v>49</v>
      </c>
      <c r="T942" s="3">
        <v>0.84</v>
      </c>
      <c r="U942" s="3">
        <v>0.23</v>
      </c>
      <c r="V942" s="3">
        <v>0.94</v>
      </c>
      <c r="W942">
        <v>0.25</v>
      </c>
      <c r="X942" t="s">
        <v>108</v>
      </c>
      <c r="Y942" s="3">
        <v>5.13</v>
      </c>
      <c r="Z942" t="s">
        <v>109</v>
      </c>
      <c r="AA942" t="s">
        <v>6464</v>
      </c>
      <c r="AB942" t="s">
        <v>53</v>
      </c>
      <c r="AC942" s="3">
        <v>1.06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f t="shared" si="28"/>
        <v>8.1999999999999993</v>
      </c>
      <c r="AK942" s="3">
        <f t="shared" si="29"/>
        <v>3.0699999999999994</v>
      </c>
    </row>
    <row r="943" spans="1:37">
      <c r="A943">
        <v>10322038</v>
      </c>
      <c r="B943" t="s">
        <v>37</v>
      </c>
      <c r="C943" t="s">
        <v>6465</v>
      </c>
      <c r="E943" t="s">
        <v>6466</v>
      </c>
      <c r="F943" t="s">
        <v>6467</v>
      </c>
      <c r="G943" t="s">
        <v>6468</v>
      </c>
      <c r="H943" t="s">
        <v>42</v>
      </c>
      <c r="I943" t="s">
        <v>6469</v>
      </c>
      <c r="J943" t="s">
        <v>6470</v>
      </c>
      <c r="K943">
        <v>42124</v>
      </c>
      <c r="L943" t="s">
        <v>283</v>
      </c>
      <c r="M943" t="s">
        <v>46</v>
      </c>
      <c r="N943" t="s">
        <v>47</v>
      </c>
      <c r="O943">
        <v>2</v>
      </c>
      <c r="P943">
        <v>1</v>
      </c>
      <c r="Q943">
        <v>2</v>
      </c>
      <c r="R943" t="s">
        <v>48</v>
      </c>
      <c r="S943" t="s">
        <v>49</v>
      </c>
      <c r="T943" s="3">
        <v>0.84</v>
      </c>
      <c r="U943" s="3">
        <v>0.23</v>
      </c>
      <c r="V943" s="3">
        <v>1.81</v>
      </c>
      <c r="W943">
        <v>1.08</v>
      </c>
      <c r="X943" t="s">
        <v>50</v>
      </c>
      <c r="Y943" s="3">
        <v>14.98</v>
      </c>
      <c r="Z943" t="s">
        <v>73</v>
      </c>
      <c r="AA943" t="s">
        <v>2865</v>
      </c>
      <c r="AB943" t="s">
        <v>53</v>
      </c>
      <c r="AC943" s="3">
        <v>1.29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f t="shared" si="28"/>
        <v>19.149999999999999</v>
      </c>
      <c r="AK943" s="3">
        <f t="shared" si="29"/>
        <v>4.1699999999999982</v>
      </c>
    </row>
    <row r="944" spans="1:37">
      <c r="A944">
        <v>10323231</v>
      </c>
      <c r="B944" t="s">
        <v>37</v>
      </c>
      <c r="C944" t="s">
        <v>6471</v>
      </c>
      <c r="E944" t="s">
        <v>6472</v>
      </c>
      <c r="F944" t="s">
        <v>6473</v>
      </c>
      <c r="G944" t="s">
        <v>6474</v>
      </c>
      <c r="H944" t="s">
        <v>42</v>
      </c>
      <c r="I944" t="s">
        <v>6475</v>
      </c>
      <c r="J944" t="s">
        <v>6476</v>
      </c>
      <c r="K944" t="s">
        <v>6477</v>
      </c>
      <c r="L944" t="s">
        <v>82</v>
      </c>
      <c r="M944" t="s">
        <v>46</v>
      </c>
      <c r="N944" t="s">
        <v>47</v>
      </c>
      <c r="O944">
        <v>1</v>
      </c>
      <c r="P944">
        <v>1</v>
      </c>
      <c r="Q944">
        <v>1</v>
      </c>
      <c r="R944" t="s">
        <v>48</v>
      </c>
      <c r="S944" t="s">
        <v>49</v>
      </c>
      <c r="T944" s="3">
        <v>0.84</v>
      </c>
      <c r="U944" s="3">
        <v>0.23</v>
      </c>
      <c r="V944" s="3">
        <v>0.94</v>
      </c>
      <c r="W944">
        <v>0.24</v>
      </c>
      <c r="X944" t="s">
        <v>50</v>
      </c>
      <c r="Y944" s="3">
        <v>10.57</v>
      </c>
      <c r="Z944" t="s">
        <v>109</v>
      </c>
      <c r="AA944" t="s">
        <v>6478</v>
      </c>
      <c r="AB944" t="s">
        <v>53</v>
      </c>
      <c r="AC944" s="3">
        <v>1.06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f t="shared" si="28"/>
        <v>13.64</v>
      </c>
      <c r="AK944" s="3">
        <f t="shared" si="29"/>
        <v>3.0700000000000003</v>
      </c>
    </row>
    <row r="945" spans="1:37">
      <c r="A945">
        <v>10323232</v>
      </c>
      <c r="B945" t="s">
        <v>37</v>
      </c>
      <c r="C945" t="s">
        <v>6479</v>
      </c>
      <c r="E945" t="s">
        <v>1206</v>
      </c>
      <c r="F945" t="s">
        <v>1207</v>
      </c>
      <c r="G945" t="s">
        <v>6480</v>
      </c>
      <c r="H945" t="s">
        <v>42</v>
      </c>
      <c r="I945" t="s">
        <v>6481</v>
      </c>
      <c r="J945" t="s">
        <v>1210</v>
      </c>
      <c r="K945" t="s">
        <v>1211</v>
      </c>
      <c r="L945" t="s">
        <v>142</v>
      </c>
      <c r="M945" t="s">
        <v>46</v>
      </c>
      <c r="N945" t="s">
        <v>47</v>
      </c>
      <c r="O945">
        <v>2</v>
      </c>
      <c r="P945">
        <v>1</v>
      </c>
      <c r="Q945">
        <v>2</v>
      </c>
      <c r="R945" t="s">
        <v>48</v>
      </c>
      <c r="S945" t="s">
        <v>49</v>
      </c>
      <c r="T945" s="3">
        <v>0.84</v>
      </c>
      <c r="U945" s="3">
        <v>0.23</v>
      </c>
      <c r="V945" s="3">
        <v>1.81</v>
      </c>
      <c r="W945">
        <v>1.08</v>
      </c>
      <c r="X945" t="s">
        <v>50</v>
      </c>
      <c r="Y945" s="3">
        <v>16.43</v>
      </c>
      <c r="Z945" t="s">
        <v>73</v>
      </c>
      <c r="AA945" t="s">
        <v>6482</v>
      </c>
      <c r="AB945" t="s">
        <v>53</v>
      </c>
      <c r="AC945" s="3">
        <v>1.29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f t="shared" si="28"/>
        <v>20.599999999999998</v>
      </c>
      <c r="AK945" s="3">
        <f t="shared" si="29"/>
        <v>4.1699999999999982</v>
      </c>
    </row>
    <row r="946" spans="1:37">
      <c r="A946">
        <v>10321595</v>
      </c>
      <c r="B946" t="s">
        <v>37</v>
      </c>
      <c r="C946" t="s">
        <v>6483</v>
      </c>
      <c r="E946" t="s">
        <v>823</v>
      </c>
      <c r="F946" t="s">
        <v>824</v>
      </c>
      <c r="G946" t="s">
        <v>6484</v>
      </c>
      <c r="H946" t="s">
        <v>42</v>
      </c>
      <c r="I946" t="s">
        <v>6485</v>
      </c>
      <c r="J946" t="s">
        <v>6486</v>
      </c>
      <c r="K946">
        <v>3370</v>
      </c>
      <c r="L946" t="s">
        <v>505</v>
      </c>
      <c r="M946" t="s">
        <v>46</v>
      </c>
      <c r="N946" t="s">
        <v>47</v>
      </c>
      <c r="O946">
        <v>2</v>
      </c>
      <c r="P946">
        <v>1</v>
      </c>
      <c r="Q946">
        <v>2</v>
      </c>
      <c r="R946" t="s">
        <v>48</v>
      </c>
      <c r="S946" t="s">
        <v>49</v>
      </c>
      <c r="T946" s="3">
        <v>0.84</v>
      </c>
      <c r="U946" s="3">
        <v>0.23</v>
      </c>
      <c r="V946" s="3">
        <v>1.81</v>
      </c>
      <c r="W946">
        <v>0.88</v>
      </c>
      <c r="X946" t="s">
        <v>50</v>
      </c>
      <c r="Y946" s="3">
        <v>9.19</v>
      </c>
      <c r="Z946" t="s">
        <v>73</v>
      </c>
      <c r="AA946" t="s">
        <v>828</v>
      </c>
      <c r="AB946" t="s">
        <v>53</v>
      </c>
      <c r="AC946" s="3">
        <v>1.29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f t="shared" si="28"/>
        <v>13.360000000000001</v>
      </c>
      <c r="AK946" s="3">
        <f t="shared" si="29"/>
        <v>4.1700000000000017</v>
      </c>
    </row>
    <row r="947" spans="1:37">
      <c r="A947">
        <v>10322041</v>
      </c>
      <c r="B947" t="s">
        <v>37</v>
      </c>
      <c r="C947" t="s">
        <v>6487</v>
      </c>
      <c r="E947" t="s">
        <v>6488</v>
      </c>
      <c r="F947" t="s">
        <v>6489</v>
      </c>
      <c r="G947" t="s">
        <v>6490</v>
      </c>
      <c r="H947" t="s">
        <v>42</v>
      </c>
      <c r="I947" t="s">
        <v>6491</v>
      </c>
      <c r="J947" t="s">
        <v>6492</v>
      </c>
      <c r="K947">
        <v>8045</v>
      </c>
      <c r="L947" t="s">
        <v>45</v>
      </c>
      <c r="M947" t="s">
        <v>46</v>
      </c>
      <c r="N947" t="s">
        <v>47</v>
      </c>
      <c r="O947">
        <v>2</v>
      </c>
      <c r="P947">
        <v>1</v>
      </c>
      <c r="Q947">
        <v>2</v>
      </c>
      <c r="R947" t="s">
        <v>48</v>
      </c>
      <c r="S947" t="s">
        <v>49</v>
      </c>
      <c r="T947" s="3">
        <v>0.84</v>
      </c>
      <c r="U947" s="3">
        <v>0.23</v>
      </c>
      <c r="V947" s="3">
        <v>1.81</v>
      </c>
      <c r="W947">
        <v>1.95</v>
      </c>
      <c r="X947" t="s">
        <v>50</v>
      </c>
      <c r="Y947" s="3">
        <v>93.49</v>
      </c>
      <c r="Z947" t="s">
        <v>73</v>
      </c>
      <c r="AA947" t="s">
        <v>6493</v>
      </c>
      <c r="AB947" t="s">
        <v>53</v>
      </c>
      <c r="AC947" s="3">
        <v>1.29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f t="shared" si="28"/>
        <v>97.660000000000011</v>
      </c>
      <c r="AK947" s="3">
        <f t="shared" si="29"/>
        <v>4.1700000000000159</v>
      </c>
    </row>
    <row r="948" spans="1:37">
      <c r="A948">
        <v>10322251</v>
      </c>
      <c r="B948" t="s">
        <v>37</v>
      </c>
      <c r="C948" t="s">
        <v>6494</v>
      </c>
      <c r="E948" t="s">
        <v>6495</v>
      </c>
      <c r="F948" t="s">
        <v>6496</v>
      </c>
      <c r="G948" t="s">
        <v>6497</v>
      </c>
      <c r="H948" t="s">
        <v>42</v>
      </c>
      <c r="I948" t="s">
        <v>6498</v>
      </c>
      <c r="J948" t="s">
        <v>6499</v>
      </c>
      <c r="K948">
        <v>80809</v>
      </c>
      <c r="L948" t="s">
        <v>71</v>
      </c>
      <c r="M948" t="s">
        <v>46</v>
      </c>
      <c r="N948" t="s">
        <v>47</v>
      </c>
      <c r="O948">
        <v>2</v>
      </c>
      <c r="P948">
        <v>1</v>
      </c>
      <c r="Q948">
        <v>2</v>
      </c>
      <c r="R948" t="s">
        <v>48</v>
      </c>
      <c r="S948" t="s">
        <v>49</v>
      </c>
      <c r="T948" s="3">
        <v>0.84</v>
      </c>
      <c r="U948" s="3">
        <v>0.23</v>
      </c>
      <c r="V948" s="3">
        <v>1.81</v>
      </c>
      <c r="W948">
        <v>1.08</v>
      </c>
      <c r="X948" t="s">
        <v>72</v>
      </c>
      <c r="Y948" s="3">
        <v>5.43</v>
      </c>
      <c r="Z948" t="s">
        <v>73</v>
      </c>
      <c r="AA948" t="s">
        <v>2837</v>
      </c>
      <c r="AB948" t="s">
        <v>53</v>
      </c>
      <c r="AC948" s="3">
        <v>1.29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f t="shared" si="28"/>
        <v>9.6</v>
      </c>
      <c r="AK948" s="3">
        <f t="shared" si="29"/>
        <v>4.17</v>
      </c>
    </row>
    <row r="949" spans="1:37">
      <c r="A949">
        <v>10322849</v>
      </c>
      <c r="B949" t="s">
        <v>37</v>
      </c>
      <c r="C949" t="s">
        <v>6500</v>
      </c>
      <c r="E949" t="s">
        <v>6501</v>
      </c>
      <c r="F949" t="s">
        <v>6502</v>
      </c>
      <c r="G949" t="s">
        <v>6503</v>
      </c>
      <c r="H949" t="s">
        <v>42</v>
      </c>
      <c r="I949" t="s">
        <v>6504</v>
      </c>
      <c r="J949" t="s">
        <v>6505</v>
      </c>
      <c r="K949" t="s">
        <v>6506</v>
      </c>
      <c r="L949" t="s">
        <v>142</v>
      </c>
      <c r="M949" t="s">
        <v>46</v>
      </c>
      <c r="N949" t="s">
        <v>47</v>
      </c>
      <c r="O949">
        <v>2</v>
      </c>
      <c r="P949">
        <v>1</v>
      </c>
      <c r="Q949">
        <v>2</v>
      </c>
      <c r="R949" t="s">
        <v>48</v>
      </c>
      <c r="S949" t="s">
        <v>49</v>
      </c>
      <c r="T949" s="3">
        <v>0.84</v>
      </c>
      <c r="U949" s="3">
        <v>0.23</v>
      </c>
      <c r="V949" s="3">
        <v>1.81</v>
      </c>
      <c r="W949">
        <v>1.08</v>
      </c>
      <c r="X949" t="s">
        <v>50</v>
      </c>
      <c r="Y949" s="3">
        <v>16.43</v>
      </c>
      <c r="Z949" t="s">
        <v>73</v>
      </c>
      <c r="AA949" t="s">
        <v>6507</v>
      </c>
      <c r="AB949" t="s">
        <v>53</v>
      </c>
      <c r="AC949" s="3">
        <v>1.29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f t="shared" si="28"/>
        <v>20.599999999999998</v>
      </c>
      <c r="AK949" s="3">
        <f t="shared" si="29"/>
        <v>4.1699999999999982</v>
      </c>
    </row>
    <row r="950" spans="1:37">
      <c r="A950">
        <v>10322045</v>
      </c>
      <c r="B950" t="s">
        <v>111</v>
      </c>
      <c r="C950" t="s">
        <v>6508</v>
      </c>
      <c r="D950" t="s">
        <v>6509</v>
      </c>
      <c r="E950" t="s">
        <v>39</v>
      </c>
      <c r="F950" t="s">
        <v>6510</v>
      </c>
      <c r="G950" t="s">
        <v>6511</v>
      </c>
      <c r="H950" t="s">
        <v>117</v>
      </c>
      <c r="I950" t="s">
        <v>6512</v>
      </c>
      <c r="J950" t="s">
        <v>6513</v>
      </c>
      <c r="K950">
        <v>80469</v>
      </c>
      <c r="L950" t="s">
        <v>71</v>
      </c>
      <c r="M950" t="s">
        <v>46</v>
      </c>
      <c r="N950" t="s">
        <v>47</v>
      </c>
      <c r="O950">
        <v>2</v>
      </c>
      <c r="P950">
        <v>1</v>
      </c>
      <c r="Q950">
        <v>2</v>
      </c>
      <c r="R950" t="s">
        <v>48</v>
      </c>
      <c r="S950" t="s">
        <v>49</v>
      </c>
      <c r="T950" s="3">
        <v>7</v>
      </c>
      <c r="U950" s="3">
        <v>0.23</v>
      </c>
      <c r="V950" s="3">
        <v>1.81</v>
      </c>
      <c r="W950">
        <v>0.3</v>
      </c>
      <c r="X950" t="s">
        <v>72</v>
      </c>
      <c r="Y950" s="3">
        <v>5.43</v>
      </c>
      <c r="Z950" t="s">
        <v>73</v>
      </c>
      <c r="AA950" t="s">
        <v>6514</v>
      </c>
      <c r="AB950" t="s">
        <v>53</v>
      </c>
      <c r="AC950" s="3">
        <v>1.29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f t="shared" si="28"/>
        <v>15.76</v>
      </c>
      <c r="AK950" s="3">
        <f t="shared" si="29"/>
        <v>10.33</v>
      </c>
    </row>
    <row r="951" spans="1:37">
      <c r="A951">
        <v>10323821</v>
      </c>
      <c r="B951" t="s">
        <v>37</v>
      </c>
      <c r="C951" t="s">
        <v>6515</v>
      </c>
      <c r="E951" t="s">
        <v>6516</v>
      </c>
      <c r="F951" t="s">
        <v>6517</v>
      </c>
      <c r="G951" t="s">
        <v>6518</v>
      </c>
      <c r="H951" t="s">
        <v>42</v>
      </c>
      <c r="I951" t="s">
        <v>6519</v>
      </c>
      <c r="J951" t="s">
        <v>6520</v>
      </c>
      <c r="K951">
        <v>3332</v>
      </c>
      <c r="L951" t="s">
        <v>369</v>
      </c>
      <c r="M951" t="s">
        <v>46</v>
      </c>
      <c r="N951" t="s">
        <v>47</v>
      </c>
      <c r="O951">
        <v>2</v>
      </c>
      <c r="P951">
        <v>1</v>
      </c>
      <c r="Q951">
        <v>2</v>
      </c>
      <c r="R951" t="s">
        <v>48</v>
      </c>
      <c r="S951" t="s">
        <v>49</v>
      </c>
      <c r="T951" s="3">
        <v>0.84</v>
      </c>
      <c r="U951" s="3">
        <v>0.23</v>
      </c>
      <c r="V951" s="3">
        <v>1.81</v>
      </c>
      <c r="W951">
        <v>0.88</v>
      </c>
      <c r="X951" t="s">
        <v>50</v>
      </c>
      <c r="Y951" s="3">
        <v>9.19</v>
      </c>
      <c r="Z951" t="s">
        <v>73</v>
      </c>
      <c r="AA951" t="s">
        <v>6521</v>
      </c>
      <c r="AB951" t="s">
        <v>53</v>
      </c>
      <c r="AC951" s="3">
        <v>1.29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f t="shared" si="28"/>
        <v>13.360000000000001</v>
      </c>
      <c r="AK951" s="3">
        <f t="shared" si="29"/>
        <v>4.1700000000000017</v>
      </c>
    </row>
    <row r="952" spans="1:37">
      <c r="A952">
        <v>10322048</v>
      </c>
      <c r="B952" t="s">
        <v>37</v>
      </c>
      <c r="C952" t="s">
        <v>6522</v>
      </c>
      <c r="E952" t="s">
        <v>240</v>
      </c>
      <c r="F952" t="s">
        <v>6523</v>
      </c>
      <c r="G952" t="s">
        <v>6524</v>
      </c>
      <c r="H952" t="s">
        <v>42</v>
      </c>
      <c r="I952" t="s">
        <v>6525</v>
      </c>
      <c r="J952" t="s">
        <v>6526</v>
      </c>
      <c r="K952">
        <v>22769</v>
      </c>
      <c r="L952" t="s">
        <v>71</v>
      </c>
      <c r="M952" t="s">
        <v>46</v>
      </c>
      <c r="N952" t="s">
        <v>47</v>
      </c>
      <c r="O952">
        <v>2</v>
      </c>
      <c r="P952">
        <v>1</v>
      </c>
      <c r="Q952">
        <v>2</v>
      </c>
      <c r="R952" t="s">
        <v>48</v>
      </c>
      <c r="S952" t="s">
        <v>49</v>
      </c>
      <c r="T952" s="3">
        <v>0.84</v>
      </c>
      <c r="U952" s="3">
        <v>0.23</v>
      </c>
      <c r="V952" s="3">
        <v>1.81</v>
      </c>
      <c r="W952">
        <v>1.08</v>
      </c>
      <c r="X952" t="s">
        <v>72</v>
      </c>
      <c r="Y952" s="3">
        <v>5.43</v>
      </c>
      <c r="Z952" t="s">
        <v>73</v>
      </c>
      <c r="AA952" t="s">
        <v>6082</v>
      </c>
      <c r="AB952" t="s">
        <v>53</v>
      </c>
      <c r="AC952" s="3">
        <v>1.29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f t="shared" si="28"/>
        <v>9.6</v>
      </c>
      <c r="AK952" s="3">
        <f t="shared" si="29"/>
        <v>4.17</v>
      </c>
    </row>
    <row r="953" spans="1:37">
      <c r="A953">
        <v>10323030</v>
      </c>
      <c r="B953" t="s">
        <v>37</v>
      </c>
      <c r="C953" t="s">
        <v>6527</v>
      </c>
      <c r="E953" t="s">
        <v>351</v>
      </c>
      <c r="F953" t="s">
        <v>6528</v>
      </c>
      <c r="G953" t="s">
        <v>6529</v>
      </c>
      <c r="H953" t="s">
        <v>42</v>
      </c>
      <c r="I953" t="s">
        <v>6530</v>
      </c>
      <c r="J953" t="s">
        <v>6531</v>
      </c>
      <c r="K953" t="s">
        <v>6532</v>
      </c>
      <c r="L953" t="s">
        <v>82</v>
      </c>
      <c r="M953" t="s">
        <v>46</v>
      </c>
      <c r="N953" t="s">
        <v>47</v>
      </c>
      <c r="O953">
        <v>2</v>
      </c>
      <c r="P953">
        <v>1</v>
      </c>
      <c r="Q953">
        <v>2</v>
      </c>
      <c r="R953" t="s">
        <v>48</v>
      </c>
      <c r="S953" t="s">
        <v>49</v>
      </c>
      <c r="T953" s="3">
        <v>0.84</v>
      </c>
      <c r="U953" s="3">
        <v>0.23</v>
      </c>
      <c r="V953" s="3">
        <v>1.81</v>
      </c>
      <c r="W953">
        <v>0.73</v>
      </c>
      <c r="X953" t="s">
        <v>50</v>
      </c>
      <c r="Y953" s="3">
        <v>9.19</v>
      </c>
      <c r="Z953" t="s">
        <v>73</v>
      </c>
      <c r="AA953" t="s">
        <v>6533</v>
      </c>
      <c r="AB953" t="s">
        <v>53</v>
      </c>
      <c r="AC953" s="3">
        <v>1.29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f t="shared" si="28"/>
        <v>13.360000000000001</v>
      </c>
      <c r="AK953" s="3">
        <f t="shared" si="29"/>
        <v>4.1700000000000017</v>
      </c>
    </row>
    <row r="954" spans="1:37">
      <c r="A954">
        <v>10321305</v>
      </c>
      <c r="B954" t="s">
        <v>37</v>
      </c>
      <c r="C954" t="s">
        <v>6534</v>
      </c>
      <c r="D954" t="s">
        <v>6535</v>
      </c>
      <c r="E954" t="s">
        <v>6536</v>
      </c>
      <c r="F954" t="s">
        <v>6537</v>
      </c>
      <c r="G954" t="s">
        <v>6538</v>
      </c>
      <c r="H954" t="s">
        <v>42</v>
      </c>
      <c r="I954" t="s">
        <v>6539</v>
      </c>
      <c r="J954" t="s">
        <v>6540</v>
      </c>
      <c r="K954">
        <v>53127</v>
      </c>
      <c r="L954" t="s">
        <v>71</v>
      </c>
      <c r="M954" t="s">
        <v>46</v>
      </c>
      <c r="N954" t="s">
        <v>47</v>
      </c>
      <c r="O954">
        <v>4</v>
      </c>
      <c r="P954">
        <v>1</v>
      </c>
      <c r="Q954">
        <v>4</v>
      </c>
      <c r="R954" t="s">
        <v>48</v>
      </c>
      <c r="S954" t="s">
        <v>49</v>
      </c>
      <c r="T954" s="3">
        <v>0.84</v>
      </c>
      <c r="U954" s="3">
        <v>0.23</v>
      </c>
      <c r="V954" s="3">
        <v>3.55</v>
      </c>
      <c r="W954">
        <v>2.06</v>
      </c>
      <c r="X954" t="s">
        <v>72</v>
      </c>
      <c r="Y954" s="3">
        <v>5.43</v>
      </c>
      <c r="Z954" t="s">
        <v>73</v>
      </c>
      <c r="AA954" t="s">
        <v>990</v>
      </c>
      <c r="AB954" t="s">
        <v>53</v>
      </c>
      <c r="AC954" s="3">
        <v>1.29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f t="shared" si="28"/>
        <v>11.34</v>
      </c>
      <c r="AK954" s="3">
        <f t="shared" si="29"/>
        <v>5.91</v>
      </c>
    </row>
    <row r="955" spans="1:37">
      <c r="A955">
        <v>10322250</v>
      </c>
      <c r="B955" t="s">
        <v>37</v>
      </c>
      <c r="C955" t="s">
        <v>6541</v>
      </c>
      <c r="E955" t="s">
        <v>6542</v>
      </c>
      <c r="F955" t="s">
        <v>6543</v>
      </c>
      <c r="G955" t="s">
        <v>6544</v>
      </c>
      <c r="H955" t="s">
        <v>42</v>
      </c>
      <c r="I955" t="s">
        <v>6545</v>
      </c>
      <c r="J955" t="s">
        <v>6546</v>
      </c>
      <c r="K955">
        <v>29631</v>
      </c>
      <c r="L955" t="s">
        <v>91</v>
      </c>
      <c r="M955" t="s">
        <v>46</v>
      </c>
      <c r="N955" t="s">
        <v>47</v>
      </c>
      <c r="O955">
        <v>4</v>
      </c>
      <c r="P955">
        <v>1</v>
      </c>
      <c r="Q955">
        <v>4</v>
      </c>
      <c r="R955" t="s">
        <v>48</v>
      </c>
      <c r="S955" t="s">
        <v>49</v>
      </c>
      <c r="T955" s="3">
        <v>0.84</v>
      </c>
      <c r="U955" s="3">
        <v>0.23</v>
      </c>
      <c r="V955" s="3">
        <v>3.55</v>
      </c>
      <c r="W955">
        <v>2.06</v>
      </c>
      <c r="X955" t="s">
        <v>50</v>
      </c>
      <c r="Y955" s="3">
        <v>16.43</v>
      </c>
      <c r="Z955" t="s">
        <v>73</v>
      </c>
      <c r="AA955" t="s">
        <v>990</v>
      </c>
      <c r="AB955" t="s">
        <v>53</v>
      </c>
      <c r="AC955" s="3">
        <v>1.29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f t="shared" si="28"/>
        <v>22.34</v>
      </c>
      <c r="AK955" s="3">
        <f t="shared" si="29"/>
        <v>5.91</v>
      </c>
    </row>
    <row r="956" spans="1:37">
      <c r="A956">
        <v>10322050</v>
      </c>
      <c r="B956" t="s">
        <v>37</v>
      </c>
      <c r="C956" t="s">
        <v>6547</v>
      </c>
      <c r="E956" t="s">
        <v>2512</v>
      </c>
      <c r="F956" t="s">
        <v>6548</v>
      </c>
      <c r="G956" t="s">
        <v>6549</v>
      </c>
      <c r="H956" t="s">
        <v>42</v>
      </c>
      <c r="I956" t="s">
        <v>6550</v>
      </c>
      <c r="J956" t="s">
        <v>6551</v>
      </c>
      <c r="K956" t="s">
        <v>6552</v>
      </c>
      <c r="L956" t="s">
        <v>142</v>
      </c>
      <c r="M956" t="s">
        <v>46</v>
      </c>
      <c r="N956" t="s">
        <v>47</v>
      </c>
      <c r="O956">
        <v>2</v>
      </c>
      <c r="P956">
        <v>1</v>
      </c>
      <c r="Q956">
        <v>2</v>
      </c>
      <c r="R956" t="s">
        <v>48</v>
      </c>
      <c r="S956" t="s">
        <v>49</v>
      </c>
      <c r="T956" s="3">
        <v>0.84</v>
      </c>
      <c r="U956" s="3">
        <v>0.23</v>
      </c>
      <c r="V956" s="3">
        <v>1.81</v>
      </c>
      <c r="W956">
        <v>1.08</v>
      </c>
      <c r="X956" t="s">
        <v>50</v>
      </c>
      <c r="Y956" s="3">
        <v>16.43</v>
      </c>
      <c r="Z956" t="s">
        <v>73</v>
      </c>
      <c r="AA956" t="s">
        <v>6553</v>
      </c>
      <c r="AB956" t="s">
        <v>53</v>
      </c>
      <c r="AC956" s="3">
        <v>1.29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f t="shared" si="28"/>
        <v>20.599999999999998</v>
      </c>
      <c r="AK956" s="3">
        <f t="shared" si="29"/>
        <v>4.1699999999999982</v>
      </c>
    </row>
    <row r="957" spans="1:37">
      <c r="A957">
        <v>10322049</v>
      </c>
      <c r="B957" t="s">
        <v>37</v>
      </c>
      <c r="C957" t="s">
        <v>6554</v>
      </c>
      <c r="E957" t="s">
        <v>6555</v>
      </c>
      <c r="F957" t="s">
        <v>6556</v>
      </c>
      <c r="G957" t="s">
        <v>6557</v>
      </c>
      <c r="H957" t="s">
        <v>42</v>
      </c>
      <c r="I957" t="s">
        <v>6558</v>
      </c>
      <c r="J957" t="s">
        <v>6559</v>
      </c>
      <c r="K957">
        <v>1000</v>
      </c>
      <c r="L957" t="s">
        <v>505</v>
      </c>
      <c r="M957" t="s">
        <v>46</v>
      </c>
      <c r="N957" t="s">
        <v>47</v>
      </c>
      <c r="O957">
        <v>2</v>
      </c>
      <c r="P957">
        <v>1</v>
      </c>
      <c r="Q957">
        <v>2</v>
      </c>
      <c r="R957" t="s">
        <v>48</v>
      </c>
      <c r="S957" t="s">
        <v>49</v>
      </c>
      <c r="T957" s="3">
        <v>0.84</v>
      </c>
      <c r="U957" s="3">
        <v>0.23</v>
      </c>
      <c r="V957" s="3">
        <v>1.81</v>
      </c>
      <c r="W957">
        <v>1.08</v>
      </c>
      <c r="X957" t="s">
        <v>50</v>
      </c>
      <c r="Y957" s="3">
        <v>9.19</v>
      </c>
      <c r="Z957" t="s">
        <v>73</v>
      </c>
      <c r="AA957" t="s">
        <v>6560</v>
      </c>
      <c r="AB957" t="s">
        <v>53</v>
      </c>
      <c r="AC957" s="3">
        <v>1.29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f t="shared" si="28"/>
        <v>13.360000000000001</v>
      </c>
      <c r="AK957" s="3">
        <f t="shared" si="29"/>
        <v>4.1700000000000017</v>
      </c>
    </row>
    <row r="958" spans="1:37">
      <c r="A958">
        <v>10320802</v>
      </c>
      <c r="B958" t="s">
        <v>37</v>
      </c>
      <c r="C958" t="s">
        <v>6561</v>
      </c>
      <c r="E958" t="s">
        <v>1438</v>
      </c>
      <c r="F958" t="s">
        <v>6562</v>
      </c>
      <c r="G958" t="s">
        <v>6563</v>
      </c>
      <c r="H958" t="s">
        <v>42</v>
      </c>
      <c r="I958" t="s">
        <v>6564</v>
      </c>
      <c r="J958" t="s">
        <v>6565</v>
      </c>
      <c r="K958" t="s">
        <v>6566</v>
      </c>
      <c r="L958" t="s">
        <v>142</v>
      </c>
      <c r="M958" t="s">
        <v>46</v>
      </c>
      <c r="N958" t="s">
        <v>47</v>
      </c>
      <c r="O958">
        <v>2</v>
      </c>
      <c r="P958">
        <v>1</v>
      </c>
      <c r="Q958">
        <v>2</v>
      </c>
      <c r="R958" t="s">
        <v>48</v>
      </c>
      <c r="S958" t="s">
        <v>49</v>
      </c>
      <c r="T958" s="3">
        <v>0.84</v>
      </c>
      <c r="U958" s="3">
        <v>0.23</v>
      </c>
      <c r="V958" s="3">
        <v>1.81</v>
      </c>
      <c r="W958">
        <v>1.08</v>
      </c>
      <c r="X958" t="s">
        <v>50</v>
      </c>
      <c r="Y958" s="3">
        <v>16.43</v>
      </c>
      <c r="Z958" t="s">
        <v>73</v>
      </c>
      <c r="AA958" t="s">
        <v>6567</v>
      </c>
      <c r="AB958" t="s">
        <v>53</v>
      </c>
      <c r="AC958" s="3">
        <v>1.29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f t="shared" si="28"/>
        <v>20.599999999999998</v>
      </c>
      <c r="AK958" s="3">
        <f t="shared" si="29"/>
        <v>4.1699999999999982</v>
      </c>
    </row>
    <row r="959" spans="1:37">
      <c r="A959">
        <v>10324791</v>
      </c>
      <c r="B959" t="s">
        <v>37</v>
      </c>
      <c r="C959" t="s">
        <v>6568</v>
      </c>
      <c r="E959" t="s">
        <v>6569</v>
      </c>
      <c r="F959" t="s">
        <v>6570</v>
      </c>
      <c r="G959" t="s">
        <v>6571</v>
      </c>
      <c r="H959" t="s">
        <v>42</v>
      </c>
      <c r="I959" t="s">
        <v>6572</v>
      </c>
      <c r="J959" t="s">
        <v>6573</v>
      </c>
      <c r="K959">
        <v>60388</v>
      </c>
      <c r="L959" t="s">
        <v>71</v>
      </c>
      <c r="M959" t="s">
        <v>46</v>
      </c>
      <c r="N959" t="s">
        <v>47</v>
      </c>
      <c r="O959">
        <v>1</v>
      </c>
      <c r="P959">
        <v>1</v>
      </c>
      <c r="Q959">
        <v>1</v>
      </c>
      <c r="R959" t="s">
        <v>48</v>
      </c>
      <c r="S959" t="s">
        <v>49</v>
      </c>
      <c r="T959" s="3">
        <v>0.84</v>
      </c>
      <c r="U959" s="3">
        <v>0.23</v>
      </c>
      <c r="V959" s="3">
        <v>0.94</v>
      </c>
      <c r="W959">
        <v>0.49</v>
      </c>
      <c r="X959" t="s">
        <v>108</v>
      </c>
      <c r="Y959" s="3">
        <v>6.51</v>
      </c>
      <c r="Z959" t="s">
        <v>109</v>
      </c>
      <c r="AA959" t="s">
        <v>6574</v>
      </c>
      <c r="AB959" t="s">
        <v>53</v>
      </c>
      <c r="AC959" s="3">
        <v>1.06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f t="shared" si="28"/>
        <v>9.58</v>
      </c>
      <c r="AK959" s="3">
        <f t="shared" si="29"/>
        <v>3.0700000000000003</v>
      </c>
    </row>
    <row r="960" spans="1:37">
      <c r="A960">
        <v>10324790</v>
      </c>
      <c r="B960" t="s">
        <v>37</v>
      </c>
      <c r="C960" t="s">
        <v>6575</v>
      </c>
      <c r="E960" t="s">
        <v>1470</v>
      </c>
      <c r="F960" t="s">
        <v>6576</v>
      </c>
      <c r="G960" t="s">
        <v>6577</v>
      </c>
      <c r="H960" t="s">
        <v>42</v>
      </c>
      <c r="I960" t="s">
        <v>6578</v>
      </c>
      <c r="J960" t="s">
        <v>6579</v>
      </c>
      <c r="K960">
        <v>55116</v>
      </c>
      <c r="L960" t="s">
        <v>71</v>
      </c>
      <c r="M960" t="s">
        <v>46</v>
      </c>
      <c r="N960" t="s">
        <v>47</v>
      </c>
      <c r="O960">
        <v>1</v>
      </c>
      <c r="P960">
        <v>1</v>
      </c>
      <c r="Q960">
        <v>1</v>
      </c>
      <c r="R960" t="s">
        <v>48</v>
      </c>
      <c r="S960" t="s">
        <v>49</v>
      </c>
      <c r="T960" s="3">
        <v>0.84</v>
      </c>
      <c r="U960" s="3">
        <v>0.23</v>
      </c>
      <c r="V960" s="3">
        <v>0.94</v>
      </c>
      <c r="W960">
        <v>1.5</v>
      </c>
      <c r="X960" t="s">
        <v>72</v>
      </c>
      <c r="Y960" s="3">
        <v>5.43</v>
      </c>
      <c r="Z960" t="s">
        <v>73</v>
      </c>
      <c r="AA960" t="s">
        <v>198</v>
      </c>
      <c r="AB960" t="s">
        <v>53</v>
      </c>
      <c r="AC960" s="3">
        <v>1.29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f t="shared" si="28"/>
        <v>8.73</v>
      </c>
      <c r="AK960" s="3">
        <f t="shared" si="29"/>
        <v>3.3000000000000007</v>
      </c>
    </row>
    <row r="961" spans="1:37">
      <c r="A961">
        <v>10323533</v>
      </c>
      <c r="B961" t="s">
        <v>37</v>
      </c>
      <c r="C961" t="s">
        <v>6580</v>
      </c>
      <c r="E961" t="s">
        <v>809</v>
      </c>
      <c r="F961" t="s">
        <v>6581</v>
      </c>
      <c r="G961" t="s">
        <v>6582</v>
      </c>
      <c r="H961" t="s">
        <v>42</v>
      </c>
      <c r="I961" t="s">
        <v>6583</v>
      </c>
      <c r="J961" t="s">
        <v>6584</v>
      </c>
      <c r="K961">
        <v>9738</v>
      </c>
      <c r="L961" t="s">
        <v>369</v>
      </c>
      <c r="M961" t="s">
        <v>46</v>
      </c>
      <c r="N961" t="s">
        <v>47</v>
      </c>
      <c r="O961">
        <v>11</v>
      </c>
      <c r="P961">
        <v>1</v>
      </c>
      <c r="Q961">
        <v>11</v>
      </c>
      <c r="R961" t="s">
        <v>48</v>
      </c>
      <c r="S961" t="s">
        <v>49</v>
      </c>
      <c r="T961" s="3">
        <v>7</v>
      </c>
      <c r="U961" s="3">
        <v>0.23</v>
      </c>
      <c r="V961" s="3">
        <v>14.51</v>
      </c>
      <c r="W961">
        <v>5.19</v>
      </c>
      <c r="X961" t="s">
        <v>50</v>
      </c>
      <c r="Y961" s="3">
        <v>9.19</v>
      </c>
      <c r="Z961" t="s">
        <v>83</v>
      </c>
      <c r="AA961" t="s">
        <v>6585</v>
      </c>
      <c r="AB961" t="s">
        <v>53</v>
      </c>
      <c r="AC961" s="3">
        <v>1.27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f t="shared" si="28"/>
        <v>32.200000000000003</v>
      </c>
      <c r="AK961" s="3">
        <f t="shared" si="29"/>
        <v>23.010000000000005</v>
      </c>
    </row>
    <row r="962" spans="1:37">
      <c r="A962">
        <v>10324026</v>
      </c>
      <c r="B962" t="s">
        <v>37</v>
      </c>
      <c r="C962" t="s">
        <v>6586</v>
      </c>
      <c r="E962" t="s">
        <v>1221</v>
      </c>
      <c r="F962" t="s">
        <v>6587</v>
      </c>
      <c r="G962" t="s">
        <v>6588</v>
      </c>
      <c r="H962" t="s">
        <v>42</v>
      </c>
      <c r="I962" t="s">
        <v>6589</v>
      </c>
      <c r="J962" t="s">
        <v>6590</v>
      </c>
      <c r="K962" t="s">
        <v>6591</v>
      </c>
      <c r="L962" t="s">
        <v>142</v>
      </c>
      <c r="M962" t="s">
        <v>46</v>
      </c>
      <c r="N962" t="s">
        <v>47</v>
      </c>
      <c r="O962">
        <v>2</v>
      </c>
      <c r="P962">
        <v>1</v>
      </c>
      <c r="Q962">
        <v>2</v>
      </c>
      <c r="R962" t="s">
        <v>48</v>
      </c>
      <c r="S962" t="s">
        <v>49</v>
      </c>
      <c r="T962" s="3">
        <v>0.84</v>
      </c>
      <c r="U962" s="3">
        <v>0.23</v>
      </c>
      <c r="V962" s="3">
        <v>1.81</v>
      </c>
      <c r="W962">
        <v>1.08</v>
      </c>
      <c r="X962" t="s">
        <v>50</v>
      </c>
      <c r="Y962" s="3">
        <v>16.43</v>
      </c>
      <c r="Z962" t="s">
        <v>109</v>
      </c>
      <c r="AA962" t="s">
        <v>6592</v>
      </c>
      <c r="AB962" t="s">
        <v>53</v>
      </c>
      <c r="AC962" s="3">
        <v>1.06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f t="shared" ref="AJ962:AJ1025" si="30">AI962+AH962+AG962+AF962+AE962+AD962+AC962+Y962+V962+U962+T962</f>
        <v>20.369999999999997</v>
      </c>
      <c r="AK962" s="3">
        <f t="shared" ref="AK962:AK1025" si="31">AJ962-Y962</f>
        <v>3.9399999999999977</v>
      </c>
    </row>
    <row r="963" spans="1:37">
      <c r="A963">
        <v>10324510</v>
      </c>
      <c r="B963" t="s">
        <v>37</v>
      </c>
      <c r="C963" t="s">
        <v>6593</v>
      </c>
      <c r="E963" t="s">
        <v>6594</v>
      </c>
      <c r="F963" t="s">
        <v>6595</v>
      </c>
      <c r="G963" t="s">
        <v>6596</v>
      </c>
      <c r="H963" t="s">
        <v>42</v>
      </c>
      <c r="I963" t="s">
        <v>6597</v>
      </c>
      <c r="J963" t="s">
        <v>6598</v>
      </c>
      <c r="K963">
        <v>97833</v>
      </c>
      <c r="L963" t="s">
        <v>71</v>
      </c>
      <c r="M963" t="s">
        <v>46</v>
      </c>
      <c r="N963" t="s">
        <v>47</v>
      </c>
      <c r="O963">
        <v>3</v>
      </c>
      <c r="P963">
        <v>1</v>
      </c>
      <c r="Q963">
        <v>3</v>
      </c>
      <c r="R963" t="s">
        <v>48</v>
      </c>
      <c r="S963" t="s">
        <v>49</v>
      </c>
      <c r="T963" s="3">
        <v>0.84</v>
      </c>
      <c r="U963" s="3">
        <v>0.23</v>
      </c>
      <c r="V963" s="3">
        <v>2.68</v>
      </c>
      <c r="W963">
        <v>1.45</v>
      </c>
      <c r="X963" t="s">
        <v>72</v>
      </c>
      <c r="Y963" s="3">
        <v>5.43</v>
      </c>
      <c r="Z963" t="s">
        <v>73</v>
      </c>
      <c r="AA963" t="s">
        <v>6599</v>
      </c>
      <c r="AB963" t="s">
        <v>53</v>
      </c>
      <c r="AC963" s="3">
        <v>1.29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f t="shared" si="30"/>
        <v>10.47</v>
      </c>
      <c r="AK963" s="3">
        <f t="shared" si="31"/>
        <v>5.0400000000000009</v>
      </c>
    </row>
    <row r="964" spans="1:37">
      <c r="A964">
        <v>10324025</v>
      </c>
      <c r="B964" t="s">
        <v>37</v>
      </c>
      <c r="C964" t="s">
        <v>6600</v>
      </c>
      <c r="E964" t="s">
        <v>5453</v>
      </c>
      <c r="F964" t="s">
        <v>6601</v>
      </c>
      <c r="G964" t="s">
        <v>6602</v>
      </c>
      <c r="H964" t="s">
        <v>42</v>
      </c>
      <c r="I964" t="s">
        <v>6603</v>
      </c>
      <c r="J964" t="s">
        <v>6604</v>
      </c>
      <c r="K964" t="s">
        <v>6605</v>
      </c>
      <c r="L964" t="s">
        <v>142</v>
      </c>
      <c r="M964" t="s">
        <v>46</v>
      </c>
      <c r="N964" t="s">
        <v>47</v>
      </c>
      <c r="O964">
        <v>3</v>
      </c>
      <c r="P964">
        <v>1</v>
      </c>
      <c r="Q964">
        <v>3</v>
      </c>
      <c r="R964" t="s">
        <v>48</v>
      </c>
      <c r="S964" t="s">
        <v>49</v>
      </c>
      <c r="T964" s="3">
        <v>0.84</v>
      </c>
      <c r="U964" s="3">
        <v>0.23</v>
      </c>
      <c r="V964" s="3">
        <v>2.68</v>
      </c>
      <c r="W964">
        <v>1.24</v>
      </c>
      <c r="X964" t="s">
        <v>50</v>
      </c>
      <c r="Y964" s="3">
        <v>16.43</v>
      </c>
      <c r="Z964" t="s">
        <v>73</v>
      </c>
      <c r="AA964" t="s">
        <v>6606</v>
      </c>
      <c r="AB964" t="s">
        <v>53</v>
      </c>
      <c r="AC964" s="3">
        <v>1.29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f t="shared" si="30"/>
        <v>21.47</v>
      </c>
      <c r="AK964" s="3">
        <f t="shared" si="31"/>
        <v>5.0399999999999991</v>
      </c>
    </row>
    <row r="965" spans="1:37">
      <c r="A965">
        <v>10307142</v>
      </c>
      <c r="B965" t="s">
        <v>111</v>
      </c>
      <c r="C965" t="s">
        <v>6607</v>
      </c>
      <c r="D965" t="s">
        <v>6608</v>
      </c>
      <c r="E965" t="s">
        <v>6609</v>
      </c>
      <c r="F965" t="s">
        <v>6610</v>
      </c>
      <c r="G965" t="s">
        <v>6611</v>
      </c>
      <c r="H965" t="s">
        <v>117</v>
      </c>
      <c r="I965" t="s">
        <v>6612</v>
      </c>
      <c r="J965" t="s">
        <v>6613</v>
      </c>
      <c r="K965">
        <v>35800</v>
      </c>
      <c r="L965" t="s">
        <v>130</v>
      </c>
      <c r="M965" t="s">
        <v>46</v>
      </c>
      <c r="N965" t="s">
        <v>47</v>
      </c>
      <c r="O965">
        <v>105</v>
      </c>
      <c r="P965">
        <v>5</v>
      </c>
      <c r="Q965">
        <v>105</v>
      </c>
      <c r="R965" t="s">
        <v>48</v>
      </c>
      <c r="S965" t="s">
        <v>49</v>
      </c>
      <c r="T965" s="3">
        <v>7</v>
      </c>
      <c r="U965" s="3">
        <v>0.23</v>
      </c>
      <c r="V965" s="3">
        <v>81.150000000000006</v>
      </c>
      <c r="W965">
        <v>45</v>
      </c>
      <c r="X965" t="s">
        <v>131</v>
      </c>
      <c r="Y965" s="3">
        <v>72.06</v>
      </c>
      <c r="Z965" t="s">
        <v>6614</v>
      </c>
      <c r="AA965" t="s">
        <v>6615</v>
      </c>
      <c r="AB965" t="s">
        <v>53</v>
      </c>
      <c r="AC965" s="3">
        <v>8.02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f t="shared" si="30"/>
        <v>168.46</v>
      </c>
      <c r="AK965" s="3">
        <f t="shared" si="31"/>
        <v>96.4</v>
      </c>
    </row>
    <row r="966" spans="1:37">
      <c r="A966">
        <v>10325144</v>
      </c>
      <c r="B966" t="s">
        <v>37</v>
      </c>
      <c r="C966" t="s">
        <v>6616</v>
      </c>
      <c r="E966" t="s">
        <v>6495</v>
      </c>
      <c r="F966" t="s">
        <v>6617</v>
      </c>
      <c r="G966" t="s">
        <v>6618</v>
      </c>
      <c r="H966" t="s">
        <v>42</v>
      </c>
      <c r="I966" t="s">
        <v>6619</v>
      </c>
      <c r="J966" t="s">
        <v>6620</v>
      </c>
      <c r="K966">
        <v>9890</v>
      </c>
      <c r="L966" t="s">
        <v>505</v>
      </c>
      <c r="M966" t="s">
        <v>46</v>
      </c>
      <c r="N966" t="s">
        <v>47</v>
      </c>
      <c r="O966">
        <v>6</v>
      </c>
      <c r="P966">
        <v>1</v>
      </c>
      <c r="Q966">
        <v>6</v>
      </c>
      <c r="R966" t="s">
        <v>48</v>
      </c>
      <c r="S966" t="s">
        <v>49</v>
      </c>
      <c r="T966" s="3">
        <v>0.84</v>
      </c>
      <c r="U966" s="3">
        <v>0.23</v>
      </c>
      <c r="V966" s="3">
        <v>5.29</v>
      </c>
      <c r="W966">
        <v>2.44</v>
      </c>
      <c r="X966" t="s">
        <v>50</v>
      </c>
      <c r="Y966" s="3">
        <v>9.19</v>
      </c>
      <c r="Z966" t="s">
        <v>83</v>
      </c>
      <c r="AA966" t="s">
        <v>5588</v>
      </c>
      <c r="AB966" t="s">
        <v>53</v>
      </c>
      <c r="AC966" s="3">
        <v>1.27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f t="shared" si="30"/>
        <v>16.82</v>
      </c>
      <c r="AK966" s="3">
        <f t="shared" si="31"/>
        <v>7.6300000000000008</v>
      </c>
    </row>
    <row r="967" spans="1:37">
      <c r="A967">
        <v>10324963</v>
      </c>
      <c r="B967" t="s">
        <v>37</v>
      </c>
      <c r="C967" t="s">
        <v>6621</v>
      </c>
      <c r="E967" t="s">
        <v>6622</v>
      </c>
      <c r="F967" t="s">
        <v>6623</v>
      </c>
      <c r="G967" t="s">
        <v>6624</v>
      </c>
      <c r="H967" t="s">
        <v>42</v>
      </c>
      <c r="I967" t="s">
        <v>6625</v>
      </c>
      <c r="J967" t="s">
        <v>6626</v>
      </c>
      <c r="K967">
        <v>2110</v>
      </c>
      <c r="L967" t="s">
        <v>505</v>
      </c>
      <c r="M967" t="s">
        <v>46</v>
      </c>
      <c r="N967" t="s">
        <v>47</v>
      </c>
      <c r="O967">
        <v>1</v>
      </c>
      <c r="P967">
        <v>1</v>
      </c>
      <c r="Q967">
        <v>1</v>
      </c>
      <c r="R967" t="s">
        <v>48</v>
      </c>
      <c r="S967" t="s">
        <v>49</v>
      </c>
      <c r="T967" s="3">
        <v>0.84</v>
      </c>
      <c r="U967" s="3">
        <v>0.23</v>
      </c>
      <c r="V967" s="3">
        <v>0.94</v>
      </c>
      <c r="W967">
        <v>1.7</v>
      </c>
      <c r="X967" t="s">
        <v>50</v>
      </c>
      <c r="Y967" s="3">
        <v>9.19</v>
      </c>
      <c r="Z967" t="s">
        <v>83</v>
      </c>
      <c r="AA967" t="s">
        <v>3025</v>
      </c>
      <c r="AB967" t="s">
        <v>53</v>
      </c>
      <c r="AC967" s="3">
        <v>1.27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f t="shared" si="30"/>
        <v>12.469999999999999</v>
      </c>
      <c r="AK967" s="3">
        <f t="shared" si="31"/>
        <v>3.2799999999999994</v>
      </c>
    </row>
    <row r="968" spans="1:37">
      <c r="A968">
        <v>10324965</v>
      </c>
      <c r="B968" t="s">
        <v>37</v>
      </c>
      <c r="C968" t="s">
        <v>6627</v>
      </c>
      <c r="E968" t="s">
        <v>6628</v>
      </c>
      <c r="F968" t="s">
        <v>6629</v>
      </c>
      <c r="G968" t="s">
        <v>6630</v>
      </c>
      <c r="H968" t="s">
        <v>42</v>
      </c>
      <c r="I968" t="s">
        <v>6631</v>
      </c>
      <c r="J968" t="s">
        <v>6632</v>
      </c>
      <c r="K968">
        <v>5875</v>
      </c>
      <c r="L968" t="s">
        <v>369</v>
      </c>
      <c r="M968" t="s">
        <v>46</v>
      </c>
      <c r="N968" t="s">
        <v>47</v>
      </c>
      <c r="O968">
        <v>1</v>
      </c>
      <c r="P968">
        <v>1</v>
      </c>
      <c r="Q968">
        <v>1</v>
      </c>
      <c r="R968" t="s">
        <v>48</v>
      </c>
      <c r="S968" t="s">
        <v>49</v>
      </c>
      <c r="T968" s="3">
        <v>0.84</v>
      </c>
      <c r="U968" s="3">
        <v>0.23</v>
      </c>
      <c r="V968" s="3">
        <v>0.94</v>
      </c>
      <c r="W968">
        <v>0.36</v>
      </c>
      <c r="X968" t="s">
        <v>50</v>
      </c>
      <c r="Y968" s="3">
        <v>9.19</v>
      </c>
      <c r="Z968" t="s">
        <v>6633</v>
      </c>
      <c r="AA968" t="s">
        <v>6634</v>
      </c>
      <c r="AB968" t="s">
        <v>53</v>
      </c>
      <c r="AC968" s="3">
        <v>0.79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f t="shared" si="30"/>
        <v>11.99</v>
      </c>
      <c r="AK968" s="3">
        <f t="shared" si="31"/>
        <v>2.8000000000000007</v>
      </c>
    </row>
    <row r="969" spans="1:37">
      <c r="A969">
        <v>10325149</v>
      </c>
      <c r="B969" t="s">
        <v>37</v>
      </c>
      <c r="C969" t="s">
        <v>6635</v>
      </c>
      <c r="E969" t="s">
        <v>39</v>
      </c>
      <c r="F969" t="s">
        <v>6636</v>
      </c>
      <c r="G969" t="s">
        <v>6637</v>
      </c>
      <c r="H969" t="s">
        <v>42</v>
      </c>
      <c r="I969" t="s">
        <v>6638</v>
      </c>
      <c r="J969" t="s">
        <v>6639</v>
      </c>
      <c r="K969">
        <v>1082</v>
      </c>
      <c r="L969" t="s">
        <v>1701</v>
      </c>
      <c r="M969" t="s">
        <v>46</v>
      </c>
      <c r="N969" t="s">
        <v>47</v>
      </c>
      <c r="O969">
        <v>1</v>
      </c>
      <c r="P969">
        <v>1</v>
      </c>
      <c r="Q969">
        <v>1</v>
      </c>
      <c r="R969" t="s">
        <v>48</v>
      </c>
      <c r="S969" t="s">
        <v>49</v>
      </c>
      <c r="T969" s="3">
        <v>0.84</v>
      </c>
      <c r="U969" s="3">
        <v>0.23</v>
      </c>
      <c r="V969" s="3">
        <v>0.94</v>
      </c>
      <c r="W969">
        <v>0.49</v>
      </c>
      <c r="X969" t="s">
        <v>1702</v>
      </c>
      <c r="Y969" s="3">
        <v>26.02</v>
      </c>
      <c r="Z969" t="s">
        <v>109</v>
      </c>
      <c r="AA969" t="s">
        <v>5146</v>
      </c>
      <c r="AB969" t="s">
        <v>53</v>
      </c>
      <c r="AC969" s="3">
        <v>1.06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f t="shared" si="30"/>
        <v>29.09</v>
      </c>
      <c r="AK969" s="3">
        <f t="shared" si="31"/>
        <v>3.0700000000000003</v>
      </c>
    </row>
    <row r="970" spans="1:37">
      <c r="A970">
        <v>10316446</v>
      </c>
      <c r="B970" t="s">
        <v>111</v>
      </c>
      <c r="C970" t="s">
        <v>6640</v>
      </c>
      <c r="D970" t="s">
        <v>6641</v>
      </c>
      <c r="E970" t="s">
        <v>6642</v>
      </c>
      <c r="F970" t="s">
        <v>6643</v>
      </c>
      <c r="G970" t="s">
        <v>6644</v>
      </c>
      <c r="H970" t="s">
        <v>117</v>
      </c>
      <c r="I970" t="s">
        <v>6645</v>
      </c>
      <c r="J970" t="s">
        <v>6646</v>
      </c>
      <c r="K970">
        <v>64500</v>
      </c>
      <c r="L970" t="s">
        <v>130</v>
      </c>
      <c r="M970" t="s">
        <v>46</v>
      </c>
      <c r="N970" t="s">
        <v>47</v>
      </c>
      <c r="O970">
        <v>118</v>
      </c>
      <c r="P970">
        <v>3</v>
      </c>
      <c r="Q970">
        <v>118</v>
      </c>
      <c r="R970" t="s">
        <v>48</v>
      </c>
      <c r="S970" t="s">
        <v>49</v>
      </c>
      <c r="T970" s="3">
        <v>7</v>
      </c>
      <c r="U970" s="3">
        <v>0.23</v>
      </c>
      <c r="V970" s="3">
        <v>85.83</v>
      </c>
      <c r="W970">
        <v>42</v>
      </c>
      <c r="X970" t="s">
        <v>131</v>
      </c>
      <c r="Y970" s="3">
        <v>43.24</v>
      </c>
      <c r="Z970" t="s">
        <v>132</v>
      </c>
      <c r="AA970" t="s">
        <v>6647</v>
      </c>
      <c r="AB970" t="s">
        <v>53</v>
      </c>
      <c r="AC970" s="3">
        <v>5.61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f t="shared" si="30"/>
        <v>141.91</v>
      </c>
      <c r="AK970" s="3">
        <f t="shared" si="31"/>
        <v>98.669999999999987</v>
      </c>
    </row>
    <row r="971" spans="1:37">
      <c r="A971">
        <v>10323534</v>
      </c>
      <c r="B971" t="s">
        <v>37</v>
      </c>
      <c r="C971" t="s">
        <v>6648</v>
      </c>
      <c r="E971" t="s">
        <v>809</v>
      </c>
      <c r="F971" t="s">
        <v>6581</v>
      </c>
      <c r="G971" t="s">
        <v>6649</v>
      </c>
      <c r="H971" t="s">
        <v>42</v>
      </c>
      <c r="I971" t="s">
        <v>6650</v>
      </c>
      <c r="J971" t="s">
        <v>6584</v>
      </c>
      <c r="K971">
        <v>9738</v>
      </c>
      <c r="L971" t="s">
        <v>369</v>
      </c>
      <c r="M971" t="s">
        <v>46</v>
      </c>
      <c r="N971" t="s">
        <v>47</v>
      </c>
      <c r="O971">
        <v>4</v>
      </c>
      <c r="P971">
        <v>1</v>
      </c>
      <c r="Q971">
        <v>4</v>
      </c>
      <c r="R971" t="s">
        <v>48</v>
      </c>
      <c r="S971" t="s">
        <v>49</v>
      </c>
      <c r="T971" s="3">
        <v>0.84</v>
      </c>
      <c r="U971" s="3">
        <v>0.23</v>
      </c>
      <c r="V971" s="3">
        <v>3.55</v>
      </c>
      <c r="W971">
        <v>1.6</v>
      </c>
      <c r="X971" t="s">
        <v>50</v>
      </c>
      <c r="Y971" s="3">
        <v>9.19</v>
      </c>
      <c r="Z971" t="s">
        <v>73</v>
      </c>
      <c r="AA971" t="s">
        <v>6651</v>
      </c>
      <c r="AB971" t="s">
        <v>53</v>
      </c>
      <c r="AC971" s="3">
        <v>1.29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f t="shared" si="30"/>
        <v>15.100000000000001</v>
      </c>
      <c r="AK971" s="3">
        <f t="shared" si="31"/>
        <v>5.9100000000000019</v>
      </c>
    </row>
    <row r="972" spans="1:37">
      <c r="A972">
        <v>10325442</v>
      </c>
      <c r="B972" t="s">
        <v>37</v>
      </c>
      <c r="C972" t="s">
        <v>6652</v>
      </c>
      <c r="E972" t="s">
        <v>3646</v>
      </c>
      <c r="F972" t="s">
        <v>6653</v>
      </c>
      <c r="G972" t="s">
        <v>6654</v>
      </c>
      <c r="H972" t="s">
        <v>42</v>
      </c>
      <c r="I972" t="s">
        <v>6655</v>
      </c>
      <c r="J972" t="s">
        <v>6656</v>
      </c>
      <c r="K972" t="s">
        <v>6657</v>
      </c>
      <c r="L972" t="s">
        <v>142</v>
      </c>
      <c r="M972" t="s">
        <v>46</v>
      </c>
      <c r="N972" t="s">
        <v>47</v>
      </c>
      <c r="O972">
        <v>8</v>
      </c>
      <c r="P972">
        <v>1</v>
      </c>
      <c r="Q972">
        <v>8</v>
      </c>
      <c r="R972" t="s">
        <v>48</v>
      </c>
      <c r="S972" t="s">
        <v>49</v>
      </c>
      <c r="T972" s="3">
        <v>0.84</v>
      </c>
      <c r="U972" s="3">
        <v>0.23</v>
      </c>
      <c r="V972" s="3">
        <v>7.03</v>
      </c>
      <c r="W972">
        <v>3.6</v>
      </c>
      <c r="X972" t="s">
        <v>50</v>
      </c>
      <c r="Y972" s="3">
        <v>16.43</v>
      </c>
      <c r="Z972" t="s">
        <v>83</v>
      </c>
      <c r="AA972" t="s">
        <v>6658</v>
      </c>
      <c r="AB972" t="s">
        <v>53</v>
      </c>
      <c r="AC972" s="3">
        <v>1.27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f t="shared" si="30"/>
        <v>25.8</v>
      </c>
      <c r="AK972" s="3">
        <f t="shared" si="31"/>
        <v>9.370000000000001</v>
      </c>
    </row>
    <row r="973" spans="1:37">
      <c r="A973">
        <v>10325443</v>
      </c>
      <c r="B973" t="s">
        <v>37</v>
      </c>
      <c r="C973" t="s">
        <v>6659</v>
      </c>
      <c r="E973" t="s">
        <v>6660</v>
      </c>
      <c r="F973" t="s">
        <v>6661</v>
      </c>
      <c r="G973" t="s">
        <v>6662</v>
      </c>
      <c r="H973" t="s">
        <v>42</v>
      </c>
      <c r="I973" t="s">
        <v>6663</v>
      </c>
      <c r="J973" t="s">
        <v>6664</v>
      </c>
      <c r="K973" t="s">
        <v>6665</v>
      </c>
      <c r="L973" t="s">
        <v>82</v>
      </c>
      <c r="M973" t="s">
        <v>46</v>
      </c>
      <c r="N973" t="s">
        <v>47</v>
      </c>
      <c r="O973">
        <v>3</v>
      </c>
      <c r="P973">
        <v>1</v>
      </c>
      <c r="Q973">
        <v>3</v>
      </c>
      <c r="R973" t="s">
        <v>48</v>
      </c>
      <c r="S973" t="s">
        <v>49</v>
      </c>
      <c r="T973" s="3">
        <v>0.84</v>
      </c>
      <c r="U973" s="3">
        <v>0.23</v>
      </c>
      <c r="V973" s="3">
        <v>2.68</v>
      </c>
      <c r="W973">
        <v>1.22</v>
      </c>
      <c r="X973" t="s">
        <v>50</v>
      </c>
      <c r="Y973" s="3">
        <v>9.19</v>
      </c>
      <c r="Z973" t="s">
        <v>73</v>
      </c>
      <c r="AA973" t="s">
        <v>6666</v>
      </c>
      <c r="AB973" t="s">
        <v>53</v>
      </c>
      <c r="AC973" s="3">
        <v>1.29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f t="shared" si="30"/>
        <v>14.23</v>
      </c>
      <c r="AK973" s="3">
        <f t="shared" si="31"/>
        <v>5.0400000000000009</v>
      </c>
    </row>
    <row r="974" spans="1:37">
      <c r="A974">
        <v>10325439</v>
      </c>
      <c r="B974" t="s">
        <v>37</v>
      </c>
      <c r="C974" t="s">
        <v>6667</v>
      </c>
      <c r="E974" t="s">
        <v>2853</v>
      </c>
      <c r="F974" t="s">
        <v>2942</v>
      </c>
      <c r="G974" t="s">
        <v>6668</v>
      </c>
      <c r="H974" t="s">
        <v>42</v>
      </c>
      <c r="I974" t="s">
        <v>6669</v>
      </c>
      <c r="J974" t="s">
        <v>6670</v>
      </c>
      <c r="K974">
        <v>71229</v>
      </c>
      <c r="L974" t="s">
        <v>71</v>
      </c>
      <c r="M974" t="s">
        <v>46</v>
      </c>
      <c r="N974" t="s">
        <v>47</v>
      </c>
      <c r="O974">
        <v>1</v>
      </c>
      <c r="P974">
        <v>1</v>
      </c>
      <c r="Q974">
        <v>1</v>
      </c>
      <c r="R974" t="s">
        <v>48</v>
      </c>
      <c r="S974" t="s">
        <v>49</v>
      </c>
      <c r="T974" s="3">
        <v>0.84</v>
      </c>
      <c r="U974" s="3">
        <v>0.23</v>
      </c>
      <c r="V974" s="3">
        <v>0.94</v>
      </c>
      <c r="W974">
        <v>1.5</v>
      </c>
      <c r="X974" t="s">
        <v>72</v>
      </c>
      <c r="Y974" s="3">
        <v>5.43</v>
      </c>
      <c r="Z974" t="s">
        <v>73</v>
      </c>
      <c r="AA974" t="s">
        <v>297</v>
      </c>
      <c r="AB974" t="s">
        <v>53</v>
      </c>
      <c r="AC974" s="3">
        <v>1.29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f t="shared" si="30"/>
        <v>8.73</v>
      </c>
      <c r="AK974" s="3">
        <f t="shared" si="31"/>
        <v>3.3000000000000007</v>
      </c>
    </row>
    <row r="975" spans="1:37">
      <c r="A975">
        <v>10325734</v>
      </c>
      <c r="B975" t="s">
        <v>37</v>
      </c>
      <c r="C975" t="s">
        <v>6671</v>
      </c>
      <c r="E975" t="s">
        <v>2547</v>
      </c>
      <c r="F975" t="s">
        <v>6672</v>
      </c>
      <c r="G975" t="s">
        <v>6673</v>
      </c>
      <c r="H975" t="s">
        <v>42</v>
      </c>
      <c r="I975" t="s">
        <v>6674</v>
      </c>
      <c r="J975" t="s">
        <v>6675</v>
      </c>
      <c r="K975" t="s">
        <v>6676</v>
      </c>
      <c r="L975" t="s">
        <v>142</v>
      </c>
      <c r="M975" t="s">
        <v>46</v>
      </c>
      <c r="N975" t="s">
        <v>47</v>
      </c>
      <c r="O975">
        <v>5</v>
      </c>
      <c r="P975">
        <v>1</v>
      </c>
      <c r="Q975">
        <v>5</v>
      </c>
      <c r="R975" t="s">
        <v>48</v>
      </c>
      <c r="S975" t="s">
        <v>49</v>
      </c>
      <c r="T975" s="3">
        <v>0.84</v>
      </c>
      <c r="U975" s="3">
        <v>0.23</v>
      </c>
      <c r="V975" s="3">
        <v>4.42</v>
      </c>
      <c r="W975">
        <v>2.2000000000000002</v>
      </c>
      <c r="X975" t="s">
        <v>50</v>
      </c>
      <c r="Y975" s="3">
        <v>16.43</v>
      </c>
      <c r="Z975" t="s">
        <v>73</v>
      </c>
      <c r="AA975" t="s">
        <v>6677</v>
      </c>
      <c r="AB975" t="s">
        <v>53</v>
      </c>
      <c r="AC975" s="3">
        <v>1.29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f t="shared" si="30"/>
        <v>23.21</v>
      </c>
      <c r="AK975" s="3">
        <f t="shared" si="31"/>
        <v>6.7800000000000011</v>
      </c>
    </row>
    <row r="976" spans="1:37">
      <c r="A976">
        <v>10325731</v>
      </c>
      <c r="B976" t="s">
        <v>37</v>
      </c>
      <c r="C976" t="s">
        <v>6678</v>
      </c>
      <c r="E976" t="s">
        <v>2484</v>
      </c>
      <c r="F976" t="s">
        <v>6679</v>
      </c>
      <c r="G976" t="s">
        <v>6680</v>
      </c>
      <c r="H976" t="s">
        <v>42</v>
      </c>
      <c r="I976" t="s">
        <v>6681</v>
      </c>
      <c r="J976" t="s">
        <v>6682</v>
      </c>
      <c r="K976" t="s">
        <v>6683</v>
      </c>
      <c r="L976" t="s">
        <v>142</v>
      </c>
      <c r="M976" t="s">
        <v>46</v>
      </c>
      <c r="N976" t="s">
        <v>47</v>
      </c>
      <c r="O976">
        <v>1</v>
      </c>
      <c r="P976">
        <v>1</v>
      </c>
      <c r="Q976">
        <v>1</v>
      </c>
      <c r="R976" t="s">
        <v>48</v>
      </c>
      <c r="S976" t="s">
        <v>49</v>
      </c>
      <c r="T976" s="3">
        <v>0.84</v>
      </c>
      <c r="U976" s="3">
        <v>0.23</v>
      </c>
      <c r="V976" s="3">
        <v>0.94</v>
      </c>
      <c r="W976">
        <v>0.3</v>
      </c>
      <c r="X976" t="s">
        <v>50</v>
      </c>
      <c r="Y976" s="3">
        <v>16.43</v>
      </c>
      <c r="Z976" t="s">
        <v>109</v>
      </c>
      <c r="AA976" t="s">
        <v>6684</v>
      </c>
      <c r="AB976" t="s">
        <v>53</v>
      </c>
      <c r="AC976" s="3">
        <v>1.06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f t="shared" si="30"/>
        <v>19.5</v>
      </c>
      <c r="AK976" s="3">
        <f t="shared" si="31"/>
        <v>3.0700000000000003</v>
      </c>
    </row>
    <row r="977" spans="1:37">
      <c r="A977">
        <v>10325736</v>
      </c>
      <c r="B977" t="s">
        <v>37</v>
      </c>
      <c r="C977" t="s">
        <v>6685</v>
      </c>
      <c r="E977" t="s">
        <v>6686</v>
      </c>
      <c r="F977" t="s">
        <v>6687</v>
      </c>
      <c r="G977" t="s">
        <v>6688</v>
      </c>
      <c r="H977" t="s">
        <v>42</v>
      </c>
      <c r="I977" t="s">
        <v>6689</v>
      </c>
      <c r="J977" t="s">
        <v>6690</v>
      </c>
      <c r="K977">
        <v>1570</v>
      </c>
      <c r="L977" t="s">
        <v>505</v>
      </c>
      <c r="M977" t="s">
        <v>46</v>
      </c>
      <c r="N977" t="s">
        <v>47</v>
      </c>
      <c r="O977">
        <v>4</v>
      </c>
      <c r="P977">
        <v>1</v>
      </c>
      <c r="Q977">
        <v>4</v>
      </c>
      <c r="R977" t="s">
        <v>48</v>
      </c>
      <c r="S977" t="s">
        <v>49</v>
      </c>
      <c r="T977" s="3">
        <v>0.84</v>
      </c>
      <c r="U977" s="3">
        <v>0.23</v>
      </c>
      <c r="V977" s="3">
        <v>3.55</v>
      </c>
      <c r="W977">
        <v>2.06</v>
      </c>
      <c r="X977" t="s">
        <v>50</v>
      </c>
      <c r="Y977" s="3">
        <v>9.19</v>
      </c>
      <c r="Z977" t="s">
        <v>73</v>
      </c>
      <c r="AA977" t="s">
        <v>6691</v>
      </c>
      <c r="AB977" t="s">
        <v>53</v>
      </c>
      <c r="AC977" s="3">
        <v>1.29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f t="shared" si="30"/>
        <v>15.100000000000001</v>
      </c>
      <c r="AK977" s="3">
        <f t="shared" si="31"/>
        <v>5.9100000000000019</v>
      </c>
    </row>
    <row r="978" spans="1:37">
      <c r="A978">
        <v>10324967</v>
      </c>
      <c r="B978" t="s">
        <v>37</v>
      </c>
      <c r="C978" t="s">
        <v>6692</v>
      </c>
      <c r="E978" t="s">
        <v>6693</v>
      </c>
      <c r="F978" t="s">
        <v>6694</v>
      </c>
      <c r="G978" t="s">
        <v>6695</v>
      </c>
      <c r="H978" t="s">
        <v>42</v>
      </c>
      <c r="I978" t="s">
        <v>6696</v>
      </c>
      <c r="J978" t="s">
        <v>6697</v>
      </c>
      <c r="K978">
        <v>3730</v>
      </c>
      <c r="L978" t="s">
        <v>505</v>
      </c>
      <c r="M978" t="s">
        <v>46</v>
      </c>
      <c r="N978" t="s">
        <v>47</v>
      </c>
      <c r="O978">
        <v>4</v>
      </c>
      <c r="P978">
        <v>1</v>
      </c>
      <c r="Q978">
        <v>4</v>
      </c>
      <c r="R978" t="s">
        <v>48</v>
      </c>
      <c r="S978" t="s">
        <v>49</v>
      </c>
      <c r="T978" s="3">
        <v>0.84</v>
      </c>
      <c r="U978" s="3">
        <v>0.23</v>
      </c>
      <c r="V978" s="3">
        <v>3.55</v>
      </c>
      <c r="W978">
        <v>2.06</v>
      </c>
      <c r="X978" t="s">
        <v>50</v>
      </c>
      <c r="Y978" s="3">
        <v>9.19</v>
      </c>
      <c r="Z978" t="s">
        <v>73</v>
      </c>
      <c r="AA978" t="s">
        <v>6698</v>
      </c>
      <c r="AB978" t="s">
        <v>53</v>
      </c>
      <c r="AC978" s="3">
        <v>1.29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f t="shared" si="30"/>
        <v>15.100000000000001</v>
      </c>
      <c r="AK978" s="3">
        <f t="shared" si="31"/>
        <v>5.9100000000000019</v>
      </c>
    </row>
    <row r="979" spans="1:37">
      <c r="A979">
        <v>10325147</v>
      </c>
      <c r="B979" t="s">
        <v>37</v>
      </c>
      <c r="C979" t="s">
        <v>6699</v>
      </c>
      <c r="E979" t="s">
        <v>6700</v>
      </c>
      <c r="F979" t="s">
        <v>6701</v>
      </c>
      <c r="G979" t="s">
        <v>6702</v>
      </c>
      <c r="H979" t="s">
        <v>42</v>
      </c>
      <c r="I979" t="s">
        <v>6703</v>
      </c>
      <c r="J979" t="s">
        <v>6704</v>
      </c>
      <c r="K979" t="s">
        <v>6705</v>
      </c>
      <c r="L979" t="s">
        <v>82</v>
      </c>
      <c r="M979" t="s">
        <v>46</v>
      </c>
      <c r="N979" t="s">
        <v>47</v>
      </c>
      <c r="O979">
        <v>4</v>
      </c>
      <c r="P979">
        <v>1</v>
      </c>
      <c r="Q979">
        <v>4</v>
      </c>
      <c r="R979" t="s">
        <v>48</v>
      </c>
      <c r="S979" t="s">
        <v>49</v>
      </c>
      <c r="T979" s="3">
        <v>0.84</v>
      </c>
      <c r="U979" s="3">
        <v>0.23</v>
      </c>
      <c r="V979" s="3">
        <v>3.55</v>
      </c>
      <c r="W979">
        <v>1.86</v>
      </c>
      <c r="X979" t="s">
        <v>50</v>
      </c>
      <c r="Y979" s="3">
        <v>9.19</v>
      </c>
      <c r="Z979" t="s">
        <v>73</v>
      </c>
      <c r="AA979" t="s">
        <v>6706</v>
      </c>
      <c r="AB979" t="s">
        <v>53</v>
      </c>
      <c r="AC979" s="3">
        <v>1.29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f t="shared" si="30"/>
        <v>15.100000000000001</v>
      </c>
      <c r="AK979" s="3">
        <f t="shared" si="31"/>
        <v>5.9100000000000019</v>
      </c>
    </row>
    <row r="980" spans="1:37">
      <c r="A980">
        <v>10326012</v>
      </c>
      <c r="B980" t="s">
        <v>37</v>
      </c>
      <c r="C980" t="s">
        <v>6707</v>
      </c>
      <c r="E980" t="s">
        <v>5103</v>
      </c>
      <c r="F980" t="s">
        <v>6708</v>
      </c>
      <c r="G980" t="s">
        <v>6709</v>
      </c>
      <c r="H980" t="s">
        <v>42</v>
      </c>
      <c r="I980" t="s">
        <v>6710</v>
      </c>
      <c r="J980" t="s">
        <v>6711</v>
      </c>
      <c r="K980" t="s">
        <v>6712</v>
      </c>
      <c r="L980" t="s">
        <v>82</v>
      </c>
      <c r="M980" t="s">
        <v>46</v>
      </c>
      <c r="N980" t="s">
        <v>47</v>
      </c>
      <c r="O980">
        <v>6</v>
      </c>
      <c r="P980">
        <v>1</v>
      </c>
      <c r="Q980">
        <v>6</v>
      </c>
      <c r="R980" t="s">
        <v>48</v>
      </c>
      <c r="S980" t="s">
        <v>49</v>
      </c>
      <c r="T980" s="3">
        <v>0.84</v>
      </c>
      <c r="U980" s="3">
        <v>0.23</v>
      </c>
      <c r="V980" s="3">
        <v>5.29</v>
      </c>
      <c r="W980">
        <v>2.34</v>
      </c>
      <c r="X980" t="s">
        <v>50</v>
      </c>
      <c r="Y980" s="3">
        <v>9.19</v>
      </c>
      <c r="Z980" t="s">
        <v>73</v>
      </c>
      <c r="AA980" t="s">
        <v>6713</v>
      </c>
      <c r="AB980" t="s">
        <v>53</v>
      </c>
      <c r="AC980" s="3">
        <v>1.29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f t="shared" si="30"/>
        <v>16.84</v>
      </c>
      <c r="AK980" s="3">
        <f t="shared" si="31"/>
        <v>7.65</v>
      </c>
    </row>
    <row r="981" spans="1:37">
      <c r="A981">
        <v>10325440</v>
      </c>
      <c r="B981" t="s">
        <v>37</v>
      </c>
      <c r="C981" t="s">
        <v>6714</v>
      </c>
      <c r="E981" t="s">
        <v>254</v>
      </c>
      <c r="F981" t="s">
        <v>6715</v>
      </c>
      <c r="G981" t="s">
        <v>6716</v>
      </c>
      <c r="H981" t="s">
        <v>42</v>
      </c>
      <c r="I981" t="s">
        <v>6717</v>
      </c>
      <c r="J981" t="s">
        <v>6718</v>
      </c>
      <c r="K981">
        <v>99444</v>
      </c>
      <c r="L981" t="s">
        <v>71</v>
      </c>
      <c r="M981" t="s">
        <v>46</v>
      </c>
      <c r="N981" t="s">
        <v>47</v>
      </c>
      <c r="O981">
        <v>4</v>
      </c>
      <c r="P981">
        <v>1</v>
      </c>
      <c r="Q981">
        <v>4</v>
      </c>
      <c r="R981" t="s">
        <v>48</v>
      </c>
      <c r="S981" t="s">
        <v>49</v>
      </c>
      <c r="T981" s="3">
        <v>0.84</v>
      </c>
      <c r="U981" s="3">
        <v>0.23</v>
      </c>
      <c r="V981" s="3">
        <v>3.55</v>
      </c>
      <c r="W981">
        <v>0.72</v>
      </c>
      <c r="X981" t="s">
        <v>72</v>
      </c>
      <c r="Y981" s="3">
        <v>5.43</v>
      </c>
      <c r="Z981" t="s">
        <v>73</v>
      </c>
      <c r="AA981" t="s">
        <v>6719</v>
      </c>
      <c r="AB981" t="s">
        <v>53</v>
      </c>
      <c r="AC981" s="3">
        <v>1.29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f t="shared" si="30"/>
        <v>11.34</v>
      </c>
      <c r="AK981" s="3">
        <f t="shared" si="31"/>
        <v>5.91</v>
      </c>
    </row>
    <row r="982" spans="1:37">
      <c r="A982">
        <v>10324966</v>
      </c>
      <c r="B982" t="s">
        <v>37</v>
      </c>
      <c r="C982" t="s">
        <v>6720</v>
      </c>
      <c r="E982" t="s">
        <v>613</v>
      </c>
      <c r="F982" t="s">
        <v>6721</v>
      </c>
      <c r="G982" t="s">
        <v>6722</v>
      </c>
      <c r="H982" t="s">
        <v>42</v>
      </c>
      <c r="I982" t="s">
        <v>6723</v>
      </c>
      <c r="J982" t="s">
        <v>6724</v>
      </c>
      <c r="K982">
        <v>20121</v>
      </c>
      <c r="L982" t="s">
        <v>283</v>
      </c>
      <c r="M982" t="s">
        <v>46</v>
      </c>
      <c r="N982" t="s">
        <v>47</v>
      </c>
      <c r="O982">
        <v>16</v>
      </c>
      <c r="P982">
        <v>1</v>
      </c>
      <c r="Q982">
        <v>16</v>
      </c>
      <c r="R982" t="s">
        <v>48</v>
      </c>
      <c r="S982" t="s">
        <v>49</v>
      </c>
      <c r="T982" s="3">
        <v>7</v>
      </c>
      <c r="U982" s="3">
        <v>0.23</v>
      </c>
      <c r="V982" s="3">
        <v>20.61</v>
      </c>
      <c r="W982">
        <v>7.94</v>
      </c>
      <c r="X982" t="s">
        <v>50</v>
      </c>
      <c r="Y982" s="3">
        <v>14.98</v>
      </c>
      <c r="Z982" t="s">
        <v>83</v>
      </c>
      <c r="AA982" t="s">
        <v>245</v>
      </c>
      <c r="AB982" t="s">
        <v>53</v>
      </c>
      <c r="AC982" s="3">
        <v>1.27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f t="shared" si="30"/>
        <v>44.089999999999996</v>
      </c>
      <c r="AK982" s="3">
        <f t="shared" si="31"/>
        <v>29.109999999999996</v>
      </c>
    </row>
    <row r="983" spans="1:37">
      <c r="A983">
        <v>10324964</v>
      </c>
      <c r="B983" t="s">
        <v>37</v>
      </c>
      <c r="C983" t="s">
        <v>6725</v>
      </c>
      <c r="E983" t="s">
        <v>6726</v>
      </c>
      <c r="F983" t="s">
        <v>6727</v>
      </c>
      <c r="G983" t="s">
        <v>6728</v>
      </c>
      <c r="H983" t="s">
        <v>42</v>
      </c>
      <c r="I983" t="s">
        <v>6729</v>
      </c>
      <c r="J983" t="s">
        <v>6730</v>
      </c>
      <c r="K983" t="s">
        <v>6731</v>
      </c>
      <c r="L983" t="s">
        <v>142</v>
      </c>
      <c r="M983" t="s">
        <v>46</v>
      </c>
      <c r="N983" t="s">
        <v>47</v>
      </c>
      <c r="O983">
        <v>1</v>
      </c>
      <c r="P983">
        <v>1</v>
      </c>
      <c r="Q983">
        <v>1</v>
      </c>
      <c r="R983" t="s">
        <v>48</v>
      </c>
      <c r="S983" t="s">
        <v>49</v>
      </c>
      <c r="T983" s="3">
        <v>0.84</v>
      </c>
      <c r="U983" s="3">
        <v>0.23</v>
      </c>
      <c r="V983" s="3">
        <v>0.94</v>
      </c>
      <c r="W983">
        <v>2.5</v>
      </c>
      <c r="X983" t="s">
        <v>50</v>
      </c>
      <c r="Y983" s="3">
        <v>16.43</v>
      </c>
      <c r="Z983" t="s">
        <v>83</v>
      </c>
      <c r="AA983" t="s">
        <v>1272</v>
      </c>
      <c r="AB983" t="s">
        <v>53</v>
      </c>
      <c r="AC983" s="3">
        <v>1.27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f t="shared" si="30"/>
        <v>19.71</v>
      </c>
      <c r="AK983" s="3">
        <f t="shared" si="31"/>
        <v>3.2800000000000011</v>
      </c>
    </row>
    <row r="984" spans="1:37">
      <c r="A984">
        <v>10326011</v>
      </c>
      <c r="B984" t="s">
        <v>37</v>
      </c>
      <c r="C984" t="s">
        <v>6732</v>
      </c>
      <c r="E984" t="s">
        <v>2684</v>
      </c>
      <c r="F984" t="s">
        <v>6733</v>
      </c>
      <c r="G984" t="s">
        <v>6734</v>
      </c>
      <c r="H984" t="s">
        <v>42</v>
      </c>
      <c r="I984" t="s">
        <v>6735</v>
      </c>
      <c r="J984" t="s">
        <v>6736</v>
      </c>
      <c r="K984">
        <v>61381</v>
      </c>
      <c r="L984" t="s">
        <v>71</v>
      </c>
      <c r="M984" t="s">
        <v>46</v>
      </c>
      <c r="N984" t="s">
        <v>47</v>
      </c>
      <c r="O984">
        <v>1</v>
      </c>
      <c r="P984">
        <v>1</v>
      </c>
      <c r="Q984">
        <v>1</v>
      </c>
      <c r="R984" t="s">
        <v>48</v>
      </c>
      <c r="S984" t="s">
        <v>49</v>
      </c>
      <c r="T984" s="3">
        <v>0.84</v>
      </c>
      <c r="U984" s="3">
        <v>0.23</v>
      </c>
      <c r="V984" s="3">
        <v>0.94</v>
      </c>
      <c r="W984">
        <v>0.59</v>
      </c>
      <c r="X984" t="s">
        <v>72</v>
      </c>
      <c r="Y984" s="3">
        <v>5.43</v>
      </c>
      <c r="Z984" t="s">
        <v>73</v>
      </c>
      <c r="AA984" t="s">
        <v>1059</v>
      </c>
      <c r="AB984" t="s">
        <v>53</v>
      </c>
      <c r="AC984" s="3">
        <v>1.29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f t="shared" si="30"/>
        <v>8.73</v>
      </c>
      <c r="AK984" s="3">
        <f t="shared" si="31"/>
        <v>3.3000000000000007</v>
      </c>
    </row>
    <row r="985" spans="1:37">
      <c r="A985">
        <v>10326013</v>
      </c>
      <c r="B985" t="s">
        <v>37</v>
      </c>
      <c r="C985" t="s">
        <v>6737</v>
      </c>
      <c r="E985" t="s">
        <v>6738</v>
      </c>
      <c r="F985" t="s">
        <v>6739</v>
      </c>
      <c r="G985" t="s">
        <v>6740</v>
      </c>
      <c r="H985" t="s">
        <v>42</v>
      </c>
      <c r="I985" t="s">
        <v>6741</v>
      </c>
      <c r="J985" t="s">
        <v>6742</v>
      </c>
      <c r="K985">
        <v>85521</v>
      </c>
      <c r="L985" t="s">
        <v>71</v>
      </c>
      <c r="M985" t="s">
        <v>46</v>
      </c>
      <c r="N985" t="s">
        <v>47</v>
      </c>
      <c r="O985">
        <v>1</v>
      </c>
      <c r="P985">
        <v>1</v>
      </c>
      <c r="Q985">
        <v>1</v>
      </c>
      <c r="R985" t="s">
        <v>48</v>
      </c>
      <c r="S985" t="s">
        <v>49</v>
      </c>
      <c r="T985" s="3">
        <v>0.84</v>
      </c>
      <c r="U985" s="3">
        <v>0.23</v>
      </c>
      <c r="V985" s="3">
        <v>0.94</v>
      </c>
      <c r="W985">
        <v>0.59</v>
      </c>
      <c r="X985" t="s">
        <v>108</v>
      </c>
      <c r="Y985" s="3">
        <v>14.84</v>
      </c>
      <c r="Z985" t="s">
        <v>109</v>
      </c>
      <c r="AA985" t="s">
        <v>966</v>
      </c>
      <c r="AB985" t="s">
        <v>53</v>
      </c>
      <c r="AC985" s="3">
        <v>1.06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f t="shared" si="30"/>
        <v>17.91</v>
      </c>
      <c r="AK985" s="3">
        <f t="shared" si="31"/>
        <v>3.0700000000000003</v>
      </c>
    </row>
    <row r="986" spans="1:37">
      <c r="A986">
        <v>10279674</v>
      </c>
      <c r="B986" t="s">
        <v>37</v>
      </c>
      <c r="C986" t="s">
        <v>6743</v>
      </c>
      <c r="E986" t="s">
        <v>6744</v>
      </c>
      <c r="F986" t="s">
        <v>6745</v>
      </c>
      <c r="G986" t="s">
        <v>6746</v>
      </c>
      <c r="H986" t="s">
        <v>42</v>
      </c>
      <c r="I986" t="s">
        <v>6747</v>
      </c>
      <c r="J986" t="s">
        <v>6748</v>
      </c>
      <c r="K986">
        <v>40233</v>
      </c>
      <c r="L986" t="s">
        <v>71</v>
      </c>
      <c r="M986" t="s">
        <v>46</v>
      </c>
      <c r="N986" t="s">
        <v>47</v>
      </c>
      <c r="O986">
        <v>3</v>
      </c>
      <c r="P986">
        <v>1</v>
      </c>
      <c r="Q986">
        <v>3</v>
      </c>
      <c r="R986" t="s">
        <v>48</v>
      </c>
      <c r="S986" t="s">
        <v>49</v>
      </c>
      <c r="T986" s="3">
        <v>0.84</v>
      </c>
      <c r="U986" s="3">
        <v>0.23</v>
      </c>
      <c r="V986" s="3">
        <v>2.68</v>
      </c>
      <c r="W986">
        <v>1.22</v>
      </c>
      <c r="X986" t="s">
        <v>108</v>
      </c>
      <c r="Y986" s="3">
        <v>6.51</v>
      </c>
      <c r="Z986" t="s">
        <v>109</v>
      </c>
      <c r="AA986" t="s">
        <v>6749</v>
      </c>
      <c r="AB986" t="s">
        <v>53</v>
      </c>
      <c r="AC986" s="3">
        <v>1.06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f t="shared" si="30"/>
        <v>11.32</v>
      </c>
      <c r="AK986" s="3">
        <f t="shared" si="31"/>
        <v>4.8100000000000005</v>
      </c>
    </row>
    <row r="987" spans="1:37">
      <c r="A987">
        <v>10326344</v>
      </c>
      <c r="B987" t="s">
        <v>37</v>
      </c>
      <c r="C987" t="s">
        <v>6750</v>
      </c>
      <c r="E987" t="s">
        <v>6751</v>
      </c>
      <c r="F987" t="s">
        <v>6752</v>
      </c>
      <c r="G987" t="s">
        <v>6753</v>
      </c>
      <c r="H987" t="s">
        <v>42</v>
      </c>
      <c r="I987" t="s">
        <v>6754</v>
      </c>
      <c r="J987" t="s">
        <v>6755</v>
      </c>
      <c r="K987">
        <v>90419</v>
      </c>
      <c r="L987" t="s">
        <v>71</v>
      </c>
      <c r="M987" t="s">
        <v>46</v>
      </c>
      <c r="N987" t="s">
        <v>47</v>
      </c>
      <c r="O987">
        <v>1</v>
      </c>
      <c r="P987">
        <v>1</v>
      </c>
      <c r="Q987">
        <v>1</v>
      </c>
      <c r="R987" t="s">
        <v>48</v>
      </c>
      <c r="S987" t="s">
        <v>49</v>
      </c>
      <c r="T987" s="3">
        <v>0.84</v>
      </c>
      <c r="U987" s="3">
        <v>0.23</v>
      </c>
      <c r="V987" s="3">
        <v>0.94</v>
      </c>
      <c r="W987">
        <v>0.59</v>
      </c>
      <c r="X987" t="s">
        <v>108</v>
      </c>
      <c r="Y987" s="3">
        <v>5.13</v>
      </c>
      <c r="Z987" t="s">
        <v>109</v>
      </c>
      <c r="AA987" t="s">
        <v>184</v>
      </c>
      <c r="AB987" t="s">
        <v>53</v>
      </c>
      <c r="AC987" s="3">
        <v>1.06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f t="shared" si="30"/>
        <v>8.1999999999999993</v>
      </c>
      <c r="AK987" s="3">
        <f t="shared" si="31"/>
        <v>3.0699999999999994</v>
      </c>
    </row>
    <row r="988" spans="1:37">
      <c r="A988">
        <v>10327970</v>
      </c>
      <c r="B988" t="s">
        <v>37</v>
      </c>
      <c r="C988" t="s">
        <v>6756</v>
      </c>
      <c r="E988" t="s">
        <v>2955</v>
      </c>
      <c r="F988" t="s">
        <v>6757</v>
      </c>
      <c r="G988" t="s">
        <v>6758</v>
      </c>
      <c r="H988" t="s">
        <v>42</v>
      </c>
      <c r="I988" t="s">
        <v>6759</v>
      </c>
      <c r="J988" t="s">
        <v>6760</v>
      </c>
      <c r="K988">
        <v>47574</v>
      </c>
      <c r="L988" t="s">
        <v>71</v>
      </c>
      <c r="M988" t="s">
        <v>46</v>
      </c>
      <c r="N988" t="s">
        <v>47</v>
      </c>
      <c r="O988">
        <v>2</v>
      </c>
      <c r="P988">
        <v>1</v>
      </c>
      <c r="Q988">
        <v>2</v>
      </c>
      <c r="R988" t="s">
        <v>48</v>
      </c>
      <c r="S988" t="s">
        <v>49</v>
      </c>
      <c r="T988" s="3">
        <v>0.84</v>
      </c>
      <c r="U988" s="3">
        <v>0.23</v>
      </c>
      <c r="V988" s="3">
        <v>1.81</v>
      </c>
      <c r="W988">
        <v>0.74</v>
      </c>
      <c r="X988" t="s">
        <v>108</v>
      </c>
      <c r="Y988" s="3">
        <v>6.51</v>
      </c>
      <c r="Z988" t="s">
        <v>109</v>
      </c>
      <c r="AA988" t="s">
        <v>6761</v>
      </c>
      <c r="AB988" t="s">
        <v>53</v>
      </c>
      <c r="AC988" s="3">
        <v>1.06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f t="shared" si="30"/>
        <v>10.450000000000001</v>
      </c>
      <c r="AK988" s="3">
        <f t="shared" si="31"/>
        <v>3.9400000000000013</v>
      </c>
    </row>
    <row r="989" spans="1:37">
      <c r="A989">
        <v>10327967</v>
      </c>
      <c r="B989" t="s">
        <v>37</v>
      </c>
      <c r="C989" t="s">
        <v>6762</v>
      </c>
      <c r="E989" t="s">
        <v>6763</v>
      </c>
      <c r="F989" t="s">
        <v>6764</v>
      </c>
      <c r="G989" t="s">
        <v>6765</v>
      </c>
      <c r="H989" t="s">
        <v>42</v>
      </c>
      <c r="I989" t="s">
        <v>6766</v>
      </c>
      <c r="J989" t="s">
        <v>6767</v>
      </c>
      <c r="K989">
        <v>2180</v>
      </c>
      <c r="L989" t="s">
        <v>505</v>
      </c>
      <c r="M989" t="s">
        <v>46</v>
      </c>
      <c r="N989" t="s">
        <v>47</v>
      </c>
      <c r="O989">
        <v>2</v>
      </c>
      <c r="P989">
        <v>1</v>
      </c>
      <c r="Q989">
        <v>2</v>
      </c>
      <c r="R989" t="s">
        <v>48</v>
      </c>
      <c r="S989" t="s">
        <v>49</v>
      </c>
      <c r="T989" s="3">
        <v>0.84</v>
      </c>
      <c r="U989" s="3">
        <v>0.23</v>
      </c>
      <c r="V989" s="3">
        <v>1.81</v>
      </c>
      <c r="W989">
        <v>0.85</v>
      </c>
      <c r="X989" t="s">
        <v>50</v>
      </c>
      <c r="Y989" s="3">
        <v>10.57</v>
      </c>
      <c r="Z989" t="s">
        <v>109</v>
      </c>
      <c r="AA989" t="s">
        <v>6768</v>
      </c>
      <c r="AB989" t="s">
        <v>53</v>
      </c>
      <c r="AC989" s="3">
        <v>1.06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f t="shared" si="30"/>
        <v>14.510000000000002</v>
      </c>
      <c r="AK989" s="3">
        <f t="shared" si="31"/>
        <v>3.9400000000000013</v>
      </c>
    </row>
    <row r="990" spans="1:37">
      <c r="A990">
        <v>10327393</v>
      </c>
      <c r="B990" t="s">
        <v>37</v>
      </c>
      <c r="C990" t="s">
        <v>6769</v>
      </c>
      <c r="E990" t="s">
        <v>240</v>
      </c>
      <c r="F990" t="s">
        <v>6770</v>
      </c>
      <c r="G990" t="s">
        <v>6771</v>
      </c>
      <c r="H990" t="s">
        <v>42</v>
      </c>
      <c r="I990" t="s">
        <v>6772</v>
      </c>
      <c r="J990" t="s">
        <v>6773</v>
      </c>
      <c r="K990">
        <v>52064</v>
      </c>
      <c r="L990" t="s">
        <v>71</v>
      </c>
      <c r="M990" t="s">
        <v>46</v>
      </c>
      <c r="N990" t="s">
        <v>47</v>
      </c>
      <c r="O990">
        <v>2</v>
      </c>
      <c r="P990">
        <v>1</v>
      </c>
      <c r="Q990">
        <v>2</v>
      </c>
      <c r="R990" t="s">
        <v>48</v>
      </c>
      <c r="S990" t="s">
        <v>49</v>
      </c>
      <c r="T990" s="3">
        <v>0.84</v>
      </c>
      <c r="U990" s="3">
        <v>0.23</v>
      </c>
      <c r="V990" s="3">
        <v>1.81</v>
      </c>
      <c r="W990">
        <v>0.79</v>
      </c>
      <c r="X990" t="s">
        <v>108</v>
      </c>
      <c r="Y990" s="3">
        <v>12.05</v>
      </c>
      <c r="Z990" t="s">
        <v>109</v>
      </c>
      <c r="AA990" t="s">
        <v>6774</v>
      </c>
      <c r="AB990" t="s">
        <v>53</v>
      </c>
      <c r="AC990" s="3">
        <v>1.06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f t="shared" si="30"/>
        <v>15.990000000000002</v>
      </c>
      <c r="AK990" s="3">
        <f t="shared" si="31"/>
        <v>3.9400000000000013</v>
      </c>
    </row>
    <row r="991" spans="1:37">
      <c r="A991">
        <v>10327392</v>
      </c>
      <c r="B991" t="s">
        <v>37</v>
      </c>
      <c r="C991" t="s">
        <v>6775</v>
      </c>
      <c r="E991" t="s">
        <v>6776</v>
      </c>
      <c r="F991" t="s">
        <v>6777</v>
      </c>
      <c r="G991" t="s">
        <v>6778</v>
      </c>
      <c r="H991" t="s">
        <v>42</v>
      </c>
      <c r="I991" t="s">
        <v>6779</v>
      </c>
      <c r="J991" t="s">
        <v>6780</v>
      </c>
      <c r="K991" t="s">
        <v>6781</v>
      </c>
      <c r="L991" t="s">
        <v>62</v>
      </c>
      <c r="M991" t="s">
        <v>46</v>
      </c>
      <c r="N991" t="s">
        <v>47</v>
      </c>
      <c r="O991">
        <v>2</v>
      </c>
      <c r="P991">
        <v>1</v>
      </c>
      <c r="Q991">
        <v>2</v>
      </c>
      <c r="R991" t="s">
        <v>48</v>
      </c>
      <c r="S991" t="s">
        <v>49</v>
      </c>
      <c r="T991" s="3">
        <v>0.84</v>
      </c>
      <c r="U991" s="3">
        <v>0.23</v>
      </c>
      <c r="V991" s="3">
        <v>1.81</v>
      </c>
      <c r="W991">
        <v>0.88</v>
      </c>
      <c r="X991" t="s">
        <v>100</v>
      </c>
      <c r="Y991" s="3">
        <v>37.96</v>
      </c>
      <c r="Z991" t="s">
        <v>109</v>
      </c>
      <c r="AA991" t="s">
        <v>6782</v>
      </c>
      <c r="AB991" t="s">
        <v>53</v>
      </c>
      <c r="AC991" s="3">
        <v>1.06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f t="shared" si="30"/>
        <v>41.900000000000006</v>
      </c>
      <c r="AK991" s="3">
        <f t="shared" si="31"/>
        <v>3.9400000000000048</v>
      </c>
    </row>
    <row r="992" spans="1:37">
      <c r="A992">
        <v>10327968</v>
      </c>
      <c r="B992" t="s">
        <v>37</v>
      </c>
      <c r="C992" t="s">
        <v>6783</v>
      </c>
      <c r="E992" t="s">
        <v>650</v>
      </c>
      <c r="F992" t="s">
        <v>6784</v>
      </c>
      <c r="G992" t="s">
        <v>6785</v>
      </c>
      <c r="H992" t="s">
        <v>42</v>
      </c>
      <c r="I992" t="s">
        <v>6786</v>
      </c>
      <c r="J992" t="s">
        <v>6787</v>
      </c>
      <c r="K992" t="s">
        <v>6788</v>
      </c>
      <c r="L992" t="s">
        <v>142</v>
      </c>
      <c r="M992" t="s">
        <v>46</v>
      </c>
      <c r="N992" t="s">
        <v>47</v>
      </c>
      <c r="O992">
        <v>2</v>
      </c>
      <c r="P992">
        <v>1</v>
      </c>
      <c r="Q992">
        <v>2</v>
      </c>
      <c r="R992" t="s">
        <v>48</v>
      </c>
      <c r="S992" t="s">
        <v>49</v>
      </c>
      <c r="T992" s="3">
        <v>0.84</v>
      </c>
      <c r="U992" s="3">
        <v>0.23</v>
      </c>
      <c r="V992" s="3">
        <v>1.81</v>
      </c>
      <c r="W992">
        <v>0.88</v>
      </c>
      <c r="X992" t="s">
        <v>50</v>
      </c>
      <c r="Y992" s="3">
        <v>16.43</v>
      </c>
      <c r="Z992" t="s">
        <v>109</v>
      </c>
      <c r="AA992" t="s">
        <v>6789</v>
      </c>
      <c r="AB992" t="s">
        <v>53</v>
      </c>
      <c r="AC992" s="3">
        <v>1.06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f t="shared" si="30"/>
        <v>20.369999999999997</v>
      </c>
      <c r="AK992" s="3">
        <f t="shared" si="31"/>
        <v>3.9399999999999977</v>
      </c>
    </row>
    <row r="993" spans="1:37">
      <c r="A993">
        <v>10327966</v>
      </c>
      <c r="B993" t="s">
        <v>37</v>
      </c>
      <c r="C993" t="s">
        <v>6790</v>
      </c>
      <c r="E993" t="s">
        <v>6791</v>
      </c>
      <c r="F993" t="s">
        <v>6792</v>
      </c>
      <c r="G993" t="s">
        <v>6793</v>
      </c>
      <c r="H993" t="s">
        <v>42</v>
      </c>
      <c r="I993" t="s">
        <v>6794</v>
      </c>
      <c r="J993" t="s">
        <v>6795</v>
      </c>
      <c r="K993">
        <v>94036</v>
      </c>
      <c r="L993" t="s">
        <v>71</v>
      </c>
      <c r="M993" t="s">
        <v>46</v>
      </c>
      <c r="N993" t="s">
        <v>47</v>
      </c>
      <c r="O993">
        <v>2</v>
      </c>
      <c r="P993">
        <v>1</v>
      </c>
      <c r="Q993">
        <v>2</v>
      </c>
      <c r="R993" t="s">
        <v>48</v>
      </c>
      <c r="S993" t="s">
        <v>49</v>
      </c>
      <c r="T993" s="3">
        <v>0.84</v>
      </c>
      <c r="U993" s="3">
        <v>0.23</v>
      </c>
      <c r="V993" s="3">
        <v>1.81</v>
      </c>
      <c r="W993">
        <v>0.88</v>
      </c>
      <c r="X993" t="s">
        <v>108</v>
      </c>
      <c r="Y993" s="3">
        <v>6.51</v>
      </c>
      <c r="Z993" t="s">
        <v>109</v>
      </c>
      <c r="AA993" t="s">
        <v>6796</v>
      </c>
      <c r="AB993" t="s">
        <v>53</v>
      </c>
      <c r="AC993" s="3">
        <v>1.06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f t="shared" si="30"/>
        <v>10.450000000000001</v>
      </c>
      <c r="AK993" s="3">
        <f t="shared" si="31"/>
        <v>3.9400000000000013</v>
      </c>
    </row>
    <row r="994" spans="1:37">
      <c r="A994">
        <v>10327971</v>
      </c>
      <c r="B994" t="s">
        <v>37</v>
      </c>
      <c r="C994" t="s">
        <v>6797</v>
      </c>
      <c r="E994" t="s">
        <v>6798</v>
      </c>
      <c r="F994" t="s">
        <v>6799</v>
      </c>
      <c r="G994" t="s">
        <v>6800</v>
      </c>
      <c r="H994" t="s">
        <v>42</v>
      </c>
      <c r="I994" t="s">
        <v>6801</v>
      </c>
      <c r="J994" t="s">
        <v>6802</v>
      </c>
      <c r="K994" t="s">
        <v>6803</v>
      </c>
      <c r="L994" t="s">
        <v>82</v>
      </c>
      <c r="M994" t="s">
        <v>46</v>
      </c>
      <c r="N994" t="s">
        <v>47</v>
      </c>
      <c r="O994">
        <v>2</v>
      </c>
      <c r="P994">
        <v>1</v>
      </c>
      <c r="Q994">
        <v>2</v>
      </c>
      <c r="R994" t="s">
        <v>48</v>
      </c>
      <c r="S994" t="s">
        <v>49</v>
      </c>
      <c r="T994" s="3">
        <v>0.84</v>
      </c>
      <c r="U994" s="3">
        <v>0.23</v>
      </c>
      <c r="V994" s="3">
        <v>1.81</v>
      </c>
      <c r="W994">
        <v>0.88</v>
      </c>
      <c r="X994" t="s">
        <v>50</v>
      </c>
      <c r="Y994" s="3">
        <v>10.57</v>
      </c>
      <c r="Z994" t="s">
        <v>109</v>
      </c>
      <c r="AA994" t="s">
        <v>6804</v>
      </c>
      <c r="AB994" t="s">
        <v>53</v>
      </c>
      <c r="AC994" s="3">
        <v>1.06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f t="shared" si="30"/>
        <v>14.510000000000002</v>
      </c>
      <c r="AK994" s="3">
        <f t="shared" si="31"/>
        <v>3.9400000000000013</v>
      </c>
    </row>
    <row r="995" spans="1:37">
      <c r="A995">
        <v>10327153</v>
      </c>
      <c r="B995" t="s">
        <v>37</v>
      </c>
      <c r="C995" t="s">
        <v>6805</v>
      </c>
      <c r="E995" t="s">
        <v>6191</v>
      </c>
      <c r="F995" t="s">
        <v>187</v>
      </c>
      <c r="G995" t="s">
        <v>6806</v>
      </c>
      <c r="H995" t="s">
        <v>42</v>
      </c>
      <c r="I995" t="s">
        <v>6807</v>
      </c>
      <c r="J995" t="s">
        <v>6808</v>
      </c>
      <c r="K995">
        <v>60318</v>
      </c>
      <c r="L995" t="s">
        <v>71</v>
      </c>
      <c r="M995" t="s">
        <v>46</v>
      </c>
      <c r="N995" t="s">
        <v>47</v>
      </c>
      <c r="O995">
        <v>2</v>
      </c>
      <c r="P995">
        <v>1</v>
      </c>
      <c r="Q995">
        <v>2</v>
      </c>
      <c r="R995" t="s">
        <v>48</v>
      </c>
      <c r="S995" t="s">
        <v>49</v>
      </c>
      <c r="T995" s="3">
        <v>0.84</v>
      </c>
      <c r="U995" s="3">
        <v>0.23</v>
      </c>
      <c r="V995" s="3">
        <v>1.81</v>
      </c>
      <c r="W995">
        <v>1.08</v>
      </c>
      <c r="X995" t="s">
        <v>108</v>
      </c>
      <c r="Y995" s="3">
        <v>9.2899999999999991</v>
      </c>
      <c r="Z995" t="s">
        <v>109</v>
      </c>
      <c r="AA995" t="s">
        <v>245</v>
      </c>
      <c r="AB995" t="s">
        <v>53</v>
      </c>
      <c r="AC995" s="3">
        <v>1.06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f t="shared" si="30"/>
        <v>13.23</v>
      </c>
      <c r="AK995" s="3">
        <f t="shared" si="31"/>
        <v>3.9400000000000013</v>
      </c>
    </row>
    <row r="996" spans="1:37">
      <c r="A996">
        <v>10328848</v>
      </c>
      <c r="B996" t="s">
        <v>37</v>
      </c>
      <c r="C996" t="s">
        <v>6809</v>
      </c>
      <c r="E996" t="s">
        <v>6810</v>
      </c>
      <c r="F996" t="s">
        <v>1222</v>
      </c>
      <c r="G996" t="s">
        <v>6811</v>
      </c>
      <c r="H996" t="s">
        <v>42</v>
      </c>
      <c r="I996" t="s">
        <v>6812</v>
      </c>
      <c r="J996" t="s">
        <v>6813</v>
      </c>
      <c r="K996" t="s">
        <v>6814</v>
      </c>
      <c r="L996" t="s">
        <v>142</v>
      </c>
      <c r="M996" t="s">
        <v>46</v>
      </c>
      <c r="N996" t="s">
        <v>47</v>
      </c>
      <c r="O996">
        <v>4</v>
      </c>
      <c r="P996">
        <v>1</v>
      </c>
      <c r="Q996">
        <v>4</v>
      </c>
      <c r="R996" t="s">
        <v>48</v>
      </c>
      <c r="S996" t="s">
        <v>49</v>
      </c>
      <c r="T996" s="3">
        <v>0.84</v>
      </c>
      <c r="U996" s="3">
        <v>0.23</v>
      </c>
      <c r="V996" s="3">
        <v>3.55</v>
      </c>
      <c r="W996">
        <v>1.66</v>
      </c>
      <c r="X996" t="s">
        <v>50</v>
      </c>
      <c r="Y996" s="3">
        <v>16.43</v>
      </c>
      <c r="Z996" t="s">
        <v>73</v>
      </c>
      <c r="AA996" t="s">
        <v>6815</v>
      </c>
      <c r="AB996" t="s">
        <v>53</v>
      </c>
      <c r="AC996" s="3">
        <v>1.29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f t="shared" si="30"/>
        <v>22.34</v>
      </c>
      <c r="AK996" s="3">
        <f t="shared" si="31"/>
        <v>5.91</v>
      </c>
    </row>
    <row r="997" spans="1:37">
      <c r="A997">
        <v>10327592</v>
      </c>
      <c r="B997" t="s">
        <v>37</v>
      </c>
      <c r="C997" t="s">
        <v>6816</v>
      </c>
      <c r="E997" t="s">
        <v>6817</v>
      </c>
      <c r="F997" t="s">
        <v>6818</v>
      </c>
      <c r="G997" t="s">
        <v>6819</v>
      </c>
      <c r="H997" t="s">
        <v>42</v>
      </c>
      <c r="I997" t="s">
        <v>6820</v>
      </c>
      <c r="J997" t="s">
        <v>6821</v>
      </c>
      <c r="K997" t="s">
        <v>6822</v>
      </c>
      <c r="L997" t="s">
        <v>142</v>
      </c>
      <c r="M997" t="s">
        <v>46</v>
      </c>
      <c r="N997" t="s">
        <v>47</v>
      </c>
      <c r="O997">
        <v>3</v>
      </c>
      <c r="P997">
        <v>1</v>
      </c>
      <c r="Q997">
        <v>3</v>
      </c>
      <c r="R997" t="s">
        <v>48</v>
      </c>
      <c r="S997" t="s">
        <v>49</v>
      </c>
      <c r="T997" s="3">
        <v>0.84</v>
      </c>
      <c r="U997" s="3">
        <v>0.23</v>
      </c>
      <c r="V997" s="3">
        <v>2.68</v>
      </c>
      <c r="W997">
        <v>1.22</v>
      </c>
      <c r="X997" t="s">
        <v>50</v>
      </c>
      <c r="Y997" s="3">
        <v>16.43</v>
      </c>
      <c r="Z997" t="s">
        <v>73</v>
      </c>
      <c r="AA997" t="s">
        <v>6823</v>
      </c>
      <c r="AB997" t="s">
        <v>53</v>
      </c>
      <c r="AC997" s="3">
        <v>1.29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f t="shared" si="30"/>
        <v>21.47</v>
      </c>
      <c r="AK997" s="3">
        <f t="shared" si="31"/>
        <v>5.0399999999999991</v>
      </c>
    </row>
    <row r="998" spans="1:37">
      <c r="A998">
        <v>10326348</v>
      </c>
      <c r="B998" t="s">
        <v>37</v>
      </c>
      <c r="C998" t="s">
        <v>6824</v>
      </c>
      <c r="E998" t="s">
        <v>3407</v>
      </c>
      <c r="F998" t="s">
        <v>6825</v>
      </c>
      <c r="G998" t="s">
        <v>6826</v>
      </c>
      <c r="H998" t="s">
        <v>42</v>
      </c>
      <c r="I998" t="s">
        <v>6827</v>
      </c>
      <c r="J998" t="s">
        <v>6828</v>
      </c>
      <c r="K998" t="s">
        <v>6829</v>
      </c>
      <c r="L998" t="s">
        <v>142</v>
      </c>
      <c r="M998" t="s">
        <v>46</v>
      </c>
      <c r="N998" t="s">
        <v>47</v>
      </c>
      <c r="O998">
        <v>1</v>
      </c>
      <c r="P998">
        <v>1</v>
      </c>
      <c r="Q998">
        <v>1</v>
      </c>
      <c r="R998" t="s">
        <v>48</v>
      </c>
      <c r="S998" t="s">
        <v>49</v>
      </c>
      <c r="T998" s="3">
        <v>0.84</v>
      </c>
      <c r="U998" s="3">
        <v>0.23</v>
      </c>
      <c r="V998" s="3">
        <v>0.94</v>
      </c>
      <c r="W998">
        <v>0.65</v>
      </c>
      <c r="X998" t="s">
        <v>50</v>
      </c>
      <c r="Y998" s="3">
        <v>17.809999999999999</v>
      </c>
      <c r="Z998" t="s">
        <v>73</v>
      </c>
      <c r="AA998" t="s">
        <v>6830</v>
      </c>
      <c r="AB998" t="s">
        <v>53</v>
      </c>
      <c r="AC998" s="3">
        <v>1.29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f t="shared" si="30"/>
        <v>21.11</v>
      </c>
      <c r="AK998" s="3">
        <f t="shared" si="31"/>
        <v>3.3000000000000007</v>
      </c>
    </row>
    <row r="999" spans="1:37">
      <c r="A999">
        <v>10329243</v>
      </c>
      <c r="B999" t="s">
        <v>37</v>
      </c>
      <c r="C999" t="s">
        <v>6831</v>
      </c>
      <c r="E999" t="s">
        <v>6832</v>
      </c>
      <c r="F999" t="s">
        <v>6833</v>
      </c>
      <c r="G999" t="s">
        <v>6834</v>
      </c>
      <c r="H999" t="s">
        <v>42</v>
      </c>
      <c r="I999" t="s">
        <v>6835</v>
      </c>
      <c r="J999" t="s">
        <v>6836</v>
      </c>
      <c r="K999" t="s">
        <v>6837</v>
      </c>
      <c r="L999" t="s">
        <v>142</v>
      </c>
      <c r="M999" t="s">
        <v>46</v>
      </c>
      <c r="N999" t="s">
        <v>47</v>
      </c>
      <c r="O999">
        <v>4</v>
      </c>
      <c r="P999">
        <v>1</v>
      </c>
      <c r="Q999">
        <v>4</v>
      </c>
      <c r="R999" t="s">
        <v>48</v>
      </c>
      <c r="S999" t="s">
        <v>49</v>
      </c>
      <c r="T999" s="3">
        <v>0.84</v>
      </c>
      <c r="U999" s="3">
        <v>0.23</v>
      </c>
      <c r="V999" s="3">
        <v>3.55</v>
      </c>
      <c r="W999">
        <v>1.66</v>
      </c>
      <c r="X999" t="s">
        <v>50</v>
      </c>
      <c r="Y999" s="3">
        <v>16.43</v>
      </c>
      <c r="Z999" t="s">
        <v>73</v>
      </c>
      <c r="AA999" t="s">
        <v>583</v>
      </c>
      <c r="AB999" t="s">
        <v>53</v>
      </c>
      <c r="AC999" s="3">
        <v>1.29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f t="shared" si="30"/>
        <v>22.34</v>
      </c>
      <c r="AK999" s="3">
        <f t="shared" si="31"/>
        <v>5.91</v>
      </c>
    </row>
    <row r="1000" spans="1:37">
      <c r="A1000">
        <v>10327969</v>
      </c>
      <c r="B1000" t="s">
        <v>37</v>
      </c>
      <c r="C1000" t="s">
        <v>6838</v>
      </c>
      <c r="E1000" t="s">
        <v>6839</v>
      </c>
      <c r="F1000" t="s">
        <v>6840</v>
      </c>
      <c r="G1000" t="s">
        <v>6841</v>
      </c>
      <c r="H1000" t="s">
        <v>42</v>
      </c>
      <c r="I1000" t="s">
        <v>6842</v>
      </c>
      <c r="J1000" t="s">
        <v>6843</v>
      </c>
      <c r="K1000">
        <v>4053</v>
      </c>
      <c r="L1000" t="s">
        <v>505</v>
      </c>
      <c r="M1000" t="s">
        <v>46</v>
      </c>
      <c r="N1000" t="s">
        <v>47</v>
      </c>
      <c r="O1000">
        <v>4</v>
      </c>
      <c r="P1000">
        <v>1</v>
      </c>
      <c r="Q1000">
        <v>4</v>
      </c>
      <c r="R1000" t="s">
        <v>48</v>
      </c>
      <c r="S1000" t="s">
        <v>49</v>
      </c>
      <c r="T1000" s="3">
        <v>0.84</v>
      </c>
      <c r="U1000" s="3">
        <v>0.23</v>
      </c>
      <c r="V1000" s="3">
        <v>3.55</v>
      </c>
      <c r="W1000">
        <v>3.97</v>
      </c>
      <c r="X1000" t="s">
        <v>50</v>
      </c>
      <c r="Y1000" s="3">
        <v>9.19</v>
      </c>
      <c r="Z1000" t="s">
        <v>83</v>
      </c>
      <c r="AA1000" t="s">
        <v>6844</v>
      </c>
      <c r="AB1000" t="s">
        <v>53</v>
      </c>
      <c r="AC1000" s="3">
        <v>1.27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f t="shared" si="30"/>
        <v>15.079999999999998</v>
      </c>
      <c r="AK1000" s="3">
        <f t="shared" si="31"/>
        <v>5.8899999999999988</v>
      </c>
    </row>
    <row r="1001" spans="1:37">
      <c r="A1001">
        <v>10327972</v>
      </c>
      <c r="B1001" t="s">
        <v>37</v>
      </c>
      <c r="C1001" t="s">
        <v>6845</v>
      </c>
      <c r="E1001" t="s">
        <v>6846</v>
      </c>
      <c r="F1001" t="s">
        <v>1991</v>
      </c>
      <c r="G1001" t="s">
        <v>6847</v>
      </c>
      <c r="H1001" t="s">
        <v>42</v>
      </c>
      <c r="I1001" t="s">
        <v>6848</v>
      </c>
      <c r="J1001" t="s">
        <v>6849</v>
      </c>
      <c r="K1001" t="s">
        <v>6850</v>
      </c>
      <c r="L1001" t="s">
        <v>71</v>
      </c>
      <c r="M1001" t="s">
        <v>46</v>
      </c>
      <c r="N1001" t="s">
        <v>47</v>
      </c>
      <c r="O1001">
        <v>4</v>
      </c>
      <c r="P1001">
        <v>1</v>
      </c>
      <c r="Q1001">
        <v>4</v>
      </c>
      <c r="R1001" t="s">
        <v>48</v>
      </c>
      <c r="S1001" t="s">
        <v>49</v>
      </c>
      <c r="T1001" s="3">
        <v>0.84</v>
      </c>
      <c r="U1001" s="3">
        <v>0.23</v>
      </c>
      <c r="V1001" s="3">
        <v>3.55</v>
      </c>
      <c r="W1001">
        <v>2.08</v>
      </c>
      <c r="X1001" t="s">
        <v>72</v>
      </c>
      <c r="Y1001" s="3">
        <v>6.81</v>
      </c>
      <c r="Z1001" t="s">
        <v>73</v>
      </c>
      <c r="AA1001" t="s">
        <v>6851</v>
      </c>
      <c r="AB1001" t="s">
        <v>53</v>
      </c>
      <c r="AC1001" s="3">
        <v>1.29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f t="shared" si="30"/>
        <v>12.719999999999999</v>
      </c>
      <c r="AK1001" s="3">
        <f t="shared" si="31"/>
        <v>5.9099999999999993</v>
      </c>
    </row>
    <row r="1002" spans="1:37">
      <c r="A1002">
        <v>10327154</v>
      </c>
      <c r="B1002" t="s">
        <v>37</v>
      </c>
      <c r="C1002" t="s">
        <v>6852</v>
      </c>
      <c r="E1002" t="s">
        <v>6853</v>
      </c>
      <c r="F1002" t="s">
        <v>6854</v>
      </c>
      <c r="G1002" t="s">
        <v>6855</v>
      </c>
      <c r="H1002" t="s">
        <v>42</v>
      </c>
      <c r="I1002" t="s">
        <v>6856</v>
      </c>
      <c r="J1002" t="s">
        <v>6857</v>
      </c>
      <c r="K1002" t="s">
        <v>6858</v>
      </c>
      <c r="L1002" t="s">
        <v>142</v>
      </c>
      <c r="M1002" t="s">
        <v>46</v>
      </c>
      <c r="N1002" t="s">
        <v>47</v>
      </c>
      <c r="O1002">
        <v>3</v>
      </c>
      <c r="P1002">
        <v>1</v>
      </c>
      <c r="Q1002">
        <v>3</v>
      </c>
      <c r="R1002" t="s">
        <v>48</v>
      </c>
      <c r="S1002" t="s">
        <v>49</v>
      </c>
      <c r="T1002" s="3">
        <v>0.84</v>
      </c>
      <c r="U1002" s="3">
        <v>0.23</v>
      </c>
      <c r="V1002" s="3">
        <v>2.68</v>
      </c>
      <c r="W1002">
        <v>1.27</v>
      </c>
      <c r="X1002" t="s">
        <v>50</v>
      </c>
      <c r="Y1002" s="3">
        <v>16.43</v>
      </c>
      <c r="Z1002" t="s">
        <v>73</v>
      </c>
      <c r="AA1002" t="s">
        <v>3510</v>
      </c>
      <c r="AB1002" t="s">
        <v>53</v>
      </c>
      <c r="AC1002" s="3">
        <v>1.29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f t="shared" si="30"/>
        <v>21.47</v>
      </c>
      <c r="AK1002" s="3">
        <f t="shared" si="31"/>
        <v>5.0399999999999991</v>
      </c>
    </row>
    <row r="1003" spans="1:37">
      <c r="A1003">
        <v>10327768</v>
      </c>
      <c r="B1003" t="s">
        <v>37</v>
      </c>
      <c r="C1003" t="s">
        <v>6859</v>
      </c>
      <c r="D1003">
        <v>228021812</v>
      </c>
      <c r="E1003" t="s">
        <v>6860</v>
      </c>
      <c r="F1003" t="s">
        <v>6861</v>
      </c>
      <c r="G1003" t="s">
        <v>6862</v>
      </c>
      <c r="H1003" t="s">
        <v>42</v>
      </c>
      <c r="I1003" t="s">
        <v>6863</v>
      </c>
      <c r="J1003" t="s">
        <v>6864</v>
      </c>
      <c r="K1003" t="s">
        <v>6865</v>
      </c>
      <c r="L1003" t="s">
        <v>275</v>
      </c>
      <c r="M1003" t="s">
        <v>46</v>
      </c>
      <c r="N1003" t="s">
        <v>47</v>
      </c>
      <c r="O1003">
        <v>3</v>
      </c>
      <c r="P1003">
        <v>1</v>
      </c>
      <c r="Q1003">
        <v>3</v>
      </c>
      <c r="R1003" t="s">
        <v>48</v>
      </c>
      <c r="S1003" t="s">
        <v>49</v>
      </c>
      <c r="T1003" s="3">
        <v>0.84</v>
      </c>
      <c r="U1003" s="3">
        <v>0.23</v>
      </c>
      <c r="V1003" s="3">
        <v>2.68</v>
      </c>
      <c r="W1003">
        <v>1.27</v>
      </c>
      <c r="X1003" t="s">
        <v>50</v>
      </c>
      <c r="Y1003" s="3">
        <v>16.43</v>
      </c>
      <c r="Z1003" t="s">
        <v>73</v>
      </c>
      <c r="AA1003" t="s">
        <v>6866</v>
      </c>
      <c r="AB1003" t="s">
        <v>53</v>
      </c>
      <c r="AC1003" s="3">
        <v>1.29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f t="shared" si="30"/>
        <v>21.47</v>
      </c>
      <c r="AK1003" s="3">
        <f t="shared" si="31"/>
        <v>5.0399999999999991</v>
      </c>
    </row>
    <row r="1004" spans="1:37">
      <c r="A1004">
        <v>10327973</v>
      </c>
      <c r="B1004" t="s">
        <v>37</v>
      </c>
      <c r="C1004" t="s">
        <v>6867</v>
      </c>
      <c r="E1004" t="s">
        <v>6868</v>
      </c>
      <c r="F1004" t="s">
        <v>6869</v>
      </c>
      <c r="G1004" t="s">
        <v>6870</v>
      </c>
      <c r="H1004" t="s">
        <v>42</v>
      </c>
      <c r="I1004" t="s">
        <v>6871</v>
      </c>
      <c r="J1004" t="s">
        <v>6872</v>
      </c>
      <c r="K1004">
        <v>8201</v>
      </c>
      <c r="L1004" t="s">
        <v>1701</v>
      </c>
      <c r="M1004" t="s">
        <v>46</v>
      </c>
      <c r="N1004" t="s">
        <v>47</v>
      </c>
      <c r="O1004">
        <v>1</v>
      </c>
      <c r="P1004">
        <v>1</v>
      </c>
      <c r="Q1004">
        <v>1</v>
      </c>
      <c r="R1004" t="s">
        <v>48</v>
      </c>
      <c r="S1004" t="s">
        <v>49</v>
      </c>
      <c r="T1004" s="3">
        <v>0.84</v>
      </c>
      <c r="U1004" s="3">
        <v>0.23</v>
      </c>
      <c r="V1004" s="3">
        <v>0.94</v>
      </c>
      <c r="W1004">
        <v>0.36</v>
      </c>
      <c r="X1004" t="s">
        <v>1702</v>
      </c>
      <c r="Y1004" s="3">
        <v>26.18</v>
      </c>
      <c r="Z1004" t="s">
        <v>109</v>
      </c>
      <c r="AA1004" t="s">
        <v>4068</v>
      </c>
      <c r="AB1004" t="s">
        <v>53</v>
      </c>
      <c r="AC1004" s="3">
        <v>1.06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f t="shared" si="30"/>
        <v>29.25</v>
      </c>
      <c r="AK1004" s="3">
        <f t="shared" si="31"/>
        <v>3.0700000000000003</v>
      </c>
    </row>
    <row r="1005" spans="1:37">
      <c r="A1005">
        <v>10326880</v>
      </c>
      <c r="B1005" t="s">
        <v>37</v>
      </c>
      <c r="C1005" t="s">
        <v>6873</v>
      </c>
      <c r="E1005" t="s">
        <v>1101</v>
      </c>
      <c r="F1005" t="s">
        <v>6874</v>
      </c>
      <c r="G1005" t="s">
        <v>6875</v>
      </c>
      <c r="H1005" t="s">
        <v>42</v>
      </c>
      <c r="I1005" t="s">
        <v>6876</v>
      </c>
      <c r="J1005" t="s">
        <v>6877</v>
      </c>
      <c r="K1005">
        <v>73614</v>
      </c>
      <c r="L1005" t="s">
        <v>71</v>
      </c>
      <c r="M1005" t="s">
        <v>46</v>
      </c>
      <c r="N1005" t="s">
        <v>47</v>
      </c>
      <c r="O1005">
        <v>1</v>
      </c>
      <c r="P1005">
        <v>1</v>
      </c>
      <c r="Q1005">
        <v>1</v>
      </c>
      <c r="R1005" t="s">
        <v>48</v>
      </c>
      <c r="S1005" t="s">
        <v>49</v>
      </c>
      <c r="T1005" s="3">
        <v>0.84</v>
      </c>
      <c r="U1005" s="3">
        <v>0.23</v>
      </c>
      <c r="V1005" s="3">
        <v>0.94</v>
      </c>
      <c r="W1005">
        <v>0.49</v>
      </c>
      <c r="X1005" t="s">
        <v>108</v>
      </c>
      <c r="Y1005" s="3">
        <v>5.13</v>
      </c>
      <c r="Z1005" t="s">
        <v>109</v>
      </c>
      <c r="AA1005" t="s">
        <v>4279</v>
      </c>
      <c r="AB1005" t="s">
        <v>53</v>
      </c>
      <c r="AC1005" s="3">
        <v>1.06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f t="shared" si="30"/>
        <v>8.1999999999999993</v>
      </c>
      <c r="AK1005" s="3">
        <f t="shared" si="31"/>
        <v>3.0699999999999994</v>
      </c>
    </row>
    <row r="1006" spans="1:37">
      <c r="A1006">
        <v>10327770</v>
      </c>
      <c r="B1006" t="s">
        <v>37</v>
      </c>
      <c r="C1006" t="s">
        <v>6878</v>
      </c>
      <c r="E1006" t="s">
        <v>933</v>
      </c>
      <c r="F1006" t="s">
        <v>1811</v>
      </c>
      <c r="G1006" t="s">
        <v>6879</v>
      </c>
      <c r="H1006" t="s">
        <v>42</v>
      </c>
      <c r="I1006" t="s">
        <v>6880</v>
      </c>
      <c r="J1006" t="s">
        <v>6881</v>
      </c>
      <c r="K1006" t="s">
        <v>1815</v>
      </c>
      <c r="L1006" t="s">
        <v>82</v>
      </c>
      <c r="M1006" t="s">
        <v>46</v>
      </c>
      <c r="N1006" t="s">
        <v>47</v>
      </c>
      <c r="O1006">
        <v>1</v>
      </c>
      <c r="P1006">
        <v>1</v>
      </c>
      <c r="Q1006">
        <v>1</v>
      </c>
      <c r="R1006" t="s">
        <v>48</v>
      </c>
      <c r="S1006" t="s">
        <v>49</v>
      </c>
      <c r="T1006" s="3">
        <v>0.84</v>
      </c>
      <c r="U1006" s="3">
        <v>0.23</v>
      </c>
      <c r="V1006" s="3">
        <v>0.94</v>
      </c>
      <c r="W1006">
        <v>0.49</v>
      </c>
      <c r="X1006" t="s">
        <v>50</v>
      </c>
      <c r="Y1006" s="3">
        <v>9.19</v>
      </c>
      <c r="Z1006" t="s">
        <v>109</v>
      </c>
      <c r="AA1006" t="s">
        <v>1802</v>
      </c>
      <c r="AB1006" t="s">
        <v>53</v>
      </c>
      <c r="AC1006" s="3">
        <v>1.06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f t="shared" si="30"/>
        <v>12.26</v>
      </c>
      <c r="AK1006" s="3">
        <f t="shared" si="31"/>
        <v>3.0700000000000003</v>
      </c>
    </row>
    <row r="1007" spans="1:37">
      <c r="A1007">
        <v>10327152</v>
      </c>
      <c r="B1007" t="s">
        <v>37</v>
      </c>
      <c r="C1007" t="s">
        <v>6882</v>
      </c>
      <c r="E1007" t="s">
        <v>1330</v>
      </c>
      <c r="F1007" t="s">
        <v>2272</v>
      </c>
      <c r="G1007" t="s">
        <v>6883</v>
      </c>
      <c r="H1007" t="s">
        <v>42</v>
      </c>
      <c r="I1007" t="s">
        <v>6884</v>
      </c>
      <c r="J1007" t="s">
        <v>6885</v>
      </c>
      <c r="K1007">
        <v>90419</v>
      </c>
      <c r="L1007" t="s">
        <v>71</v>
      </c>
      <c r="M1007" t="s">
        <v>46</v>
      </c>
      <c r="N1007" t="s">
        <v>47</v>
      </c>
      <c r="O1007">
        <v>1</v>
      </c>
      <c r="P1007">
        <v>1</v>
      </c>
      <c r="Q1007">
        <v>1</v>
      </c>
      <c r="R1007" t="s">
        <v>48</v>
      </c>
      <c r="S1007" t="s">
        <v>49</v>
      </c>
      <c r="T1007" s="3">
        <v>0.84</v>
      </c>
      <c r="U1007" s="3">
        <v>0.23</v>
      </c>
      <c r="V1007" s="3">
        <v>0.94</v>
      </c>
      <c r="W1007">
        <v>0.49</v>
      </c>
      <c r="X1007" t="s">
        <v>108</v>
      </c>
      <c r="Y1007" s="3">
        <v>5.13</v>
      </c>
      <c r="Z1007" t="s">
        <v>109</v>
      </c>
      <c r="AA1007" t="s">
        <v>5146</v>
      </c>
      <c r="AB1007" t="s">
        <v>53</v>
      </c>
      <c r="AC1007" s="3">
        <v>1.06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f t="shared" si="30"/>
        <v>8.1999999999999993</v>
      </c>
      <c r="AK1007" s="3">
        <f t="shared" si="31"/>
        <v>3.0699999999999994</v>
      </c>
    </row>
    <row r="1008" spans="1:37">
      <c r="A1008">
        <v>10327391</v>
      </c>
      <c r="B1008" t="s">
        <v>37</v>
      </c>
      <c r="C1008" t="s">
        <v>6886</v>
      </c>
      <c r="E1008" t="s">
        <v>6887</v>
      </c>
      <c r="F1008" t="s">
        <v>6888</v>
      </c>
      <c r="G1008" t="s">
        <v>6889</v>
      </c>
      <c r="H1008" t="s">
        <v>42</v>
      </c>
      <c r="I1008" t="s">
        <v>6890</v>
      </c>
      <c r="J1008" t="s">
        <v>6891</v>
      </c>
      <c r="K1008">
        <v>21682</v>
      </c>
      <c r="L1008" t="s">
        <v>71</v>
      </c>
      <c r="M1008" t="s">
        <v>46</v>
      </c>
      <c r="N1008" t="s">
        <v>47</v>
      </c>
      <c r="O1008">
        <v>1</v>
      </c>
      <c r="P1008">
        <v>1</v>
      </c>
      <c r="Q1008">
        <v>1</v>
      </c>
      <c r="R1008" t="s">
        <v>48</v>
      </c>
      <c r="S1008" t="s">
        <v>49</v>
      </c>
      <c r="T1008" s="3">
        <v>0.84</v>
      </c>
      <c r="U1008" s="3">
        <v>0.23</v>
      </c>
      <c r="V1008" s="3">
        <v>0.94</v>
      </c>
      <c r="W1008">
        <v>0.49</v>
      </c>
      <c r="X1008" t="s">
        <v>108</v>
      </c>
      <c r="Y1008" s="3">
        <v>5.13</v>
      </c>
      <c r="Z1008" t="s">
        <v>109</v>
      </c>
      <c r="AA1008" t="s">
        <v>3216</v>
      </c>
      <c r="AB1008" t="s">
        <v>53</v>
      </c>
      <c r="AC1008" s="3">
        <v>1.06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f t="shared" si="30"/>
        <v>8.1999999999999993</v>
      </c>
      <c r="AK1008" s="3">
        <f t="shared" si="31"/>
        <v>3.0699999999999994</v>
      </c>
    </row>
    <row r="1009" spans="1:37">
      <c r="A1009">
        <v>10328676</v>
      </c>
      <c r="B1009" t="s">
        <v>37</v>
      </c>
      <c r="C1009" t="s">
        <v>6892</v>
      </c>
      <c r="E1009" t="s">
        <v>6893</v>
      </c>
      <c r="F1009" t="s">
        <v>6894</v>
      </c>
      <c r="G1009" t="s">
        <v>6895</v>
      </c>
      <c r="H1009" t="s">
        <v>42</v>
      </c>
      <c r="I1009" t="s">
        <v>6896</v>
      </c>
      <c r="J1009" t="s">
        <v>6897</v>
      </c>
      <c r="K1009">
        <v>15755</v>
      </c>
      <c r="L1009" t="s">
        <v>71</v>
      </c>
      <c r="M1009" t="s">
        <v>46</v>
      </c>
      <c r="N1009" t="s">
        <v>47</v>
      </c>
      <c r="O1009">
        <v>1</v>
      </c>
      <c r="P1009">
        <v>1</v>
      </c>
      <c r="Q1009">
        <v>1</v>
      </c>
      <c r="R1009" t="s">
        <v>48</v>
      </c>
      <c r="S1009" t="s">
        <v>49</v>
      </c>
      <c r="T1009" s="3">
        <v>0.84</v>
      </c>
      <c r="U1009" s="3">
        <v>0.23</v>
      </c>
      <c r="V1009" s="3">
        <v>0.94</v>
      </c>
      <c r="W1009">
        <v>0.24</v>
      </c>
      <c r="X1009" t="s">
        <v>108</v>
      </c>
      <c r="Y1009" s="3">
        <v>5.13</v>
      </c>
      <c r="Z1009" t="s">
        <v>109</v>
      </c>
      <c r="AA1009" t="s">
        <v>736</v>
      </c>
      <c r="AB1009" t="s">
        <v>53</v>
      </c>
      <c r="AC1009" s="3">
        <v>1.06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f t="shared" si="30"/>
        <v>8.1999999999999993</v>
      </c>
      <c r="AK1009" s="3">
        <f t="shared" si="31"/>
        <v>3.0699999999999994</v>
      </c>
    </row>
    <row r="1010" spans="1:37">
      <c r="A1010">
        <v>10326546</v>
      </c>
      <c r="B1010" t="s">
        <v>37</v>
      </c>
      <c r="C1010" t="s">
        <v>6898</v>
      </c>
      <c r="E1010" t="s">
        <v>416</v>
      </c>
      <c r="F1010" t="s">
        <v>417</v>
      </c>
      <c r="G1010" t="s">
        <v>6899</v>
      </c>
      <c r="H1010" t="s">
        <v>42</v>
      </c>
      <c r="I1010" t="s">
        <v>6900</v>
      </c>
      <c r="J1010" t="s">
        <v>420</v>
      </c>
      <c r="K1010">
        <v>5036</v>
      </c>
      <c r="L1010" t="s">
        <v>421</v>
      </c>
      <c r="M1010" t="s">
        <v>46</v>
      </c>
      <c r="N1010" t="s">
        <v>47</v>
      </c>
      <c r="O1010">
        <v>3</v>
      </c>
      <c r="P1010">
        <v>1</v>
      </c>
      <c r="Q1010">
        <v>3</v>
      </c>
      <c r="R1010" t="s">
        <v>48</v>
      </c>
      <c r="S1010" t="s">
        <v>49</v>
      </c>
      <c r="T1010" s="3">
        <v>0.84</v>
      </c>
      <c r="U1010" s="3">
        <v>0.23</v>
      </c>
      <c r="V1010" s="3">
        <v>2.68</v>
      </c>
      <c r="W1010">
        <v>2.82</v>
      </c>
      <c r="X1010" t="s">
        <v>50</v>
      </c>
      <c r="Y1010" s="3">
        <v>80.75</v>
      </c>
      <c r="Z1010" t="s">
        <v>83</v>
      </c>
      <c r="AA1010" t="s">
        <v>422</v>
      </c>
      <c r="AB1010" t="s">
        <v>53</v>
      </c>
      <c r="AC1010" s="3">
        <v>1.27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f t="shared" si="30"/>
        <v>85.77000000000001</v>
      </c>
      <c r="AK1010" s="3">
        <f t="shared" si="31"/>
        <v>5.0200000000000102</v>
      </c>
    </row>
    <row r="1011" spans="1:37">
      <c r="A1011">
        <v>10327769</v>
      </c>
      <c r="B1011" t="s">
        <v>37</v>
      </c>
      <c r="C1011" t="s">
        <v>6901</v>
      </c>
      <c r="E1011" t="s">
        <v>6902</v>
      </c>
      <c r="F1011" t="s">
        <v>6903</v>
      </c>
      <c r="G1011" t="s">
        <v>6904</v>
      </c>
      <c r="H1011" t="s">
        <v>42</v>
      </c>
      <c r="I1011" t="s">
        <v>6905</v>
      </c>
      <c r="J1011" t="s">
        <v>6906</v>
      </c>
      <c r="K1011">
        <v>28003</v>
      </c>
      <c r="L1011" t="s">
        <v>91</v>
      </c>
      <c r="M1011" t="s">
        <v>46</v>
      </c>
      <c r="N1011" t="s">
        <v>47</v>
      </c>
      <c r="O1011">
        <v>9</v>
      </c>
      <c r="P1011">
        <v>1</v>
      </c>
      <c r="Q1011">
        <v>9</v>
      </c>
      <c r="R1011" t="s">
        <v>48</v>
      </c>
      <c r="S1011" t="s">
        <v>49</v>
      </c>
      <c r="T1011" s="3">
        <v>0.84</v>
      </c>
      <c r="U1011" s="3">
        <v>0.23</v>
      </c>
      <c r="V1011" s="3">
        <v>7.9</v>
      </c>
      <c r="W1011">
        <v>3.75</v>
      </c>
      <c r="X1011" t="s">
        <v>50</v>
      </c>
      <c r="Y1011" s="3">
        <v>16.43</v>
      </c>
      <c r="Z1011" t="s">
        <v>83</v>
      </c>
      <c r="AA1011" t="s">
        <v>6907</v>
      </c>
      <c r="AB1011" t="s">
        <v>53</v>
      </c>
      <c r="AC1011" s="3">
        <v>1.27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f t="shared" si="30"/>
        <v>26.67</v>
      </c>
      <c r="AK1011" s="3">
        <f t="shared" si="31"/>
        <v>10.240000000000002</v>
      </c>
    </row>
    <row r="1012" spans="1:37">
      <c r="A1012">
        <v>10326883</v>
      </c>
      <c r="B1012" t="s">
        <v>111</v>
      </c>
      <c r="C1012" t="s">
        <v>6908</v>
      </c>
      <c r="E1012" t="s">
        <v>2071</v>
      </c>
      <c r="F1012" t="s">
        <v>3053</v>
      </c>
      <c r="G1012" t="s">
        <v>6909</v>
      </c>
      <c r="H1012" t="s">
        <v>117</v>
      </c>
      <c r="I1012" t="s">
        <v>6910</v>
      </c>
      <c r="J1012" t="s">
        <v>3056</v>
      </c>
      <c r="K1012">
        <v>90451</v>
      </c>
      <c r="L1012" t="s">
        <v>71</v>
      </c>
      <c r="M1012" t="s">
        <v>46</v>
      </c>
      <c r="N1012" t="s">
        <v>47</v>
      </c>
      <c r="O1012">
        <v>128</v>
      </c>
      <c r="P1012">
        <v>4</v>
      </c>
      <c r="Q1012">
        <v>128</v>
      </c>
      <c r="R1012" t="s">
        <v>48</v>
      </c>
      <c r="S1012" t="s">
        <v>49</v>
      </c>
      <c r="T1012" s="3">
        <v>7</v>
      </c>
      <c r="U1012" s="3">
        <v>0.23</v>
      </c>
      <c r="V1012" s="3">
        <v>89.43</v>
      </c>
      <c r="W1012">
        <v>60</v>
      </c>
      <c r="X1012" t="s">
        <v>72</v>
      </c>
      <c r="Y1012" s="3">
        <v>41.13</v>
      </c>
      <c r="Z1012" t="s">
        <v>5735</v>
      </c>
      <c r="AA1012" t="s">
        <v>6911</v>
      </c>
      <c r="AB1012" t="s">
        <v>53</v>
      </c>
      <c r="AC1012" s="3">
        <v>7.48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f t="shared" si="30"/>
        <v>145.27000000000001</v>
      </c>
      <c r="AK1012" s="3">
        <f t="shared" si="31"/>
        <v>104.14000000000001</v>
      </c>
    </row>
    <row r="1013" spans="1:37">
      <c r="A1013">
        <v>10329444</v>
      </c>
      <c r="B1013" t="s">
        <v>37</v>
      </c>
      <c r="C1013" t="s">
        <v>6912</v>
      </c>
      <c r="D1013" t="s">
        <v>6913</v>
      </c>
      <c r="E1013" t="s">
        <v>76</v>
      </c>
      <c r="F1013" t="s">
        <v>6914</v>
      </c>
      <c r="G1013" t="s">
        <v>6915</v>
      </c>
      <c r="H1013" t="s">
        <v>42</v>
      </c>
      <c r="I1013" t="s">
        <v>6916</v>
      </c>
      <c r="J1013" t="s">
        <v>6917</v>
      </c>
      <c r="K1013">
        <v>1030</v>
      </c>
      <c r="L1013" t="s">
        <v>505</v>
      </c>
      <c r="M1013" t="s">
        <v>46</v>
      </c>
      <c r="N1013" t="s">
        <v>47</v>
      </c>
      <c r="O1013">
        <v>2</v>
      </c>
      <c r="P1013">
        <v>1</v>
      </c>
      <c r="Q1013">
        <v>2</v>
      </c>
      <c r="R1013" t="s">
        <v>48</v>
      </c>
      <c r="S1013" t="s">
        <v>49</v>
      </c>
      <c r="T1013" s="3">
        <v>0.84</v>
      </c>
      <c r="U1013" s="3">
        <v>0.23</v>
      </c>
      <c r="V1013" s="3">
        <v>1.81</v>
      </c>
      <c r="W1013">
        <v>1.08</v>
      </c>
      <c r="X1013" t="s">
        <v>50</v>
      </c>
      <c r="Y1013" s="3">
        <v>9.19</v>
      </c>
      <c r="Z1013" t="s">
        <v>73</v>
      </c>
      <c r="AA1013" t="s">
        <v>6918</v>
      </c>
      <c r="AB1013" t="s">
        <v>53</v>
      </c>
      <c r="AC1013" s="3">
        <v>1.29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f t="shared" si="30"/>
        <v>13.360000000000001</v>
      </c>
      <c r="AK1013" s="3">
        <f t="shared" si="31"/>
        <v>4.1700000000000017</v>
      </c>
    </row>
    <row r="1014" spans="1:37">
      <c r="A1014">
        <v>10329606</v>
      </c>
      <c r="B1014" t="s">
        <v>37</v>
      </c>
      <c r="C1014" t="s">
        <v>6919</v>
      </c>
      <c r="E1014" t="s">
        <v>954</v>
      </c>
      <c r="F1014" t="s">
        <v>6920</v>
      </c>
      <c r="G1014" t="s">
        <v>6921</v>
      </c>
      <c r="H1014" t="s">
        <v>42</v>
      </c>
      <c r="I1014" t="s">
        <v>6922</v>
      </c>
      <c r="J1014" t="s">
        <v>6923</v>
      </c>
      <c r="K1014" t="s">
        <v>6924</v>
      </c>
      <c r="L1014" t="s">
        <v>82</v>
      </c>
      <c r="M1014" t="s">
        <v>46</v>
      </c>
      <c r="N1014" t="s">
        <v>47</v>
      </c>
      <c r="O1014">
        <v>2</v>
      </c>
      <c r="P1014">
        <v>1</v>
      </c>
      <c r="Q1014">
        <v>2</v>
      </c>
      <c r="R1014" t="s">
        <v>48</v>
      </c>
      <c r="S1014" t="s">
        <v>49</v>
      </c>
      <c r="T1014" s="3">
        <v>0.84</v>
      </c>
      <c r="U1014" s="3">
        <v>0.23</v>
      </c>
      <c r="V1014" s="3">
        <v>1.81</v>
      </c>
      <c r="W1014">
        <v>1.08</v>
      </c>
      <c r="X1014" t="s">
        <v>50</v>
      </c>
      <c r="Y1014" s="3">
        <v>9.19</v>
      </c>
      <c r="Z1014" t="s">
        <v>73</v>
      </c>
      <c r="AA1014" t="s">
        <v>6925</v>
      </c>
      <c r="AB1014" t="s">
        <v>53</v>
      </c>
      <c r="AC1014" s="3">
        <v>1.29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f t="shared" si="30"/>
        <v>13.360000000000001</v>
      </c>
      <c r="AK1014" s="3">
        <f t="shared" si="31"/>
        <v>4.1700000000000017</v>
      </c>
    </row>
    <row r="1015" spans="1:37">
      <c r="A1015">
        <v>10329602</v>
      </c>
      <c r="B1015" t="s">
        <v>37</v>
      </c>
      <c r="C1015" t="s">
        <v>6926</v>
      </c>
      <c r="E1015" t="s">
        <v>6927</v>
      </c>
      <c r="F1015" t="s">
        <v>6928</v>
      </c>
      <c r="G1015" t="s">
        <v>6929</v>
      </c>
      <c r="H1015" t="s">
        <v>42</v>
      </c>
      <c r="I1015" t="s">
        <v>6930</v>
      </c>
      <c r="J1015" t="s">
        <v>6931</v>
      </c>
      <c r="K1015">
        <v>60486</v>
      </c>
      <c r="L1015" t="s">
        <v>71</v>
      </c>
      <c r="M1015" t="s">
        <v>46</v>
      </c>
      <c r="N1015" t="s">
        <v>47</v>
      </c>
      <c r="O1015">
        <v>2</v>
      </c>
      <c r="P1015">
        <v>1</v>
      </c>
      <c r="Q1015">
        <v>2</v>
      </c>
      <c r="R1015" t="s">
        <v>48</v>
      </c>
      <c r="S1015" t="s">
        <v>49</v>
      </c>
      <c r="T1015" s="3">
        <v>0.84</v>
      </c>
      <c r="U1015" s="3">
        <v>0.23</v>
      </c>
      <c r="V1015" s="3">
        <v>1.81</v>
      </c>
      <c r="W1015">
        <v>0.88</v>
      </c>
      <c r="X1015" t="s">
        <v>72</v>
      </c>
      <c r="Y1015" s="3">
        <v>5.43</v>
      </c>
      <c r="Z1015" t="s">
        <v>73</v>
      </c>
      <c r="AA1015" t="s">
        <v>6932</v>
      </c>
      <c r="AB1015" t="s">
        <v>53</v>
      </c>
      <c r="AC1015" s="3">
        <v>1.29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f t="shared" si="30"/>
        <v>9.6</v>
      </c>
      <c r="AK1015" s="3">
        <f t="shared" si="31"/>
        <v>4.17</v>
      </c>
    </row>
    <row r="1016" spans="1:37">
      <c r="A1016">
        <v>10329820</v>
      </c>
      <c r="B1016" t="s">
        <v>37</v>
      </c>
      <c r="C1016" t="s">
        <v>6933</v>
      </c>
      <c r="E1016" t="s">
        <v>6934</v>
      </c>
      <c r="F1016" t="s">
        <v>6935</v>
      </c>
      <c r="G1016" t="s">
        <v>6936</v>
      </c>
      <c r="H1016" t="s">
        <v>42</v>
      </c>
      <c r="I1016" t="s">
        <v>6937</v>
      </c>
      <c r="J1016" t="s">
        <v>6938</v>
      </c>
      <c r="K1016" t="s">
        <v>6939</v>
      </c>
      <c r="L1016" t="s">
        <v>82</v>
      </c>
      <c r="M1016" t="s">
        <v>46</v>
      </c>
      <c r="N1016" t="s">
        <v>47</v>
      </c>
      <c r="O1016">
        <v>2</v>
      </c>
      <c r="P1016">
        <v>1</v>
      </c>
      <c r="Q1016">
        <v>2</v>
      </c>
      <c r="R1016" t="s">
        <v>48</v>
      </c>
      <c r="S1016" t="s">
        <v>49</v>
      </c>
      <c r="T1016" s="3">
        <v>0.84</v>
      </c>
      <c r="U1016" s="3">
        <v>0.23</v>
      </c>
      <c r="V1016" s="3">
        <v>1.81</v>
      </c>
      <c r="W1016">
        <v>0.69</v>
      </c>
      <c r="X1016" t="s">
        <v>50</v>
      </c>
      <c r="Y1016" s="3">
        <v>9.19</v>
      </c>
      <c r="Z1016" t="s">
        <v>73</v>
      </c>
      <c r="AA1016" t="s">
        <v>6940</v>
      </c>
      <c r="AB1016" t="s">
        <v>53</v>
      </c>
      <c r="AC1016" s="3">
        <v>1.29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f t="shared" si="30"/>
        <v>13.360000000000001</v>
      </c>
      <c r="AK1016" s="3">
        <f t="shared" si="31"/>
        <v>4.1700000000000017</v>
      </c>
    </row>
    <row r="1017" spans="1:37">
      <c r="A1017">
        <v>10329605</v>
      </c>
      <c r="B1017" t="s">
        <v>37</v>
      </c>
      <c r="C1017" t="s">
        <v>6941</v>
      </c>
      <c r="E1017" t="s">
        <v>2999</v>
      </c>
      <c r="F1017" t="s">
        <v>6942</v>
      </c>
      <c r="G1017" t="s">
        <v>6943</v>
      </c>
      <c r="H1017" t="s">
        <v>42</v>
      </c>
      <c r="I1017" t="s">
        <v>6944</v>
      </c>
      <c r="J1017" t="s">
        <v>6945</v>
      </c>
      <c r="K1017">
        <v>48151</v>
      </c>
      <c r="L1017" t="s">
        <v>71</v>
      </c>
      <c r="M1017" t="s">
        <v>46</v>
      </c>
      <c r="N1017" t="s">
        <v>47</v>
      </c>
      <c r="O1017">
        <v>2</v>
      </c>
      <c r="P1017">
        <v>1</v>
      </c>
      <c r="Q1017">
        <v>2</v>
      </c>
      <c r="R1017" t="s">
        <v>48</v>
      </c>
      <c r="S1017" t="s">
        <v>49</v>
      </c>
      <c r="T1017" s="3">
        <v>0.84</v>
      </c>
      <c r="U1017" s="3">
        <v>0.23</v>
      </c>
      <c r="V1017" s="3">
        <v>1.81</v>
      </c>
      <c r="W1017">
        <v>0.74</v>
      </c>
      <c r="X1017" t="s">
        <v>108</v>
      </c>
      <c r="Y1017" s="3">
        <v>5.13</v>
      </c>
      <c r="Z1017" t="s">
        <v>109</v>
      </c>
      <c r="AA1017" t="s">
        <v>1018</v>
      </c>
      <c r="AB1017" t="s">
        <v>53</v>
      </c>
      <c r="AC1017" s="3">
        <v>1.06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f t="shared" si="30"/>
        <v>9.07</v>
      </c>
      <c r="AK1017" s="3">
        <f t="shared" si="31"/>
        <v>3.9400000000000004</v>
      </c>
    </row>
    <row r="1018" spans="1:37">
      <c r="A1018">
        <v>10329819</v>
      </c>
      <c r="B1018" t="s">
        <v>37</v>
      </c>
      <c r="C1018" t="s">
        <v>6946</v>
      </c>
      <c r="E1018" t="s">
        <v>6947</v>
      </c>
      <c r="F1018" t="s">
        <v>6948</v>
      </c>
      <c r="G1018" t="s">
        <v>6949</v>
      </c>
      <c r="H1018" t="s">
        <v>42</v>
      </c>
      <c r="I1018" t="s">
        <v>6950</v>
      </c>
      <c r="J1018" t="s">
        <v>6951</v>
      </c>
      <c r="K1018" t="s">
        <v>6952</v>
      </c>
      <c r="L1018" t="s">
        <v>142</v>
      </c>
      <c r="M1018" t="s">
        <v>46</v>
      </c>
      <c r="N1018" t="s">
        <v>47</v>
      </c>
      <c r="O1018">
        <v>2</v>
      </c>
      <c r="P1018">
        <v>1</v>
      </c>
      <c r="Q1018">
        <v>2</v>
      </c>
      <c r="R1018" t="s">
        <v>48</v>
      </c>
      <c r="S1018" t="s">
        <v>49</v>
      </c>
      <c r="T1018" s="3">
        <v>0.84</v>
      </c>
      <c r="U1018" s="3">
        <v>0.23</v>
      </c>
      <c r="V1018" s="3">
        <v>1.81</v>
      </c>
      <c r="W1018">
        <v>1.08</v>
      </c>
      <c r="X1018" t="s">
        <v>50</v>
      </c>
      <c r="Y1018" s="3">
        <v>16.43</v>
      </c>
      <c r="Z1018" t="s">
        <v>73</v>
      </c>
      <c r="AA1018" t="s">
        <v>6953</v>
      </c>
      <c r="AB1018" t="s">
        <v>53</v>
      </c>
      <c r="AC1018" s="3">
        <v>1.29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f t="shared" si="30"/>
        <v>20.599999999999998</v>
      </c>
      <c r="AK1018" s="3">
        <f t="shared" si="31"/>
        <v>4.1699999999999982</v>
      </c>
    </row>
    <row r="1019" spans="1:37">
      <c r="A1019">
        <v>10329601</v>
      </c>
      <c r="B1019" t="s">
        <v>37</v>
      </c>
      <c r="C1019" t="s">
        <v>6954</v>
      </c>
      <c r="E1019" t="s">
        <v>6955</v>
      </c>
      <c r="F1019" t="s">
        <v>6956</v>
      </c>
      <c r="G1019" t="s">
        <v>6957</v>
      </c>
      <c r="H1019" t="s">
        <v>42</v>
      </c>
      <c r="I1019" t="s">
        <v>6958</v>
      </c>
      <c r="J1019" t="s">
        <v>6959</v>
      </c>
      <c r="K1019">
        <v>2800</v>
      </c>
      <c r="L1019" t="s">
        <v>505</v>
      </c>
      <c r="M1019" t="s">
        <v>46</v>
      </c>
      <c r="N1019" t="s">
        <v>47</v>
      </c>
      <c r="O1019">
        <v>3</v>
      </c>
      <c r="P1019">
        <v>1</v>
      </c>
      <c r="Q1019">
        <v>3</v>
      </c>
      <c r="R1019" t="s">
        <v>48</v>
      </c>
      <c r="S1019" t="s">
        <v>49</v>
      </c>
      <c r="T1019" s="3">
        <v>0.84</v>
      </c>
      <c r="U1019" s="3">
        <v>0.23</v>
      </c>
      <c r="V1019" s="3">
        <v>2.68</v>
      </c>
      <c r="W1019">
        <v>1.57</v>
      </c>
      <c r="X1019" t="s">
        <v>50</v>
      </c>
      <c r="Y1019" s="3">
        <v>9.19</v>
      </c>
      <c r="Z1019" t="s">
        <v>73</v>
      </c>
      <c r="AA1019" t="s">
        <v>6960</v>
      </c>
      <c r="AB1019" t="s">
        <v>53</v>
      </c>
      <c r="AC1019" s="3">
        <v>1.29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f t="shared" si="30"/>
        <v>14.23</v>
      </c>
      <c r="AK1019" s="3">
        <f t="shared" si="31"/>
        <v>5.0400000000000009</v>
      </c>
    </row>
    <row r="1020" spans="1:37">
      <c r="A1020">
        <v>10304827</v>
      </c>
      <c r="B1020" t="s">
        <v>37</v>
      </c>
      <c r="C1020" t="s">
        <v>6961</v>
      </c>
      <c r="E1020" t="s">
        <v>6962</v>
      </c>
      <c r="F1020" t="s">
        <v>6963</v>
      </c>
      <c r="G1020" t="s">
        <v>6964</v>
      </c>
      <c r="H1020" t="s">
        <v>42</v>
      </c>
      <c r="I1020" t="s">
        <v>6965</v>
      </c>
      <c r="J1020" t="s">
        <v>6966</v>
      </c>
      <c r="K1020">
        <v>60460</v>
      </c>
      <c r="L1020" t="s">
        <v>130</v>
      </c>
      <c r="M1020" t="s">
        <v>46</v>
      </c>
      <c r="N1020" t="s">
        <v>47</v>
      </c>
      <c r="O1020">
        <v>6</v>
      </c>
      <c r="P1020">
        <v>1</v>
      </c>
      <c r="Q1020">
        <v>6</v>
      </c>
      <c r="R1020" t="s">
        <v>48</v>
      </c>
      <c r="S1020" t="s">
        <v>49</v>
      </c>
      <c r="T1020" s="3">
        <v>0.84</v>
      </c>
      <c r="U1020" s="3">
        <v>0.23</v>
      </c>
      <c r="V1020" s="3">
        <v>5.29</v>
      </c>
      <c r="W1020">
        <v>2.29</v>
      </c>
      <c r="X1020" t="s">
        <v>50</v>
      </c>
      <c r="Y1020" s="3">
        <v>14.9</v>
      </c>
      <c r="Z1020" t="s">
        <v>73</v>
      </c>
      <c r="AA1020" t="s">
        <v>6967</v>
      </c>
      <c r="AB1020" t="s">
        <v>53</v>
      </c>
      <c r="AC1020" s="3">
        <v>1.29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f t="shared" si="30"/>
        <v>22.55</v>
      </c>
      <c r="AK1020" s="3">
        <f t="shared" si="31"/>
        <v>7.65</v>
      </c>
    </row>
    <row r="1021" spans="1:37">
      <c r="A1021">
        <v>10329822</v>
      </c>
      <c r="B1021" t="s">
        <v>37</v>
      </c>
      <c r="C1021" t="s">
        <v>6968</v>
      </c>
      <c r="E1021" t="s">
        <v>6969</v>
      </c>
      <c r="F1021" t="s">
        <v>6970</v>
      </c>
      <c r="G1021" t="s">
        <v>6971</v>
      </c>
      <c r="H1021" t="s">
        <v>42</v>
      </c>
      <c r="I1021" t="s">
        <v>6972</v>
      </c>
      <c r="J1021" t="s">
        <v>6973</v>
      </c>
      <c r="K1021">
        <v>2910</v>
      </c>
      <c r="L1021" t="s">
        <v>505</v>
      </c>
      <c r="M1021" t="s">
        <v>46</v>
      </c>
      <c r="N1021" t="s">
        <v>47</v>
      </c>
      <c r="O1021">
        <v>6</v>
      </c>
      <c r="P1021">
        <v>1</v>
      </c>
      <c r="Q1021">
        <v>6</v>
      </c>
      <c r="R1021" t="s">
        <v>48</v>
      </c>
      <c r="S1021" t="s">
        <v>49</v>
      </c>
      <c r="T1021" s="3">
        <v>0.84</v>
      </c>
      <c r="U1021" s="3">
        <v>0.23</v>
      </c>
      <c r="V1021" s="3">
        <v>5.29</v>
      </c>
      <c r="W1021">
        <v>3.04</v>
      </c>
      <c r="X1021" t="s">
        <v>50</v>
      </c>
      <c r="Y1021" s="3">
        <v>9.19</v>
      </c>
      <c r="Z1021" t="s">
        <v>73</v>
      </c>
      <c r="AA1021" t="s">
        <v>6351</v>
      </c>
      <c r="AB1021" t="s">
        <v>53</v>
      </c>
      <c r="AC1021" s="3">
        <v>1.29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f t="shared" si="30"/>
        <v>16.84</v>
      </c>
      <c r="AK1021" s="3">
        <f t="shared" si="31"/>
        <v>7.65</v>
      </c>
    </row>
    <row r="1022" spans="1:37">
      <c r="A1022">
        <v>10329600</v>
      </c>
      <c r="B1022" t="s">
        <v>37</v>
      </c>
      <c r="C1022" t="s">
        <v>6974</v>
      </c>
      <c r="E1022" t="s">
        <v>1244</v>
      </c>
      <c r="F1022" t="s">
        <v>6975</v>
      </c>
      <c r="G1022" t="s">
        <v>6976</v>
      </c>
      <c r="H1022" t="s">
        <v>42</v>
      </c>
      <c r="I1022" t="s">
        <v>6977</v>
      </c>
      <c r="J1022" t="s">
        <v>6978</v>
      </c>
      <c r="K1022">
        <v>41751</v>
      </c>
      <c r="L1022" t="s">
        <v>71</v>
      </c>
      <c r="M1022" t="s">
        <v>46</v>
      </c>
      <c r="N1022" t="s">
        <v>47</v>
      </c>
      <c r="O1022">
        <v>3</v>
      </c>
      <c r="P1022">
        <v>1</v>
      </c>
      <c r="Q1022">
        <v>3</v>
      </c>
      <c r="R1022" t="s">
        <v>48</v>
      </c>
      <c r="S1022" t="s">
        <v>49</v>
      </c>
      <c r="T1022" s="3">
        <v>0.84</v>
      </c>
      <c r="U1022" s="3">
        <v>0.23</v>
      </c>
      <c r="V1022" s="3">
        <v>2.68</v>
      </c>
      <c r="W1022">
        <v>1.02</v>
      </c>
      <c r="X1022" t="s">
        <v>72</v>
      </c>
      <c r="Y1022" s="3">
        <v>5.43</v>
      </c>
      <c r="Z1022" t="s">
        <v>73</v>
      </c>
      <c r="AA1022" t="s">
        <v>6979</v>
      </c>
      <c r="AB1022" t="s">
        <v>53</v>
      </c>
      <c r="AC1022" s="3">
        <v>1.29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f t="shared" si="30"/>
        <v>10.47</v>
      </c>
      <c r="AK1022" s="3">
        <f t="shared" si="31"/>
        <v>5.0400000000000009</v>
      </c>
    </row>
    <row r="1023" spans="1:37">
      <c r="A1023">
        <v>10329603</v>
      </c>
      <c r="B1023" t="s">
        <v>37</v>
      </c>
      <c r="C1023" t="s">
        <v>6980</v>
      </c>
      <c r="E1023" t="s">
        <v>6981</v>
      </c>
      <c r="F1023" t="s">
        <v>6982</v>
      </c>
      <c r="G1023" t="s">
        <v>6983</v>
      </c>
      <c r="H1023" t="s">
        <v>42</v>
      </c>
      <c r="I1023" t="s">
        <v>6984</v>
      </c>
      <c r="J1023" t="s">
        <v>6985</v>
      </c>
      <c r="K1023">
        <v>12349</v>
      </c>
      <c r="L1023" t="s">
        <v>71</v>
      </c>
      <c r="M1023" t="s">
        <v>46</v>
      </c>
      <c r="N1023" t="s">
        <v>47</v>
      </c>
      <c r="O1023">
        <v>4</v>
      </c>
      <c r="P1023">
        <v>1</v>
      </c>
      <c r="Q1023">
        <v>4</v>
      </c>
      <c r="R1023" t="s">
        <v>48</v>
      </c>
      <c r="S1023" t="s">
        <v>49</v>
      </c>
      <c r="T1023" s="3">
        <v>0.84</v>
      </c>
      <c r="U1023" s="3">
        <v>0.23</v>
      </c>
      <c r="V1023" s="3">
        <v>3.55</v>
      </c>
      <c r="W1023">
        <v>2.06</v>
      </c>
      <c r="X1023" t="s">
        <v>72</v>
      </c>
      <c r="Y1023" s="3">
        <v>5.43</v>
      </c>
      <c r="Z1023" t="s">
        <v>73</v>
      </c>
      <c r="AA1023" t="s">
        <v>2718</v>
      </c>
      <c r="AB1023" t="s">
        <v>53</v>
      </c>
      <c r="AC1023" s="3">
        <v>1.29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f t="shared" si="30"/>
        <v>11.34</v>
      </c>
      <c r="AK1023" s="3">
        <f t="shared" si="31"/>
        <v>5.91</v>
      </c>
    </row>
    <row r="1024" spans="1:37">
      <c r="A1024">
        <v>10329817</v>
      </c>
      <c r="B1024" t="s">
        <v>37</v>
      </c>
      <c r="C1024" t="s">
        <v>6986</v>
      </c>
      <c r="E1024" t="s">
        <v>314</v>
      </c>
      <c r="F1024" t="s">
        <v>6987</v>
      </c>
      <c r="G1024" t="s">
        <v>6988</v>
      </c>
      <c r="H1024" t="s">
        <v>42</v>
      </c>
      <c r="I1024" t="s">
        <v>6989</v>
      </c>
      <c r="J1024" t="s">
        <v>6990</v>
      </c>
      <c r="K1024">
        <v>2112</v>
      </c>
      <c r="L1024" t="s">
        <v>1701</v>
      </c>
      <c r="M1024" t="s">
        <v>46</v>
      </c>
      <c r="N1024" t="s">
        <v>47</v>
      </c>
      <c r="O1024">
        <v>6</v>
      </c>
      <c r="P1024">
        <v>1</v>
      </c>
      <c r="Q1024">
        <v>6</v>
      </c>
      <c r="R1024" t="s">
        <v>48</v>
      </c>
      <c r="S1024" t="s">
        <v>49</v>
      </c>
      <c r="T1024" s="3">
        <v>0.84</v>
      </c>
      <c r="U1024" s="3">
        <v>0.23</v>
      </c>
      <c r="V1024" s="3">
        <v>5.29</v>
      </c>
      <c r="W1024">
        <v>2.19</v>
      </c>
      <c r="X1024" t="s">
        <v>1702</v>
      </c>
      <c r="Y1024" s="3">
        <v>40.340000000000003</v>
      </c>
      <c r="Z1024" t="s">
        <v>83</v>
      </c>
      <c r="AA1024" t="s">
        <v>6991</v>
      </c>
      <c r="AB1024" t="s">
        <v>53</v>
      </c>
      <c r="AC1024" s="3">
        <v>1.27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f t="shared" si="30"/>
        <v>47.970000000000006</v>
      </c>
      <c r="AK1024" s="3">
        <f t="shared" si="31"/>
        <v>7.6300000000000026</v>
      </c>
    </row>
    <row r="1025" spans="1:37">
      <c r="A1025">
        <v>10329604</v>
      </c>
      <c r="B1025" t="s">
        <v>37</v>
      </c>
      <c r="C1025" t="s">
        <v>6992</v>
      </c>
      <c r="E1025" t="s">
        <v>6993</v>
      </c>
      <c r="F1025" t="s">
        <v>6994</v>
      </c>
      <c r="G1025" t="s">
        <v>6995</v>
      </c>
      <c r="H1025" t="s">
        <v>42</v>
      </c>
      <c r="I1025" t="s">
        <v>6996</v>
      </c>
      <c r="J1025" t="s">
        <v>6997</v>
      </c>
      <c r="K1025">
        <v>14193</v>
      </c>
      <c r="L1025" t="s">
        <v>71</v>
      </c>
      <c r="M1025" t="s">
        <v>46</v>
      </c>
      <c r="N1025" t="s">
        <v>47</v>
      </c>
      <c r="O1025">
        <v>3</v>
      </c>
      <c r="P1025">
        <v>1</v>
      </c>
      <c r="Q1025">
        <v>3</v>
      </c>
      <c r="R1025" t="s">
        <v>48</v>
      </c>
      <c r="S1025" t="s">
        <v>49</v>
      </c>
      <c r="T1025" s="3">
        <v>0.84</v>
      </c>
      <c r="U1025" s="3">
        <v>0.23</v>
      </c>
      <c r="V1025" s="3">
        <v>2.68</v>
      </c>
      <c r="W1025">
        <v>1.27</v>
      </c>
      <c r="X1025" t="s">
        <v>108</v>
      </c>
      <c r="Y1025" s="3">
        <v>5.13</v>
      </c>
      <c r="Z1025" t="s">
        <v>109</v>
      </c>
      <c r="AA1025" t="s">
        <v>714</v>
      </c>
      <c r="AB1025" t="s">
        <v>53</v>
      </c>
      <c r="AC1025" s="3">
        <v>1.06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f t="shared" si="30"/>
        <v>9.94</v>
      </c>
      <c r="AK1025" s="3">
        <f t="shared" si="31"/>
        <v>4.8099999999999996</v>
      </c>
    </row>
    <row r="1026" spans="1:37">
      <c r="A1026">
        <v>10329821</v>
      </c>
      <c r="B1026" t="s">
        <v>37</v>
      </c>
      <c r="C1026" t="s">
        <v>6998</v>
      </c>
      <c r="E1026" t="s">
        <v>2797</v>
      </c>
      <c r="F1026" t="s">
        <v>6999</v>
      </c>
      <c r="G1026" t="s">
        <v>7000</v>
      </c>
      <c r="H1026" t="s">
        <v>42</v>
      </c>
      <c r="I1026" t="s">
        <v>7001</v>
      </c>
      <c r="J1026" t="s">
        <v>7002</v>
      </c>
      <c r="K1026" t="s">
        <v>7003</v>
      </c>
      <c r="L1026" t="s">
        <v>142</v>
      </c>
      <c r="M1026" t="s">
        <v>46</v>
      </c>
      <c r="N1026" t="s">
        <v>47</v>
      </c>
      <c r="O1026">
        <v>3</v>
      </c>
      <c r="P1026">
        <v>1</v>
      </c>
      <c r="Q1026">
        <v>3</v>
      </c>
      <c r="R1026" t="s">
        <v>48</v>
      </c>
      <c r="S1026" t="s">
        <v>49</v>
      </c>
      <c r="T1026" s="3">
        <v>0.84</v>
      </c>
      <c r="U1026" s="3">
        <v>0.23</v>
      </c>
      <c r="V1026" s="3">
        <v>2.68</v>
      </c>
      <c r="W1026">
        <v>1.02</v>
      </c>
      <c r="X1026" t="s">
        <v>50</v>
      </c>
      <c r="Y1026" s="3">
        <v>16.43</v>
      </c>
      <c r="Z1026" t="s">
        <v>73</v>
      </c>
      <c r="AA1026" t="s">
        <v>7004</v>
      </c>
      <c r="AB1026" t="s">
        <v>53</v>
      </c>
      <c r="AC1026" s="3">
        <v>1.29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f t="shared" ref="AJ1026:AJ1089" si="32">AI1026+AH1026+AG1026+AF1026+AE1026+AD1026+AC1026+Y1026+V1026+U1026+T1026</f>
        <v>21.47</v>
      </c>
      <c r="AK1026" s="3">
        <f t="shared" ref="AK1026:AK1089" si="33">AJ1026-Y1026</f>
        <v>5.0399999999999991</v>
      </c>
    </row>
    <row r="1027" spans="1:37">
      <c r="A1027">
        <v>10329818</v>
      </c>
      <c r="B1027" t="s">
        <v>37</v>
      </c>
      <c r="C1027" t="s">
        <v>7005</v>
      </c>
      <c r="E1027" t="s">
        <v>7006</v>
      </c>
      <c r="F1027" t="s">
        <v>7007</v>
      </c>
      <c r="G1027" t="s">
        <v>7008</v>
      </c>
      <c r="H1027" t="s">
        <v>42</v>
      </c>
      <c r="I1027" t="s">
        <v>7009</v>
      </c>
      <c r="J1027" t="s">
        <v>7010</v>
      </c>
      <c r="K1027" t="s">
        <v>7011</v>
      </c>
      <c r="L1027" t="s">
        <v>142</v>
      </c>
      <c r="M1027" t="s">
        <v>46</v>
      </c>
      <c r="N1027" t="s">
        <v>47</v>
      </c>
      <c r="O1027">
        <v>1</v>
      </c>
      <c r="P1027">
        <v>1</v>
      </c>
      <c r="Q1027">
        <v>1</v>
      </c>
      <c r="R1027" t="s">
        <v>48</v>
      </c>
      <c r="S1027" t="s">
        <v>49</v>
      </c>
      <c r="T1027" s="3">
        <v>0.84</v>
      </c>
      <c r="U1027" s="3">
        <v>0.23</v>
      </c>
      <c r="V1027" s="3">
        <v>0.94</v>
      </c>
      <c r="W1027">
        <v>0.59</v>
      </c>
      <c r="X1027" t="s">
        <v>50</v>
      </c>
      <c r="Y1027" s="3">
        <v>16.43</v>
      </c>
      <c r="Z1027" t="s">
        <v>109</v>
      </c>
      <c r="AA1027" t="s">
        <v>5153</v>
      </c>
      <c r="AB1027" t="s">
        <v>53</v>
      </c>
      <c r="AC1027" s="3">
        <v>1.06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f t="shared" si="32"/>
        <v>19.5</v>
      </c>
      <c r="AK1027" s="3">
        <f t="shared" si="33"/>
        <v>3.0700000000000003</v>
      </c>
    </row>
    <row r="1028" spans="1:37">
      <c r="A1028">
        <v>10330238</v>
      </c>
      <c r="B1028" t="s">
        <v>37</v>
      </c>
      <c r="C1028" t="s">
        <v>7012</v>
      </c>
      <c r="D1028" t="s">
        <v>7013</v>
      </c>
      <c r="E1028" t="s">
        <v>7014</v>
      </c>
      <c r="F1028" t="s">
        <v>7015</v>
      </c>
      <c r="G1028" t="s">
        <v>7016</v>
      </c>
      <c r="H1028" t="s">
        <v>42</v>
      </c>
      <c r="I1028" t="s">
        <v>7017</v>
      </c>
      <c r="J1028" t="s">
        <v>7018</v>
      </c>
      <c r="K1028">
        <v>50354</v>
      </c>
      <c r="L1028" t="s">
        <v>71</v>
      </c>
      <c r="M1028" t="s">
        <v>46</v>
      </c>
      <c r="N1028" t="s">
        <v>47</v>
      </c>
      <c r="O1028">
        <v>1</v>
      </c>
      <c r="P1028">
        <v>1</v>
      </c>
      <c r="Q1028">
        <v>1</v>
      </c>
      <c r="R1028" t="s">
        <v>48</v>
      </c>
      <c r="S1028" t="s">
        <v>49</v>
      </c>
      <c r="T1028" s="3">
        <v>0.84</v>
      </c>
      <c r="U1028" s="3">
        <v>0.23</v>
      </c>
      <c r="V1028" s="3">
        <v>0.94</v>
      </c>
      <c r="W1028">
        <v>1.1200000000000001</v>
      </c>
      <c r="X1028" t="s">
        <v>72</v>
      </c>
      <c r="Y1028" s="3">
        <v>5.43</v>
      </c>
      <c r="Z1028" t="s">
        <v>73</v>
      </c>
      <c r="AA1028" t="s">
        <v>1625</v>
      </c>
      <c r="AB1028" t="s">
        <v>53</v>
      </c>
      <c r="AC1028" s="3">
        <v>1.29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f t="shared" si="32"/>
        <v>8.73</v>
      </c>
      <c r="AK1028" s="3">
        <f t="shared" si="33"/>
        <v>3.3000000000000007</v>
      </c>
    </row>
    <row r="1029" spans="1:37">
      <c r="A1029">
        <v>10330232</v>
      </c>
      <c r="B1029" t="s">
        <v>37</v>
      </c>
      <c r="C1029" t="s">
        <v>7019</v>
      </c>
      <c r="E1029" t="s">
        <v>7020</v>
      </c>
      <c r="F1029" t="s">
        <v>7021</v>
      </c>
      <c r="G1029" t="s">
        <v>7022</v>
      </c>
      <c r="H1029" t="s">
        <v>42</v>
      </c>
      <c r="I1029" t="s">
        <v>7023</v>
      </c>
      <c r="J1029" t="s">
        <v>7024</v>
      </c>
      <c r="K1029" t="s">
        <v>7025</v>
      </c>
      <c r="L1029" t="s">
        <v>82</v>
      </c>
      <c r="M1029" t="s">
        <v>46</v>
      </c>
      <c r="N1029" t="s">
        <v>47</v>
      </c>
      <c r="O1029">
        <v>4</v>
      </c>
      <c r="P1029">
        <v>1</v>
      </c>
      <c r="Q1029">
        <v>4</v>
      </c>
      <c r="R1029" t="s">
        <v>48</v>
      </c>
      <c r="S1029" t="s">
        <v>49</v>
      </c>
      <c r="T1029" s="3">
        <v>0.84</v>
      </c>
      <c r="U1029" s="3">
        <v>0.23</v>
      </c>
      <c r="V1029" s="3">
        <v>3.55</v>
      </c>
      <c r="W1029">
        <v>2.06</v>
      </c>
      <c r="X1029" t="s">
        <v>50</v>
      </c>
      <c r="Y1029" s="3">
        <v>28.6</v>
      </c>
      <c r="Z1029" t="s">
        <v>73</v>
      </c>
      <c r="AA1029" t="s">
        <v>1694</v>
      </c>
      <c r="AB1029" t="s">
        <v>53</v>
      </c>
      <c r="AC1029" s="3">
        <v>1.29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f t="shared" si="32"/>
        <v>34.51</v>
      </c>
      <c r="AK1029" s="3">
        <f t="shared" si="33"/>
        <v>5.9099999999999966</v>
      </c>
    </row>
    <row r="1030" spans="1:37">
      <c r="A1030">
        <v>10330239</v>
      </c>
      <c r="B1030" t="s">
        <v>37</v>
      </c>
      <c r="C1030" t="s">
        <v>7026</v>
      </c>
      <c r="E1030" t="s">
        <v>7027</v>
      </c>
      <c r="F1030" t="s">
        <v>555</v>
      </c>
      <c r="G1030" t="s">
        <v>7028</v>
      </c>
      <c r="H1030" t="s">
        <v>42</v>
      </c>
      <c r="I1030" t="s">
        <v>7029</v>
      </c>
      <c r="J1030" t="s">
        <v>7030</v>
      </c>
      <c r="K1030">
        <v>48291</v>
      </c>
      <c r="L1030" t="s">
        <v>71</v>
      </c>
      <c r="M1030" t="s">
        <v>46</v>
      </c>
      <c r="N1030" t="s">
        <v>47</v>
      </c>
      <c r="O1030">
        <v>1</v>
      </c>
      <c r="P1030">
        <v>1</v>
      </c>
      <c r="Q1030">
        <v>1</v>
      </c>
      <c r="R1030" t="s">
        <v>48</v>
      </c>
      <c r="S1030" t="s">
        <v>49</v>
      </c>
      <c r="T1030" s="3">
        <v>0.84</v>
      </c>
      <c r="U1030" s="3">
        <v>0.23</v>
      </c>
      <c r="V1030" s="3">
        <v>0.94</v>
      </c>
      <c r="W1030">
        <v>1.1200000000000001</v>
      </c>
      <c r="X1030" t="s">
        <v>72</v>
      </c>
      <c r="Y1030" s="3">
        <v>16.52</v>
      </c>
      <c r="Z1030" t="s">
        <v>73</v>
      </c>
      <c r="AA1030" t="s">
        <v>1754</v>
      </c>
      <c r="AB1030" t="s">
        <v>53</v>
      </c>
      <c r="AC1030" s="3">
        <v>1.29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f t="shared" si="32"/>
        <v>19.82</v>
      </c>
      <c r="AK1030" s="3">
        <f t="shared" si="33"/>
        <v>3.3000000000000007</v>
      </c>
    </row>
    <row r="1031" spans="1:37">
      <c r="A1031">
        <v>10330235</v>
      </c>
      <c r="B1031" t="s">
        <v>37</v>
      </c>
      <c r="C1031" t="s">
        <v>7031</v>
      </c>
      <c r="E1031" t="s">
        <v>321</v>
      </c>
      <c r="F1031" t="s">
        <v>7032</v>
      </c>
      <c r="G1031" t="s">
        <v>7033</v>
      </c>
      <c r="H1031" t="s">
        <v>42</v>
      </c>
      <c r="I1031" t="s">
        <v>7034</v>
      </c>
      <c r="J1031" t="s">
        <v>7035</v>
      </c>
      <c r="K1031" t="s">
        <v>7036</v>
      </c>
      <c r="L1031" t="s">
        <v>142</v>
      </c>
      <c r="M1031" t="s">
        <v>46</v>
      </c>
      <c r="N1031" t="s">
        <v>47</v>
      </c>
      <c r="O1031">
        <v>1</v>
      </c>
      <c r="P1031">
        <v>1</v>
      </c>
      <c r="Q1031">
        <v>1</v>
      </c>
      <c r="R1031" t="s">
        <v>48</v>
      </c>
      <c r="S1031" t="s">
        <v>49</v>
      </c>
      <c r="T1031" s="3">
        <v>0.84</v>
      </c>
      <c r="U1031" s="3">
        <v>0.23</v>
      </c>
      <c r="V1031" s="3">
        <v>0.94</v>
      </c>
      <c r="W1031">
        <v>0.49</v>
      </c>
      <c r="X1031" t="s">
        <v>50</v>
      </c>
      <c r="Y1031" s="3">
        <v>16.43</v>
      </c>
      <c r="Z1031" t="s">
        <v>109</v>
      </c>
      <c r="AA1031" t="s">
        <v>785</v>
      </c>
      <c r="AB1031" t="s">
        <v>53</v>
      </c>
      <c r="AC1031" s="3">
        <v>1.06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f t="shared" si="32"/>
        <v>19.5</v>
      </c>
      <c r="AK1031" s="3">
        <f t="shared" si="33"/>
        <v>3.0700000000000003</v>
      </c>
    </row>
    <row r="1032" spans="1:37">
      <c r="A1032">
        <v>10316701</v>
      </c>
      <c r="B1032" t="s">
        <v>111</v>
      </c>
      <c r="C1032" t="s">
        <v>7037</v>
      </c>
      <c r="E1032" t="s">
        <v>7038</v>
      </c>
      <c r="F1032" t="s">
        <v>7039</v>
      </c>
      <c r="G1032" t="s">
        <v>7040</v>
      </c>
      <c r="H1032" t="s">
        <v>117</v>
      </c>
      <c r="I1032" t="s">
        <v>7041</v>
      </c>
      <c r="J1032" t="s">
        <v>7042</v>
      </c>
      <c r="K1032">
        <v>1020</v>
      </c>
      <c r="L1032" t="s">
        <v>7043</v>
      </c>
      <c r="M1032" t="s">
        <v>46</v>
      </c>
      <c r="N1032" t="s">
        <v>47</v>
      </c>
      <c r="O1032">
        <v>58</v>
      </c>
      <c r="P1032">
        <v>2</v>
      </c>
      <c r="Q1032">
        <v>58</v>
      </c>
      <c r="R1032" t="s">
        <v>48</v>
      </c>
      <c r="S1032" t="s">
        <v>49</v>
      </c>
      <c r="T1032" s="3">
        <v>7</v>
      </c>
      <c r="U1032" s="3">
        <v>0.23</v>
      </c>
      <c r="V1032" s="3">
        <v>54.57</v>
      </c>
      <c r="W1032">
        <v>25</v>
      </c>
      <c r="X1032" t="s">
        <v>7044</v>
      </c>
      <c r="Y1032" s="3">
        <v>179.32</v>
      </c>
      <c r="Z1032" t="s">
        <v>5916</v>
      </c>
      <c r="AA1032" t="s">
        <v>7045</v>
      </c>
      <c r="AB1032" t="s">
        <v>53</v>
      </c>
      <c r="AC1032" s="3">
        <v>6.08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f t="shared" si="32"/>
        <v>247.2</v>
      </c>
      <c r="AK1032" s="3">
        <f t="shared" si="33"/>
        <v>67.88</v>
      </c>
    </row>
    <row r="1033" spans="1:37">
      <c r="A1033">
        <v>10321066</v>
      </c>
      <c r="B1033" t="s">
        <v>111</v>
      </c>
      <c r="C1033" t="s">
        <v>7046</v>
      </c>
      <c r="D1033" t="s">
        <v>7047</v>
      </c>
      <c r="E1033" t="s">
        <v>7048</v>
      </c>
      <c r="F1033" t="s">
        <v>7049</v>
      </c>
      <c r="G1033" t="s">
        <v>7050</v>
      </c>
      <c r="H1033" t="s">
        <v>117</v>
      </c>
      <c r="I1033" t="s">
        <v>7051</v>
      </c>
      <c r="J1033" t="s">
        <v>7052</v>
      </c>
      <c r="K1033" t="s">
        <v>1154</v>
      </c>
      <c r="L1033" t="s">
        <v>130</v>
      </c>
      <c r="M1033" t="s">
        <v>46</v>
      </c>
      <c r="N1033" t="s">
        <v>47</v>
      </c>
      <c r="O1033">
        <v>600</v>
      </c>
      <c r="P1033">
        <v>11</v>
      </c>
      <c r="Q1033">
        <v>168</v>
      </c>
      <c r="R1033" t="s">
        <v>48</v>
      </c>
      <c r="S1033" t="s">
        <v>49</v>
      </c>
      <c r="T1033" s="3">
        <v>7</v>
      </c>
      <c r="U1033" s="3">
        <v>0.23</v>
      </c>
      <c r="V1033" s="3">
        <v>103.83</v>
      </c>
      <c r="W1033">
        <v>154.5</v>
      </c>
      <c r="X1033" t="s">
        <v>131</v>
      </c>
      <c r="Y1033" s="3">
        <v>159.37</v>
      </c>
      <c r="Z1033" t="s">
        <v>7053</v>
      </c>
      <c r="AA1033" t="s">
        <v>7054</v>
      </c>
      <c r="AB1033" t="s">
        <v>53</v>
      </c>
      <c r="AC1033" s="3">
        <v>8.6000000000000014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f t="shared" si="32"/>
        <v>279.03000000000003</v>
      </c>
      <c r="AK1033" s="3">
        <f t="shared" si="33"/>
        <v>119.66000000000003</v>
      </c>
    </row>
    <row r="1034" spans="1:37">
      <c r="A1034">
        <v>10322853</v>
      </c>
      <c r="B1034" t="s">
        <v>37</v>
      </c>
      <c r="C1034" t="s">
        <v>7055</v>
      </c>
      <c r="E1034" t="s">
        <v>2892</v>
      </c>
      <c r="F1034" t="s">
        <v>7056</v>
      </c>
      <c r="G1034" t="s">
        <v>7057</v>
      </c>
      <c r="H1034" t="s">
        <v>42</v>
      </c>
      <c r="I1034" t="s">
        <v>7058</v>
      </c>
      <c r="J1034" t="s">
        <v>7059</v>
      </c>
      <c r="K1034" t="s">
        <v>7060</v>
      </c>
      <c r="L1034" t="s">
        <v>142</v>
      </c>
      <c r="M1034" t="s">
        <v>46</v>
      </c>
      <c r="N1034" t="s">
        <v>47</v>
      </c>
      <c r="O1034">
        <v>2</v>
      </c>
      <c r="P1034">
        <v>1</v>
      </c>
      <c r="Q1034">
        <v>2</v>
      </c>
      <c r="R1034" t="s">
        <v>48</v>
      </c>
      <c r="S1034" t="s">
        <v>49</v>
      </c>
      <c r="T1034" s="3">
        <v>0.84</v>
      </c>
      <c r="U1034" s="3">
        <v>0.23</v>
      </c>
      <c r="V1034" s="3">
        <v>1.81</v>
      </c>
      <c r="W1034">
        <v>1.0900000000000001</v>
      </c>
      <c r="X1034" t="s">
        <v>50</v>
      </c>
      <c r="Y1034" s="3">
        <v>16.43</v>
      </c>
      <c r="Z1034" t="s">
        <v>73</v>
      </c>
      <c r="AA1034" t="s">
        <v>7061</v>
      </c>
      <c r="AB1034" t="s">
        <v>53</v>
      </c>
      <c r="AC1034" s="3">
        <v>1.29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f t="shared" si="32"/>
        <v>20.599999999999998</v>
      </c>
      <c r="AK1034" s="3">
        <f t="shared" si="33"/>
        <v>4.1699999999999982</v>
      </c>
    </row>
    <row r="1035" spans="1:37">
      <c r="A1035">
        <v>10330487</v>
      </c>
      <c r="B1035" t="s">
        <v>37</v>
      </c>
      <c r="C1035" t="s">
        <v>7062</v>
      </c>
      <c r="E1035" t="s">
        <v>3155</v>
      </c>
      <c r="F1035" t="s">
        <v>7063</v>
      </c>
      <c r="G1035" t="s">
        <v>7064</v>
      </c>
      <c r="H1035" t="s">
        <v>42</v>
      </c>
      <c r="I1035" t="s">
        <v>7065</v>
      </c>
      <c r="J1035" t="s">
        <v>7066</v>
      </c>
      <c r="K1035">
        <v>8400</v>
      </c>
      <c r="L1035" t="s">
        <v>505</v>
      </c>
      <c r="M1035" t="s">
        <v>46</v>
      </c>
      <c r="N1035" t="s">
        <v>47</v>
      </c>
      <c r="O1035">
        <v>2</v>
      </c>
      <c r="P1035">
        <v>1</v>
      </c>
      <c r="Q1035">
        <v>2</v>
      </c>
      <c r="R1035" t="s">
        <v>48</v>
      </c>
      <c r="S1035" t="s">
        <v>49</v>
      </c>
      <c r="T1035" s="3">
        <v>0.84</v>
      </c>
      <c r="U1035" s="3">
        <v>0.23</v>
      </c>
      <c r="V1035" s="3">
        <v>1.81</v>
      </c>
      <c r="W1035">
        <v>0.73</v>
      </c>
      <c r="X1035" t="s">
        <v>50</v>
      </c>
      <c r="Y1035" s="3">
        <v>9.19</v>
      </c>
      <c r="Z1035" t="s">
        <v>109</v>
      </c>
      <c r="AA1035" t="s">
        <v>7067</v>
      </c>
      <c r="AB1035" t="s">
        <v>53</v>
      </c>
      <c r="AC1035" s="3">
        <v>1.06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f t="shared" si="32"/>
        <v>13.13</v>
      </c>
      <c r="AK1035" s="3">
        <f t="shared" si="33"/>
        <v>3.9400000000000013</v>
      </c>
    </row>
    <row r="1036" spans="1:37">
      <c r="A1036">
        <v>10330482</v>
      </c>
      <c r="B1036" t="s">
        <v>37</v>
      </c>
      <c r="C1036" t="s">
        <v>7068</v>
      </c>
      <c r="E1036" t="s">
        <v>7069</v>
      </c>
      <c r="F1036" t="s">
        <v>7070</v>
      </c>
      <c r="G1036" t="s">
        <v>7071</v>
      </c>
      <c r="H1036" t="s">
        <v>42</v>
      </c>
      <c r="I1036" t="s">
        <v>7072</v>
      </c>
      <c r="J1036" t="s">
        <v>7073</v>
      </c>
      <c r="K1036">
        <v>36470</v>
      </c>
      <c r="L1036" t="s">
        <v>91</v>
      </c>
      <c r="M1036" t="s">
        <v>46</v>
      </c>
      <c r="N1036" t="s">
        <v>47</v>
      </c>
      <c r="O1036">
        <v>1</v>
      </c>
      <c r="P1036">
        <v>1</v>
      </c>
      <c r="Q1036">
        <v>1</v>
      </c>
      <c r="R1036" t="s">
        <v>48</v>
      </c>
      <c r="S1036" t="s">
        <v>49</v>
      </c>
      <c r="T1036" s="3">
        <v>0.84</v>
      </c>
      <c r="U1036" s="3">
        <v>0.23</v>
      </c>
      <c r="V1036" s="3">
        <v>0.94</v>
      </c>
      <c r="W1036">
        <v>1.5</v>
      </c>
      <c r="X1036" t="s">
        <v>50</v>
      </c>
      <c r="Y1036" s="3">
        <v>16.43</v>
      </c>
      <c r="Z1036" t="s">
        <v>73</v>
      </c>
      <c r="AA1036" t="s">
        <v>198</v>
      </c>
      <c r="AB1036" t="s">
        <v>53</v>
      </c>
      <c r="AC1036" s="3">
        <v>1.29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f t="shared" si="32"/>
        <v>19.73</v>
      </c>
      <c r="AK1036" s="3">
        <f t="shared" si="33"/>
        <v>3.3000000000000007</v>
      </c>
    </row>
    <row r="1037" spans="1:37">
      <c r="A1037">
        <v>10330927</v>
      </c>
      <c r="B1037" t="s">
        <v>37</v>
      </c>
      <c r="C1037" t="s">
        <v>7074</v>
      </c>
      <c r="E1037" t="s">
        <v>7075</v>
      </c>
      <c r="F1037" t="s">
        <v>7076</v>
      </c>
      <c r="G1037" t="s">
        <v>7077</v>
      </c>
      <c r="H1037" t="s">
        <v>42</v>
      </c>
      <c r="I1037" t="s">
        <v>7078</v>
      </c>
      <c r="J1037" t="s">
        <v>7079</v>
      </c>
      <c r="K1037" t="s">
        <v>7080</v>
      </c>
      <c r="L1037" t="s">
        <v>886</v>
      </c>
      <c r="M1037" t="s">
        <v>46</v>
      </c>
      <c r="N1037" t="s">
        <v>47</v>
      </c>
      <c r="O1037">
        <v>6</v>
      </c>
      <c r="P1037">
        <v>1</v>
      </c>
      <c r="Q1037">
        <v>6</v>
      </c>
      <c r="R1037" t="s">
        <v>48</v>
      </c>
      <c r="S1037" t="s">
        <v>49</v>
      </c>
      <c r="T1037" s="3">
        <v>0.84</v>
      </c>
      <c r="U1037" s="3">
        <v>0.23</v>
      </c>
      <c r="V1037" s="3">
        <v>5.29</v>
      </c>
      <c r="W1037">
        <v>2.46</v>
      </c>
      <c r="X1037" t="s">
        <v>50</v>
      </c>
      <c r="Y1037" s="3">
        <v>12.02</v>
      </c>
      <c r="Z1037" t="s">
        <v>83</v>
      </c>
      <c r="AA1037" t="s">
        <v>7081</v>
      </c>
      <c r="AB1037" t="s">
        <v>53</v>
      </c>
      <c r="AC1037" s="3">
        <v>1.27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f t="shared" si="32"/>
        <v>19.649999999999999</v>
      </c>
      <c r="AK1037" s="3">
        <f t="shared" si="33"/>
        <v>7.629999999999999</v>
      </c>
    </row>
    <row r="1038" spans="1:37">
      <c r="A1038">
        <v>10331673</v>
      </c>
      <c r="B1038" t="s">
        <v>37</v>
      </c>
      <c r="C1038" t="s">
        <v>7082</v>
      </c>
      <c r="E1038" t="s">
        <v>166</v>
      </c>
      <c r="F1038" t="s">
        <v>7083</v>
      </c>
      <c r="G1038" t="s">
        <v>7084</v>
      </c>
      <c r="H1038" t="s">
        <v>42</v>
      </c>
      <c r="I1038" t="s">
        <v>7085</v>
      </c>
      <c r="J1038" t="s">
        <v>7086</v>
      </c>
      <c r="K1038">
        <v>63829</v>
      </c>
      <c r="L1038" t="s">
        <v>71</v>
      </c>
      <c r="M1038" t="s">
        <v>46</v>
      </c>
      <c r="N1038" t="s">
        <v>47</v>
      </c>
      <c r="O1038">
        <v>3</v>
      </c>
      <c r="P1038">
        <v>1</v>
      </c>
      <c r="Q1038">
        <v>3</v>
      </c>
      <c r="R1038" t="s">
        <v>48</v>
      </c>
      <c r="S1038" t="s">
        <v>49</v>
      </c>
      <c r="T1038" s="3">
        <v>0.84</v>
      </c>
      <c r="U1038" s="3">
        <v>0.23</v>
      </c>
      <c r="V1038" s="3">
        <v>2.68</v>
      </c>
      <c r="W1038">
        <v>1.45</v>
      </c>
      <c r="X1038" t="s">
        <v>72</v>
      </c>
      <c r="Y1038" s="3">
        <v>5.43</v>
      </c>
      <c r="Z1038" t="s">
        <v>73</v>
      </c>
      <c r="AA1038" t="s">
        <v>7087</v>
      </c>
      <c r="AB1038" t="s">
        <v>53</v>
      </c>
      <c r="AC1038" s="3">
        <v>1.29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f t="shared" si="32"/>
        <v>10.47</v>
      </c>
      <c r="AK1038" s="3">
        <f t="shared" si="33"/>
        <v>5.0400000000000009</v>
      </c>
    </row>
    <row r="1039" spans="1:37">
      <c r="A1039">
        <v>10322851</v>
      </c>
      <c r="B1039" t="s">
        <v>37</v>
      </c>
      <c r="C1039" t="s">
        <v>7088</v>
      </c>
      <c r="E1039" t="s">
        <v>7089</v>
      </c>
      <c r="F1039" t="s">
        <v>7090</v>
      </c>
      <c r="G1039" t="s">
        <v>7091</v>
      </c>
      <c r="H1039" t="s">
        <v>42</v>
      </c>
      <c r="I1039" t="s">
        <v>7092</v>
      </c>
      <c r="J1039" t="s">
        <v>7093</v>
      </c>
      <c r="K1039" t="s">
        <v>7094</v>
      </c>
      <c r="L1039" t="s">
        <v>142</v>
      </c>
      <c r="M1039" t="s">
        <v>46</v>
      </c>
      <c r="N1039" t="s">
        <v>47</v>
      </c>
      <c r="O1039">
        <v>8</v>
      </c>
      <c r="P1039">
        <v>1</v>
      </c>
      <c r="Q1039">
        <v>8</v>
      </c>
      <c r="R1039" t="s">
        <v>48</v>
      </c>
      <c r="S1039" t="s">
        <v>49</v>
      </c>
      <c r="T1039" s="3">
        <v>0.84</v>
      </c>
      <c r="U1039" s="3">
        <v>0.23</v>
      </c>
      <c r="V1039" s="3">
        <v>7.03</v>
      </c>
      <c r="W1039">
        <v>2.2200000000000002</v>
      </c>
      <c r="X1039" t="s">
        <v>50</v>
      </c>
      <c r="Y1039" s="3">
        <v>16.43</v>
      </c>
      <c r="Z1039" t="s">
        <v>83</v>
      </c>
      <c r="AA1039" t="s">
        <v>7095</v>
      </c>
      <c r="AB1039" t="s">
        <v>53</v>
      </c>
      <c r="AC1039" s="3">
        <v>1.27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f t="shared" si="32"/>
        <v>25.8</v>
      </c>
      <c r="AK1039" s="3">
        <f t="shared" si="33"/>
        <v>9.370000000000001</v>
      </c>
    </row>
    <row r="1040" spans="1:37">
      <c r="A1040">
        <v>10331443</v>
      </c>
      <c r="B1040" t="s">
        <v>37</v>
      </c>
      <c r="C1040" t="s">
        <v>7096</v>
      </c>
      <c r="D1040" t="s">
        <v>7097</v>
      </c>
      <c r="E1040" t="s">
        <v>657</v>
      </c>
      <c r="F1040" t="s">
        <v>7098</v>
      </c>
      <c r="G1040" t="s">
        <v>7099</v>
      </c>
      <c r="H1040" t="s">
        <v>42</v>
      </c>
      <c r="I1040" t="s">
        <v>7100</v>
      </c>
      <c r="J1040" t="s">
        <v>7101</v>
      </c>
      <c r="K1040">
        <v>60311</v>
      </c>
      <c r="L1040" t="s">
        <v>71</v>
      </c>
      <c r="M1040" t="s">
        <v>46</v>
      </c>
      <c r="N1040" t="s">
        <v>47</v>
      </c>
      <c r="O1040">
        <v>3</v>
      </c>
      <c r="P1040">
        <v>1</v>
      </c>
      <c r="Q1040">
        <v>3</v>
      </c>
      <c r="R1040" t="s">
        <v>48</v>
      </c>
      <c r="S1040" t="s">
        <v>49</v>
      </c>
      <c r="T1040" s="3">
        <v>0.84</v>
      </c>
      <c r="U1040" s="3">
        <v>0.23</v>
      </c>
      <c r="V1040" s="3">
        <v>2.68</v>
      </c>
      <c r="W1040">
        <v>1.01</v>
      </c>
      <c r="X1040" t="s">
        <v>72</v>
      </c>
      <c r="Y1040" s="3">
        <v>6.81</v>
      </c>
      <c r="Z1040" t="s">
        <v>73</v>
      </c>
      <c r="AA1040" t="s">
        <v>7102</v>
      </c>
      <c r="AB1040" t="s">
        <v>53</v>
      </c>
      <c r="AC1040" s="3">
        <v>1.29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f t="shared" si="32"/>
        <v>11.85</v>
      </c>
      <c r="AK1040" s="3">
        <f t="shared" si="33"/>
        <v>5.04</v>
      </c>
    </row>
    <row r="1041" spans="1:37">
      <c r="A1041">
        <v>10331442</v>
      </c>
      <c r="B1041" t="s">
        <v>37</v>
      </c>
      <c r="C1041" t="s">
        <v>7103</v>
      </c>
      <c r="E1041" t="s">
        <v>606</v>
      </c>
      <c r="F1041" t="s">
        <v>7104</v>
      </c>
      <c r="G1041" t="s">
        <v>7105</v>
      </c>
      <c r="H1041" t="s">
        <v>42</v>
      </c>
      <c r="I1041" t="s">
        <v>7106</v>
      </c>
      <c r="J1041" t="s">
        <v>7107</v>
      </c>
      <c r="K1041" t="s">
        <v>7108</v>
      </c>
      <c r="L1041" t="s">
        <v>142</v>
      </c>
      <c r="M1041" t="s">
        <v>46</v>
      </c>
      <c r="N1041" t="s">
        <v>47</v>
      </c>
      <c r="O1041">
        <v>4</v>
      </c>
      <c r="P1041">
        <v>1</v>
      </c>
      <c r="Q1041">
        <v>4</v>
      </c>
      <c r="R1041" t="s">
        <v>48</v>
      </c>
      <c r="S1041" t="s">
        <v>49</v>
      </c>
      <c r="T1041" s="3">
        <v>0.84</v>
      </c>
      <c r="U1041" s="3">
        <v>0.23</v>
      </c>
      <c r="V1041" s="3">
        <v>3.55</v>
      </c>
      <c r="W1041">
        <v>2.06</v>
      </c>
      <c r="X1041" t="s">
        <v>50</v>
      </c>
      <c r="Y1041" s="3">
        <v>17.809999999999999</v>
      </c>
      <c r="Z1041" t="s">
        <v>73</v>
      </c>
      <c r="AA1041" t="s">
        <v>327</v>
      </c>
      <c r="AB1041" t="s">
        <v>53</v>
      </c>
      <c r="AC1041" s="3">
        <v>1.29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f t="shared" si="32"/>
        <v>23.72</v>
      </c>
      <c r="AK1041" s="3">
        <f t="shared" si="33"/>
        <v>5.91</v>
      </c>
    </row>
    <row r="1042" spans="1:37">
      <c r="A1042">
        <v>10331672</v>
      </c>
      <c r="B1042" t="s">
        <v>37</v>
      </c>
      <c r="C1042" t="s">
        <v>7109</v>
      </c>
      <c r="E1042" t="s">
        <v>7110</v>
      </c>
      <c r="F1042" t="s">
        <v>7111</v>
      </c>
      <c r="G1042" t="s">
        <v>7112</v>
      </c>
      <c r="H1042" t="s">
        <v>42</v>
      </c>
      <c r="I1042" t="s">
        <v>7113</v>
      </c>
      <c r="J1042" t="s">
        <v>7114</v>
      </c>
      <c r="K1042" t="s">
        <v>7115</v>
      </c>
      <c r="L1042" t="s">
        <v>82</v>
      </c>
      <c r="M1042" t="s">
        <v>46</v>
      </c>
      <c r="N1042" t="s">
        <v>47</v>
      </c>
      <c r="O1042">
        <v>1</v>
      </c>
      <c r="P1042">
        <v>1</v>
      </c>
      <c r="Q1042">
        <v>1</v>
      </c>
      <c r="R1042" t="s">
        <v>48</v>
      </c>
      <c r="S1042" t="s">
        <v>49</v>
      </c>
      <c r="T1042" s="3">
        <v>0.84</v>
      </c>
      <c r="U1042" s="3">
        <v>0.23</v>
      </c>
      <c r="V1042" s="3">
        <v>0.94</v>
      </c>
      <c r="W1042">
        <v>1.1200000000000001</v>
      </c>
      <c r="X1042" t="s">
        <v>50</v>
      </c>
      <c r="Y1042" s="3">
        <v>9.19</v>
      </c>
      <c r="Z1042" t="s">
        <v>73</v>
      </c>
      <c r="AA1042" t="s">
        <v>4589</v>
      </c>
      <c r="AB1042" t="s">
        <v>53</v>
      </c>
      <c r="AC1042" s="3">
        <v>1.29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f t="shared" si="32"/>
        <v>12.49</v>
      </c>
      <c r="AK1042" s="3">
        <f t="shared" si="33"/>
        <v>3.3000000000000007</v>
      </c>
    </row>
    <row r="1043" spans="1:37">
      <c r="A1043">
        <v>10332051</v>
      </c>
      <c r="B1043" t="s">
        <v>37</v>
      </c>
      <c r="C1043" t="s">
        <v>7116</v>
      </c>
      <c r="E1043" t="s">
        <v>7117</v>
      </c>
      <c r="F1043" t="s">
        <v>7118</v>
      </c>
      <c r="G1043" t="s">
        <v>7119</v>
      </c>
      <c r="H1043" t="s">
        <v>42</v>
      </c>
      <c r="I1043" t="s">
        <v>7120</v>
      </c>
      <c r="J1043" t="s">
        <v>7121</v>
      </c>
      <c r="K1043">
        <v>2100</v>
      </c>
      <c r="L1043" t="s">
        <v>505</v>
      </c>
      <c r="M1043" t="s">
        <v>46</v>
      </c>
      <c r="N1043" t="s">
        <v>47</v>
      </c>
      <c r="O1043">
        <v>1</v>
      </c>
      <c r="P1043">
        <v>1</v>
      </c>
      <c r="Q1043">
        <v>1</v>
      </c>
      <c r="R1043" t="s">
        <v>48</v>
      </c>
      <c r="S1043" t="s">
        <v>49</v>
      </c>
      <c r="T1043" s="3">
        <v>0.84</v>
      </c>
      <c r="U1043" s="3">
        <v>0.23</v>
      </c>
      <c r="V1043" s="3">
        <v>0.94</v>
      </c>
      <c r="W1043">
        <v>0.49</v>
      </c>
      <c r="X1043" t="s">
        <v>50</v>
      </c>
      <c r="Y1043" s="3">
        <v>10.57</v>
      </c>
      <c r="Z1043" t="s">
        <v>109</v>
      </c>
      <c r="AA1043" t="s">
        <v>7122</v>
      </c>
      <c r="AB1043" t="s">
        <v>53</v>
      </c>
      <c r="AC1043" s="3">
        <v>1.06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f t="shared" si="32"/>
        <v>13.64</v>
      </c>
      <c r="AK1043" s="3">
        <f t="shared" si="33"/>
        <v>3.0700000000000003</v>
      </c>
    </row>
    <row r="1044" spans="1:37">
      <c r="A1044">
        <v>10332226</v>
      </c>
      <c r="B1044" t="s">
        <v>37</v>
      </c>
      <c r="C1044" t="s">
        <v>7123</v>
      </c>
      <c r="E1044" t="s">
        <v>7124</v>
      </c>
      <c r="F1044" t="s">
        <v>7125</v>
      </c>
      <c r="G1044" t="s">
        <v>7126</v>
      </c>
      <c r="H1044" t="s">
        <v>42</v>
      </c>
      <c r="I1044" t="s">
        <v>7127</v>
      </c>
      <c r="J1044" t="s">
        <v>7128</v>
      </c>
      <c r="K1044" t="s">
        <v>7129</v>
      </c>
      <c r="L1044" t="s">
        <v>82</v>
      </c>
      <c r="M1044" t="s">
        <v>46</v>
      </c>
      <c r="N1044" t="s">
        <v>47</v>
      </c>
      <c r="O1044">
        <v>1</v>
      </c>
      <c r="P1044">
        <v>1</v>
      </c>
      <c r="Q1044">
        <v>1</v>
      </c>
      <c r="R1044" t="s">
        <v>48</v>
      </c>
      <c r="S1044" t="s">
        <v>49</v>
      </c>
      <c r="T1044" s="3">
        <v>0.84</v>
      </c>
      <c r="U1044" s="3">
        <v>0.23</v>
      </c>
      <c r="V1044" s="3">
        <v>0.94</v>
      </c>
      <c r="W1044">
        <v>0.59</v>
      </c>
      <c r="X1044" t="s">
        <v>50</v>
      </c>
      <c r="Y1044" s="3">
        <v>10.57</v>
      </c>
      <c r="Z1044" t="s">
        <v>109</v>
      </c>
      <c r="AA1044" t="s">
        <v>2233</v>
      </c>
      <c r="AB1044" t="s">
        <v>53</v>
      </c>
      <c r="AC1044" s="3">
        <v>1.06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f t="shared" si="32"/>
        <v>13.64</v>
      </c>
      <c r="AK1044" s="3">
        <f t="shared" si="33"/>
        <v>3.0700000000000003</v>
      </c>
    </row>
    <row r="1045" spans="1:37">
      <c r="A1045">
        <v>10332903</v>
      </c>
      <c r="B1045" t="s">
        <v>37</v>
      </c>
      <c r="C1045" t="s">
        <v>7130</v>
      </c>
      <c r="E1045" t="s">
        <v>7131</v>
      </c>
      <c r="F1045" t="s">
        <v>7132</v>
      </c>
      <c r="G1045" t="s">
        <v>7133</v>
      </c>
      <c r="H1045" t="s">
        <v>42</v>
      </c>
      <c r="I1045" t="s">
        <v>7134</v>
      </c>
      <c r="J1045" t="s">
        <v>7135</v>
      </c>
      <c r="K1045">
        <v>69121</v>
      </c>
      <c r="L1045" t="s">
        <v>71</v>
      </c>
      <c r="M1045" t="s">
        <v>46</v>
      </c>
      <c r="N1045" t="s">
        <v>47</v>
      </c>
      <c r="O1045">
        <v>1</v>
      </c>
      <c r="P1045">
        <v>1</v>
      </c>
      <c r="Q1045">
        <v>1</v>
      </c>
      <c r="R1045" t="s">
        <v>48</v>
      </c>
      <c r="S1045" t="s">
        <v>49</v>
      </c>
      <c r="T1045" s="3">
        <v>0.84</v>
      </c>
      <c r="U1045" s="3">
        <v>0.23</v>
      </c>
      <c r="V1045" s="3">
        <v>0.94</v>
      </c>
      <c r="W1045">
        <v>1.5</v>
      </c>
      <c r="X1045" t="s">
        <v>72</v>
      </c>
      <c r="Y1045" s="3">
        <v>6.81</v>
      </c>
      <c r="Z1045" t="s">
        <v>73</v>
      </c>
      <c r="AA1045" t="s">
        <v>1305</v>
      </c>
      <c r="AB1045" t="s">
        <v>53</v>
      </c>
      <c r="AC1045" s="3">
        <v>1.29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f t="shared" si="32"/>
        <v>10.11</v>
      </c>
      <c r="AK1045" s="3">
        <f t="shared" si="33"/>
        <v>3.3</v>
      </c>
    </row>
    <row r="1046" spans="1:37">
      <c r="A1046">
        <v>10331674</v>
      </c>
      <c r="B1046" t="s">
        <v>37</v>
      </c>
      <c r="C1046" t="s">
        <v>7136</v>
      </c>
      <c r="E1046" t="s">
        <v>7137</v>
      </c>
      <c r="F1046" t="s">
        <v>7138</v>
      </c>
      <c r="G1046" t="s">
        <v>7139</v>
      </c>
      <c r="H1046" t="s">
        <v>42</v>
      </c>
      <c r="I1046" t="s">
        <v>7140</v>
      </c>
      <c r="J1046" t="s">
        <v>7141</v>
      </c>
      <c r="K1046" t="s">
        <v>7142</v>
      </c>
      <c r="L1046" t="s">
        <v>142</v>
      </c>
      <c r="M1046" t="s">
        <v>46</v>
      </c>
      <c r="N1046" t="s">
        <v>47</v>
      </c>
      <c r="O1046">
        <v>1</v>
      </c>
      <c r="P1046">
        <v>1</v>
      </c>
      <c r="Q1046">
        <v>1</v>
      </c>
      <c r="R1046" t="s">
        <v>48</v>
      </c>
      <c r="S1046" t="s">
        <v>49</v>
      </c>
      <c r="T1046" s="3">
        <v>0.84</v>
      </c>
      <c r="U1046" s="3">
        <v>0.23</v>
      </c>
      <c r="V1046" s="3">
        <v>0.94</v>
      </c>
      <c r="W1046">
        <v>1.7</v>
      </c>
      <c r="X1046" t="s">
        <v>50</v>
      </c>
      <c r="Y1046" s="3">
        <v>16.43</v>
      </c>
      <c r="Z1046" t="s">
        <v>83</v>
      </c>
      <c r="AA1046" t="s">
        <v>7143</v>
      </c>
      <c r="AB1046" t="s">
        <v>53</v>
      </c>
      <c r="AC1046" s="3">
        <v>1.27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f t="shared" si="32"/>
        <v>19.71</v>
      </c>
      <c r="AK1046" s="3">
        <f t="shared" si="33"/>
        <v>3.2800000000000011</v>
      </c>
    </row>
    <row r="1047" spans="1:37">
      <c r="A1047">
        <v>10331183</v>
      </c>
      <c r="B1047" t="s">
        <v>37</v>
      </c>
      <c r="C1047" t="s">
        <v>7144</v>
      </c>
      <c r="E1047" t="s">
        <v>7145</v>
      </c>
      <c r="F1047" t="s">
        <v>7146</v>
      </c>
      <c r="G1047" t="s">
        <v>7147</v>
      </c>
      <c r="H1047" t="s">
        <v>42</v>
      </c>
      <c r="I1047" t="s">
        <v>7148</v>
      </c>
      <c r="J1047" t="s">
        <v>7149</v>
      </c>
      <c r="K1047">
        <v>16321</v>
      </c>
      <c r="L1047" t="s">
        <v>71</v>
      </c>
      <c r="M1047" t="s">
        <v>46</v>
      </c>
      <c r="N1047" t="s">
        <v>47</v>
      </c>
      <c r="O1047">
        <v>1</v>
      </c>
      <c r="P1047">
        <v>1</v>
      </c>
      <c r="Q1047">
        <v>1</v>
      </c>
      <c r="R1047" t="s">
        <v>48</v>
      </c>
      <c r="S1047" t="s">
        <v>49</v>
      </c>
      <c r="T1047" s="3">
        <v>0.84</v>
      </c>
      <c r="U1047" s="3">
        <v>0.23</v>
      </c>
      <c r="V1047" s="3">
        <v>0.94</v>
      </c>
      <c r="W1047">
        <v>0.49</v>
      </c>
      <c r="X1047" t="s">
        <v>108</v>
      </c>
      <c r="Y1047" s="3">
        <v>5.13</v>
      </c>
      <c r="Z1047" t="s">
        <v>109</v>
      </c>
      <c r="AA1047" t="s">
        <v>1802</v>
      </c>
      <c r="AB1047" t="s">
        <v>53</v>
      </c>
      <c r="AC1047" s="3">
        <v>1.06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f t="shared" si="32"/>
        <v>8.1999999999999993</v>
      </c>
      <c r="AK1047" s="3">
        <f t="shared" si="33"/>
        <v>3.0699999999999994</v>
      </c>
    </row>
    <row r="1048" spans="1:37">
      <c r="A1048">
        <v>10330924</v>
      </c>
      <c r="B1048" t="s">
        <v>37</v>
      </c>
      <c r="C1048" t="s">
        <v>7150</v>
      </c>
      <c r="E1048" t="s">
        <v>4756</v>
      </c>
      <c r="F1048" t="s">
        <v>7151</v>
      </c>
      <c r="G1048" t="s">
        <v>7152</v>
      </c>
      <c r="H1048" t="s">
        <v>42</v>
      </c>
      <c r="I1048" t="s">
        <v>7153</v>
      </c>
      <c r="J1048" t="s">
        <v>7154</v>
      </c>
      <c r="K1048">
        <v>30938</v>
      </c>
      <c r="L1048" t="s">
        <v>71</v>
      </c>
      <c r="M1048" t="s">
        <v>46</v>
      </c>
      <c r="N1048" t="s">
        <v>47</v>
      </c>
      <c r="O1048">
        <v>1</v>
      </c>
      <c r="P1048">
        <v>1</v>
      </c>
      <c r="Q1048">
        <v>1</v>
      </c>
      <c r="R1048" t="s">
        <v>48</v>
      </c>
      <c r="S1048" t="s">
        <v>49</v>
      </c>
      <c r="T1048" s="3">
        <v>0.84</v>
      </c>
      <c r="U1048" s="3">
        <v>0.23</v>
      </c>
      <c r="V1048" s="3">
        <v>0.94</v>
      </c>
      <c r="W1048">
        <v>0.49</v>
      </c>
      <c r="X1048" t="s">
        <v>108</v>
      </c>
      <c r="Y1048" s="3">
        <v>6.51</v>
      </c>
      <c r="Z1048" t="s">
        <v>109</v>
      </c>
      <c r="AA1048" t="s">
        <v>7155</v>
      </c>
      <c r="AB1048" t="s">
        <v>53</v>
      </c>
      <c r="AC1048" s="3">
        <v>1.06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f t="shared" si="32"/>
        <v>9.58</v>
      </c>
      <c r="AK1048" s="3">
        <f t="shared" si="33"/>
        <v>3.0700000000000003</v>
      </c>
    </row>
    <row r="1049" spans="1:37">
      <c r="A1049">
        <v>10333092</v>
      </c>
      <c r="B1049" t="s">
        <v>37</v>
      </c>
      <c r="C1049" t="s">
        <v>7156</v>
      </c>
      <c r="D1049" t="s">
        <v>7157</v>
      </c>
      <c r="E1049" t="s">
        <v>7158</v>
      </c>
      <c r="F1049" t="s">
        <v>7159</v>
      </c>
      <c r="G1049" t="s">
        <v>7160</v>
      </c>
      <c r="H1049" t="s">
        <v>42</v>
      </c>
      <c r="I1049" t="s">
        <v>7161</v>
      </c>
      <c r="J1049" t="s">
        <v>7162</v>
      </c>
      <c r="K1049">
        <v>84010</v>
      </c>
      <c r="L1049" t="s">
        <v>283</v>
      </c>
      <c r="M1049" t="s">
        <v>46</v>
      </c>
      <c r="N1049" t="s">
        <v>47</v>
      </c>
      <c r="O1049">
        <v>1</v>
      </c>
      <c r="P1049">
        <v>1</v>
      </c>
      <c r="Q1049">
        <v>1</v>
      </c>
      <c r="R1049" t="s">
        <v>48</v>
      </c>
      <c r="S1049" t="s">
        <v>49</v>
      </c>
      <c r="T1049" s="3">
        <v>0.84</v>
      </c>
      <c r="U1049" s="3">
        <v>0.23</v>
      </c>
      <c r="V1049" s="3">
        <v>0.94</v>
      </c>
      <c r="W1049">
        <v>0.59</v>
      </c>
      <c r="X1049" t="s">
        <v>50</v>
      </c>
      <c r="Y1049" s="3">
        <v>16.36</v>
      </c>
      <c r="Z1049" t="s">
        <v>109</v>
      </c>
      <c r="AA1049" t="s">
        <v>7163</v>
      </c>
      <c r="AB1049" t="s">
        <v>53</v>
      </c>
      <c r="AC1049" s="3">
        <v>1.06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f t="shared" si="32"/>
        <v>19.43</v>
      </c>
      <c r="AK1049" s="3">
        <f t="shared" si="33"/>
        <v>3.0700000000000003</v>
      </c>
    </row>
    <row r="1050" spans="1:37">
      <c r="A1050">
        <v>10331185</v>
      </c>
      <c r="B1050" t="s">
        <v>37</v>
      </c>
      <c r="C1050" t="s">
        <v>7164</v>
      </c>
      <c r="E1050" t="s">
        <v>3705</v>
      </c>
      <c r="F1050" t="s">
        <v>7165</v>
      </c>
      <c r="G1050" t="s">
        <v>7166</v>
      </c>
      <c r="H1050" t="s">
        <v>42</v>
      </c>
      <c r="I1050" t="s">
        <v>7167</v>
      </c>
      <c r="J1050" t="s">
        <v>7168</v>
      </c>
      <c r="K1050">
        <v>1110</v>
      </c>
      <c r="L1050" t="s">
        <v>618</v>
      </c>
      <c r="M1050" t="s">
        <v>46</v>
      </c>
      <c r="N1050" t="s">
        <v>47</v>
      </c>
      <c r="O1050">
        <v>1</v>
      </c>
      <c r="P1050">
        <v>1</v>
      </c>
      <c r="Q1050">
        <v>1</v>
      </c>
      <c r="R1050" t="s">
        <v>48</v>
      </c>
      <c r="S1050" t="s">
        <v>49</v>
      </c>
      <c r="T1050" s="3">
        <v>0.84</v>
      </c>
      <c r="U1050" s="3">
        <v>0.23</v>
      </c>
      <c r="V1050" s="3">
        <v>0.94</v>
      </c>
      <c r="W1050">
        <v>0.59</v>
      </c>
      <c r="X1050" t="s">
        <v>50</v>
      </c>
      <c r="Y1050" s="3">
        <v>10.58</v>
      </c>
      <c r="Z1050" t="s">
        <v>109</v>
      </c>
      <c r="AA1050" t="s">
        <v>3486</v>
      </c>
      <c r="AB1050" t="s">
        <v>53</v>
      </c>
      <c r="AC1050" s="3">
        <v>1.06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f t="shared" si="32"/>
        <v>13.65</v>
      </c>
      <c r="AK1050" s="3">
        <f t="shared" si="33"/>
        <v>3.0700000000000003</v>
      </c>
    </row>
    <row r="1051" spans="1:37">
      <c r="A1051">
        <v>10332902</v>
      </c>
      <c r="B1051" t="s">
        <v>37</v>
      </c>
      <c r="C1051" t="s">
        <v>7169</v>
      </c>
      <c r="E1051" t="s">
        <v>1571</v>
      </c>
      <c r="F1051" t="s">
        <v>7170</v>
      </c>
      <c r="G1051" t="s">
        <v>7171</v>
      </c>
      <c r="H1051" t="s">
        <v>42</v>
      </c>
      <c r="I1051" t="s">
        <v>7172</v>
      </c>
      <c r="J1051" t="s">
        <v>7173</v>
      </c>
      <c r="K1051" t="s">
        <v>7174</v>
      </c>
      <c r="L1051" t="s">
        <v>2198</v>
      </c>
      <c r="M1051" t="s">
        <v>46</v>
      </c>
      <c r="N1051" t="s">
        <v>47</v>
      </c>
      <c r="O1051">
        <v>1</v>
      </c>
      <c r="P1051">
        <v>1</v>
      </c>
      <c r="Q1051">
        <v>1</v>
      </c>
      <c r="R1051" t="s">
        <v>48</v>
      </c>
      <c r="S1051" t="s">
        <v>49</v>
      </c>
      <c r="T1051" s="3">
        <v>0.84</v>
      </c>
      <c r="U1051" s="3">
        <v>0.23</v>
      </c>
      <c r="V1051" s="3">
        <v>0.94</v>
      </c>
      <c r="W1051">
        <v>0.49</v>
      </c>
      <c r="X1051" t="s">
        <v>50</v>
      </c>
      <c r="Y1051" s="3">
        <v>17.809999999999999</v>
      </c>
      <c r="Z1051" t="s">
        <v>109</v>
      </c>
      <c r="AA1051" t="s">
        <v>5146</v>
      </c>
      <c r="AB1051" t="s">
        <v>53</v>
      </c>
      <c r="AC1051" s="3">
        <v>1.06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f t="shared" si="32"/>
        <v>20.88</v>
      </c>
      <c r="AK1051" s="3">
        <f t="shared" si="33"/>
        <v>3.0700000000000003</v>
      </c>
    </row>
    <row r="1052" spans="1:37">
      <c r="A1052">
        <v>10327767</v>
      </c>
      <c r="B1052" t="s">
        <v>37</v>
      </c>
      <c r="C1052" t="s">
        <v>7175</v>
      </c>
      <c r="E1052" t="s">
        <v>2292</v>
      </c>
      <c r="F1052" t="s">
        <v>7176</v>
      </c>
      <c r="G1052" t="s">
        <v>7177</v>
      </c>
      <c r="H1052" t="s">
        <v>42</v>
      </c>
      <c r="I1052" t="s">
        <v>7178</v>
      </c>
      <c r="J1052" t="s">
        <v>7179</v>
      </c>
      <c r="K1052">
        <v>65589</v>
      </c>
      <c r="L1052" t="s">
        <v>71</v>
      </c>
      <c r="M1052" t="s">
        <v>46</v>
      </c>
      <c r="N1052" t="s">
        <v>47</v>
      </c>
      <c r="O1052">
        <v>1</v>
      </c>
      <c r="P1052">
        <v>1</v>
      </c>
      <c r="Q1052">
        <v>1</v>
      </c>
      <c r="R1052" t="s">
        <v>48</v>
      </c>
      <c r="S1052" t="s">
        <v>49</v>
      </c>
      <c r="T1052" s="3">
        <v>0.84</v>
      </c>
      <c r="U1052" s="3">
        <v>0.23</v>
      </c>
      <c r="V1052" s="3">
        <v>0.94</v>
      </c>
      <c r="W1052">
        <v>0.49</v>
      </c>
      <c r="X1052" t="s">
        <v>108</v>
      </c>
      <c r="Y1052" s="3">
        <v>5.13</v>
      </c>
      <c r="Z1052" t="s">
        <v>109</v>
      </c>
      <c r="AA1052" t="s">
        <v>785</v>
      </c>
      <c r="AB1052" t="s">
        <v>53</v>
      </c>
      <c r="AC1052" s="3">
        <v>1.06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f t="shared" si="32"/>
        <v>8.1999999999999993</v>
      </c>
      <c r="AK1052" s="3">
        <f t="shared" si="33"/>
        <v>3.0699999999999994</v>
      </c>
    </row>
    <row r="1053" spans="1:37">
      <c r="A1053">
        <v>10331890</v>
      </c>
      <c r="B1053" t="s">
        <v>37</v>
      </c>
      <c r="C1053" t="s">
        <v>7180</v>
      </c>
      <c r="E1053" t="s">
        <v>247</v>
      </c>
      <c r="F1053" t="s">
        <v>7181</v>
      </c>
      <c r="G1053" t="s">
        <v>7182</v>
      </c>
      <c r="H1053" t="s">
        <v>42</v>
      </c>
      <c r="I1053" t="s">
        <v>7183</v>
      </c>
      <c r="J1053" t="s">
        <v>7184</v>
      </c>
      <c r="K1053">
        <v>71679</v>
      </c>
      <c r="L1053" t="s">
        <v>71</v>
      </c>
      <c r="M1053" t="s">
        <v>46</v>
      </c>
      <c r="N1053" t="s">
        <v>47</v>
      </c>
      <c r="O1053">
        <v>3</v>
      </c>
      <c r="P1053">
        <v>1</v>
      </c>
      <c r="Q1053">
        <v>3</v>
      </c>
      <c r="R1053" t="s">
        <v>48</v>
      </c>
      <c r="S1053" t="s">
        <v>49</v>
      </c>
      <c r="T1053" s="3">
        <v>0.84</v>
      </c>
      <c r="U1053" s="3">
        <v>0.23</v>
      </c>
      <c r="V1053" s="3">
        <v>2.68</v>
      </c>
      <c r="W1053">
        <v>2.19</v>
      </c>
      <c r="X1053" t="s">
        <v>72</v>
      </c>
      <c r="Y1053" s="3">
        <v>5.43</v>
      </c>
      <c r="Z1053" t="s">
        <v>83</v>
      </c>
      <c r="AA1053" t="s">
        <v>7185</v>
      </c>
      <c r="AB1053" t="s">
        <v>53</v>
      </c>
      <c r="AC1053" s="3">
        <v>1.27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f t="shared" si="32"/>
        <v>10.45</v>
      </c>
      <c r="AK1053" s="3">
        <f t="shared" si="33"/>
        <v>5.0199999999999996</v>
      </c>
    </row>
    <row r="1054" spans="1:37">
      <c r="A1054">
        <v>10332421</v>
      </c>
      <c r="B1054" t="s">
        <v>37</v>
      </c>
      <c r="C1054" t="s">
        <v>7186</v>
      </c>
      <c r="E1054" t="s">
        <v>500</v>
      </c>
      <c r="F1054" t="s">
        <v>7187</v>
      </c>
      <c r="G1054" t="s">
        <v>7188</v>
      </c>
      <c r="H1054" t="s">
        <v>42</v>
      </c>
      <c r="I1054" t="s">
        <v>7189</v>
      </c>
      <c r="J1054" t="s">
        <v>7190</v>
      </c>
      <c r="K1054">
        <v>82152</v>
      </c>
      <c r="L1054" t="s">
        <v>71</v>
      </c>
      <c r="M1054" t="s">
        <v>46</v>
      </c>
      <c r="N1054" t="s">
        <v>47</v>
      </c>
      <c r="O1054">
        <v>2</v>
      </c>
      <c r="P1054">
        <v>1</v>
      </c>
      <c r="Q1054">
        <v>2</v>
      </c>
      <c r="R1054" t="s">
        <v>48</v>
      </c>
      <c r="S1054" t="s">
        <v>49</v>
      </c>
      <c r="T1054" s="3">
        <v>0.84</v>
      </c>
      <c r="U1054" s="3">
        <v>0.23</v>
      </c>
      <c r="V1054" s="3">
        <v>1.81</v>
      </c>
      <c r="W1054">
        <v>0.88</v>
      </c>
      <c r="X1054" t="s">
        <v>72</v>
      </c>
      <c r="Y1054" s="3">
        <v>6.81</v>
      </c>
      <c r="Z1054" t="s">
        <v>73</v>
      </c>
      <c r="AA1054" t="s">
        <v>7191</v>
      </c>
      <c r="AB1054" t="s">
        <v>53</v>
      </c>
      <c r="AC1054" s="3">
        <v>1.29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f t="shared" si="32"/>
        <v>10.98</v>
      </c>
      <c r="AK1054" s="3">
        <f t="shared" si="33"/>
        <v>4.1700000000000008</v>
      </c>
    </row>
    <row r="1055" spans="1:37">
      <c r="A1055">
        <v>10311751</v>
      </c>
      <c r="B1055" t="s">
        <v>37</v>
      </c>
      <c r="C1055" t="s">
        <v>7192</v>
      </c>
      <c r="E1055" t="s">
        <v>7193</v>
      </c>
      <c r="F1055" t="s">
        <v>7194</v>
      </c>
      <c r="G1055" t="s">
        <v>7195</v>
      </c>
      <c r="H1055" t="s">
        <v>42</v>
      </c>
      <c r="I1055" t="s">
        <v>7196</v>
      </c>
      <c r="J1055" t="s">
        <v>7197</v>
      </c>
      <c r="K1055">
        <v>1050</v>
      </c>
      <c r="L1055" t="s">
        <v>505</v>
      </c>
      <c r="M1055" t="s">
        <v>46</v>
      </c>
      <c r="N1055" t="s">
        <v>47</v>
      </c>
      <c r="O1055">
        <v>2</v>
      </c>
      <c r="P1055">
        <v>1</v>
      </c>
      <c r="Q1055">
        <v>2</v>
      </c>
      <c r="R1055" t="s">
        <v>48</v>
      </c>
      <c r="S1055" t="s">
        <v>49</v>
      </c>
      <c r="T1055" s="3">
        <v>0.84</v>
      </c>
      <c r="U1055" s="3">
        <v>0.23</v>
      </c>
      <c r="V1055" s="3">
        <v>1.81</v>
      </c>
      <c r="W1055">
        <v>0.73</v>
      </c>
      <c r="X1055" t="s">
        <v>50</v>
      </c>
      <c r="Y1055" s="3">
        <v>10.57</v>
      </c>
      <c r="Z1055" t="s">
        <v>73</v>
      </c>
      <c r="AA1055" t="s">
        <v>7198</v>
      </c>
      <c r="AB1055" t="s">
        <v>53</v>
      </c>
      <c r="AC1055" s="3">
        <v>1.29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f t="shared" si="32"/>
        <v>14.74</v>
      </c>
      <c r="AK1055" s="3">
        <f t="shared" si="33"/>
        <v>4.17</v>
      </c>
    </row>
    <row r="1056" spans="1:37">
      <c r="A1056">
        <v>10332225</v>
      </c>
      <c r="B1056" t="s">
        <v>37</v>
      </c>
      <c r="C1056" t="s">
        <v>7199</v>
      </c>
      <c r="E1056" t="s">
        <v>7200</v>
      </c>
      <c r="F1056" t="s">
        <v>7201</v>
      </c>
      <c r="G1056" t="s">
        <v>7202</v>
      </c>
      <c r="H1056" t="s">
        <v>42</v>
      </c>
      <c r="I1056" t="s">
        <v>7203</v>
      </c>
      <c r="J1056" t="s">
        <v>7204</v>
      </c>
      <c r="K1056">
        <v>2400</v>
      </c>
      <c r="L1056" t="s">
        <v>505</v>
      </c>
      <c r="M1056" t="s">
        <v>46</v>
      </c>
      <c r="N1056" t="s">
        <v>47</v>
      </c>
      <c r="O1056">
        <v>4</v>
      </c>
      <c r="P1056">
        <v>1</v>
      </c>
      <c r="Q1056">
        <v>4</v>
      </c>
      <c r="R1056" t="s">
        <v>48</v>
      </c>
      <c r="S1056" t="s">
        <v>49</v>
      </c>
      <c r="T1056" s="3">
        <v>0.84</v>
      </c>
      <c r="U1056" s="3">
        <v>0.23</v>
      </c>
      <c r="V1056" s="3">
        <v>3.55</v>
      </c>
      <c r="W1056">
        <v>2.06</v>
      </c>
      <c r="X1056" t="s">
        <v>50</v>
      </c>
      <c r="Y1056" s="3">
        <v>9.19</v>
      </c>
      <c r="Z1056" t="s">
        <v>73</v>
      </c>
      <c r="AA1056" t="s">
        <v>327</v>
      </c>
      <c r="AB1056" t="s">
        <v>53</v>
      </c>
      <c r="AC1056" s="3">
        <v>1.29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f t="shared" si="32"/>
        <v>15.100000000000001</v>
      </c>
      <c r="AK1056" s="3">
        <f t="shared" si="33"/>
        <v>5.9100000000000019</v>
      </c>
    </row>
    <row r="1057" spans="1:37">
      <c r="A1057">
        <v>10326879</v>
      </c>
      <c r="B1057" t="s">
        <v>37</v>
      </c>
      <c r="C1057" t="s">
        <v>7205</v>
      </c>
      <c r="E1057" t="s">
        <v>7206</v>
      </c>
      <c r="F1057" t="s">
        <v>7207</v>
      </c>
      <c r="G1057" t="s">
        <v>7208</v>
      </c>
      <c r="H1057" t="s">
        <v>42</v>
      </c>
      <c r="I1057" t="s">
        <v>7209</v>
      </c>
      <c r="J1057" t="s">
        <v>7210</v>
      </c>
      <c r="K1057" t="s">
        <v>7211</v>
      </c>
      <c r="L1057" t="s">
        <v>142</v>
      </c>
      <c r="M1057" t="s">
        <v>46</v>
      </c>
      <c r="N1057" t="s">
        <v>47</v>
      </c>
      <c r="O1057">
        <v>6</v>
      </c>
      <c r="P1057">
        <v>1</v>
      </c>
      <c r="Q1057">
        <v>6</v>
      </c>
      <c r="R1057" t="s">
        <v>48</v>
      </c>
      <c r="S1057" t="s">
        <v>49</v>
      </c>
      <c r="T1057" s="3">
        <v>0.84</v>
      </c>
      <c r="U1057" s="3">
        <v>0.23</v>
      </c>
      <c r="V1057" s="3">
        <v>5.29</v>
      </c>
      <c r="W1057">
        <v>1.3</v>
      </c>
      <c r="X1057" t="s">
        <v>50</v>
      </c>
      <c r="Y1057" s="3">
        <v>16.43</v>
      </c>
      <c r="Z1057" t="s">
        <v>73</v>
      </c>
      <c r="AA1057" t="s">
        <v>7212</v>
      </c>
      <c r="AB1057" t="s">
        <v>53</v>
      </c>
      <c r="AC1057" s="3">
        <v>1.29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f t="shared" si="32"/>
        <v>24.08</v>
      </c>
      <c r="AK1057" s="3">
        <f t="shared" si="33"/>
        <v>7.6499999999999986</v>
      </c>
    </row>
    <row r="1058" spans="1:37">
      <c r="A1058">
        <v>10331675</v>
      </c>
      <c r="B1058" t="s">
        <v>37</v>
      </c>
      <c r="C1058" t="s">
        <v>7213</v>
      </c>
      <c r="E1058" t="s">
        <v>7214</v>
      </c>
      <c r="F1058" t="s">
        <v>7215</v>
      </c>
      <c r="G1058" t="s">
        <v>7216</v>
      </c>
      <c r="H1058" t="s">
        <v>42</v>
      </c>
      <c r="I1058" t="s">
        <v>7217</v>
      </c>
      <c r="J1058" t="s">
        <v>7218</v>
      </c>
      <c r="K1058">
        <v>79268</v>
      </c>
      <c r="L1058" t="s">
        <v>71</v>
      </c>
      <c r="M1058" t="s">
        <v>46</v>
      </c>
      <c r="N1058" t="s">
        <v>47</v>
      </c>
      <c r="O1058">
        <v>3</v>
      </c>
      <c r="P1058">
        <v>1</v>
      </c>
      <c r="Q1058">
        <v>3</v>
      </c>
      <c r="R1058" t="s">
        <v>48</v>
      </c>
      <c r="S1058" t="s">
        <v>49</v>
      </c>
      <c r="T1058" s="3">
        <v>0.84</v>
      </c>
      <c r="U1058" s="3">
        <v>0.23</v>
      </c>
      <c r="V1058" s="3">
        <v>2.68</v>
      </c>
      <c r="W1058">
        <v>1.37</v>
      </c>
      <c r="X1058" t="s">
        <v>72</v>
      </c>
      <c r="Y1058" s="3">
        <v>13.75</v>
      </c>
      <c r="Z1058" t="s">
        <v>73</v>
      </c>
      <c r="AA1058" t="s">
        <v>7219</v>
      </c>
      <c r="AB1058" t="s">
        <v>53</v>
      </c>
      <c r="AC1058" s="3">
        <v>1.29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f t="shared" si="32"/>
        <v>18.79</v>
      </c>
      <c r="AK1058" s="3">
        <f t="shared" si="33"/>
        <v>5.0399999999999991</v>
      </c>
    </row>
    <row r="1059" spans="1:37">
      <c r="A1059">
        <v>10332897</v>
      </c>
      <c r="B1059" t="s">
        <v>37</v>
      </c>
      <c r="C1059" t="s">
        <v>7220</v>
      </c>
      <c r="E1059" t="s">
        <v>2306</v>
      </c>
      <c r="F1059" t="s">
        <v>7221</v>
      </c>
      <c r="G1059" t="s">
        <v>7222</v>
      </c>
      <c r="H1059" t="s">
        <v>42</v>
      </c>
      <c r="I1059" t="s">
        <v>7223</v>
      </c>
      <c r="J1059" t="s">
        <v>7224</v>
      </c>
      <c r="K1059">
        <v>9070</v>
      </c>
      <c r="L1059" t="s">
        <v>505</v>
      </c>
      <c r="M1059" t="s">
        <v>46</v>
      </c>
      <c r="N1059" t="s">
        <v>47</v>
      </c>
      <c r="O1059">
        <v>4</v>
      </c>
      <c r="P1059">
        <v>1</v>
      </c>
      <c r="Q1059">
        <v>4</v>
      </c>
      <c r="R1059" t="s">
        <v>48</v>
      </c>
      <c r="S1059" t="s">
        <v>49</v>
      </c>
      <c r="T1059" s="3">
        <v>0.84</v>
      </c>
      <c r="U1059" s="3">
        <v>0.23</v>
      </c>
      <c r="V1059" s="3">
        <v>3.55</v>
      </c>
      <c r="W1059">
        <v>1.71</v>
      </c>
      <c r="X1059" t="s">
        <v>50</v>
      </c>
      <c r="Y1059" s="3">
        <v>9.19</v>
      </c>
      <c r="Z1059" t="s">
        <v>73</v>
      </c>
      <c r="AA1059" t="s">
        <v>7225</v>
      </c>
      <c r="AB1059" t="s">
        <v>53</v>
      </c>
      <c r="AC1059" s="3">
        <v>1.29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f t="shared" si="32"/>
        <v>15.100000000000001</v>
      </c>
      <c r="AK1059" s="3">
        <f t="shared" si="33"/>
        <v>5.9100000000000019</v>
      </c>
    </row>
    <row r="1060" spans="1:37">
      <c r="A1060">
        <v>10332905</v>
      </c>
      <c r="B1060" t="s">
        <v>37</v>
      </c>
      <c r="C1060" t="s">
        <v>7226</v>
      </c>
      <c r="E1060" t="s">
        <v>7227</v>
      </c>
      <c r="F1060" t="s">
        <v>7228</v>
      </c>
      <c r="G1060" t="s">
        <v>7229</v>
      </c>
      <c r="H1060" t="s">
        <v>42</v>
      </c>
      <c r="I1060" t="s">
        <v>7230</v>
      </c>
      <c r="J1060" t="s">
        <v>7231</v>
      </c>
      <c r="K1060" t="s">
        <v>7232</v>
      </c>
      <c r="L1060" t="s">
        <v>142</v>
      </c>
      <c r="M1060" t="s">
        <v>46</v>
      </c>
      <c r="N1060" t="s">
        <v>47</v>
      </c>
      <c r="O1060">
        <v>8</v>
      </c>
      <c r="P1060">
        <v>1</v>
      </c>
      <c r="Q1060">
        <v>8</v>
      </c>
      <c r="R1060" t="s">
        <v>48</v>
      </c>
      <c r="S1060" t="s">
        <v>49</v>
      </c>
      <c r="T1060" s="3">
        <v>0.84</v>
      </c>
      <c r="U1060" s="3">
        <v>0.23</v>
      </c>
      <c r="V1060" s="3">
        <v>7.03</v>
      </c>
      <c r="W1060">
        <v>3.44</v>
      </c>
      <c r="X1060" t="s">
        <v>50</v>
      </c>
      <c r="Y1060" s="3">
        <v>16.43</v>
      </c>
      <c r="Z1060" t="s">
        <v>83</v>
      </c>
      <c r="AA1060" t="s">
        <v>7233</v>
      </c>
      <c r="AB1060" t="s">
        <v>53</v>
      </c>
      <c r="AC1060" s="3">
        <v>1.27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f t="shared" si="32"/>
        <v>25.8</v>
      </c>
      <c r="AK1060" s="3">
        <f t="shared" si="33"/>
        <v>9.370000000000001</v>
      </c>
    </row>
    <row r="1061" spans="1:37">
      <c r="A1061">
        <v>10333262</v>
      </c>
      <c r="B1061" t="s">
        <v>37</v>
      </c>
      <c r="C1061" t="s">
        <v>7234</v>
      </c>
      <c r="E1061" t="s">
        <v>484</v>
      </c>
      <c r="F1061" t="s">
        <v>7235</v>
      </c>
      <c r="G1061" t="s">
        <v>7236</v>
      </c>
      <c r="H1061" t="s">
        <v>42</v>
      </c>
      <c r="I1061" t="s">
        <v>7237</v>
      </c>
      <c r="J1061" t="s">
        <v>7238</v>
      </c>
      <c r="K1061" t="s">
        <v>7239</v>
      </c>
      <c r="L1061" t="s">
        <v>142</v>
      </c>
      <c r="M1061" t="s">
        <v>46</v>
      </c>
      <c r="N1061" t="s">
        <v>47</v>
      </c>
      <c r="O1061">
        <v>5</v>
      </c>
      <c r="P1061">
        <v>1</v>
      </c>
      <c r="Q1061">
        <v>5</v>
      </c>
      <c r="R1061" t="s">
        <v>48</v>
      </c>
      <c r="S1061" t="s">
        <v>49</v>
      </c>
      <c r="T1061" s="3">
        <v>0.84</v>
      </c>
      <c r="U1061" s="3">
        <v>0.23</v>
      </c>
      <c r="V1061" s="3">
        <v>4.42</v>
      </c>
      <c r="W1061">
        <v>2.2000000000000002</v>
      </c>
      <c r="X1061" t="s">
        <v>50</v>
      </c>
      <c r="Y1061" s="3">
        <v>17.809999999999999</v>
      </c>
      <c r="Z1061" t="s">
        <v>73</v>
      </c>
      <c r="AA1061" t="s">
        <v>3622</v>
      </c>
      <c r="AB1061" t="s">
        <v>53</v>
      </c>
      <c r="AC1061" s="3">
        <v>1.29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f t="shared" si="32"/>
        <v>24.589999999999996</v>
      </c>
      <c r="AK1061" s="3">
        <f t="shared" si="33"/>
        <v>6.7799999999999976</v>
      </c>
    </row>
    <row r="1062" spans="1:37">
      <c r="A1062">
        <v>10332900</v>
      </c>
      <c r="B1062" t="s">
        <v>37</v>
      </c>
      <c r="C1062" t="s">
        <v>7240</v>
      </c>
      <c r="E1062" t="s">
        <v>940</v>
      </c>
      <c r="F1062" t="s">
        <v>7241</v>
      </c>
      <c r="G1062" t="s">
        <v>7242</v>
      </c>
      <c r="H1062" t="s">
        <v>42</v>
      </c>
      <c r="I1062" t="s">
        <v>7243</v>
      </c>
      <c r="J1062" t="s">
        <v>7244</v>
      </c>
      <c r="K1062">
        <v>1160</v>
      </c>
      <c r="L1062" t="s">
        <v>505</v>
      </c>
      <c r="M1062" t="s">
        <v>46</v>
      </c>
      <c r="N1062" t="s">
        <v>47</v>
      </c>
      <c r="O1062">
        <v>3</v>
      </c>
      <c r="P1062">
        <v>1</v>
      </c>
      <c r="Q1062">
        <v>3</v>
      </c>
      <c r="R1062" t="s">
        <v>48</v>
      </c>
      <c r="S1062" t="s">
        <v>49</v>
      </c>
      <c r="T1062" s="3">
        <v>0.84</v>
      </c>
      <c r="U1062" s="3">
        <v>0.23</v>
      </c>
      <c r="V1062" s="3">
        <v>2.68</v>
      </c>
      <c r="W1062">
        <v>1.57</v>
      </c>
      <c r="X1062" t="s">
        <v>50</v>
      </c>
      <c r="Y1062" s="3">
        <v>10.57</v>
      </c>
      <c r="Z1062" t="s">
        <v>73</v>
      </c>
      <c r="AA1062" t="s">
        <v>7245</v>
      </c>
      <c r="AB1062" t="s">
        <v>53</v>
      </c>
      <c r="AC1062" s="3">
        <v>1.29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f t="shared" si="32"/>
        <v>15.61</v>
      </c>
      <c r="AK1062" s="3">
        <f t="shared" si="33"/>
        <v>5.0399999999999991</v>
      </c>
    </row>
    <row r="1063" spans="1:37">
      <c r="A1063">
        <v>10332904</v>
      </c>
      <c r="B1063" t="s">
        <v>37</v>
      </c>
      <c r="C1063" t="s">
        <v>7246</v>
      </c>
      <c r="E1063" t="s">
        <v>7247</v>
      </c>
      <c r="F1063" t="s">
        <v>7248</v>
      </c>
      <c r="G1063" t="s">
        <v>7249</v>
      </c>
      <c r="H1063" t="s">
        <v>42</v>
      </c>
      <c r="I1063" t="s">
        <v>7250</v>
      </c>
      <c r="J1063" t="s">
        <v>7251</v>
      </c>
      <c r="K1063">
        <v>15500</v>
      </c>
      <c r="L1063" t="s">
        <v>91</v>
      </c>
      <c r="M1063" t="s">
        <v>46</v>
      </c>
      <c r="N1063" t="s">
        <v>47</v>
      </c>
      <c r="O1063">
        <v>3</v>
      </c>
      <c r="P1063">
        <v>1</v>
      </c>
      <c r="Q1063">
        <v>3</v>
      </c>
      <c r="R1063" t="s">
        <v>48</v>
      </c>
      <c r="S1063" t="s">
        <v>49</v>
      </c>
      <c r="T1063" s="3">
        <v>0.84</v>
      </c>
      <c r="U1063" s="3">
        <v>0.23</v>
      </c>
      <c r="V1063" s="3">
        <v>2.68</v>
      </c>
      <c r="W1063">
        <v>0.93</v>
      </c>
      <c r="X1063" t="s">
        <v>50</v>
      </c>
      <c r="Y1063" s="3">
        <v>17.809999999999999</v>
      </c>
      <c r="Z1063" t="s">
        <v>73</v>
      </c>
      <c r="AA1063" t="s">
        <v>1092</v>
      </c>
      <c r="AB1063" t="s">
        <v>53</v>
      </c>
      <c r="AC1063" s="3">
        <v>1.29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f t="shared" si="32"/>
        <v>22.849999999999998</v>
      </c>
      <c r="AK1063" s="3">
        <f t="shared" si="33"/>
        <v>5.0399999999999991</v>
      </c>
    </row>
    <row r="1064" spans="1:37">
      <c r="A1064">
        <v>10330925</v>
      </c>
      <c r="B1064" t="s">
        <v>37</v>
      </c>
      <c r="C1064" t="s">
        <v>7252</v>
      </c>
      <c r="E1064" t="s">
        <v>731</v>
      </c>
      <c r="F1064" t="s">
        <v>7253</v>
      </c>
      <c r="G1064" t="s">
        <v>7254</v>
      </c>
      <c r="H1064" t="s">
        <v>42</v>
      </c>
      <c r="I1064" t="s">
        <v>7255</v>
      </c>
      <c r="J1064" t="s">
        <v>7256</v>
      </c>
      <c r="K1064">
        <v>92551</v>
      </c>
      <c r="L1064" t="s">
        <v>71</v>
      </c>
      <c r="M1064" t="s">
        <v>46</v>
      </c>
      <c r="N1064" t="s">
        <v>47</v>
      </c>
      <c r="O1064">
        <v>2</v>
      </c>
      <c r="P1064">
        <v>1</v>
      </c>
      <c r="Q1064">
        <v>2</v>
      </c>
      <c r="R1064" t="s">
        <v>48</v>
      </c>
      <c r="S1064" t="s">
        <v>49</v>
      </c>
      <c r="T1064" s="3">
        <v>0.84</v>
      </c>
      <c r="U1064" s="3">
        <v>0.23</v>
      </c>
      <c r="V1064" s="3">
        <v>1.81</v>
      </c>
      <c r="W1064">
        <v>1.08</v>
      </c>
      <c r="X1064" t="s">
        <v>72</v>
      </c>
      <c r="Y1064" s="3">
        <v>6.81</v>
      </c>
      <c r="Z1064" t="s">
        <v>73</v>
      </c>
      <c r="AA1064" t="s">
        <v>692</v>
      </c>
      <c r="AB1064" t="s">
        <v>53</v>
      </c>
      <c r="AC1064" s="3">
        <v>1.29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f t="shared" si="32"/>
        <v>10.98</v>
      </c>
      <c r="AK1064" s="3">
        <f t="shared" si="33"/>
        <v>4.1700000000000008</v>
      </c>
    </row>
    <row r="1065" spans="1:37">
      <c r="A1065">
        <v>10331441</v>
      </c>
      <c r="B1065" t="s">
        <v>37</v>
      </c>
      <c r="C1065" t="s">
        <v>7257</v>
      </c>
      <c r="E1065" t="s">
        <v>7258</v>
      </c>
      <c r="F1065" t="s">
        <v>7259</v>
      </c>
      <c r="G1065" t="s">
        <v>7260</v>
      </c>
      <c r="H1065" t="s">
        <v>42</v>
      </c>
      <c r="I1065" t="s">
        <v>7261</v>
      </c>
      <c r="J1065" t="s">
        <v>7262</v>
      </c>
      <c r="K1065">
        <v>63179</v>
      </c>
      <c r="L1065" t="s">
        <v>71</v>
      </c>
      <c r="M1065" t="s">
        <v>46</v>
      </c>
      <c r="N1065" t="s">
        <v>47</v>
      </c>
      <c r="O1065">
        <v>1</v>
      </c>
      <c r="P1065">
        <v>1</v>
      </c>
      <c r="Q1065">
        <v>1</v>
      </c>
      <c r="R1065" t="s">
        <v>48</v>
      </c>
      <c r="S1065" t="s">
        <v>49</v>
      </c>
      <c r="T1065" s="3">
        <v>0.84</v>
      </c>
      <c r="U1065" s="3">
        <v>0.23</v>
      </c>
      <c r="V1065" s="3">
        <v>0.94</v>
      </c>
      <c r="W1065">
        <v>0.49</v>
      </c>
      <c r="X1065" t="s">
        <v>108</v>
      </c>
      <c r="Y1065" s="3">
        <v>5.13</v>
      </c>
      <c r="Z1065" t="s">
        <v>109</v>
      </c>
      <c r="AA1065" t="s">
        <v>785</v>
      </c>
      <c r="AB1065" t="s">
        <v>53</v>
      </c>
      <c r="AC1065" s="3">
        <v>1.06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f t="shared" si="32"/>
        <v>8.1999999999999993</v>
      </c>
      <c r="AK1065" s="3">
        <f t="shared" si="33"/>
        <v>3.0699999999999994</v>
      </c>
    </row>
    <row r="1066" spans="1:37">
      <c r="A1066">
        <v>10331889</v>
      </c>
      <c r="B1066" t="s">
        <v>37</v>
      </c>
      <c r="C1066" t="s">
        <v>7263</v>
      </c>
      <c r="E1066" t="s">
        <v>2605</v>
      </c>
      <c r="F1066" t="s">
        <v>7264</v>
      </c>
      <c r="G1066" t="s">
        <v>7265</v>
      </c>
      <c r="H1066" t="s">
        <v>42</v>
      </c>
      <c r="I1066" t="s">
        <v>7266</v>
      </c>
      <c r="J1066" t="s">
        <v>7267</v>
      </c>
      <c r="K1066" t="s">
        <v>7268</v>
      </c>
      <c r="L1066" t="s">
        <v>142</v>
      </c>
      <c r="M1066" t="s">
        <v>46</v>
      </c>
      <c r="N1066" t="s">
        <v>47</v>
      </c>
      <c r="O1066">
        <v>1</v>
      </c>
      <c r="P1066">
        <v>1</v>
      </c>
      <c r="Q1066">
        <v>1</v>
      </c>
      <c r="R1066" t="s">
        <v>48</v>
      </c>
      <c r="S1066" t="s">
        <v>49</v>
      </c>
      <c r="T1066" s="3">
        <v>0.84</v>
      </c>
      <c r="U1066" s="3">
        <v>0.23</v>
      </c>
      <c r="V1066" s="3">
        <v>0.94</v>
      </c>
      <c r="W1066">
        <v>0.59</v>
      </c>
      <c r="X1066" t="s">
        <v>50</v>
      </c>
      <c r="Y1066" s="3">
        <v>17.809999999999999</v>
      </c>
      <c r="Z1066" t="s">
        <v>109</v>
      </c>
      <c r="AA1066" t="s">
        <v>862</v>
      </c>
      <c r="AB1066" t="s">
        <v>53</v>
      </c>
      <c r="AC1066" s="3">
        <v>1.06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f t="shared" si="32"/>
        <v>20.88</v>
      </c>
      <c r="AK1066" s="3">
        <f t="shared" si="33"/>
        <v>3.0700000000000003</v>
      </c>
    </row>
    <row r="1067" spans="1:37">
      <c r="A1067">
        <v>10333862</v>
      </c>
      <c r="B1067" t="s">
        <v>37</v>
      </c>
      <c r="C1067" t="s">
        <v>7269</v>
      </c>
      <c r="E1067" t="s">
        <v>7270</v>
      </c>
      <c r="F1067" t="s">
        <v>7271</v>
      </c>
      <c r="G1067" t="s">
        <v>7272</v>
      </c>
      <c r="H1067" t="s">
        <v>42</v>
      </c>
      <c r="I1067" t="s">
        <v>7273</v>
      </c>
      <c r="J1067" t="s">
        <v>7274</v>
      </c>
      <c r="K1067">
        <v>6930</v>
      </c>
      <c r="L1067" t="s">
        <v>369</v>
      </c>
      <c r="M1067" t="s">
        <v>46</v>
      </c>
      <c r="N1067" t="s">
        <v>47</v>
      </c>
      <c r="O1067">
        <v>4</v>
      </c>
      <c r="P1067">
        <v>1</v>
      </c>
      <c r="Q1067">
        <v>4</v>
      </c>
      <c r="R1067" t="s">
        <v>48</v>
      </c>
      <c r="S1067" t="s">
        <v>49</v>
      </c>
      <c r="T1067" s="3">
        <v>0.84</v>
      </c>
      <c r="U1067" s="3">
        <v>0.23</v>
      </c>
      <c r="V1067" s="3">
        <v>3.55</v>
      </c>
      <c r="W1067">
        <v>2.06</v>
      </c>
      <c r="X1067" t="s">
        <v>50</v>
      </c>
      <c r="Y1067" s="3">
        <v>9.19</v>
      </c>
      <c r="Z1067" t="s">
        <v>73</v>
      </c>
      <c r="AA1067" t="s">
        <v>327</v>
      </c>
      <c r="AB1067" t="s">
        <v>53</v>
      </c>
      <c r="AC1067" s="3">
        <v>1.29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f t="shared" si="32"/>
        <v>15.100000000000001</v>
      </c>
      <c r="AK1067" s="3">
        <f t="shared" si="33"/>
        <v>5.9100000000000019</v>
      </c>
    </row>
    <row r="1068" spans="1:37">
      <c r="A1068">
        <v>10333861</v>
      </c>
      <c r="B1068" t="s">
        <v>37</v>
      </c>
      <c r="C1068" t="s">
        <v>7275</v>
      </c>
      <c r="E1068" t="s">
        <v>7276</v>
      </c>
      <c r="F1068" t="s">
        <v>7277</v>
      </c>
      <c r="G1068" t="s">
        <v>7278</v>
      </c>
      <c r="H1068" t="s">
        <v>42</v>
      </c>
      <c r="I1068" t="s">
        <v>7279</v>
      </c>
      <c r="J1068" t="s">
        <v>7280</v>
      </c>
      <c r="K1068">
        <v>65428</v>
      </c>
      <c r="L1068" t="s">
        <v>71</v>
      </c>
      <c r="M1068" t="s">
        <v>46</v>
      </c>
      <c r="N1068" t="s">
        <v>47</v>
      </c>
      <c r="O1068">
        <v>1</v>
      </c>
      <c r="P1068">
        <v>1</v>
      </c>
      <c r="Q1068">
        <v>1</v>
      </c>
      <c r="R1068" t="s">
        <v>48</v>
      </c>
      <c r="S1068" t="s">
        <v>49</v>
      </c>
      <c r="T1068" s="3">
        <v>0.84</v>
      </c>
      <c r="U1068" s="3">
        <v>0.23</v>
      </c>
      <c r="V1068" s="3">
        <v>0.94</v>
      </c>
      <c r="W1068">
        <v>0.59</v>
      </c>
      <c r="X1068" t="s">
        <v>108</v>
      </c>
      <c r="Y1068" s="3">
        <v>5.13</v>
      </c>
      <c r="Z1068" t="s">
        <v>109</v>
      </c>
      <c r="AA1068" t="s">
        <v>7281</v>
      </c>
      <c r="AB1068" t="s">
        <v>53</v>
      </c>
      <c r="AC1068" s="3">
        <v>1.06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f t="shared" si="32"/>
        <v>8.1999999999999993</v>
      </c>
      <c r="AK1068" s="3">
        <f t="shared" si="33"/>
        <v>3.0699999999999994</v>
      </c>
    </row>
    <row r="1069" spans="1:37">
      <c r="A1069">
        <v>10333860</v>
      </c>
      <c r="B1069" t="s">
        <v>37</v>
      </c>
      <c r="C1069" t="s">
        <v>7282</v>
      </c>
      <c r="E1069" t="s">
        <v>4676</v>
      </c>
      <c r="F1069" t="s">
        <v>7283</v>
      </c>
      <c r="G1069" t="s">
        <v>7284</v>
      </c>
      <c r="H1069" t="s">
        <v>42</v>
      </c>
      <c r="I1069" t="s">
        <v>7285</v>
      </c>
      <c r="J1069" t="s">
        <v>7286</v>
      </c>
      <c r="K1069" t="s">
        <v>7287</v>
      </c>
      <c r="L1069" t="s">
        <v>82</v>
      </c>
      <c r="M1069" t="s">
        <v>46</v>
      </c>
      <c r="N1069" t="s">
        <v>47</v>
      </c>
      <c r="O1069">
        <v>1</v>
      </c>
      <c r="P1069">
        <v>1</v>
      </c>
      <c r="Q1069">
        <v>1</v>
      </c>
      <c r="R1069" t="s">
        <v>48</v>
      </c>
      <c r="S1069" t="s">
        <v>49</v>
      </c>
      <c r="T1069" s="3">
        <v>0.84</v>
      </c>
      <c r="U1069" s="3">
        <v>0.23</v>
      </c>
      <c r="V1069" s="3">
        <v>0.94</v>
      </c>
      <c r="W1069">
        <v>0.59</v>
      </c>
      <c r="X1069" t="s">
        <v>50</v>
      </c>
      <c r="Y1069" s="3">
        <v>9.19</v>
      </c>
      <c r="Z1069" t="s">
        <v>73</v>
      </c>
      <c r="AA1069" t="s">
        <v>4668</v>
      </c>
      <c r="AB1069" t="s">
        <v>53</v>
      </c>
      <c r="AC1069" s="3">
        <v>1.29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f t="shared" si="32"/>
        <v>12.49</v>
      </c>
      <c r="AK1069" s="3">
        <f t="shared" si="33"/>
        <v>3.3000000000000007</v>
      </c>
    </row>
    <row r="1070" spans="1:37">
      <c r="A1070">
        <v>10333994</v>
      </c>
      <c r="B1070" t="s">
        <v>37</v>
      </c>
      <c r="C1070" t="s">
        <v>7288</v>
      </c>
      <c r="E1070" t="s">
        <v>7289</v>
      </c>
      <c r="F1070" t="s">
        <v>7290</v>
      </c>
      <c r="G1070" t="s">
        <v>7291</v>
      </c>
      <c r="H1070" t="s">
        <v>42</v>
      </c>
      <c r="I1070" t="s">
        <v>7292</v>
      </c>
      <c r="J1070" t="s">
        <v>7293</v>
      </c>
      <c r="K1070" t="s">
        <v>7294</v>
      </c>
      <c r="L1070" t="s">
        <v>82</v>
      </c>
      <c r="M1070" t="s">
        <v>46</v>
      </c>
      <c r="N1070" t="s">
        <v>47</v>
      </c>
      <c r="O1070">
        <v>1</v>
      </c>
      <c r="P1070">
        <v>1</v>
      </c>
      <c r="Q1070">
        <v>1</v>
      </c>
      <c r="R1070" t="s">
        <v>48</v>
      </c>
      <c r="S1070" t="s">
        <v>49</v>
      </c>
      <c r="T1070" s="3">
        <v>0.84</v>
      </c>
      <c r="U1070" s="3">
        <v>0.23</v>
      </c>
      <c r="V1070" s="3">
        <v>0.94</v>
      </c>
      <c r="W1070">
        <v>0.49</v>
      </c>
      <c r="X1070" t="s">
        <v>50</v>
      </c>
      <c r="Y1070" s="3">
        <v>10.57</v>
      </c>
      <c r="Z1070" t="s">
        <v>109</v>
      </c>
      <c r="AA1070" t="s">
        <v>2824</v>
      </c>
      <c r="AB1070" t="s">
        <v>53</v>
      </c>
      <c r="AC1070" s="3">
        <v>1.06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f t="shared" si="32"/>
        <v>13.64</v>
      </c>
      <c r="AK1070" s="3">
        <f t="shared" si="33"/>
        <v>3.0700000000000003</v>
      </c>
    </row>
    <row r="1071" spans="1:37">
      <c r="A1071">
        <v>10333995</v>
      </c>
      <c r="B1071" t="s">
        <v>37</v>
      </c>
      <c r="C1071" t="s">
        <v>7295</v>
      </c>
      <c r="E1071" t="s">
        <v>7296</v>
      </c>
      <c r="F1071" t="s">
        <v>7296</v>
      </c>
      <c r="G1071" t="s">
        <v>7297</v>
      </c>
      <c r="H1071" t="s">
        <v>42</v>
      </c>
      <c r="I1071" t="s">
        <v>7298</v>
      </c>
      <c r="J1071" t="s">
        <v>7299</v>
      </c>
      <c r="K1071" t="s">
        <v>7300</v>
      </c>
      <c r="L1071" t="s">
        <v>62</v>
      </c>
      <c r="M1071" t="s">
        <v>46</v>
      </c>
      <c r="N1071" t="s">
        <v>47</v>
      </c>
      <c r="O1071">
        <v>5</v>
      </c>
      <c r="P1071">
        <v>1</v>
      </c>
      <c r="Q1071">
        <v>5</v>
      </c>
      <c r="R1071" t="s">
        <v>48</v>
      </c>
      <c r="S1071" t="s">
        <v>49</v>
      </c>
      <c r="T1071" s="3">
        <v>0.84</v>
      </c>
      <c r="U1071" s="3">
        <v>0.23</v>
      </c>
      <c r="V1071" s="3">
        <v>4.42</v>
      </c>
      <c r="W1071">
        <v>2.37</v>
      </c>
      <c r="X1071" t="s">
        <v>100</v>
      </c>
      <c r="Y1071" s="3">
        <v>68.290000000000006</v>
      </c>
      <c r="Z1071" t="s">
        <v>83</v>
      </c>
      <c r="AA1071" t="s">
        <v>7301</v>
      </c>
      <c r="AB1071" t="s">
        <v>53</v>
      </c>
      <c r="AC1071" s="3">
        <v>1.27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f t="shared" si="32"/>
        <v>75.050000000000011</v>
      </c>
      <c r="AK1071" s="3">
        <f t="shared" si="33"/>
        <v>6.7600000000000051</v>
      </c>
    </row>
    <row r="1072" spans="1:37">
      <c r="A1072">
        <v>10333996</v>
      </c>
      <c r="B1072" t="s">
        <v>37</v>
      </c>
      <c r="C1072" t="s">
        <v>7302</v>
      </c>
      <c r="E1072" t="s">
        <v>7303</v>
      </c>
      <c r="F1072" t="s">
        <v>7304</v>
      </c>
      <c r="G1072" t="s">
        <v>7305</v>
      </c>
      <c r="H1072" t="s">
        <v>42</v>
      </c>
      <c r="I1072" t="s">
        <v>7306</v>
      </c>
      <c r="J1072" t="s">
        <v>7307</v>
      </c>
      <c r="K1072">
        <v>1180</v>
      </c>
      <c r="L1072" t="s">
        <v>505</v>
      </c>
      <c r="M1072" t="s">
        <v>46</v>
      </c>
      <c r="N1072" t="s">
        <v>47</v>
      </c>
      <c r="O1072">
        <v>1</v>
      </c>
      <c r="P1072">
        <v>1</v>
      </c>
      <c r="Q1072">
        <v>1</v>
      </c>
      <c r="R1072" t="s">
        <v>48</v>
      </c>
      <c r="S1072" t="s">
        <v>49</v>
      </c>
      <c r="T1072" s="3">
        <v>0.84</v>
      </c>
      <c r="U1072" s="3">
        <v>0.23</v>
      </c>
      <c r="V1072" s="3">
        <v>0.94</v>
      </c>
      <c r="W1072">
        <v>2.1</v>
      </c>
      <c r="X1072" t="s">
        <v>50</v>
      </c>
      <c r="Y1072" s="3">
        <v>10.57</v>
      </c>
      <c r="Z1072" t="s">
        <v>83</v>
      </c>
      <c r="AA1072" t="s">
        <v>4162</v>
      </c>
      <c r="AB1072" t="s">
        <v>53</v>
      </c>
      <c r="AC1072" s="3">
        <v>1.27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f t="shared" si="32"/>
        <v>13.85</v>
      </c>
      <c r="AK1072" s="3">
        <f t="shared" si="33"/>
        <v>3.2799999999999994</v>
      </c>
    </row>
    <row r="1073" spans="1:37">
      <c r="A1073">
        <v>10334182</v>
      </c>
      <c r="B1073" t="s">
        <v>37</v>
      </c>
      <c r="C1073" t="s">
        <v>7308</v>
      </c>
      <c r="E1073" t="s">
        <v>985</v>
      </c>
      <c r="F1073" t="s">
        <v>7309</v>
      </c>
      <c r="G1073" t="s">
        <v>7310</v>
      </c>
      <c r="H1073" t="s">
        <v>42</v>
      </c>
      <c r="I1073" t="s">
        <v>7311</v>
      </c>
      <c r="J1073" t="s">
        <v>7312</v>
      </c>
      <c r="K1073">
        <v>85598</v>
      </c>
      <c r="L1073" t="s">
        <v>71</v>
      </c>
      <c r="M1073" t="s">
        <v>46</v>
      </c>
      <c r="N1073" t="s">
        <v>47</v>
      </c>
      <c r="O1073">
        <v>5</v>
      </c>
      <c r="P1073">
        <v>1</v>
      </c>
      <c r="Q1073">
        <v>5</v>
      </c>
      <c r="R1073" t="s">
        <v>48</v>
      </c>
      <c r="S1073" t="s">
        <v>49</v>
      </c>
      <c r="T1073" s="3">
        <v>0.84</v>
      </c>
      <c r="U1073" s="3">
        <v>0.23</v>
      </c>
      <c r="V1073" s="3">
        <v>4.42</v>
      </c>
      <c r="W1073">
        <v>2.37</v>
      </c>
      <c r="X1073" t="s">
        <v>72</v>
      </c>
      <c r="Y1073" s="3">
        <v>8.19</v>
      </c>
      <c r="Z1073" t="s">
        <v>73</v>
      </c>
      <c r="AA1073" t="s">
        <v>7313</v>
      </c>
      <c r="AB1073" t="s">
        <v>53</v>
      </c>
      <c r="AC1073" s="3">
        <v>1.29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f t="shared" si="32"/>
        <v>14.97</v>
      </c>
      <c r="AK1073" s="3">
        <f t="shared" si="33"/>
        <v>6.7800000000000011</v>
      </c>
    </row>
    <row r="1074" spans="1:37">
      <c r="A1074">
        <v>10316957</v>
      </c>
      <c r="B1074" t="s">
        <v>111</v>
      </c>
      <c r="C1074" t="s">
        <v>7314</v>
      </c>
      <c r="D1074" t="s">
        <v>968</v>
      </c>
      <c r="E1074" t="s">
        <v>969</v>
      </c>
      <c r="F1074" t="s">
        <v>970</v>
      </c>
      <c r="G1074" t="s">
        <v>7315</v>
      </c>
      <c r="H1074" t="s">
        <v>117</v>
      </c>
      <c r="I1074" t="s">
        <v>7316</v>
      </c>
      <c r="J1074" t="s">
        <v>973</v>
      </c>
      <c r="K1074">
        <v>29200</v>
      </c>
      <c r="L1074" t="s">
        <v>130</v>
      </c>
      <c r="M1074" t="s">
        <v>46</v>
      </c>
      <c r="N1074" t="s">
        <v>47</v>
      </c>
      <c r="O1074">
        <v>51</v>
      </c>
      <c r="P1074">
        <v>2</v>
      </c>
      <c r="Q1074">
        <v>51</v>
      </c>
      <c r="R1074" t="s">
        <v>48</v>
      </c>
      <c r="S1074" t="s">
        <v>49</v>
      </c>
      <c r="T1074" s="3">
        <v>7</v>
      </c>
      <c r="U1074" s="3">
        <v>0.23</v>
      </c>
      <c r="V1074" s="3">
        <v>50.44</v>
      </c>
      <c r="W1074">
        <v>34</v>
      </c>
      <c r="X1074" t="s">
        <v>131</v>
      </c>
      <c r="Y1074" s="3">
        <v>28.16</v>
      </c>
      <c r="Z1074" t="s">
        <v>744</v>
      </c>
      <c r="AA1074" t="s">
        <v>7317</v>
      </c>
      <c r="AB1074" t="s">
        <v>53</v>
      </c>
      <c r="AC1074" s="3">
        <v>3.74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f t="shared" si="32"/>
        <v>89.570000000000007</v>
      </c>
      <c r="AK1074" s="3">
        <f t="shared" si="33"/>
        <v>61.410000000000011</v>
      </c>
    </row>
    <row r="1075" spans="1:37">
      <c r="A1075">
        <v>10330926</v>
      </c>
      <c r="B1075" t="s">
        <v>111</v>
      </c>
      <c r="C1075" t="s">
        <v>7318</v>
      </c>
      <c r="D1075" t="s">
        <v>7319</v>
      </c>
      <c r="E1075" t="s">
        <v>7320</v>
      </c>
      <c r="F1075" t="s">
        <v>7321</v>
      </c>
      <c r="G1075" t="s">
        <v>7322</v>
      </c>
      <c r="H1075" t="s">
        <v>117</v>
      </c>
      <c r="I1075" t="s">
        <v>7323</v>
      </c>
      <c r="J1075" t="s">
        <v>7324</v>
      </c>
      <c r="K1075">
        <v>92100</v>
      </c>
      <c r="L1075" t="s">
        <v>130</v>
      </c>
      <c r="M1075" t="s">
        <v>46</v>
      </c>
      <c r="N1075" t="s">
        <v>47</v>
      </c>
      <c r="O1075">
        <v>56</v>
      </c>
      <c r="P1075">
        <v>2</v>
      </c>
      <c r="Q1075">
        <v>56</v>
      </c>
      <c r="R1075" t="s">
        <v>48</v>
      </c>
      <c r="S1075" t="s">
        <v>49</v>
      </c>
      <c r="T1075" s="3">
        <v>7</v>
      </c>
      <c r="U1075" s="3">
        <v>0.23</v>
      </c>
      <c r="V1075" s="3">
        <v>53.39</v>
      </c>
      <c r="W1075">
        <v>32</v>
      </c>
      <c r="X1075" t="s">
        <v>131</v>
      </c>
      <c r="Y1075" s="3">
        <v>28.16</v>
      </c>
      <c r="Z1075" t="s">
        <v>744</v>
      </c>
      <c r="AA1075" t="s">
        <v>7325</v>
      </c>
      <c r="AB1075" t="s">
        <v>53</v>
      </c>
      <c r="AC1075" s="3">
        <v>3.74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f t="shared" si="32"/>
        <v>92.52</v>
      </c>
      <c r="AK1075" s="3">
        <f t="shared" si="33"/>
        <v>64.36</v>
      </c>
    </row>
    <row r="1076" spans="1:37">
      <c r="A1076">
        <v>10334594</v>
      </c>
      <c r="B1076" t="s">
        <v>37</v>
      </c>
      <c r="C1076" t="s">
        <v>7326</v>
      </c>
      <c r="E1076" t="s">
        <v>39</v>
      </c>
      <c r="F1076" t="s">
        <v>7327</v>
      </c>
      <c r="G1076" t="s">
        <v>7328</v>
      </c>
      <c r="H1076" t="s">
        <v>42</v>
      </c>
      <c r="I1076" t="s">
        <v>7329</v>
      </c>
      <c r="J1076" t="s">
        <v>7330</v>
      </c>
      <c r="K1076">
        <v>76137</v>
      </c>
      <c r="L1076" t="s">
        <v>71</v>
      </c>
      <c r="M1076" t="s">
        <v>46</v>
      </c>
      <c r="N1076" t="s">
        <v>47</v>
      </c>
      <c r="O1076">
        <v>1</v>
      </c>
      <c r="P1076">
        <v>1</v>
      </c>
      <c r="Q1076">
        <v>1</v>
      </c>
      <c r="R1076" t="s">
        <v>48</v>
      </c>
      <c r="S1076" t="s">
        <v>49</v>
      </c>
      <c r="T1076" s="3">
        <v>0.84</v>
      </c>
      <c r="U1076" s="3">
        <v>0.23</v>
      </c>
      <c r="V1076" s="3">
        <v>0.94</v>
      </c>
      <c r="W1076">
        <v>0.59</v>
      </c>
      <c r="X1076" t="s">
        <v>108</v>
      </c>
      <c r="Y1076" s="3">
        <v>5.14</v>
      </c>
      <c r="Z1076" t="s">
        <v>109</v>
      </c>
      <c r="AA1076" t="s">
        <v>245</v>
      </c>
      <c r="AB1076" t="s">
        <v>53</v>
      </c>
      <c r="AC1076" s="3">
        <v>1.06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f t="shared" si="32"/>
        <v>8.2099999999999991</v>
      </c>
      <c r="AK1076" s="3">
        <f t="shared" si="33"/>
        <v>3.0699999999999994</v>
      </c>
    </row>
    <row r="1077" spans="1:37">
      <c r="A1077">
        <v>10334595</v>
      </c>
      <c r="B1077" t="s">
        <v>37</v>
      </c>
      <c r="C1077" t="s">
        <v>7331</v>
      </c>
      <c r="E1077" t="s">
        <v>445</v>
      </c>
      <c r="F1077" t="s">
        <v>788</v>
      </c>
      <c r="G1077" t="s">
        <v>7332</v>
      </c>
      <c r="H1077" t="s">
        <v>42</v>
      </c>
      <c r="I1077" t="s">
        <v>7333</v>
      </c>
      <c r="J1077" t="s">
        <v>7334</v>
      </c>
      <c r="K1077" t="s">
        <v>7335</v>
      </c>
      <c r="L1077" t="s">
        <v>142</v>
      </c>
      <c r="M1077" t="s">
        <v>46</v>
      </c>
      <c r="N1077" t="s">
        <v>47</v>
      </c>
      <c r="O1077">
        <v>5</v>
      </c>
      <c r="P1077">
        <v>1</v>
      </c>
      <c r="Q1077">
        <v>5</v>
      </c>
      <c r="R1077" t="s">
        <v>48</v>
      </c>
      <c r="S1077" t="s">
        <v>49</v>
      </c>
      <c r="T1077" s="3">
        <v>0.84</v>
      </c>
      <c r="U1077" s="3">
        <v>0.23</v>
      </c>
      <c r="V1077" s="3">
        <v>4.42</v>
      </c>
      <c r="W1077">
        <v>1.8</v>
      </c>
      <c r="X1077" t="s">
        <v>50</v>
      </c>
      <c r="Y1077" s="3">
        <v>16.43</v>
      </c>
      <c r="Z1077" t="s">
        <v>73</v>
      </c>
      <c r="AA1077" t="s">
        <v>7336</v>
      </c>
      <c r="AB1077" t="s">
        <v>53</v>
      </c>
      <c r="AC1077" s="3">
        <v>1.29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f t="shared" si="32"/>
        <v>23.21</v>
      </c>
      <c r="AK1077" s="3">
        <f t="shared" si="33"/>
        <v>6.7800000000000011</v>
      </c>
    </row>
    <row r="1078" spans="1:37">
      <c r="A1078">
        <v>10334596</v>
      </c>
      <c r="B1078" t="s">
        <v>37</v>
      </c>
      <c r="C1078" t="s">
        <v>7337</v>
      </c>
      <c r="E1078" t="s">
        <v>7338</v>
      </c>
      <c r="F1078" t="s">
        <v>7339</v>
      </c>
      <c r="G1078" t="s">
        <v>7340</v>
      </c>
      <c r="H1078" t="s">
        <v>42</v>
      </c>
      <c r="I1078" t="s">
        <v>7341</v>
      </c>
      <c r="J1078" t="s">
        <v>7342</v>
      </c>
      <c r="K1078">
        <v>60320</v>
      </c>
      <c r="L1078" t="s">
        <v>71</v>
      </c>
      <c r="M1078" t="s">
        <v>46</v>
      </c>
      <c r="N1078" t="s">
        <v>47</v>
      </c>
      <c r="O1078">
        <v>1</v>
      </c>
      <c r="P1078">
        <v>1</v>
      </c>
      <c r="Q1078">
        <v>1</v>
      </c>
      <c r="R1078" t="s">
        <v>48</v>
      </c>
      <c r="S1078" t="s">
        <v>49</v>
      </c>
      <c r="T1078" s="3">
        <v>0.84</v>
      </c>
      <c r="U1078" s="3">
        <v>0.23</v>
      </c>
      <c r="V1078" s="3">
        <v>0.94</v>
      </c>
      <c r="W1078">
        <v>0.59</v>
      </c>
      <c r="X1078" t="s">
        <v>108</v>
      </c>
      <c r="Y1078" s="3">
        <v>6.53</v>
      </c>
      <c r="Z1078" t="s">
        <v>109</v>
      </c>
      <c r="AA1078" t="s">
        <v>1371</v>
      </c>
      <c r="AB1078" t="s">
        <v>53</v>
      </c>
      <c r="AC1078" s="3">
        <v>1.06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f t="shared" si="32"/>
        <v>9.6</v>
      </c>
      <c r="AK1078" s="3">
        <f t="shared" si="33"/>
        <v>3.0699999999999994</v>
      </c>
    </row>
    <row r="1079" spans="1:37">
      <c r="A1079">
        <v>10334597</v>
      </c>
      <c r="B1079" t="s">
        <v>37</v>
      </c>
      <c r="C1079" t="s">
        <v>7343</v>
      </c>
      <c r="E1079" t="s">
        <v>7344</v>
      </c>
      <c r="F1079" t="s">
        <v>7345</v>
      </c>
      <c r="G1079" t="s">
        <v>7346</v>
      </c>
      <c r="H1079" t="s">
        <v>42</v>
      </c>
      <c r="I1079" t="s">
        <v>7347</v>
      </c>
      <c r="J1079" t="s">
        <v>7348</v>
      </c>
      <c r="K1079">
        <v>79618</v>
      </c>
      <c r="L1079" t="s">
        <v>71</v>
      </c>
      <c r="M1079" t="s">
        <v>46</v>
      </c>
      <c r="N1079" t="s">
        <v>47</v>
      </c>
      <c r="O1079">
        <v>3</v>
      </c>
      <c r="P1079">
        <v>1</v>
      </c>
      <c r="Q1079">
        <v>3</v>
      </c>
      <c r="R1079" t="s">
        <v>48</v>
      </c>
      <c r="S1079" t="s">
        <v>49</v>
      </c>
      <c r="T1079" s="3">
        <v>0.84</v>
      </c>
      <c r="U1079" s="3">
        <v>0.23</v>
      </c>
      <c r="V1079" s="3">
        <v>2.68</v>
      </c>
      <c r="W1079">
        <v>0.88</v>
      </c>
      <c r="X1079" t="s">
        <v>108</v>
      </c>
      <c r="Y1079" s="3">
        <v>6.53</v>
      </c>
      <c r="Z1079" t="s">
        <v>109</v>
      </c>
      <c r="AA1079" t="s">
        <v>7349</v>
      </c>
      <c r="AB1079" t="s">
        <v>53</v>
      </c>
      <c r="AC1079" s="3">
        <v>1.06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f t="shared" si="32"/>
        <v>11.34</v>
      </c>
      <c r="AK1079" s="3">
        <f t="shared" si="33"/>
        <v>4.8099999999999996</v>
      </c>
    </row>
    <row r="1080" spans="1:37">
      <c r="A1080">
        <v>10334801</v>
      </c>
      <c r="B1080" t="s">
        <v>37</v>
      </c>
      <c r="C1080" t="s">
        <v>7350</v>
      </c>
      <c r="E1080" t="s">
        <v>7351</v>
      </c>
      <c r="F1080" t="s">
        <v>7352</v>
      </c>
      <c r="G1080" t="s">
        <v>7353</v>
      </c>
      <c r="H1080" t="s">
        <v>42</v>
      </c>
      <c r="I1080" t="s">
        <v>7354</v>
      </c>
      <c r="J1080" t="s">
        <v>7355</v>
      </c>
      <c r="K1080" t="s">
        <v>7356</v>
      </c>
      <c r="L1080" t="s">
        <v>142</v>
      </c>
      <c r="M1080" t="s">
        <v>46</v>
      </c>
      <c r="N1080" t="s">
        <v>47</v>
      </c>
      <c r="O1080">
        <v>3</v>
      </c>
      <c r="P1080">
        <v>1</v>
      </c>
      <c r="Q1080">
        <v>3</v>
      </c>
      <c r="R1080" t="s">
        <v>48</v>
      </c>
      <c r="S1080" t="s">
        <v>49</v>
      </c>
      <c r="T1080" s="3">
        <v>0.84</v>
      </c>
      <c r="U1080" s="3">
        <v>0.23</v>
      </c>
      <c r="V1080" s="3">
        <v>2.68</v>
      </c>
      <c r="W1080">
        <v>1.45</v>
      </c>
      <c r="X1080" t="s">
        <v>50</v>
      </c>
      <c r="Y1080" s="3">
        <v>16.43</v>
      </c>
      <c r="Z1080" t="s">
        <v>73</v>
      </c>
      <c r="AA1080" t="s">
        <v>7357</v>
      </c>
      <c r="AB1080" t="s">
        <v>53</v>
      </c>
      <c r="AC1080" s="3">
        <v>1.29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f t="shared" si="32"/>
        <v>21.47</v>
      </c>
      <c r="AK1080" s="3">
        <f t="shared" si="33"/>
        <v>5.0399999999999991</v>
      </c>
    </row>
    <row r="1081" spans="1:37">
      <c r="A1081">
        <v>10335419</v>
      </c>
      <c r="B1081" t="s">
        <v>37</v>
      </c>
      <c r="C1081" t="s">
        <v>7358</v>
      </c>
      <c r="D1081" t="s">
        <v>7359</v>
      </c>
      <c r="E1081" t="s">
        <v>7360</v>
      </c>
      <c r="F1081" t="s">
        <v>7159</v>
      </c>
      <c r="G1081" t="s">
        <v>7361</v>
      </c>
      <c r="H1081" t="s">
        <v>42</v>
      </c>
      <c r="I1081" t="s">
        <v>7362</v>
      </c>
      <c r="J1081" t="s">
        <v>7363</v>
      </c>
      <c r="K1081">
        <v>90015</v>
      </c>
      <c r="L1081" t="s">
        <v>283</v>
      </c>
      <c r="M1081" t="s">
        <v>46</v>
      </c>
      <c r="N1081" t="s">
        <v>47</v>
      </c>
      <c r="O1081">
        <v>7</v>
      </c>
      <c r="P1081">
        <v>1</v>
      </c>
      <c r="Q1081">
        <v>7</v>
      </c>
      <c r="R1081" t="s">
        <v>48</v>
      </c>
      <c r="S1081" t="s">
        <v>49</v>
      </c>
      <c r="T1081" s="3">
        <v>0.84</v>
      </c>
      <c r="U1081" s="3">
        <v>0.23</v>
      </c>
      <c r="V1081" s="3">
        <v>6.16</v>
      </c>
      <c r="W1081">
        <v>2.54</v>
      </c>
      <c r="X1081" t="s">
        <v>50</v>
      </c>
      <c r="Y1081" s="3">
        <v>14.98</v>
      </c>
      <c r="Z1081" t="s">
        <v>73</v>
      </c>
      <c r="AA1081" t="s">
        <v>7364</v>
      </c>
      <c r="AB1081" t="s">
        <v>53</v>
      </c>
      <c r="AC1081" s="3">
        <v>1.29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f t="shared" si="32"/>
        <v>23.5</v>
      </c>
      <c r="AK1081" s="3">
        <f t="shared" si="33"/>
        <v>8.52</v>
      </c>
    </row>
    <row r="1082" spans="1:37">
      <c r="A1082">
        <v>10335802</v>
      </c>
      <c r="B1082" t="s">
        <v>37</v>
      </c>
      <c r="C1082" t="s">
        <v>7365</v>
      </c>
      <c r="E1082" t="s">
        <v>2025</v>
      </c>
      <c r="F1082" t="s">
        <v>2026</v>
      </c>
      <c r="G1082" t="s">
        <v>7366</v>
      </c>
      <c r="H1082" t="s">
        <v>42</v>
      </c>
      <c r="I1082" t="s">
        <v>7367</v>
      </c>
      <c r="J1082" t="s">
        <v>2029</v>
      </c>
      <c r="K1082" t="s">
        <v>2030</v>
      </c>
      <c r="L1082" t="s">
        <v>421</v>
      </c>
      <c r="M1082" t="s">
        <v>46</v>
      </c>
      <c r="N1082" t="s">
        <v>47</v>
      </c>
      <c r="O1082">
        <v>4</v>
      </c>
      <c r="P1082">
        <v>1</v>
      </c>
      <c r="Q1082">
        <v>4</v>
      </c>
      <c r="R1082" t="s">
        <v>48</v>
      </c>
      <c r="S1082" t="s">
        <v>49</v>
      </c>
      <c r="T1082" s="3">
        <v>0.84</v>
      </c>
      <c r="U1082" s="3">
        <v>0.23</v>
      </c>
      <c r="V1082" s="3">
        <v>3.55</v>
      </c>
      <c r="W1082">
        <v>1.33</v>
      </c>
      <c r="X1082" t="s">
        <v>50</v>
      </c>
      <c r="Y1082" s="3">
        <v>80.75</v>
      </c>
      <c r="Z1082" t="s">
        <v>73</v>
      </c>
      <c r="AA1082" t="s">
        <v>7368</v>
      </c>
      <c r="AB1082" t="s">
        <v>53</v>
      </c>
      <c r="AC1082" s="3">
        <v>1.29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f t="shared" si="32"/>
        <v>86.660000000000011</v>
      </c>
      <c r="AK1082" s="3">
        <f t="shared" si="33"/>
        <v>5.9100000000000108</v>
      </c>
    </row>
    <row r="1083" spans="1:37">
      <c r="A1083">
        <v>10336561</v>
      </c>
      <c r="B1083" t="s">
        <v>37</v>
      </c>
      <c r="C1083" t="s">
        <v>7369</v>
      </c>
      <c r="E1083" t="s">
        <v>7370</v>
      </c>
      <c r="F1083" t="s">
        <v>7370</v>
      </c>
      <c r="G1083" t="s">
        <v>7371</v>
      </c>
      <c r="H1083" t="s">
        <v>42</v>
      </c>
      <c r="I1083" t="s">
        <v>7372</v>
      </c>
      <c r="J1083" t="s">
        <v>7373</v>
      </c>
      <c r="K1083" t="s">
        <v>7374</v>
      </c>
      <c r="L1083" t="s">
        <v>142</v>
      </c>
      <c r="M1083" t="s">
        <v>46</v>
      </c>
      <c r="N1083" t="s">
        <v>47</v>
      </c>
      <c r="O1083">
        <v>4</v>
      </c>
      <c r="P1083">
        <v>1</v>
      </c>
      <c r="Q1083">
        <v>4</v>
      </c>
      <c r="R1083" t="s">
        <v>48</v>
      </c>
      <c r="S1083" t="s">
        <v>49</v>
      </c>
      <c r="T1083" s="3">
        <v>0.84</v>
      </c>
      <c r="U1083" s="3">
        <v>0.23</v>
      </c>
      <c r="V1083" s="3">
        <v>3.55</v>
      </c>
      <c r="W1083">
        <v>1.66</v>
      </c>
      <c r="X1083" t="s">
        <v>50</v>
      </c>
      <c r="Y1083" s="3">
        <v>16.43</v>
      </c>
      <c r="Z1083" t="s">
        <v>73</v>
      </c>
      <c r="AA1083" t="s">
        <v>1569</v>
      </c>
      <c r="AB1083" t="s">
        <v>53</v>
      </c>
      <c r="AC1083" s="3">
        <v>1.29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f t="shared" si="32"/>
        <v>22.34</v>
      </c>
      <c r="AK1083" s="3">
        <f t="shared" si="33"/>
        <v>5.91</v>
      </c>
    </row>
    <row r="1084" spans="1:37">
      <c r="A1084">
        <v>10334804</v>
      </c>
      <c r="B1084" t="s">
        <v>37</v>
      </c>
      <c r="C1084" t="s">
        <v>7375</v>
      </c>
      <c r="E1084" t="s">
        <v>7376</v>
      </c>
      <c r="F1084" t="s">
        <v>7377</v>
      </c>
      <c r="G1084" t="s">
        <v>7378</v>
      </c>
      <c r="H1084" t="s">
        <v>42</v>
      </c>
      <c r="I1084" t="s">
        <v>7379</v>
      </c>
      <c r="J1084" t="s">
        <v>7380</v>
      </c>
      <c r="K1084">
        <v>40549</v>
      </c>
      <c r="L1084" t="s">
        <v>71</v>
      </c>
      <c r="M1084" t="s">
        <v>46</v>
      </c>
      <c r="N1084" t="s">
        <v>47</v>
      </c>
      <c r="O1084">
        <v>4</v>
      </c>
      <c r="P1084">
        <v>1</v>
      </c>
      <c r="Q1084">
        <v>4</v>
      </c>
      <c r="R1084" t="s">
        <v>48</v>
      </c>
      <c r="S1084" t="s">
        <v>49</v>
      </c>
      <c r="T1084" s="3">
        <v>0.84</v>
      </c>
      <c r="U1084" s="3">
        <v>0.23</v>
      </c>
      <c r="V1084" s="3">
        <v>3.55</v>
      </c>
      <c r="W1084">
        <v>2.06</v>
      </c>
      <c r="X1084" t="s">
        <v>72</v>
      </c>
      <c r="Y1084" s="3">
        <v>5.44</v>
      </c>
      <c r="Z1084" t="s">
        <v>73</v>
      </c>
      <c r="AA1084" t="s">
        <v>1835</v>
      </c>
      <c r="AB1084" t="s">
        <v>53</v>
      </c>
      <c r="AC1084" s="3">
        <v>1.29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f t="shared" si="32"/>
        <v>11.350000000000001</v>
      </c>
      <c r="AK1084" s="3">
        <f t="shared" si="33"/>
        <v>5.910000000000001</v>
      </c>
    </row>
    <row r="1085" spans="1:37">
      <c r="A1085">
        <v>10336881</v>
      </c>
      <c r="B1085" t="s">
        <v>37</v>
      </c>
      <c r="C1085" t="s">
        <v>7381</v>
      </c>
      <c r="E1085" t="s">
        <v>7382</v>
      </c>
      <c r="F1085" t="s">
        <v>7383</v>
      </c>
      <c r="G1085" t="s">
        <v>7384</v>
      </c>
      <c r="H1085" t="s">
        <v>42</v>
      </c>
      <c r="I1085" t="s">
        <v>7385</v>
      </c>
      <c r="J1085" t="s">
        <v>7386</v>
      </c>
      <c r="K1085" t="s">
        <v>7387</v>
      </c>
      <c r="L1085" t="s">
        <v>82</v>
      </c>
      <c r="M1085" t="s">
        <v>46</v>
      </c>
      <c r="N1085" t="s">
        <v>47</v>
      </c>
      <c r="O1085">
        <v>1</v>
      </c>
      <c r="P1085">
        <v>1</v>
      </c>
      <c r="Q1085">
        <v>1</v>
      </c>
      <c r="R1085" t="s">
        <v>48</v>
      </c>
      <c r="S1085" t="s">
        <v>49</v>
      </c>
      <c r="T1085" s="3">
        <v>0.84</v>
      </c>
      <c r="U1085" s="3">
        <v>0.23</v>
      </c>
      <c r="V1085" s="3">
        <v>0.94</v>
      </c>
      <c r="W1085">
        <v>0.55000000000000004</v>
      </c>
      <c r="X1085" t="s">
        <v>50</v>
      </c>
      <c r="Y1085" s="3">
        <v>9.19</v>
      </c>
      <c r="Z1085" t="s">
        <v>109</v>
      </c>
      <c r="AA1085" t="s">
        <v>7388</v>
      </c>
      <c r="AB1085" t="s">
        <v>53</v>
      </c>
      <c r="AC1085" s="3">
        <v>1.06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f t="shared" si="32"/>
        <v>12.26</v>
      </c>
      <c r="AK1085" s="3">
        <f t="shared" si="33"/>
        <v>3.0700000000000003</v>
      </c>
    </row>
    <row r="1086" spans="1:37">
      <c r="A1086">
        <v>10338445</v>
      </c>
      <c r="B1086" t="s">
        <v>37</v>
      </c>
      <c r="C1086" t="s">
        <v>7389</v>
      </c>
      <c r="E1086" t="s">
        <v>7390</v>
      </c>
      <c r="F1086" t="s">
        <v>7391</v>
      </c>
      <c r="G1086" t="s">
        <v>7392</v>
      </c>
      <c r="H1086" t="s">
        <v>42</v>
      </c>
      <c r="I1086" t="s">
        <v>7393</v>
      </c>
      <c r="J1086" t="s">
        <v>7394</v>
      </c>
      <c r="K1086" t="s">
        <v>7395</v>
      </c>
      <c r="L1086" t="s">
        <v>142</v>
      </c>
      <c r="M1086" t="s">
        <v>46</v>
      </c>
      <c r="N1086" t="s">
        <v>47</v>
      </c>
      <c r="O1086">
        <v>1</v>
      </c>
      <c r="P1086">
        <v>1</v>
      </c>
      <c r="Q1086">
        <v>1</v>
      </c>
      <c r="R1086" t="s">
        <v>48</v>
      </c>
      <c r="S1086" t="s">
        <v>49</v>
      </c>
      <c r="T1086" s="3">
        <v>0.84</v>
      </c>
      <c r="U1086" s="3">
        <v>0.23</v>
      </c>
      <c r="V1086" s="3">
        <v>0.94</v>
      </c>
      <c r="W1086">
        <v>0.59</v>
      </c>
      <c r="X1086" t="s">
        <v>50</v>
      </c>
      <c r="Y1086" s="3">
        <v>16.43</v>
      </c>
      <c r="Z1086" t="s">
        <v>73</v>
      </c>
      <c r="AA1086" t="s">
        <v>2623</v>
      </c>
      <c r="AB1086" t="s">
        <v>53</v>
      </c>
      <c r="AC1086" s="3">
        <v>1.29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f t="shared" si="32"/>
        <v>19.73</v>
      </c>
      <c r="AK1086" s="3">
        <f t="shared" si="33"/>
        <v>3.3000000000000007</v>
      </c>
    </row>
    <row r="1087" spans="1:37">
      <c r="A1087">
        <v>10338449</v>
      </c>
      <c r="B1087" t="s">
        <v>37</v>
      </c>
      <c r="C1087" t="s">
        <v>7396</v>
      </c>
      <c r="E1087" t="s">
        <v>7397</v>
      </c>
      <c r="F1087" t="s">
        <v>7398</v>
      </c>
      <c r="G1087" t="s">
        <v>7399</v>
      </c>
      <c r="H1087" t="s">
        <v>42</v>
      </c>
      <c r="I1087" t="s">
        <v>7400</v>
      </c>
      <c r="J1087" t="s">
        <v>7401</v>
      </c>
      <c r="K1087">
        <v>14532</v>
      </c>
      <c r="L1087" t="s">
        <v>71</v>
      </c>
      <c r="M1087" t="s">
        <v>46</v>
      </c>
      <c r="N1087" t="s">
        <v>47</v>
      </c>
      <c r="O1087">
        <v>1</v>
      </c>
      <c r="P1087">
        <v>1</v>
      </c>
      <c r="Q1087">
        <v>1</v>
      </c>
      <c r="R1087" t="s">
        <v>48</v>
      </c>
      <c r="S1087" t="s">
        <v>49</v>
      </c>
      <c r="T1087" s="3">
        <v>0.84</v>
      </c>
      <c r="U1087" s="3">
        <v>0.23</v>
      </c>
      <c r="V1087" s="3">
        <v>0.94</v>
      </c>
      <c r="W1087">
        <v>0.59</v>
      </c>
      <c r="X1087" t="s">
        <v>72</v>
      </c>
      <c r="Y1087" s="3">
        <v>6.83</v>
      </c>
      <c r="Z1087" t="s">
        <v>73</v>
      </c>
      <c r="AA1087" t="s">
        <v>2623</v>
      </c>
      <c r="AB1087" t="s">
        <v>53</v>
      </c>
      <c r="AC1087" s="3">
        <v>1.29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f t="shared" si="32"/>
        <v>10.130000000000001</v>
      </c>
      <c r="AK1087" s="3">
        <f t="shared" si="33"/>
        <v>3.3000000000000007</v>
      </c>
    </row>
    <row r="1088" spans="1:37">
      <c r="A1088">
        <v>10334802</v>
      </c>
      <c r="B1088" t="s">
        <v>37</v>
      </c>
      <c r="C1088" t="s">
        <v>7402</v>
      </c>
      <c r="E1088" t="s">
        <v>2265</v>
      </c>
      <c r="F1088" t="s">
        <v>7403</v>
      </c>
      <c r="G1088" t="s">
        <v>7404</v>
      </c>
      <c r="H1088" t="s">
        <v>42</v>
      </c>
      <c r="I1088" t="s">
        <v>7405</v>
      </c>
      <c r="J1088" t="s">
        <v>7406</v>
      </c>
      <c r="K1088">
        <v>81669</v>
      </c>
      <c r="L1088" t="s">
        <v>71</v>
      </c>
      <c r="M1088" t="s">
        <v>46</v>
      </c>
      <c r="N1088" t="s">
        <v>47</v>
      </c>
      <c r="O1088">
        <v>1</v>
      </c>
      <c r="P1088">
        <v>1</v>
      </c>
      <c r="Q1088">
        <v>1</v>
      </c>
      <c r="R1088" t="s">
        <v>48</v>
      </c>
      <c r="S1088" t="s">
        <v>49</v>
      </c>
      <c r="T1088" s="3">
        <v>0.84</v>
      </c>
      <c r="U1088" s="3">
        <v>0.23</v>
      </c>
      <c r="V1088" s="3">
        <v>0.94</v>
      </c>
      <c r="W1088">
        <v>0.49</v>
      </c>
      <c r="X1088" t="s">
        <v>108</v>
      </c>
      <c r="Y1088" s="3">
        <v>5.14</v>
      </c>
      <c r="Z1088" t="s">
        <v>109</v>
      </c>
      <c r="AA1088" t="s">
        <v>7407</v>
      </c>
      <c r="AB1088" t="s">
        <v>53</v>
      </c>
      <c r="AC1088" s="3">
        <v>1.06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f t="shared" si="32"/>
        <v>8.2099999999999991</v>
      </c>
      <c r="AK1088" s="3">
        <f t="shared" si="33"/>
        <v>3.0699999999999994</v>
      </c>
    </row>
    <row r="1089" spans="1:37">
      <c r="A1089">
        <v>10338601</v>
      </c>
      <c r="B1089" t="s">
        <v>37</v>
      </c>
      <c r="C1089" t="s">
        <v>7408</v>
      </c>
      <c r="E1089" t="s">
        <v>7409</v>
      </c>
      <c r="F1089" t="s">
        <v>4319</v>
      </c>
      <c r="G1089" t="s">
        <v>7410</v>
      </c>
      <c r="H1089" t="s">
        <v>42</v>
      </c>
      <c r="I1089" t="s">
        <v>7411</v>
      </c>
      <c r="J1089" t="s">
        <v>7412</v>
      </c>
      <c r="K1089" t="s">
        <v>7413</v>
      </c>
      <c r="L1089" t="s">
        <v>142</v>
      </c>
      <c r="M1089" t="s">
        <v>46</v>
      </c>
      <c r="N1089" t="s">
        <v>47</v>
      </c>
      <c r="O1089">
        <v>2</v>
      </c>
      <c r="P1089">
        <v>1</v>
      </c>
      <c r="Q1089">
        <v>2</v>
      </c>
      <c r="R1089" t="s">
        <v>48</v>
      </c>
      <c r="S1089" t="s">
        <v>49</v>
      </c>
      <c r="T1089" s="3">
        <v>0.84</v>
      </c>
      <c r="U1089" s="3">
        <v>0.23</v>
      </c>
      <c r="V1089" s="3">
        <v>1.81</v>
      </c>
      <c r="W1089">
        <v>1.99</v>
      </c>
      <c r="X1089" t="s">
        <v>50</v>
      </c>
      <c r="Y1089" s="3">
        <v>16.43</v>
      </c>
      <c r="Z1089" t="s">
        <v>83</v>
      </c>
      <c r="AA1089" t="s">
        <v>7414</v>
      </c>
      <c r="AB1089" t="s">
        <v>53</v>
      </c>
      <c r="AC1089" s="3">
        <v>1.27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f t="shared" si="32"/>
        <v>20.58</v>
      </c>
      <c r="AK1089" s="3">
        <f t="shared" si="33"/>
        <v>4.1499999999999986</v>
      </c>
    </row>
    <row r="1090" spans="1:37">
      <c r="A1090">
        <v>10337970</v>
      </c>
      <c r="B1090" t="s">
        <v>37</v>
      </c>
      <c r="C1090" t="s">
        <v>7415</v>
      </c>
      <c r="E1090" t="s">
        <v>1743</v>
      </c>
      <c r="F1090" t="s">
        <v>7416</v>
      </c>
      <c r="G1090" t="s">
        <v>7417</v>
      </c>
      <c r="H1090" t="s">
        <v>42</v>
      </c>
      <c r="I1090" t="s">
        <v>7418</v>
      </c>
      <c r="J1090" t="s">
        <v>7419</v>
      </c>
      <c r="K1090">
        <v>4451</v>
      </c>
      <c r="L1090" t="s">
        <v>369</v>
      </c>
      <c r="M1090" t="s">
        <v>46</v>
      </c>
      <c r="N1090" t="s">
        <v>47</v>
      </c>
      <c r="O1090">
        <v>1</v>
      </c>
      <c r="P1090">
        <v>1</v>
      </c>
      <c r="Q1090">
        <v>1</v>
      </c>
      <c r="R1090" t="s">
        <v>48</v>
      </c>
      <c r="S1090" t="s">
        <v>49</v>
      </c>
      <c r="T1090" s="3">
        <v>0.84</v>
      </c>
      <c r="U1090" s="3">
        <v>0.23</v>
      </c>
      <c r="V1090" s="3">
        <v>0.94</v>
      </c>
      <c r="W1090">
        <v>0.49</v>
      </c>
      <c r="X1090" t="s">
        <v>50</v>
      </c>
      <c r="Y1090" s="3">
        <v>9.19</v>
      </c>
      <c r="Z1090" t="s">
        <v>109</v>
      </c>
      <c r="AA1090" t="s">
        <v>7420</v>
      </c>
      <c r="AB1090" t="s">
        <v>53</v>
      </c>
      <c r="AC1090" s="3">
        <v>1.06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f t="shared" ref="AJ1090:AJ1153" si="34">AI1090+AH1090+AG1090+AF1090+AE1090+AD1090+AC1090+Y1090+V1090+U1090+T1090</f>
        <v>12.26</v>
      </c>
      <c r="AK1090" s="3">
        <f t="shared" ref="AK1090:AK1153" si="35">AJ1090-Y1090</f>
        <v>3.0700000000000003</v>
      </c>
    </row>
    <row r="1091" spans="1:37">
      <c r="A1091">
        <v>10334799</v>
      </c>
      <c r="B1091" t="s">
        <v>37</v>
      </c>
      <c r="C1091" t="s">
        <v>7421</v>
      </c>
      <c r="E1091" t="s">
        <v>1094</v>
      </c>
      <c r="F1091" t="s">
        <v>7422</v>
      </c>
      <c r="G1091" t="s">
        <v>7423</v>
      </c>
      <c r="H1091" t="s">
        <v>42</v>
      </c>
      <c r="I1091" t="s">
        <v>7424</v>
      </c>
      <c r="J1091" t="s">
        <v>7425</v>
      </c>
      <c r="K1091">
        <v>10963</v>
      </c>
      <c r="L1091" t="s">
        <v>71</v>
      </c>
      <c r="M1091" t="s">
        <v>46</v>
      </c>
      <c r="N1091" t="s">
        <v>47</v>
      </c>
      <c r="O1091">
        <v>2</v>
      </c>
      <c r="P1091">
        <v>1</v>
      </c>
      <c r="Q1091">
        <v>2</v>
      </c>
      <c r="R1091" t="s">
        <v>48</v>
      </c>
      <c r="S1091" t="s">
        <v>49</v>
      </c>
      <c r="T1091" s="3">
        <v>0.84</v>
      </c>
      <c r="U1091" s="3">
        <v>0.23</v>
      </c>
      <c r="V1091" s="3">
        <v>1.81</v>
      </c>
      <c r="W1091">
        <v>0.8</v>
      </c>
      <c r="X1091" t="s">
        <v>72</v>
      </c>
      <c r="Y1091" s="3">
        <v>5.44</v>
      </c>
      <c r="Z1091" t="s">
        <v>73</v>
      </c>
      <c r="AA1091" t="s">
        <v>7426</v>
      </c>
      <c r="AB1091" t="s">
        <v>53</v>
      </c>
      <c r="AC1091" s="3">
        <v>1.29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f t="shared" si="34"/>
        <v>9.6100000000000012</v>
      </c>
      <c r="AK1091" s="3">
        <f t="shared" si="35"/>
        <v>4.1700000000000008</v>
      </c>
    </row>
    <row r="1092" spans="1:37">
      <c r="A1092">
        <v>10337469</v>
      </c>
      <c r="B1092" t="s">
        <v>37</v>
      </c>
      <c r="C1092" t="s">
        <v>7427</v>
      </c>
      <c r="E1092" t="s">
        <v>7428</v>
      </c>
      <c r="F1092" t="s">
        <v>7429</v>
      </c>
      <c r="G1092" t="s">
        <v>7430</v>
      </c>
      <c r="H1092" t="s">
        <v>42</v>
      </c>
      <c r="I1092" t="s">
        <v>7431</v>
      </c>
      <c r="J1092" t="s">
        <v>7432</v>
      </c>
      <c r="K1092" t="s">
        <v>7433</v>
      </c>
      <c r="L1092" t="s">
        <v>142</v>
      </c>
      <c r="M1092" t="s">
        <v>46</v>
      </c>
      <c r="N1092" t="s">
        <v>47</v>
      </c>
      <c r="O1092">
        <v>1</v>
      </c>
      <c r="P1092">
        <v>1</v>
      </c>
      <c r="Q1092">
        <v>1</v>
      </c>
      <c r="R1092" t="s">
        <v>48</v>
      </c>
      <c r="S1092" t="s">
        <v>49</v>
      </c>
      <c r="T1092" s="3">
        <v>0.84</v>
      </c>
      <c r="U1092" s="3">
        <v>0.23</v>
      </c>
      <c r="V1092" s="3">
        <v>0.94</v>
      </c>
      <c r="W1092">
        <v>2.1</v>
      </c>
      <c r="X1092" t="s">
        <v>50</v>
      </c>
      <c r="Y1092" s="3">
        <v>16.43</v>
      </c>
      <c r="Z1092" t="s">
        <v>73</v>
      </c>
      <c r="AA1092" t="s">
        <v>5063</v>
      </c>
      <c r="AB1092" t="s">
        <v>53</v>
      </c>
      <c r="AC1092" s="3">
        <v>1.29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f t="shared" si="34"/>
        <v>19.73</v>
      </c>
      <c r="AK1092" s="3">
        <f t="shared" si="35"/>
        <v>3.3000000000000007</v>
      </c>
    </row>
    <row r="1093" spans="1:37">
      <c r="A1093">
        <v>10337028</v>
      </c>
      <c r="B1093" t="s">
        <v>37</v>
      </c>
      <c r="C1093" t="s">
        <v>7434</v>
      </c>
      <c r="E1093" t="s">
        <v>1712</v>
      </c>
      <c r="F1093" t="s">
        <v>1712</v>
      </c>
      <c r="G1093" t="s">
        <v>7435</v>
      </c>
      <c r="H1093" t="s">
        <v>42</v>
      </c>
      <c r="I1093" t="s">
        <v>7436</v>
      </c>
      <c r="J1093" t="s">
        <v>7437</v>
      </c>
      <c r="K1093">
        <v>3600</v>
      </c>
      <c r="L1093" t="s">
        <v>505</v>
      </c>
      <c r="M1093" t="s">
        <v>46</v>
      </c>
      <c r="N1093" t="s">
        <v>47</v>
      </c>
      <c r="O1093">
        <v>1</v>
      </c>
      <c r="P1093">
        <v>1</v>
      </c>
      <c r="Q1093">
        <v>1</v>
      </c>
      <c r="R1093" t="s">
        <v>48</v>
      </c>
      <c r="S1093" t="s">
        <v>49</v>
      </c>
      <c r="T1093" s="3">
        <v>0.84</v>
      </c>
      <c r="U1093" s="3">
        <v>0.23</v>
      </c>
      <c r="V1093" s="3">
        <v>0.94</v>
      </c>
      <c r="W1093">
        <v>0.49</v>
      </c>
      <c r="X1093" t="s">
        <v>50</v>
      </c>
      <c r="Y1093" s="3">
        <v>9.19</v>
      </c>
      <c r="Z1093" t="s">
        <v>109</v>
      </c>
      <c r="AA1093" t="s">
        <v>714</v>
      </c>
      <c r="AB1093" t="s">
        <v>53</v>
      </c>
      <c r="AC1093" s="3">
        <v>1.06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f t="shared" si="34"/>
        <v>12.26</v>
      </c>
      <c r="AK1093" s="3">
        <f t="shared" si="35"/>
        <v>3.0700000000000003</v>
      </c>
    </row>
    <row r="1094" spans="1:37">
      <c r="A1094">
        <v>10335984</v>
      </c>
      <c r="B1094" t="s">
        <v>37</v>
      </c>
      <c r="C1094" t="s">
        <v>7438</v>
      </c>
      <c r="D1094" t="s">
        <v>7439</v>
      </c>
      <c r="E1094" t="s">
        <v>5031</v>
      </c>
      <c r="F1094" t="s">
        <v>7440</v>
      </c>
      <c r="G1094" t="s">
        <v>7441</v>
      </c>
      <c r="H1094" t="s">
        <v>42</v>
      </c>
      <c r="I1094" t="s">
        <v>7442</v>
      </c>
      <c r="J1094" t="s">
        <v>7443</v>
      </c>
      <c r="K1094">
        <v>47533</v>
      </c>
      <c r="L1094" t="s">
        <v>71</v>
      </c>
      <c r="M1094" t="s">
        <v>46</v>
      </c>
      <c r="N1094" t="s">
        <v>47</v>
      </c>
      <c r="O1094">
        <v>2</v>
      </c>
      <c r="P1094">
        <v>1</v>
      </c>
      <c r="Q1094">
        <v>2</v>
      </c>
      <c r="R1094" t="s">
        <v>48</v>
      </c>
      <c r="S1094" t="s">
        <v>49</v>
      </c>
      <c r="T1094" s="3">
        <v>0.84</v>
      </c>
      <c r="U1094" s="3">
        <v>0.23</v>
      </c>
      <c r="V1094" s="3">
        <v>1.81</v>
      </c>
      <c r="W1094">
        <v>1.08</v>
      </c>
      <c r="X1094" t="s">
        <v>108</v>
      </c>
      <c r="Y1094" s="3">
        <v>5.14</v>
      </c>
      <c r="Z1094" t="s">
        <v>109</v>
      </c>
      <c r="AA1094" t="s">
        <v>245</v>
      </c>
      <c r="AB1094" t="s">
        <v>53</v>
      </c>
      <c r="AC1094" s="3">
        <v>1.06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f t="shared" si="34"/>
        <v>9.08</v>
      </c>
      <c r="AK1094" s="3">
        <f t="shared" si="35"/>
        <v>3.9400000000000004</v>
      </c>
    </row>
    <row r="1095" spans="1:37">
      <c r="A1095">
        <v>10335025</v>
      </c>
      <c r="B1095" t="s">
        <v>37</v>
      </c>
      <c r="C1095" t="s">
        <v>7444</v>
      </c>
      <c r="E1095" t="s">
        <v>6594</v>
      </c>
      <c r="F1095" t="s">
        <v>7445</v>
      </c>
      <c r="G1095" t="s">
        <v>7446</v>
      </c>
      <c r="H1095" t="s">
        <v>42</v>
      </c>
      <c r="I1095" t="s">
        <v>7447</v>
      </c>
      <c r="J1095" t="s">
        <v>7448</v>
      </c>
      <c r="K1095">
        <v>51100</v>
      </c>
      <c r="L1095" t="s">
        <v>130</v>
      </c>
      <c r="M1095" t="s">
        <v>46</v>
      </c>
      <c r="N1095" t="s">
        <v>47</v>
      </c>
      <c r="O1095">
        <v>2</v>
      </c>
      <c r="P1095">
        <v>1</v>
      </c>
      <c r="Q1095">
        <v>2</v>
      </c>
      <c r="R1095" t="s">
        <v>48</v>
      </c>
      <c r="S1095" t="s">
        <v>49</v>
      </c>
      <c r="T1095" s="3">
        <v>0.84</v>
      </c>
      <c r="U1095" s="3">
        <v>0.23</v>
      </c>
      <c r="V1095" s="3">
        <v>1.81</v>
      </c>
      <c r="W1095">
        <v>1.08</v>
      </c>
      <c r="X1095" t="s">
        <v>50</v>
      </c>
      <c r="Y1095" s="3">
        <v>14.26</v>
      </c>
      <c r="Z1095" t="s">
        <v>73</v>
      </c>
      <c r="AA1095" t="s">
        <v>7449</v>
      </c>
      <c r="AB1095" t="s">
        <v>53</v>
      </c>
      <c r="AC1095" s="3">
        <v>1.29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f t="shared" si="34"/>
        <v>18.43</v>
      </c>
      <c r="AK1095" s="3">
        <f t="shared" si="35"/>
        <v>4.17</v>
      </c>
    </row>
    <row r="1096" spans="1:37">
      <c r="A1096">
        <v>10337788</v>
      </c>
      <c r="B1096" t="s">
        <v>37</v>
      </c>
      <c r="C1096" t="s">
        <v>7450</v>
      </c>
      <c r="E1096" t="s">
        <v>7451</v>
      </c>
      <c r="F1096" t="s">
        <v>7452</v>
      </c>
      <c r="G1096" t="s">
        <v>7453</v>
      </c>
      <c r="H1096" t="s">
        <v>42</v>
      </c>
      <c r="I1096" t="s">
        <v>7454</v>
      </c>
      <c r="J1096" t="s">
        <v>7455</v>
      </c>
      <c r="K1096">
        <v>60484</v>
      </c>
      <c r="L1096" t="s">
        <v>71</v>
      </c>
      <c r="M1096" t="s">
        <v>46</v>
      </c>
      <c r="N1096" t="s">
        <v>47</v>
      </c>
      <c r="O1096">
        <v>1</v>
      </c>
      <c r="P1096">
        <v>1</v>
      </c>
      <c r="Q1096">
        <v>1</v>
      </c>
      <c r="R1096" t="s">
        <v>48</v>
      </c>
      <c r="S1096" t="s">
        <v>49</v>
      </c>
      <c r="T1096" s="3">
        <v>0.84</v>
      </c>
      <c r="U1096" s="3">
        <v>0.23</v>
      </c>
      <c r="V1096" s="3">
        <v>0.94</v>
      </c>
      <c r="W1096">
        <v>0.49</v>
      </c>
      <c r="X1096" t="s">
        <v>72</v>
      </c>
      <c r="Y1096" s="3">
        <v>5.44</v>
      </c>
      <c r="Z1096" t="s">
        <v>73</v>
      </c>
      <c r="AA1096" t="s">
        <v>714</v>
      </c>
      <c r="AB1096" t="s">
        <v>53</v>
      </c>
      <c r="AC1096" s="3">
        <v>1.29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f t="shared" si="34"/>
        <v>8.74</v>
      </c>
      <c r="AK1096" s="3">
        <f t="shared" si="35"/>
        <v>3.3</v>
      </c>
    </row>
    <row r="1097" spans="1:37">
      <c r="A1097">
        <v>10335022</v>
      </c>
      <c r="B1097" t="s">
        <v>37</v>
      </c>
      <c r="C1097" t="s">
        <v>7456</v>
      </c>
      <c r="E1097" t="s">
        <v>7457</v>
      </c>
      <c r="F1097" t="s">
        <v>7458</v>
      </c>
      <c r="G1097" t="s">
        <v>7459</v>
      </c>
      <c r="H1097" t="s">
        <v>42</v>
      </c>
      <c r="I1097" t="s">
        <v>7460</v>
      </c>
      <c r="J1097" t="s">
        <v>7461</v>
      </c>
      <c r="K1097">
        <v>10789</v>
      </c>
      <c r="L1097" t="s">
        <v>71</v>
      </c>
      <c r="M1097" t="s">
        <v>46</v>
      </c>
      <c r="N1097" t="s">
        <v>47</v>
      </c>
      <c r="O1097">
        <v>2</v>
      </c>
      <c r="P1097">
        <v>1</v>
      </c>
      <c r="Q1097">
        <v>2</v>
      </c>
      <c r="R1097" t="s">
        <v>48</v>
      </c>
      <c r="S1097" t="s">
        <v>49</v>
      </c>
      <c r="T1097" s="3">
        <v>0.84</v>
      </c>
      <c r="U1097" s="3">
        <v>0.23</v>
      </c>
      <c r="V1097" s="3">
        <v>1.81</v>
      </c>
      <c r="W1097">
        <v>0.94</v>
      </c>
      <c r="X1097" t="s">
        <v>108</v>
      </c>
      <c r="Y1097" s="3">
        <v>5.14</v>
      </c>
      <c r="Z1097" t="s">
        <v>109</v>
      </c>
      <c r="AA1097" t="s">
        <v>7462</v>
      </c>
      <c r="AB1097" t="s">
        <v>53</v>
      </c>
      <c r="AC1097" s="3">
        <v>1.06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f t="shared" si="34"/>
        <v>9.08</v>
      </c>
      <c r="AK1097" s="3">
        <f t="shared" si="35"/>
        <v>3.9400000000000004</v>
      </c>
    </row>
    <row r="1098" spans="1:37">
      <c r="A1098">
        <v>10337403</v>
      </c>
      <c r="B1098" t="s">
        <v>37</v>
      </c>
      <c r="C1098" t="s">
        <v>7463</v>
      </c>
      <c r="E1098" t="s">
        <v>1578</v>
      </c>
      <c r="F1098" t="s">
        <v>7464</v>
      </c>
      <c r="G1098" t="s">
        <v>7465</v>
      </c>
      <c r="H1098" t="s">
        <v>42</v>
      </c>
      <c r="I1098" t="s">
        <v>7466</v>
      </c>
      <c r="J1098" t="s">
        <v>7467</v>
      </c>
      <c r="K1098">
        <v>64625</v>
      </c>
      <c r="L1098" t="s">
        <v>71</v>
      </c>
      <c r="M1098" t="s">
        <v>46</v>
      </c>
      <c r="N1098" t="s">
        <v>47</v>
      </c>
      <c r="O1098">
        <v>1</v>
      </c>
      <c r="P1098">
        <v>1</v>
      </c>
      <c r="Q1098">
        <v>1</v>
      </c>
      <c r="R1098" t="s">
        <v>48</v>
      </c>
      <c r="S1098" t="s">
        <v>49</v>
      </c>
      <c r="T1098" s="3">
        <v>0.84</v>
      </c>
      <c r="U1098" s="3">
        <v>0.23</v>
      </c>
      <c r="V1098" s="3">
        <v>0.94</v>
      </c>
      <c r="W1098">
        <v>0.59</v>
      </c>
      <c r="X1098" t="s">
        <v>72</v>
      </c>
      <c r="Y1098" s="3">
        <v>5.44</v>
      </c>
      <c r="Z1098" t="s">
        <v>73</v>
      </c>
      <c r="AA1098" t="s">
        <v>1341</v>
      </c>
      <c r="AB1098" t="s">
        <v>53</v>
      </c>
      <c r="AC1098" s="3">
        <v>1.29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f t="shared" si="34"/>
        <v>8.74</v>
      </c>
      <c r="AK1098" s="3">
        <f t="shared" si="35"/>
        <v>3.3</v>
      </c>
    </row>
    <row r="1099" spans="1:37">
      <c r="A1099">
        <v>10336726</v>
      </c>
      <c r="B1099" t="s">
        <v>37</v>
      </c>
      <c r="C1099" t="s">
        <v>7468</v>
      </c>
      <c r="E1099" t="s">
        <v>2991</v>
      </c>
      <c r="F1099" t="s">
        <v>1021</v>
      </c>
      <c r="G1099" t="s">
        <v>7469</v>
      </c>
      <c r="H1099" t="s">
        <v>42</v>
      </c>
      <c r="I1099" t="s">
        <v>7470</v>
      </c>
      <c r="J1099" t="s">
        <v>7471</v>
      </c>
      <c r="K1099" t="s">
        <v>7472</v>
      </c>
      <c r="L1099" t="s">
        <v>142</v>
      </c>
      <c r="M1099" t="s">
        <v>46</v>
      </c>
      <c r="N1099" t="s">
        <v>47</v>
      </c>
      <c r="O1099">
        <v>6</v>
      </c>
      <c r="P1099">
        <v>1</v>
      </c>
      <c r="Q1099">
        <v>6</v>
      </c>
      <c r="R1099" t="s">
        <v>48</v>
      </c>
      <c r="S1099" t="s">
        <v>49</v>
      </c>
      <c r="T1099" s="3">
        <v>0.84</v>
      </c>
      <c r="U1099" s="3">
        <v>0.23</v>
      </c>
      <c r="V1099" s="3">
        <v>5.29</v>
      </c>
      <c r="W1099">
        <v>2.44</v>
      </c>
      <c r="X1099" t="s">
        <v>50</v>
      </c>
      <c r="Y1099" s="3">
        <v>16.43</v>
      </c>
      <c r="Z1099" t="s">
        <v>83</v>
      </c>
      <c r="AA1099" t="s">
        <v>4460</v>
      </c>
      <c r="AB1099" t="s">
        <v>53</v>
      </c>
      <c r="AC1099" s="3">
        <v>1.27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f t="shared" si="34"/>
        <v>24.06</v>
      </c>
      <c r="AK1099" s="3">
        <f t="shared" si="35"/>
        <v>7.629999999999999</v>
      </c>
    </row>
    <row r="1100" spans="1:37">
      <c r="A1100">
        <v>10337967</v>
      </c>
      <c r="B1100" t="s">
        <v>37</v>
      </c>
      <c r="C1100" t="s">
        <v>7473</v>
      </c>
      <c r="E1100" t="s">
        <v>7474</v>
      </c>
      <c r="F1100" t="s">
        <v>7475</v>
      </c>
      <c r="G1100" t="s">
        <v>7476</v>
      </c>
      <c r="H1100" t="s">
        <v>42</v>
      </c>
      <c r="I1100" t="s">
        <v>7477</v>
      </c>
      <c r="J1100" t="s">
        <v>7478</v>
      </c>
      <c r="K1100">
        <v>60431</v>
      </c>
      <c r="L1100" t="s">
        <v>71</v>
      </c>
      <c r="M1100" t="s">
        <v>46</v>
      </c>
      <c r="N1100" t="s">
        <v>47</v>
      </c>
      <c r="O1100">
        <v>1</v>
      </c>
      <c r="P1100">
        <v>1</v>
      </c>
      <c r="Q1100">
        <v>1</v>
      </c>
      <c r="R1100" t="s">
        <v>48</v>
      </c>
      <c r="S1100" t="s">
        <v>49</v>
      </c>
      <c r="T1100" s="3">
        <v>0.84</v>
      </c>
      <c r="U1100" s="3">
        <v>0.23</v>
      </c>
      <c r="V1100" s="3">
        <v>0.94</v>
      </c>
      <c r="W1100">
        <v>2.1</v>
      </c>
      <c r="X1100" t="s">
        <v>72</v>
      </c>
      <c r="Y1100" s="3">
        <v>5.44</v>
      </c>
      <c r="Z1100" t="s">
        <v>83</v>
      </c>
      <c r="AA1100" t="s">
        <v>1079</v>
      </c>
      <c r="AB1100" t="s">
        <v>53</v>
      </c>
      <c r="AC1100" s="3">
        <v>1.27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f t="shared" si="34"/>
        <v>8.7200000000000006</v>
      </c>
      <c r="AK1100" s="3">
        <f t="shared" si="35"/>
        <v>3.2800000000000002</v>
      </c>
    </row>
    <row r="1101" spans="1:37">
      <c r="A1101">
        <v>10338760</v>
      </c>
      <c r="B1101" t="s">
        <v>37</v>
      </c>
      <c r="C1101" t="s">
        <v>7479</v>
      </c>
      <c r="E1101" t="s">
        <v>6459</v>
      </c>
      <c r="F1101" t="s">
        <v>7480</v>
      </c>
      <c r="G1101" t="s">
        <v>7481</v>
      </c>
      <c r="H1101" t="s">
        <v>42</v>
      </c>
      <c r="I1101" t="s">
        <v>7482</v>
      </c>
      <c r="J1101" t="s">
        <v>7483</v>
      </c>
      <c r="K1101">
        <v>53809</v>
      </c>
      <c r="L1101" t="s">
        <v>71</v>
      </c>
      <c r="M1101" t="s">
        <v>46</v>
      </c>
      <c r="N1101" t="s">
        <v>47</v>
      </c>
      <c r="O1101">
        <v>1</v>
      </c>
      <c r="P1101">
        <v>1</v>
      </c>
      <c r="Q1101">
        <v>1</v>
      </c>
      <c r="R1101" t="s">
        <v>48</v>
      </c>
      <c r="S1101" t="s">
        <v>49</v>
      </c>
      <c r="T1101" s="3">
        <v>0.84</v>
      </c>
      <c r="U1101" s="3">
        <v>0.23</v>
      </c>
      <c r="V1101" s="3">
        <v>0.94</v>
      </c>
      <c r="W1101">
        <v>0.59</v>
      </c>
      <c r="X1101" t="s">
        <v>108</v>
      </c>
      <c r="Y1101" s="3">
        <v>5.14</v>
      </c>
      <c r="Z1101" t="s">
        <v>109</v>
      </c>
      <c r="AA1101" t="s">
        <v>7484</v>
      </c>
      <c r="AB1101" t="s">
        <v>53</v>
      </c>
      <c r="AC1101" s="3">
        <v>1.06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f t="shared" si="34"/>
        <v>8.2099999999999991</v>
      </c>
      <c r="AK1101" s="3">
        <f t="shared" si="35"/>
        <v>3.0699999999999994</v>
      </c>
    </row>
    <row r="1102" spans="1:37">
      <c r="A1102">
        <v>10336566</v>
      </c>
      <c r="B1102" t="s">
        <v>37</v>
      </c>
      <c r="C1102" t="s">
        <v>7485</v>
      </c>
      <c r="E1102" t="s">
        <v>7486</v>
      </c>
      <c r="F1102" t="s">
        <v>7487</v>
      </c>
      <c r="G1102" t="s">
        <v>7488</v>
      </c>
      <c r="H1102" t="s">
        <v>42</v>
      </c>
      <c r="I1102" t="s">
        <v>7482</v>
      </c>
      <c r="J1102" t="s">
        <v>7489</v>
      </c>
      <c r="K1102" t="s">
        <v>7490</v>
      </c>
      <c r="L1102" t="s">
        <v>142</v>
      </c>
      <c r="M1102" t="s">
        <v>46</v>
      </c>
      <c r="N1102" t="s">
        <v>47</v>
      </c>
      <c r="O1102">
        <v>2</v>
      </c>
      <c r="P1102">
        <v>1</v>
      </c>
      <c r="Q1102">
        <v>2</v>
      </c>
      <c r="R1102" t="s">
        <v>48</v>
      </c>
      <c r="S1102" t="s">
        <v>49</v>
      </c>
      <c r="T1102" s="3">
        <v>0.84</v>
      </c>
      <c r="U1102" s="3">
        <v>0.23</v>
      </c>
      <c r="V1102" s="3">
        <v>1.81</v>
      </c>
      <c r="W1102">
        <v>0.88</v>
      </c>
      <c r="X1102" t="s">
        <v>50</v>
      </c>
      <c r="Y1102" s="3">
        <v>16.43</v>
      </c>
      <c r="Z1102" t="s">
        <v>109</v>
      </c>
      <c r="AA1102" t="s">
        <v>7491</v>
      </c>
      <c r="AB1102" t="s">
        <v>53</v>
      </c>
      <c r="AC1102" s="3">
        <v>1.06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f t="shared" si="34"/>
        <v>20.369999999999997</v>
      </c>
      <c r="AK1102" s="3">
        <f t="shared" si="35"/>
        <v>3.9399999999999977</v>
      </c>
    </row>
    <row r="1103" spans="1:37">
      <c r="A1103">
        <v>10337027</v>
      </c>
      <c r="B1103" t="s">
        <v>37</v>
      </c>
      <c r="C1103" t="s">
        <v>7492</v>
      </c>
      <c r="E1103" t="s">
        <v>7493</v>
      </c>
      <c r="F1103" t="s">
        <v>7494</v>
      </c>
      <c r="G1103" t="s">
        <v>7495</v>
      </c>
      <c r="H1103" t="s">
        <v>42</v>
      </c>
      <c r="I1103" t="s">
        <v>7496</v>
      </c>
      <c r="J1103" t="s">
        <v>7497</v>
      </c>
      <c r="K1103" t="s">
        <v>7498</v>
      </c>
      <c r="L1103" t="s">
        <v>142</v>
      </c>
      <c r="M1103" t="s">
        <v>46</v>
      </c>
      <c r="N1103" t="s">
        <v>47</v>
      </c>
      <c r="O1103">
        <v>1</v>
      </c>
      <c r="P1103">
        <v>1</v>
      </c>
      <c r="Q1103">
        <v>1</v>
      </c>
      <c r="R1103" t="s">
        <v>48</v>
      </c>
      <c r="S1103" t="s">
        <v>49</v>
      </c>
      <c r="T1103" s="3">
        <v>0.84</v>
      </c>
      <c r="U1103" s="3">
        <v>0.23</v>
      </c>
      <c r="V1103" s="3">
        <v>0.94</v>
      </c>
      <c r="W1103">
        <v>0.59</v>
      </c>
      <c r="X1103" t="s">
        <v>50</v>
      </c>
      <c r="Y1103" s="3">
        <v>16.43</v>
      </c>
      <c r="Z1103" t="s">
        <v>109</v>
      </c>
      <c r="AA1103" t="s">
        <v>966</v>
      </c>
      <c r="AB1103" t="s">
        <v>53</v>
      </c>
      <c r="AC1103" s="3">
        <v>1.06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f t="shared" si="34"/>
        <v>19.5</v>
      </c>
      <c r="AK1103" s="3">
        <f t="shared" si="35"/>
        <v>3.0700000000000003</v>
      </c>
    </row>
    <row r="1104" spans="1:37">
      <c r="A1104">
        <v>10335420</v>
      </c>
      <c r="B1104" t="s">
        <v>37</v>
      </c>
      <c r="C1104" t="s">
        <v>7499</v>
      </c>
      <c r="E1104" t="s">
        <v>7500</v>
      </c>
      <c r="F1104" t="s">
        <v>7501</v>
      </c>
      <c r="G1104" t="s">
        <v>7502</v>
      </c>
      <c r="H1104" t="s">
        <v>42</v>
      </c>
      <c r="I1104" t="s">
        <v>7503</v>
      </c>
      <c r="J1104" t="s">
        <v>7504</v>
      </c>
      <c r="K1104" t="s">
        <v>7505</v>
      </c>
      <c r="L1104" t="s">
        <v>142</v>
      </c>
      <c r="M1104" t="s">
        <v>46</v>
      </c>
      <c r="N1104" t="s">
        <v>47</v>
      </c>
      <c r="O1104">
        <v>2</v>
      </c>
      <c r="P1104">
        <v>1</v>
      </c>
      <c r="Q1104">
        <v>2</v>
      </c>
      <c r="R1104" t="s">
        <v>48</v>
      </c>
      <c r="S1104" t="s">
        <v>49</v>
      </c>
      <c r="T1104" s="3">
        <v>0.84</v>
      </c>
      <c r="U1104" s="3">
        <v>0.23</v>
      </c>
      <c r="V1104" s="3">
        <v>1.81</v>
      </c>
      <c r="W1104">
        <v>0.63</v>
      </c>
      <c r="X1104" t="s">
        <v>50</v>
      </c>
      <c r="Y1104" s="3">
        <v>16.43</v>
      </c>
      <c r="Z1104" t="s">
        <v>109</v>
      </c>
      <c r="AA1104" t="s">
        <v>7506</v>
      </c>
      <c r="AB1104" t="s">
        <v>53</v>
      </c>
      <c r="AC1104" s="3">
        <v>1.06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f t="shared" si="34"/>
        <v>20.369999999999997</v>
      </c>
      <c r="AK1104" s="3">
        <f t="shared" si="35"/>
        <v>3.9399999999999977</v>
      </c>
    </row>
    <row r="1105" spans="1:37">
      <c r="A1105">
        <v>10336563</v>
      </c>
      <c r="B1105" t="s">
        <v>37</v>
      </c>
      <c r="C1105" t="s">
        <v>7507</v>
      </c>
      <c r="E1105" t="s">
        <v>657</v>
      </c>
      <c r="F1105" t="s">
        <v>7508</v>
      </c>
      <c r="G1105" t="s">
        <v>7509</v>
      </c>
      <c r="H1105" t="s">
        <v>42</v>
      </c>
      <c r="I1105" t="s">
        <v>7510</v>
      </c>
      <c r="J1105" t="s">
        <v>7511</v>
      </c>
      <c r="K1105">
        <v>33609</v>
      </c>
      <c r="L1105" t="s">
        <v>71</v>
      </c>
      <c r="M1105" t="s">
        <v>46</v>
      </c>
      <c r="N1105" t="s">
        <v>47</v>
      </c>
      <c r="O1105">
        <v>3</v>
      </c>
      <c r="P1105">
        <v>1</v>
      </c>
      <c r="Q1105">
        <v>3</v>
      </c>
      <c r="R1105" t="s">
        <v>48</v>
      </c>
      <c r="S1105" t="s">
        <v>49</v>
      </c>
      <c r="T1105" s="3">
        <v>0.84</v>
      </c>
      <c r="U1105" s="3">
        <v>0.23</v>
      </c>
      <c r="V1105" s="3">
        <v>2.68</v>
      </c>
      <c r="W1105">
        <v>1.28</v>
      </c>
      <c r="X1105" t="s">
        <v>72</v>
      </c>
      <c r="Y1105" s="3">
        <v>5.44</v>
      </c>
      <c r="Z1105" t="s">
        <v>73</v>
      </c>
      <c r="AA1105" t="s">
        <v>7512</v>
      </c>
      <c r="AB1105" t="s">
        <v>53</v>
      </c>
      <c r="AC1105" s="3">
        <v>1.29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f t="shared" si="34"/>
        <v>10.48</v>
      </c>
      <c r="AK1105" s="3">
        <f t="shared" si="35"/>
        <v>5.04</v>
      </c>
    </row>
    <row r="1106" spans="1:37">
      <c r="A1106">
        <v>10337971</v>
      </c>
      <c r="B1106" t="s">
        <v>37</v>
      </c>
      <c r="C1106" t="s">
        <v>7513</v>
      </c>
      <c r="E1106" t="s">
        <v>7104</v>
      </c>
      <c r="F1106" t="s">
        <v>7514</v>
      </c>
      <c r="G1106" t="s">
        <v>7515</v>
      </c>
      <c r="H1106" t="s">
        <v>42</v>
      </c>
      <c r="I1106" t="s">
        <v>7516</v>
      </c>
      <c r="J1106" t="s">
        <v>7517</v>
      </c>
      <c r="K1106" t="s">
        <v>7518</v>
      </c>
      <c r="L1106" t="s">
        <v>142</v>
      </c>
      <c r="M1106" t="s">
        <v>46</v>
      </c>
      <c r="N1106" t="s">
        <v>47</v>
      </c>
      <c r="O1106">
        <v>2</v>
      </c>
      <c r="P1106">
        <v>1</v>
      </c>
      <c r="Q1106">
        <v>2</v>
      </c>
      <c r="R1106" t="s">
        <v>48</v>
      </c>
      <c r="S1106" t="s">
        <v>49</v>
      </c>
      <c r="T1106" s="3">
        <v>0.84</v>
      </c>
      <c r="U1106" s="3">
        <v>0.23</v>
      </c>
      <c r="V1106" s="3">
        <v>1.81</v>
      </c>
      <c r="W1106">
        <v>1.08</v>
      </c>
      <c r="X1106" t="s">
        <v>50</v>
      </c>
      <c r="Y1106" s="3">
        <v>16.43</v>
      </c>
      <c r="Z1106" t="s">
        <v>73</v>
      </c>
      <c r="AA1106" t="s">
        <v>5545</v>
      </c>
      <c r="AB1106" t="s">
        <v>53</v>
      </c>
      <c r="AC1106" s="3">
        <v>1.29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f t="shared" si="34"/>
        <v>20.599999999999998</v>
      </c>
      <c r="AK1106" s="3">
        <f t="shared" si="35"/>
        <v>4.1699999999999982</v>
      </c>
    </row>
    <row r="1107" spans="1:37">
      <c r="A1107">
        <v>10334803</v>
      </c>
      <c r="B1107" t="s">
        <v>37</v>
      </c>
      <c r="C1107" t="s">
        <v>7519</v>
      </c>
      <c r="E1107" t="s">
        <v>4889</v>
      </c>
      <c r="F1107" t="s">
        <v>7520</v>
      </c>
      <c r="G1107" t="s">
        <v>7521</v>
      </c>
      <c r="H1107" t="s">
        <v>42</v>
      </c>
      <c r="I1107" t="s">
        <v>7522</v>
      </c>
      <c r="J1107" t="s">
        <v>7523</v>
      </c>
      <c r="K1107" t="s">
        <v>7524</v>
      </c>
      <c r="L1107" t="s">
        <v>142</v>
      </c>
      <c r="M1107" t="s">
        <v>46</v>
      </c>
      <c r="N1107" t="s">
        <v>47</v>
      </c>
      <c r="O1107">
        <v>1</v>
      </c>
      <c r="P1107">
        <v>1</v>
      </c>
      <c r="Q1107">
        <v>1</v>
      </c>
      <c r="R1107" t="s">
        <v>48</v>
      </c>
      <c r="S1107" t="s">
        <v>49</v>
      </c>
      <c r="T1107" s="3">
        <v>0.84</v>
      </c>
      <c r="U1107" s="3">
        <v>0.23</v>
      </c>
      <c r="V1107" s="3">
        <v>0.94</v>
      </c>
      <c r="W1107">
        <v>1.7</v>
      </c>
      <c r="X1107" t="s">
        <v>50</v>
      </c>
      <c r="Y1107" s="3">
        <v>16.43</v>
      </c>
      <c r="Z1107" t="s">
        <v>83</v>
      </c>
      <c r="AA1107" t="s">
        <v>3025</v>
      </c>
      <c r="AB1107" t="s">
        <v>53</v>
      </c>
      <c r="AC1107" s="3">
        <v>1.27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f t="shared" si="34"/>
        <v>19.71</v>
      </c>
      <c r="AK1107" s="3">
        <f t="shared" si="35"/>
        <v>3.2800000000000011</v>
      </c>
    </row>
    <row r="1108" spans="1:37">
      <c r="A1108">
        <v>10335616</v>
      </c>
      <c r="B1108" t="s">
        <v>37</v>
      </c>
      <c r="C1108" t="s">
        <v>7525</v>
      </c>
      <c r="E1108" t="s">
        <v>247</v>
      </c>
      <c r="F1108" t="s">
        <v>7526</v>
      </c>
      <c r="G1108" t="s">
        <v>7527</v>
      </c>
      <c r="H1108" t="s">
        <v>42</v>
      </c>
      <c r="I1108" t="s">
        <v>7528</v>
      </c>
      <c r="J1108" t="s">
        <v>7529</v>
      </c>
      <c r="K1108">
        <v>65183</v>
      </c>
      <c r="L1108" t="s">
        <v>71</v>
      </c>
      <c r="M1108" t="s">
        <v>46</v>
      </c>
      <c r="N1108" t="s">
        <v>47</v>
      </c>
      <c r="O1108">
        <v>1</v>
      </c>
      <c r="P1108">
        <v>1</v>
      </c>
      <c r="Q1108">
        <v>1</v>
      </c>
      <c r="R1108" t="s">
        <v>48</v>
      </c>
      <c r="S1108" t="s">
        <v>49</v>
      </c>
      <c r="T1108" s="3">
        <v>0.84</v>
      </c>
      <c r="U1108" s="3">
        <v>0.23</v>
      </c>
      <c r="V1108" s="3">
        <v>0.94</v>
      </c>
      <c r="W1108">
        <v>0.59</v>
      </c>
      <c r="X1108" t="s">
        <v>72</v>
      </c>
      <c r="Y1108" s="3">
        <v>5.44</v>
      </c>
      <c r="Z1108" t="s">
        <v>73</v>
      </c>
      <c r="AA1108" t="s">
        <v>245</v>
      </c>
      <c r="AB1108" t="s">
        <v>53</v>
      </c>
      <c r="AC1108" s="3">
        <v>1.29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f t="shared" si="34"/>
        <v>8.74</v>
      </c>
      <c r="AK1108" s="3">
        <f t="shared" si="35"/>
        <v>3.3</v>
      </c>
    </row>
    <row r="1109" spans="1:37">
      <c r="A1109">
        <v>10336562</v>
      </c>
      <c r="B1109" t="s">
        <v>37</v>
      </c>
      <c r="C1109" t="s">
        <v>7530</v>
      </c>
      <c r="E1109" t="s">
        <v>7531</v>
      </c>
      <c r="F1109" t="s">
        <v>7532</v>
      </c>
      <c r="G1109" t="s">
        <v>7533</v>
      </c>
      <c r="H1109" t="s">
        <v>42</v>
      </c>
      <c r="I1109" t="s">
        <v>7534</v>
      </c>
      <c r="J1109" t="s">
        <v>7535</v>
      </c>
      <c r="K1109" t="s">
        <v>7536</v>
      </c>
      <c r="L1109" t="s">
        <v>82</v>
      </c>
      <c r="M1109" t="s">
        <v>46</v>
      </c>
      <c r="N1109" t="s">
        <v>47</v>
      </c>
      <c r="O1109">
        <v>4</v>
      </c>
      <c r="P1109">
        <v>1</v>
      </c>
      <c r="Q1109">
        <v>4</v>
      </c>
      <c r="R1109" t="s">
        <v>48</v>
      </c>
      <c r="S1109" t="s">
        <v>49</v>
      </c>
      <c r="T1109" s="3">
        <v>0.84</v>
      </c>
      <c r="U1109" s="3">
        <v>0.23</v>
      </c>
      <c r="V1109" s="3">
        <v>3.55</v>
      </c>
      <c r="W1109">
        <v>1.98</v>
      </c>
      <c r="X1109" t="s">
        <v>50</v>
      </c>
      <c r="Y1109" s="3">
        <v>9.19</v>
      </c>
      <c r="Z1109" t="s">
        <v>73</v>
      </c>
      <c r="AA1109" t="s">
        <v>7537</v>
      </c>
      <c r="AB1109" t="s">
        <v>53</v>
      </c>
      <c r="AC1109" s="3">
        <v>1.29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f t="shared" si="34"/>
        <v>15.100000000000001</v>
      </c>
      <c r="AK1109" s="3">
        <f t="shared" si="35"/>
        <v>5.9100000000000019</v>
      </c>
    </row>
    <row r="1110" spans="1:37">
      <c r="A1110">
        <v>10335019</v>
      </c>
      <c r="B1110" t="s">
        <v>37</v>
      </c>
      <c r="C1110" t="s">
        <v>7538</v>
      </c>
      <c r="E1110" t="s">
        <v>7539</v>
      </c>
      <c r="F1110" t="s">
        <v>7540</v>
      </c>
      <c r="G1110" t="s">
        <v>7541</v>
      </c>
      <c r="H1110" t="s">
        <v>42</v>
      </c>
      <c r="I1110" t="s">
        <v>7542</v>
      </c>
      <c r="J1110" t="s">
        <v>7543</v>
      </c>
      <c r="K1110">
        <v>3800</v>
      </c>
      <c r="L1110" t="s">
        <v>505</v>
      </c>
      <c r="M1110" t="s">
        <v>46</v>
      </c>
      <c r="N1110" t="s">
        <v>47</v>
      </c>
      <c r="O1110">
        <v>1</v>
      </c>
      <c r="P1110">
        <v>1</v>
      </c>
      <c r="Q1110">
        <v>1</v>
      </c>
      <c r="R1110" t="s">
        <v>48</v>
      </c>
      <c r="S1110" t="s">
        <v>49</v>
      </c>
      <c r="T1110" s="3">
        <v>0.84</v>
      </c>
      <c r="U1110" s="3">
        <v>0.23</v>
      </c>
      <c r="V1110" s="3">
        <v>0.94</v>
      </c>
      <c r="W1110">
        <v>0.59</v>
      </c>
      <c r="X1110" t="s">
        <v>50</v>
      </c>
      <c r="Y1110" s="3">
        <v>9.19</v>
      </c>
      <c r="Z1110" t="s">
        <v>73</v>
      </c>
      <c r="AA1110" t="s">
        <v>2718</v>
      </c>
      <c r="AB1110" t="s">
        <v>53</v>
      </c>
      <c r="AC1110" s="3">
        <v>1.29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f t="shared" si="34"/>
        <v>12.49</v>
      </c>
      <c r="AK1110" s="3">
        <f t="shared" si="35"/>
        <v>3.3000000000000007</v>
      </c>
    </row>
    <row r="1111" spans="1:37">
      <c r="A1111">
        <v>10338600</v>
      </c>
      <c r="B1111" t="s">
        <v>37</v>
      </c>
      <c r="C1111" t="s">
        <v>7544</v>
      </c>
      <c r="E1111" t="s">
        <v>809</v>
      </c>
      <c r="F1111" t="s">
        <v>7545</v>
      </c>
      <c r="G1111" t="s">
        <v>7546</v>
      </c>
      <c r="H1111" t="s">
        <v>42</v>
      </c>
      <c r="I1111" t="s">
        <v>7547</v>
      </c>
      <c r="J1111" t="s">
        <v>7548</v>
      </c>
      <c r="K1111">
        <v>1970</v>
      </c>
      <c r="L1111" t="s">
        <v>505</v>
      </c>
      <c r="M1111" t="s">
        <v>46</v>
      </c>
      <c r="N1111" t="s">
        <v>47</v>
      </c>
      <c r="O1111">
        <v>2</v>
      </c>
      <c r="P1111">
        <v>1</v>
      </c>
      <c r="Q1111">
        <v>2</v>
      </c>
      <c r="R1111" t="s">
        <v>48</v>
      </c>
      <c r="S1111" t="s">
        <v>49</v>
      </c>
      <c r="T1111" s="3">
        <v>0.84</v>
      </c>
      <c r="U1111" s="3">
        <v>0.23</v>
      </c>
      <c r="V1111" s="3">
        <v>1.81</v>
      </c>
      <c r="W1111">
        <v>1.08</v>
      </c>
      <c r="X1111" t="s">
        <v>50</v>
      </c>
      <c r="Y1111" s="3">
        <v>9.19</v>
      </c>
      <c r="Z1111" t="s">
        <v>73</v>
      </c>
      <c r="AA1111" t="s">
        <v>7549</v>
      </c>
      <c r="AB1111" t="s">
        <v>53</v>
      </c>
      <c r="AC1111" s="3">
        <v>1.29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f t="shared" si="34"/>
        <v>13.360000000000001</v>
      </c>
      <c r="AK1111" s="3">
        <f t="shared" si="35"/>
        <v>4.1700000000000017</v>
      </c>
    </row>
    <row r="1112" spans="1:37">
      <c r="A1112">
        <v>10335219</v>
      </c>
      <c r="B1112" t="s">
        <v>37</v>
      </c>
      <c r="C1112" t="s">
        <v>7550</v>
      </c>
      <c r="E1112" t="s">
        <v>643</v>
      </c>
      <c r="F1112" t="s">
        <v>7551</v>
      </c>
      <c r="G1112" t="s">
        <v>7552</v>
      </c>
      <c r="H1112" t="s">
        <v>42</v>
      </c>
      <c r="I1112" t="s">
        <v>7553</v>
      </c>
      <c r="J1112" t="s">
        <v>7554</v>
      </c>
      <c r="K1112">
        <v>53111</v>
      </c>
      <c r="L1112" t="s">
        <v>71</v>
      </c>
      <c r="M1112" t="s">
        <v>46</v>
      </c>
      <c r="N1112" t="s">
        <v>47</v>
      </c>
      <c r="O1112">
        <v>1</v>
      </c>
      <c r="P1112">
        <v>1</v>
      </c>
      <c r="Q1112">
        <v>1</v>
      </c>
      <c r="R1112" t="s">
        <v>48</v>
      </c>
      <c r="S1112" t="s">
        <v>49</v>
      </c>
      <c r="T1112" s="3">
        <v>0.84</v>
      </c>
      <c r="U1112" s="3">
        <v>0.23</v>
      </c>
      <c r="V1112" s="3">
        <v>0.94</v>
      </c>
      <c r="W1112">
        <v>0.59</v>
      </c>
      <c r="X1112" t="s">
        <v>72</v>
      </c>
      <c r="Y1112" s="3">
        <v>9.6</v>
      </c>
      <c r="Z1112" t="s">
        <v>73</v>
      </c>
      <c r="AA1112" t="s">
        <v>267</v>
      </c>
      <c r="AB1112" t="s">
        <v>53</v>
      </c>
      <c r="AC1112" s="3">
        <v>1.29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f t="shared" si="34"/>
        <v>12.9</v>
      </c>
      <c r="AK1112" s="3">
        <f t="shared" si="35"/>
        <v>3.3000000000000007</v>
      </c>
    </row>
    <row r="1113" spans="1:37">
      <c r="A1113">
        <v>10338446</v>
      </c>
      <c r="B1113" t="s">
        <v>37</v>
      </c>
      <c r="C1113" t="s">
        <v>7555</v>
      </c>
      <c r="E1113" t="s">
        <v>7556</v>
      </c>
      <c r="F1113" t="s">
        <v>7557</v>
      </c>
      <c r="G1113" t="s">
        <v>7558</v>
      </c>
      <c r="H1113" t="s">
        <v>42</v>
      </c>
      <c r="I1113" t="s">
        <v>7559</v>
      </c>
      <c r="J1113" t="s">
        <v>7560</v>
      </c>
      <c r="K1113">
        <v>1050</v>
      </c>
      <c r="L1113" t="s">
        <v>505</v>
      </c>
      <c r="M1113" t="s">
        <v>46</v>
      </c>
      <c r="N1113" t="s">
        <v>47</v>
      </c>
      <c r="O1113">
        <v>2</v>
      </c>
      <c r="P1113">
        <v>1</v>
      </c>
      <c r="Q1113">
        <v>2</v>
      </c>
      <c r="R1113" t="s">
        <v>48</v>
      </c>
      <c r="S1113" t="s">
        <v>49</v>
      </c>
      <c r="T1113" s="3">
        <v>0.84</v>
      </c>
      <c r="U1113" s="3">
        <v>0.23</v>
      </c>
      <c r="V1113" s="3">
        <v>1.81</v>
      </c>
      <c r="W1113">
        <v>0.88</v>
      </c>
      <c r="X1113" t="s">
        <v>50</v>
      </c>
      <c r="Y1113" s="3">
        <v>9.19</v>
      </c>
      <c r="Z1113" t="s">
        <v>109</v>
      </c>
      <c r="AA1113" t="s">
        <v>7561</v>
      </c>
      <c r="AB1113" t="s">
        <v>53</v>
      </c>
      <c r="AC1113" s="3">
        <v>1.06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f t="shared" si="34"/>
        <v>13.13</v>
      </c>
      <c r="AK1113" s="3">
        <f t="shared" si="35"/>
        <v>3.9400000000000013</v>
      </c>
    </row>
    <row r="1114" spans="1:37">
      <c r="A1114">
        <v>10336564</v>
      </c>
      <c r="B1114" t="s">
        <v>37</v>
      </c>
      <c r="C1114" t="s">
        <v>7562</v>
      </c>
      <c r="E1114" t="s">
        <v>3264</v>
      </c>
      <c r="F1114" t="s">
        <v>7563</v>
      </c>
      <c r="G1114" t="s">
        <v>7564</v>
      </c>
      <c r="H1114" t="s">
        <v>42</v>
      </c>
      <c r="I1114" t="s">
        <v>7565</v>
      </c>
      <c r="J1114" t="s">
        <v>7566</v>
      </c>
      <c r="K1114" t="s">
        <v>7567</v>
      </c>
      <c r="L1114" t="s">
        <v>142</v>
      </c>
      <c r="M1114" t="s">
        <v>46</v>
      </c>
      <c r="N1114" t="s">
        <v>47</v>
      </c>
      <c r="O1114">
        <v>4</v>
      </c>
      <c r="P1114">
        <v>1</v>
      </c>
      <c r="Q1114">
        <v>4</v>
      </c>
      <c r="R1114" t="s">
        <v>48</v>
      </c>
      <c r="S1114" t="s">
        <v>49</v>
      </c>
      <c r="T1114" s="3">
        <v>0.84</v>
      </c>
      <c r="U1114" s="3">
        <v>0.23</v>
      </c>
      <c r="V1114" s="3">
        <v>3.55</v>
      </c>
      <c r="W1114">
        <v>2.06</v>
      </c>
      <c r="X1114" t="s">
        <v>50</v>
      </c>
      <c r="Y1114" s="3">
        <v>16.43</v>
      </c>
      <c r="Z1114" t="s">
        <v>73</v>
      </c>
      <c r="AA1114" t="s">
        <v>990</v>
      </c>
      <c r="AB1114" t="s">
        <v>53</v>
      </c>
      <c r="AC1114" s="3">
        <v>1.29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f t="shared" si="34"/>
        <v>22.34</v>
      </c>
      <c r="AK1114" s="3">
        <f t="shared" si="35"/>
        <v>5.91</v>
      </c>
    </row>
    <row r="1115" spans="1:37">
      <c r="A1115">
        <v>10335804</v>
      </c>
      <c r="B1115" t="s">
        <v>37</v>
      </c>
      <c r="C1115" t="s">
        <v>7568</v>
      </c>
      <c r="E1115" t="s">
        <v>7569</v>
      </c>
      <c r="F1115" t="s">
        <v>7570</v>
      </c>
      <c r="G1115" t="s">
        <v>7571</v>
      </c>
      <c r="H1115" t="s">
        <v>42</v>
      </c>
      <c r="I1115" t="s">
        <v>7572</v>
      </c>
      <c r="J1115" t="s">
        <v>7573</v>
      </c>
      <c r="K1115">
        <v>12105</v>
      </c>
      <c r="L1115" t="s">
        <v>71</v>
      </c>
      <c r="M1115" t="s">
        <v>46</v>
      </c>
      <c r="N1115" t="s">
        <v>47</v>
      </c>
      <c r="O1115">
        <v>1</v>
      </c>
      <c r="P1115">
        <v>1</v>
      </c>
      <c r="Q1115">
        <v>1</v>
      </c>
      <c r="R1115" t="s">
        <v>48</v>
      </c>
      <c r="S1115" t="s">
        <v>49</v>
      </c>
      <c r="T1115" s="3">
        <v>0.84</v>
      </c>
      <c r="U1115" s="3">
        <v>0.23</v>
      </c>
      <c r="V1115" s="3">
        <v>0.94</v>
      </c>
      <c r="W1115">
        <v>1.5</v>
      </c>
      <c r="X1115" t="s">
        <v>72</v>
      </c>
      <c r="Y1115" s="3">
        <v>6.83</v>
      </c>
      <c r="Z1115" t="s">
        <v>73</v>
      </c>
      <c r="AA1115" t="s">
        <v>198</v>
      </c>
      <c r="AB1115" t="s">
        <v>53</v>
      </c>
      <c r="AC1115" s="3">
        <v>1.29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f t="shared" si="34"/>
        <v>10.130000000000001</v>
      </c>
      <c r="AK1115" s="3">
        <f t="shared" si="35"/>
        <v>3.3000000000000007</v>
      </c>
    </row>
    <row r="1116" spans="1:37">
      <c r="A1116">
        <v>10337030</v>
      </c>
      <c r="B1116" t="s">
        <v>37</v>
      </c>
      <c r="C1116" t="s">
        <v>7574</v>
      </c>
      <c r="E1116" t="s">
        <v>7575</v>
      </c>
      <c r="F1116" t="s">
        <v>7576</v>
      </c>
      <c r="G1116" t="s">
        <v>7577</v>
      </c>
      <c r="H1116" t="s">
        <v>42</v>
      </c>
      <c r="I1116" t="s">
        <v>7578</v>
      </c>
      <c r="J1116" t="s">
        <v>7579</v>
      </c>
      <c r="K1116">
        <v>60598</v>
      </c>
      <c r="L1116" t="s">
        <v>71</v>
      </c>
      <c r="M1116" t="s">
        <v>46</v>
      </c>
      <c r="N1116" t="s">
        <v>47</v>
      </c>
      <c r="O1116">
        <v>1</v>
      </c>
      <c r="P1116">
        <v>1</v>
      </c>
      <c r="Q1116">
        <v>1</v>
      </c>
      <c r="R1116" t="s">
        <v>48</v>
      </c>
      <c r="S1116" t="s">
        <v>49</v>
      </c>
      <c r="T1116" s="3">
        <v>0.84</v>
      </c>
      <c r="U1116" s="3">
        <v>0.23</v>
      </c>
      <c r="V1116" s="3">
        <v>0.94</v>
      </c>
      <c r="W1116">
        <v>1.5</v>
      </c>
      <c r="X1116" t="s">
        <v>72</v>
      </c>
      <c r="Y1116" s="3">
        <v>5.44</v>
      </c>
      <c r="Z1116" t="s">
        <v>73</v>
      </c>
      <c r="AA1116" t="s">
        <v>198</v>
      </c>
      <c r="AB1116" t="s">
        <v>53</v>
      </c>
      <c r="AC1116" s="3">
        <v>1.29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f t="shared" si="34"/>
        <v>8.74</v>
      </c>
      <c r="AK1116" s="3">
        <f t="shared" si="35"/>
        <v>3.3</v>
      </c>
    </row>
    <row r="1117" spans="1:37">
      <c r="A1117">
        <v>10338766</v>
      </c>
      <c r="B1117" t="s">
        <v>37</v>
      </c>
      <c r="C1117" t="s">
        <v>7580</v>
      </c>
      <c r="E1117" t="s">
        <v>7581</v>
      </c>
      <c r="F1117" t="s">
        <v>4083</v>
      </c>
      <c r="G1117" t="s">
        <v>7582</v>
      </c>
      <c r="H1117" t="s">
        <v>42</v>
      </c>
      <c r="I1117" t="s">
        <v>7583</v>
      </c>
      <c r="J1117" t="s">
        <v>7584</v>
      </c>
      <c r="K1117">
        <v>93138</v>
      </c>
      <c r="L1117" t="s">
        <v>71</v>
      </c>
      <c r="M1117" t="s">
        <v>46</v>
      </c>
      <c r="N1117" t="s">
        <v>47</v>
      </c>
      <c r="O1117">
        <v>2</v>
      </c>
      <c r="P1117">
        <v>1</v>
      </c>
      <c r="Q1117">
        <v>2</v>
      </c>
      <c r="R1117" t="s">
        <v>48</v>
      </c>
      <c r="S1117" t="s">
        <v>49</v>
      </c>
      <c r="T1117" s="3">
        <v>0.84</v>
      </c>
      <c r="U1117" s="3">
        <v>0.23</v>
      </c>
      <c r="V1117" s="3">
        <v>1.81</v>
      </c>
      <c r="W1117">
        <v>1.22</v>
      </c>
      <c r="X1117" t="s">
        <v>72</v>
      </c>
      <c r="Y1117" s="3">
        <v>5.44</v>
      </c>
      <c r="Z1117" t="s">
        <v>73</v>
      </c>
      <c r="AA1117" t="s">
        <v>7585</v>
      </c>
      <c r="AB1117" t="s">
        <v>53</v>
      </c>
      <c r="AC1117" s="3">
        <v>1.29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f t="shared" si="34"/>
        <v>9.6100000000000012</v>
      </c>
      <c r="AK1117" s="3">
        <f t="shared" si="35"/>
        <v>4.1700000000000008</v>
      </c>
    </row>
    <row r="1118" spans="1:37">
      <c r="A1118">
        <v>10337787</v>
      </c>
      <c r="B1118" t="s">
        <v>37</v>
      </c>
      <c r="C1118" t="s">
        <v>7586</v>
      </c>
      <c r="E1118" t="s">
        <v>7587</v>
      </c>
      <c r="F1118" t="s">
        <v>7588</v>
      </c>
      <c r="G1118" t="s">
        <v>7589</v>
      </c>
      <c r="H1118" t="s">
        <v>42</v>
      </c>
      <c r="I1118" t="s">
        <v>7590</v>
      </c>
      <c r="J1118" t="s">
        <v>7591</v>
      </c>
      <c r="K1118">
        <v>47574</v>
      </c>
      <c r="L1118" t="s">
        <v>71</v>
      </c>
      <c r="M1118" t="s">
        <v>46</v>
      </c>
      <c r="N1118" t="s">
        <v>47</v>
      </c>
      <c r="O1118">
        <v>1</v>
      </c>
      <c r="P1118">
        <v>1</v>
      </c>
      <c r="Q1118">
        <v>1</v>
      </c>
      <c r="R1118" t="s">
        <v>48</v>
      </c>
      <c r="S1118" t="s">
        <v>49</v>
      </c>
      <c r="T1118" s="3">
        <v>0.84</v>
      </c>
      <c r="U1118" s="3">
        <v>0.23</v>
      </c>
      <c r="V1118" s="3">
        <v>0.94</v>
      </c>
      <c r="W1118">
        <v>0.49</v>
      </c>
      <c r="X1118" t="s">
        <v>108</v>
      </c>
      <c r="Y1118" s="3">
        <v>5.14</v>
      </c>
      <c r="Z1118" t="s">
        <v>109</v>
      </c>
      <c r="AA1118" t="s">
        <v>1802</v>
      </c>
      <c r="AB1118" t="s">
        <v>53</v>
      </c>
      <c r="AC1118" s="3">
        <v>1.06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f t="shared" si="34"/>
        <v>8.2099999999999991</v>
      </c>
      <c r="AK1118" s="3">
        <f t="shared" si="35"/>
        <v>3.0699999999999994</v>
      </c>
    </row>
    <row r="1119" spans="1:37">
      <c r="A1119">
        <v>10341063</v>
      </c>
      <c r="B1119" t="s">
        <v>37</v>
      </c>
      <c r="C1119" t="s">
        <v>7592</v>
      </c>
      <c r="E1119" t="s">
        <v>4897</v>
      </c>
      <c r="F1119" t="s">
        <v>7593</v>
      </c>
      <c r="G1119" t="s">
        <v>7594</v>
      </c>
      <c r="H1119" t="s">
        <v>42</v>
      </c>
      <c r="I1119" t="s">
        <v>7595</v>
      </c>
      <c r="J1119" t="s">
        <v>7596</v>
      </c>
      <c r="K1119">
        <v>93047</v>
      </c>
      <c r="L1119" t="s">
        <v>71</v>
      </c>
      <c r="M1119" t="s">
        <v>46</v>
      </c>
      <c r="N1119" t="s">
        <v>47</v>
      </c>
      <c r="O1119">
        <v>2</v>
      </c>
      <c r="P1119">
        <v>1</v>
      </c>
      <c r="Q1119">
        <v>2</v>
      </c>
      <c r="R1119" t="s">
        <v>48</v>
      </c>
      <c r="S1119" t="s">
        <v>49</v>
      </c>
      <c r="T1119" s="3">
        <v>0.84</v>
      </c>
      <c r="U1119" s="3">
        <v>0.23</v>
      </c>
      <c r="V1119" s="3">
        <v>1.81</v>
      </c>
      <c r="W1119">
        <v>1.08</v>
      </c>
      <c r="X1119" t="s">
        <v>72</v>
      </c>
      <c r="Y1119" s="3">
        <v>5.44</v>
      </c>
      <c r="Z1119" t="s">
        <v>73</v>
      </c>
      <c r="AA1119" t="s">
        <v>7597</v>
      </c>
      <c r="AB1119" t="s">
        <v>53</v>
      </c>
      <c r="AC1119" s="3">
        <v>1.29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f t="shared" si="34"/>
        <v>9.6100000000000012</v>
      </c>
      <c r="AK1119" s="3">
        <f t="shared" si="35"/>
        <v>4.1700000000000008</v>
      </c>
    </row>
    <row r="1120" spans="1:37">
      <c r="A1120">
        <v>10336880</v>
      </c>
      <c r="B1120" t="s">
        <v>37</v>
      </c>
      <c r="C1120" t="s">
        <v>7598</v>
      </c>
      <c r="E1120" t="s">
        <v>7599</v>
      </c>
      <c r="F1120" t="s">
        <v>7600</v>
      </c>
      <c r="G1120" t="s">
        <v>7601</v>
      </c>
      <c r="H1120" t="s">
        <v>42</v>
      </c>
      <c r="I1120" t="s">
        <v>7602</v>
      </c>
      <c r="J1120" t="s">
        <v>7603</v>
      </c>
      <c r="K1120" t="s">
        <v>7604</v>
      </c>
      <c r="L1120" t="s">
        <v>142</v>
      </c>
      <c r="M1120" t="s">
        <v>46</v>
      </c>
      <c r="N1120" t="s">
        <v>47</v>
      </c>
      <c r="O1120">
        <v>1</v>
      </c>
      <c r="P1120">
        <v>1</v>
      </c>
      <c r="Q1120">
        <v>1</v>
      </c>
      <c r="R1120" t="s">
        <v>48</v>
      </c>
      <c r="S1120" t="s">
        <v>49</v>
      </c>
      <c r="T1120" s="3">
        <v>0.84</v>
      </c>
      <c r="U1120" s="3">
        <v>0.23</v>
      </c>
      <c r="V1120" s="3">
        <v>0.94</v>
      </c>
      <c r="W1120">
        <v>0.25</v>
      </c>
      <c r="X1120" t="s">
        <v>50</v>
      </c>
      <c r="Y1120" s="3">
        <v>16.43</v>
      </c>
      <c r="Z1120" t="s">
        <v>109</v>
      </c>
      <c r="AA1120" t="s">
        <v>7605</v>
      </c>
      <c r="AB1120" t="s">
        <v>53</v>
      </c>
      <c r="AC1120" s="3">
        <v>1.06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f t="shared" si="34"/>
        <v>19.5</v>
      </c>
      <c r="AK1120" s="3">
        <f t="shared" si="35"/>
        <v>3.0700000000000003</v>
      </c>
    </row>
    <row r="1121" spans="1:37">
      <c r="A1121">
        <v>10337640</v>
      </c>
      <c r="B1121" t="s">
        <v>37</v>
      </c>
      <c r="C1121" t="s">
        <v>7606</v>
      </c>
      <c r="E1121" t="s">
        <v>7607</v>
      </c>
      <c r="F1121" t="s">
        <v>7608</v>
      </c>
      <c r="G1121" t="s">
        <v>7609</v>
      </c>
      <c r="H1121" t="s">
        <v>42</v>
      </c>
      <c r="I1121" t="s">
        <v>7610</v>
      </c>
      <c r="J1121" t="s">
        <v>7611</v>
      </c>
      <c r="K1121">
        <v>1933</v>
      </c>
      <c r="L1121" t="s">
        <v>505</v>
      </c>
      <c r="M1121" t="s">
        <v>46</v>
      </c>
      <c r="N1121" t="s">
        <v>47</v>
      </c>
      <c r="O1121">
        <v>2</v>
      </c>
      <c r="P1121">
        <v>1</v>
      </c>
      <c r="Q1121">
        <v>2</v>
      </c>
      <c r="R1121" t="s">
        <v>48</v>
      </c>
      <c r="S1121" t="s">
        <v>49</v>
      </c>
      <c r="T1121" s="3">
        <v>0.84</v>
      </c>
      <c r="U1121" s="3">
        <v>0.23</v>
      </c>
      <c r="V1121" s="3">
        <v>1.81</v>
      </c>
      <c r="W1121">
        <v>0.88</v>
      </c>
      <c r="X1121" t="s">
        <v>50</v>
      </c>
      <c r="Y1121" s="3">
        <v>9.19</v>
      </c>
      <c r="Z1121" t="s">
        <v>109</v>
      </c>
      <c r="AA1121" t="s">
        <v>1569</v>
      </c>
      <c r="AB1121" t="s">
        <v>53</v>
      </c>
      <c r="AC1121" s="3">
        <v>1.06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f t="shared" si="34"/>
        <v>13.13</v>
      </c>
      <c r="AK1121" s="3">
        <f t="shared" si="35"/>
        <v>3.9400000000000013</v>
      </c>
    </row>
    <row r="1122" spans="1:37">
      <c r="A1122">
        <v>10341276</v>
      </c>
      <c r="B1122" t="s">
        <v>37</v>
      </c>
      <c r="C1122" t="s">
        <v>7612</v>
      </c>
      <c r="E1122" t="s">
        <v>7613</v>
      </c>
      <c r="F1122" t="s">
        <v>7614</v>
      </c>
      <c r="G1122" t="s">
        <v>7615</v>
      </c>
      <c r="H1122" t="s">
        <v>42</v>
      </c>
      <c r="I1122" t="s">
        <v>7616</v>
      </c>
      <c r="J1122" t="s">
        <v>7617</v>
      </c>
      <c r="K1122">
        <v>1150</v>
      </c>
      <c r="L1122" t="s">
        <v>369</v>
      </c>
      <c r="M1122" t="s">
        <v>46</v>
      </c>
      <c r="N1122" t="s">
        <v>47</v>
      </c>
      <c r="O1122">
        <v>2</v>
      </c>
      <c r="P1122">
        <v>1</v>
      </c>
      <c r="Q1122">
        <v>2</v>
      </c>
      <c r="R1122" t="s">
        <v>48</v>
      </c>
      <c r="S1122" t="s">
        <v>49</v>
      </c>
      <c r="T1122" s="3">
        <v>0.84</v>
      </c>
      <c r="U1122" s="3">
        <v>0.23</v>
      </c>
      <c r="V1122" s="3">
        <v>1.81</v>
      </c>
      <c r="W1122">
        <v>1.29</v>
      </c>
      <c r="X1122" t="s">
        <v>50</v>
      </c>
      <c r="Y1122" s="3">
        <v>9.19</v>
      </c>
      <c r="Z1122" t="s">
        <v>73</v>
      </c>
      <c r="AA1122" t="s">
        <v>7618</v>
      </c>
      <c r="AB1122" t="s">
        <v>53</v>
      </c>
      <c r="AC1122" s="3">
        <v>1.29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f t="shared" si="34"/>
        <v>13.360000000000001</v>
      </c>
      <c r="AK1122" s="3">
        <f t="shared" si="35"/>
        <v>4.1700000000000017</v>
      </c>
    </row>
    <row r="1123" spans="1:37">
      <c r="A1123">
        <v>10321291</v>
      </c>
      <c r="B1123" t="s">
        <v>111</v>
      </c>
      <c r="C1123" t="s">
        <v>7619</v>
      </c>
      <c r="D1123" t="s">
        <v>7620</v>
      </c>
      <c r="E1123" t="s">
        <v>7621</v>
      </c>
      <c r="F1123" t="s">
        <v>7622</v>
      </c>
      <c r="G1123" t="s">
        <v>7623</v>
      </c>
      <c r="H1123" t="s">
        <v>117</v>
      </c>
      <c r="I1123" t="s">
        <v>7624</v>
      </c>
      <c r="J1123" t="s">
        <v>7625</v>
      </c>
      <c r="K1123">
        <v>1070</v>
      </c>
      <c r="L1123" t="s">
        <v>618</v>
      </c>
      <c r="M1123" t="s">
        <v>46</v>
      </c>
      <c r="N1123" t="s">
        <v>47</v>
      </c>
      <c r="O1123">
        <v>76</v>
      </c>
      <c r="P1123">
        <v>2</v>
      </c>
      <c r="Q1123">
        <v>76</v>
      </c>
      <c r="R1123" t="s">
        <v>48</v>
      </c>
      <c r="S1123" t="s">
        <v>49</v>
      </c>
      <c r="T1123" s="3">
        <v>7</v>
      </c>
      <c r="U1123" s="3">
        <v>0.23</v>
      </c>
      <c r="V1123" s="3">
        <v>65.19</v>
      </c>
      <c r="W1123">
        <v>33</v>
      </c>
      <c r="X1123" t="s">
        <v>50</v>
      </c>
      <c r="Y1123" s="3">
        <v>22.55</v>
      </c>
      <c r="Z1123" t="s">
        <v>744</v>
      </c>
      <c r="AA1123" t="s">
        <v>7626</v>
      </c>
      <c r="AB1123" t="s">
        <v>53</v>
      </c>
      <c r="AC1123" s="3">
        <v>3.74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f t="shared" si="34"/>
        <v>98.71</v>
      </c>
      <c r="AK1123" s="3">
        <f t="shared" si="35"/>
        <v>76.16</v>
      </c>
    </row>
    <row r="1124" spans="1:37">
      <c r="A1124">
        <v>10339853</v>
      </c>
      <c r="B1124" t="s">
        <v>37</v>
      </c>
      <c r="C1124" t="s">
        <v>7627</v>
      </c>
      <c r="E1124" t="s">
        <v>7628</v>
      </c>
      <c r="F1124" t="s">
        <v>6144</v>
      </c>
      <c r="G1124" t="s">
        <v>7629</v>
      </c>
      <c r="H1124" t="s">
        <v>42</v>
      </c>
      <c r="I1124" t="s">
        <v>7630</v>
      </c>
      <c r="J1124" t="s">
        <v>7631</v>
      </c>
      <c r="K1124" t="s">
        <v>7632</v>
      </c>
      <c r="L1124" t="s">
        <v>82</v>
      </c>
      <c r="M1124" t="s">
        <v>46</v>
      </c>
      <c r="N1124" t="s">
        <v>47</v>
      </c>
      <c r="O1124">
        <v>2</v>
      </c>
      <c r="P1124">
        <v>1</v>
      </c>
      <c r="Q1124">
        <v>2</v>
      </c>
      <c r="R1124" t="s">
        <v>48</v>
      </c>
      <c r="S1124" t="s">
        <v>49</v>
      </c>
      <c r="T1124" s="3">
        <v>0.84</v>
      </c>
      <c r="U1124" s="3">
        <v>0.23</v>
      </c>
      <c r="V1124" s="3">
        <v>1.81</v>
      </c>
      <c r="W1124">
        <v>1.08</v>
      </c>
      <c r="X1124" t="s">
        <v>50</v>
      </c>
      <c r="Y1124" s="3">
        <v>9.19</v>
      </c>
      <c r="Z1124" t="s">
        <v>73</v>
      </c>
      <c r="AA1124" t="s">
        <v>7633</v>
      </c>
      <c r="AB1124" t="s">
        <v>53</v>
      </c>
      <c r="AC1124" s="3">
        <v>1.29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f t="shared" si="34"/>
        <v>13.360000000000001</v>
      </c>
      <c r="AK1124" s="3">
        <f t="shared" si="35"/>
        <v>4.1700000000000017</v>
      </c>
    </row>
    <row r="1125" spans="1:37">
      <c r="A1125">
        <v>10336565</v>
      </c>
      <c r="B1125" t="s">
        <v>37</v>
      </c>
      <c r="C1125" t="s">
        <v>7634</v>
      </c>
      <c r="E1125" t="s">
        <v>687</v>
      </c>
      <c r="F1125" t="s">
        <v>7635</v>
      </c>
      <c r="G1125" t="s">
        <v>7636</v>
      </c>
      <c r="H1125" t="s">
        <v>42</v>
      </c>
      <c r="I1125" t="s">
        <v>7637</v>
      </c>
      <c r="J1125" t="s">
        <v>7638</v>
      </c>
      <c r="K1125" t="s">
        <v>7639</v>
      </c>
      <c r="L1125" t="s">
        <v>142</v>
      </c>
      <c r="M1125" t="s">
        <v>46</v>
      </c>
      <c r="N1125" t="s">
        <v>47</v>
      </c>
      <c r="O1125">
        <v>2</v>
      </c>
      <c r="P1125">
        <v>1</v>
      </c>
      <c r="Q1125">
        <v>2</v>
      </c>
      <c r="R1125" t="s">
        <v>48</v>
      </c>
      <c r="S1125" t="s">
        <v>49</v>
      </c>
      <c r="T1125" s="3">
        <v>0.84</v>
      </c>
      <c r="U1125" s="3">
        <v>0.23</v>
      </c>
      <c r="V1125" s="3">
        <v>1.81</v>
      </c>
      <c r="W1125">
        <v>1.08</v>
      </c>
      <c r="X1125" t="s">
        <v>50</v>
      </c>
      <c r="Y1125" s="3">
        <v>16.43</v>
      </c>
      <c r="Z1125" t="s">
        <v>73</v>
      </c>
      <c r="AA1125" t="s">
        <v>7640</v>
      </c>
      <c r="AB1125" t="s">
        <v>53</v>
      </c>
      <c r="AC1125" s="3">
        <v>1.29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f t="shared" si="34"/>
        <v>20.599999999999998</v>
      </c>
      <c r="AK1125" s="3">
        <f t="shared" si="35"/>
        <v>4.1699999999999982</v>
      </c>
    </row>
    <row r="1126" spans="1:37">
      <c r="A1126">
        <v>10339226</v>
      </c>
      <c r="B1126" t="s">
        <v>37</v>
      </c>
      <c r="C1126" t="s">
        <v>7641</v>
      </c>
      <c r="E1126" t="s">
        <v>1736</v>
      </c>
      <c r="F1126" t="s">
        <v>7642</v>
      </c>
      <c r="G1126" t="s">
        <v>7643</v>
      </c>
      <c r="H1126" t="s">
        <v>42</v>
      </c>
      <c r="I1126" t="s">
        <v>7644</v>
      </c>
      <c r="J1126" t="s">
        <v>7645</v>
      </c>
      <c r="K1126" t="s">
        <v>7646</v>
      </c>
      <c r="L1126" t="s">
        <v>142</v>
      </c>
      <c r="M1126" t="s">
        <v>46</v>
      </c>
      <c r="N1126" t="s">
        <v>47</v>
      </c>
      <c r="O1126">
        <v>2</v>
      </c>
      <c r="P1126">
        <v>1</v>
      </c>
      <c r="Q1126">
        <v>2</v>
      </c>
      <c r="R1126" t="s">
        <v>48</v>
      </c>
      <c r="S1126" t="s">
        <v>49</v>
      </c>
      <c r="T1126" s="3">
        <v>0.84</v>
      </c>
      <c r="U1126" s="3">
        <v>0.23</v>
      </c>
      <c r="V1126" s="3">
        <v>1.81</v>
      </c>
      <c r="W1126">
        <v>0.98</v>
      </c>
      <c r="X1126" t="s">
        <v>50</v>
      </c>
      <c r="Y1126" s="3">
        <v>16.43</v>
      </c>
      <c r="Z1126" t="s">
        <v>73</v>
      </c>
      <c r="AA1126" t="s">
        <v>7647</v>
      </c>
      <c r="AB1126" t="s">
        <v>53</v>
      </c>
      <c r="AC1126" s="3">
        <v>1.29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f t="shared" si="34"/>
        <v>20.599999999999998</v>
      </c>
      <c r="AK1126" s="3">
        <f t="shared" si="35"/>
        <v>4.1699999999999982</v>
      </c>
    </row>
    <row r="1127" spans="1:37">
      <c r="A1127">
        <v>10337786</v>
      </c>
      <c r="B1127" t="s">
        <v>37</v>
      </c>
      <c r="C1127" t="s">
        <v>7648</v>
      </c>
      <c r="E1127" t="s">
        <v>650</v>
      </c>
      <c r="F1127" t="s">
        <v>7649</v>
      </c>
      <c r="G1127" t="s">
        <v>7650</v>
      </c>
      <c r="H1127" t="s">
        <v>42</v>
      </c>
      <c r="I1127" t="s">
        <v>7651</v>
      </c>
      <c r="J1127" t="s">
        <v>7652</v>
      </c>
      <c r="K1127">
        <v>5675</v>
      </c>
      <c r="L1127" t="s">
        <v>369</v>
      </c>
      <c r="M1127" t="s">
        <v>46</v>
      </c>
      <c r="N1127" t="s">
        <v>47</v>
      </c>
      <c r="O1127">
        <v>2</v>
      </c>
      <c r="P1127">
        <v>1</v>
      </c>
      <c r="Q1127">
        <v>2</v>
      </c>
      <c r="R1127" t="s">
        <v>48</v>
      </c>
      <c r="S1127" t="s">
        <v>49</v>
      </c>
      <c r="T1127" s="3">
        <v>0.84</v>
      </c>
      <c r="U1127" s="3">
        <v>0.23</v>
      </c>
      <c r="V1127" s="3">
        <v>1.81</v>
      </c>
      <c r="W1127">
        <v>1.08</v>
      </c>
      <c r="X1127" t="s">
        <v>50</v>
      </c>
      <c r="Y1127" s="3">
        <v>9.19</v>
      </c>
      <c r="Z1127" t="s">
        <v>73</v>
      </c>
      <c r="AA1127" t="s">
        <v>3203</v>
      </c>
      <c r="AB1127" t="s">
        <v>53</v>
      </c>
      <c r="AC1127" s="3">
        <v>1.29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f t="shared" si="34"/>
        <v>13.360000000000001</v>
      </c>
      <c r="AK1127" s="3">
        <f t="shared" si="35"/>
        <v>4.1700000000000017</v>
      </c>
    </row>
    <row r="1128" spans="1:37">
      <c r="A1128">
        <v>10339225</v>
      </c>
      <c r="B1128" t="s">
        <v>37</v>
      </c>
      <c r="C1128" t="s">
        <v>7653</v>
      </c>
      <c r="E1128" t="s">
        <v>7654</v>
      </c>
      <c r="F1128" t="s">
        <v>7655</v>
      </c>
      <c r="G1128" t="s">
        <v>7656</v>
      </c>
      <c r="H1128" t="s">
        <v>42</v>
      </c>
      <c r="I1128" t="s">
        <v>7657</v>
      </c>
      <c r="J1128" t="s">
        <v>7658</v>
      </c>
      <c r="K1128">
        <v>71229</v>
      </c>
      <c r="L1128" t="s">
        <v>71</v>
      </c>
      <c r="M1128" t="s">
        <v>46</v>
      </c>
      <c r="N1128" t="s">
        <v>47</v>
      </c>
      <c r="O1128">
        <v>2</v>
      </c>
      <c r="P1128">
        <v>1</v>
      </c>
      <c r="Q1128">
        <v>2</v>
      </c>
      <c r="R1128" t="s">
        <v>48</v>
      </c>
      <c r="S1128" t="s">
        <v>49</v>
      </c>
      <c r="T1128" s="3">
        <v>0.84</v>
      </c>
      <c r="U1128" s="3">
        <v>0.23</v>
      </c>
      <c r="V1128" s="3">
        <v>1.81</v>
      </c>
      <c r="W1128">
        <v>0.4</v>
      </c>
      <c r="X1128" t="s">
        <v>108</v>
      </c>
      <c r="Y1128" s="3">
        <v>5.14</v>
      </c>
      <c r="Z1128" t="s">
        <v>109</v>
      </c>
      <c r="AA1128" t="s">
        <v>7659</v>
      </c>
      <c r="AB1128" t="s">
        <v>53</v>
      </c>
      <c r="AC1128" s="3">
        <v>1.06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f t="shared" si="34"/>
        <v>9.08</v>
      </c>
      <c r="AK1128" s="3">
        <f t="shared" si="35"/>
        <v>3.9400000000000004</v>
      </c>
    </row>
    <row r="1129" spans="1:37">
      <c r="A1129">
        <v>10339514</v>
      </c>
      <c r="B1129" t="s">
        <v>37</v>
      </c>
      <c r="C1129" t="s">
        <v>7660</v>
      </c>
      <c r="E1129" t="s">
        <v>7661</v>
      </c>
      <c r="F1129" t="s">
        <v>7662</v>
      </c>
      <c r="G1129" t="s">
        <v>7663</v>
      </c>
      <c r="H1129" t="s">
        <v>42</v>
      </c>
      <c r="I1129" t="s">
        <v>7664</v>
      </c>
      <c r="J1129" t="s">
        <v>7665</v>
      </c>
      <c r="K1129">
        <v>51503</v>
      </c>
      <c r="L1129" t="s">
        <v>71</v>
      </c>
      <c r="M1129" t="s">
        <v>46</v>
      </c>
      <c r="N1129" t="s">
        <v>47</v>
      </c>
      <c r="O1129">
        <v>2</v>
      </c>
      <c r="P1129">
        <v>1</v>
      </c>
      <c r="Q1129">
        <v>2</v>
      </c>
      <c r="R1129" t="s">
        <v>48</v>
      </c>
      <c r="S1129" t="s">
        <v>49</v>
      </c>
      <c r="T1129" s="3">
        <v>0.84</v>
      </c>
      <c r="U1129" s="3">
        <v>0.23</v>
      </c>
      <c r="V1129" s="3">
        <v>1.81</v>
      </c>
      <c r="W1129">
        <v>0.88</v>
      </c>
      <c r="X1129" t="s">
        <v>108</v>
      </c>
      <c r="Y1129" s="3">
        <v>5.14</v>
      </c>
      <c r="Z1129" t="s">
        <v>109</v>
      </c>
      <c r="AA1129" t="s">
        <v>6804</v>
      </c>
      <c r="AB1129" t="s">
        <v>53</v>
      </c>
      <c r="AC1129" s="3">
        <v>1.06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f t="shared" si="34"/>
        <v>9.08</v>
      </c>
      <c r="AK1129" s="3">
        <f t="shared" si="35"/>
        <v>3.9400000000000004</v>
      </c>
    </row>
    <row r="1130" spans="1:37">
      <c r="A1130">
        <v>10337031</v>
      </c>
      <c r="B1130" t="s">
        <v>37</v>
      </c>
      <c r="C1130" t="s">
        <v>7666</v>
      </c>
      <c r="E1130" t="s">
        <v>1373</v>
      </c>
      <c r="F1130" t="s">
        <v>7667</v>
      </c>
      <c r="G1130" t="s">
        <v>7668</v>
      </c>
      <c r="H1130" t="s">
        <v>42</v>
      </c>
      <c r="I1130" t="s">
        <v>7669</v>
      </c>
      <c r="J1130" t="s">
        <v>7670</v>
      </c>
      <c r="K1130">
        <v>22529</v>
      </c>
      <c r="L1130" t="s">
        <v>71</v>
      </c>
      <c r="M1130" t="s">
        <v>46</v>
      </c>
      <c r="N1130" t="s">
        <v>47</v>
      </c>
      <c r="O1130">
        <v>6</v>
      </c>
      <c r="P1130">
        <v>1</v>
      </c>
      <c r="Q1130">
        <v>6</v>
      </c>
      <c r="R1130" t="s">
        <v>48</v>
      </c>
      <c r="S1130" t="s">
        <v>49</v>
      </c>
      <c r="T1130" s="3">
        <v>0.84</v>
      </c>
      <c r="U1130" s="3">
        <v>0.23</v>
      </c>
      <c r="V1130" s="3">
        <v>5.29</v>
      </c>
      <c r="W1130">
        <v>2.44</v>
      </c>
      <c r="X1130" t="s">
        <v>72</v>
      </c>
      <c r="Y1130" s="3">
        <v>9.6</v>
      </c>
      <c r="Z1130" t="s">
        <v>73</v>
      </c>
      <c r="AA1130" t="s">
        <v>2104</v>
      </c>
      <c r="AB1130" t="s">
        <v>53</v>
      </c>
      <c r="AC1130" s="3">
        <v>1.29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f t="shared" si="34"/>
        <v>17.25</v>
      </c>
      <c r="AK1130" s="3">
        <f t="shared" si="35"/>
        <v>7.65</v>
      </c>
    </row>
    <row r="1131" spans="1:37">
      <c r="A1131">
        <v>10337029</v>
      </c>
      <c r="B1131" t="s">
        <v>37</v>
      </c>
      <c r="C1131" t="s">
        <v>7671</v>
      </c>
      <c r="E1131" t="s">
        <v>2534</v>
      </c>
      <c r="F1131" t="s">
        <v>7672</v>
      </c>
      <c r="G1131" t="s">
        <v>7673</v>
      </c>
      <c r="H1131" t="s">
        <v>42</v>
      </c>
      <c r="I1131" t="s">
        <v>7674</v>
      </c>
      <c r="J1131" t="s">
        <v>7675</v>
      </c>
      <c r="K1131" t="s">
        <v>7676</v>
      </c>
      <c r="L1131" t="s">
        <v>71</v>
      </c>
      <c r="M1131" t="s">
        <v>46</v>
      </c>
      <c r="N1131" t="s">
        <v>47</v>
      </c>
      <c r="O1131">
        <v>2</v>
      </c>
      <c r="P1131">
        <v>1</v>
      </c>
      <c r="Q1131">
        <v>2</v>
      </c>
      <c r="R1131" t="s">
        <v>48</v>
      </c>
      <c r="S1131" t="s">
        <v>49</v>
      </c>
      <c r="T1131" s="3">
        <v>0.84</v>
      </c>
      <c r="U1131" s="3">
        <v>0.23</v>
      </c>
      <c r="V1131" s="3">
        <v>1.81</v>
      </c>
      <c r="W1131">
        <v>1.64</v>
      </c>
      <c r="X1131" t="s">
        <v>72</v>
      </c>
      <c r="Y1131" s="3">
        <v>5.44</v>
      </c>
      <c r="Z1131" t="s">
        <v>73</v>
      </c>
      <c r="AA1131" t="s">
        <v>7677</v>
      </c>
      <c r="AB1131" t="s">
        <v>53</v>
      </c>
      <c r="AC1131" s="3">
        <v>1.29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f t="shared" si="34"/>
        <v>9.6100000000000012</v>
      </c>
      <c r="AK1131" s="3">
        <f t="shared" si="35"/>
        <v>4.1700000000000008</v>
      </c>
    </row>
    <row r="1132" spans="1:37">
      <c r="A1132">
        <v>10335023</v>
      </c>
      <c r="B1132" t="s">
        <v>37</v>
      </c>
      <c r="C1132" t="s">
        <v>7678</v>
      </c>
      <c r="E1132" t="s">
        <v>7679</v>
      </c>
      <c r="F1132" t="s">
        <v>7680</v>
      </c>
      <c r="G1132" t="s">
        <v>7681</v>
      </c>
      <c r="H1132" t="s">
        <v>42</v>
      </c>
      <c r="I1132" t="s">
        <v>7682</v>
      </c>
      <c r="J1132" t="s">
        <v>7683</v>
      </c>
      <c r="K1132">
        <v>60594</v>
      </c>
      <c r="L1132" t="s">
        <v>71</v>
      </c>
      <c r="M1132" t="s">
        <v>46</v>
      </c>
      <c r="N1132" t="s">
        <v>47</v>
      </c>
      <c r="O1132">
        <v>4</v>
      </c>
      <c r="P1132">
        <v>1</v>
      </c>
      <c r="Q1132">
        <v>4</v>
      </c>
      <c r="R1132" t="s">
        <v>48</v>
      </c>
      <c r="S1132" t="s">
        <v>49</v>
      </c>
      <c r="T1132" s="3">
        <v>0.84</v>
      </c>
      <c r="U1132" s="3">
        <v>0.23</v>
      </c>
      <c r="V1132" s="3">
        <v>3.55</v>
      </c>
      <c r="W1132">
        <v>2.06</v>
      </c>
      <c r="X1132" t="s">
        <v>72</v>
      </c>
      <c r="Y1132" s="3">
        <v>5.44</v>
      </c>
      <c r="Z1132" t="s">
        <v>73</v>
      </c>
      <c r="AA1132" t="s">
        <v>327</v>
      </c>
      <c r="AB1132" t="s">
        <v>53</v>
      </c>
      <c r="AC1132" s="3">
        <v>1.29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f t="shared" si="34"/>
        <v>11.350000000000001</v>
      </c>
      <c r="AK1132" s="3">
        <f t="shared" si="35"/>
        <v>5.910000000000001</v>
      </c>
    </row>
    <row r="1133" spans="1:37">
      <c r="A1133">
        <v>10335024</v>
      </c>
      <c r="B1133" t="s">
        <v>37</v>
      </c>
      <c r="C1133" t="s">
        <v>7684</v>
      </c>
      <c r="E1133" t="s">
        <v>7685</v>
      </c>
      <c r="F1133" t="s">
        <v>7686</v>
      </c>
      <c r="G1133" t="s">
        <v>7687</v>
      </c>
      <c r="H1133" t="s">
        <v>42</v>
      </c>
      <c r="I1133" t="s">
        <v>7688</v>
      </c>
      <c r="J1133" t="s">
        <v>7689</v>
      </c>
      <c r="K1133" t="s">
        <v>7690</v>
      </c>
      <c r="L1133" t="s">
        <v>142</v>
      </c>
      <c r="M1133" t="s">
        <v>46</v>
      </c>
      <c r="N1133" t="s">
        <v>47</v>
      </c>
      <c r="O1133">
        <v>4</v>
      </c>
      <c r="P1133">
        <v>1</v>
      </c>
      <c r="Q1133">
        <v>4</v>
      </c>
      <c r="R1133" t="s">
        <v>48</v>
      </c>
      <c r="S1133" t="s">
        <v>49</v>
      </c>
      <c r="T1133" s="3">
        <v>0.84</v>
      </c>
      <c r="U1133" s="3">
        <v>0.23</v>
      </c>
      <c r="V1133" s="3">
        <v>3.55</v>
      </c>
      <c r="W1133">
        <v>2.06</v>
      </c>
      <c r="X1133" t="s">
        <v>50</v>
      </c>
      <c r="Y1133" s="3">
        <v>16.43</v>
      </c>
      <c r="Z1133" t="s">
        <v>73</v>
      </c>
      <c r="AA1133" t="s">
        <v>327</v>
      </c>
      <c r="AB1133" t="s">
        <v>53</v>
      </c>
      <c r="AC1133" s="3">
        <v>1.29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f t="shared" si="34"/>
        <v>22.34</v>
      </c>
      <c r="AK1133" s="3">
        <f t="shared" si="35"/>
        <v>5.91</v>
      </c>
    </row>
    <row r="1134" spans="1:37">
      <c r="A1134">
        <v>10341473</v>
      </c>
      <c r="B1134" t="s">
        <v>37</v>
      </c>
      <c r="C1134" t="s">
        <v>7691</v>
      </c>
      <c r="E1134" t="s">
        <v>2684</v>
      </c>
      <c r="F1134" t="s">
        <v>7692</v>
      </c>
      <c r="G1134" t="s">
        <v>7693</v>
      </c>
      <c r="H1134" t="s">
        <v>42</v>
      </c>
      <c r="I1134" t="s">
        <v>7694</v>
      </c>
      <c r="J1134" t="s">
        <v>7695</v>
      </c>
      <c r="K1134" t="s">
        <v>7696</v>
      </c>
      <c r="L1134" t="s">
        <v>142</v>
      </c>
      <c r="M1134" t="s">
        <v>46</v>
      </c>
      <c r="N1134" t="s">
        <v>47</v>
      </c>
      <c r="O1134">
        <v>2</v>
      </c>
      <c r="P1134">
        <v>1</v>
      </c>
      <c r="Q1134">
        <v>2</v>
      </c>
      <c r="R1134" t="s">
        <v>48</v>
      </c>
      <c r="S1134" t="s">
        <v>49</v>
      </c>
      <c r="T1134" s="3">
        <v>0.84</v>
      </c>
      <c r="U1134" s="3">
        <v>0.23</v>
      </c>
      <c r="V1134" s="3">
        <v>1.81</v>
      </c>
      <c r="W1134">
        <v>1.08</v>
      </c>
      <c r="X1134" t="s">
        <v>50</v>
      </c>
      <c r="Y1134" s="3">
        <v>16.43</v>
      </c>
      <c r="Z1134" t="s">
        <v>73</v>
      </c>
      <c r="AA1134" t="s">
        <v>7697</v>
      </c>
      <c r="AB1134" t="s">
        <v>53</v>
      </c>
      <c r="AC1134" s="3">
        <v>1.29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f t="shared" si="34"/>
        <v>20.599999999999998</v>
      </c>
      <c r="AK1134" s="3">
        <f t="shared" si="35"/>
        <v>4.1699999999999982</v>
      </c>
    </row>
    <row r="1135" spans="1:37">
      <c r="A1135">
        <v>10337530</v>
      </c>
      <c r="B1135" t="s">
        <v>37</v>
      </c>
      <c r="C1135" t="s">
        <v>7698</v>
      </c>
      <c r="E1135" t="s">
        <v>7699</v>
      </c>
      <c r="F1135" t="s">
        <v>7700</v>
      </c>
      <c r="G1135" t="s">
        <v>7701</v>
      </c>
      <c r="H1135" t="s">
        <v>42</v>
      </c>
      <c r="I1135" t="s">
        <v>7702</v>
      </c>
      <c r="J1135" t="s">
        <v>7703</v>
      </c>
      <c r="K1135">
        <v>81369</v>
      </c>
      <c r="L1135" t="s">
        <v>71</v>
      </c>
      <c r="M1135" t="s">
        <v>46</v>
      </c>
      <c r="N1135" t="s">
        <v>47</v>
      </c>
      <c r="O1135">
        <v>3</v>
      </c>
      <c r="P1135">
        <v>1</v>
      </c>
      <c r="Q1135">
        <v>3</v>
      </c>
      <c r="R1135" t="s">
        <v>48</v>
      </c>
      <c r="S1135" t="s">
        <v>49</v>
      </c>
      <c r="T1135" s="3">
        <v>0.84</v>
      </c>
      <c r="U1135" s="3">
        <v>0.23</v>
      </c>
      <c r="V1135" s="3">
        <v>2.68</v>
      </c>
      <c r="W1135">
        <v>0.79</v>
      </c>
      <c r="X1135" t="s">
        <v>72</v>
      </c>
      <c r="Y1135" s="3">
        <v>6.83</v>
      </c>
      <c r="Z1135" t="s">
        <v>73</v>
      </c>
      <c r="AA1135" t="s">
        <v>7704</v>
      </c>
      <c r="AB1135" t="s">
        <v>53</v>
      </c>
      <c r="AC1135" s="3">
        <v>1.29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f t="shared" si="34"/>
        <v>11.870000000000001</v>
      </c>
      <c r="AK1135" s="3">
        <f t="shared" si="35"/>
        <v>5.0400000000000009</v>
      </c>
    </row>
    <row r="1136" spans="1:37">
      <c r="A1136">
        <v>10331605</v>
      </c>
      <c r="B1136" t="s">
        <v>37</v>
      </c>
      <c r="C1136" t="s">
        <v>7705</v>
      </c>
      <c r="E1136" t="s">
        <v>7706</v>
      </c>
      <c r="F1136" t="s">
        <v>2072</v>
      </c>
      <c r="G1136" t="s">
        <v>7707</v>
      </c>
      <c r="H1136" t="s">
        <v>42</v>
      </c>
      <c r="I1136" t="s">
        <v>7708</v>
      </c>
      <c r="J1136" t="s">
        <v>7709</v>
      </c>
      <c r="K1136">
        <v>59368</v>
      </c>
      <c r="L1136" t="s">
        <v>71</v>
      </c>
      <c r="M1136" t="s">
        <v>46</v>
      </c>
      <c r="N1136" t="s">
        <v>47</v>
      </c>
      <c r="O1136">
        <v>180</v>
      </c>
      <c r="P1136">
        <v>5</v>
      </c>
      <c r="Q1136">
        <v>5</v>
      </c>
      <c r="R1136" t="s">
        <v>48</v>
      </c>
      <c r="S1136" t="s">
        <v>49</v>
      </c>
      <c r="T1136" s="3">
        <v>7</v>
      </c>
      <c r="U1136" s="3">
        <v>0.23</v>
      </c>
      <c r="V1136" s="3">
        <v>6.65</v>
      </c>
      <c r="W1136">
        <v>78</v>
      </c>
      <c r="X1136" t="s">
        <v>72</v>
      </c>
      <c r="Y1136" s="3">
        <v>50.55</v>
      </c>
      <c r="Z1136" t="s">
        <v>7710</v>
      </c>
      <c r="AA1136" t="s">
        <v>7711</v>
      </c>
      <c r="AB1136" t="s">
        <v>53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f t="shared" si="34"/>
        <v>64.429999999999993</v>
      </c>
      <c r="AK1136" s="3">
        <f t="shared" si="35"/>
        <v>13.879999999999995</v>
      </c>
    </row>
    <row r="1137" spans="1:37">
      <c r="A1137">
        <v>10336144</v>
      </c>
      <c r="B1137" t="s">
        <v>37</v>
      </c>
      <c r="C1137" t="s">
        <v>7712</v>
      </c>
      <c r="E1137" t="s">
        <v>1387</v>
      </c>
      <c r="F1137" t="s">
        <v>7713</v>
      </c>
      <c r="G1137" t="s">
        <v>7714</v>
      </c>
      <c r="H1137" t="s">
        <v>42</v>
      </c>
      <c r="I1137" t="s">
        <v>7715</v>
      </c>
      <c r="J1137" t="s">
        <v>7716</v>
      </c>
      <c r="K1137">
        <v>1121</v>
      </c>
      <c r="L1137" t="s">
        <v>7717</v>
      </c>
      <c r="M1137" t="s">
        <v>46</v>
      </c>
      <c r="N1137" t="s">
        <v>47</v>
      </c>
      <c r="O1137">
        <v>4</v>
      </c>
      <c r="P1137">
        <v>1</v>
      </c>
      <c r="Q1137">
        <v>4</v>
      </c>
      <c r="R1137" t="s">
        <v>48</v>
      </c>
      <c r="S1137" t="s">
        <v>49</v>
      </c>
      <c r="T1137" s="3">
        <v>0.84</v>
      </c>
      <c r="U1137" s="3">
        <v>0.23</v>
      </c>
      <c r="V1137" s="3">
        <v>3.55</v>
      </c>
      <c r="W1137">
        <v>1.72</v>
      </c>
      <c r="X1137" t="s">
        <v>50</v>
      </c>
      <c r="Y1137" s="3">
        <v>14.98</v>
      </c>
      <c r="Z1137" t="s">
        <v>73</v>
      </c>
      <c r="AA1137" t="s">
        <v>7718</v>
      </c>
      <c r="AB1137" t="s">
        <v>53</v>
      </c>
      <c r="AC1137" s="3">
        <v>1.29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f t="shared" si="34"/>
        <v>20.89</v>
      </c>
      <c r="AK1137" s="3">
        <f t="shared" si="35"/>
        <v>5.91</v>
      </c>
    </row>
    <row r="1138" spans="1:37">
      <c r="A1138">
        <v>10341827</v>
      </c>
      <c r="B1138" t="s">
        <v>37</v>
      </c>
      <c r="C1138" t="s">
        <v>7719</v>
      </c>
      <c r="E1138" t="s">
        <v>7428</v>
      </c>
      <c r="F1138" t="s">
        <v>7720</v>
      </c>
      <c r="G1138" t="s">
        <v>7721</v>
      </c>
      <c r="H1138" t="s">
        <v>42</v>
      </c>
      <c r="I1138" t="s">
        <v>7722</v>
      </c>
      <c r="J1138" t="s">
        <v>7723</v>
      </c>
      <c r="K1138" t="s">
        <v>7724</v>
      </c>
      <c r="L1138" t="s">
        <v>82</v>
      </c>
      <c r="M1138" t="s">
        <v>46</v>
      </c>
      <c r="N1138" t="s">
        <v>47</v>
      </c>
      <c r="O1138">
        <v>2</v>
      </c>
      <c r="P1138">
        <v>1</v>
      </c>
      <c r="Q1138">
        <v>2</v>
      </c>
      <c r="R1138" t="s">
        <v>48</v>
      </c>
      <c r="S1138" t="s">
        <v>49</v>
      </c>
      <c r="T1138" s="3">
        <v>0.84</v>
      </c>
      <c r="U1138" s="3">
        <v>0.23</v>
      </c>
      <c r="V1138" s="3">
        <v>1.81</v>
      </c>
      <c r="W1138">
        <v>0.88</v>
      </c>
      <c r="X1138" t="s">
        <v>50</v>
      </c>
      <c r="Y1138" s="3">
        <v>9.19</v>
      </c>
      <c r="Z1138" t="s">
        <v>73</v>
      </c>
      <c r="AA1138" t="s">
        <v>7725</v>
      </c>
      <c r="AB1138" t="s">
        <v>53</v>
      </c>
      <c r="AC1138" s="3">
        <v>1.29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f t="shared" si="34"/>
        <v>13.360000000000001</v>
      </c>
      <c r="AK1138" s="3">
        <f t="shared" si="35"/>
        <v>4.1700000000000017</v>
      </c>
    </row>
    <row r="1139" spans="1:37">
      <c r="A1139">
        <v>10341822</v>
      </c>
      <c r="B1139" t="s">
        <v>37</v>
      </c>
      <c r="C1139" t="s">
        <v>7726</v>
      </c>
      <c r="E1139" t="s">
        <v>7727</v>
      </c>
      <c r="F1139" t="s">
        <v>7728</v>
      </c>
      <c r="G1139" t="s">
        <v>7729</v>
      </c>
      <c r="H1139" t="s">
        <v>42</v>
      </c>
      <c r="I1139" t="s">
        <v>7730</v>
      </c>
      <c r="J1139" t="s">
        <v>7731</v>
      </c>
      <c r="K1139">
        <v>1050</v>
      </c>
      <c r="L1139" t="s">
        <v>505</v>
      </c>
      <c r="M1139" t="s">
        <v>46</v>
      </c>
      <c r="N1139" t="s">
        <v>47</v>
      </c>
      <c r="O1139">
        <v>2</v>
      </c>
      <c r="P1139">
        <v>1</v>
      </c>
      <c r="Q1139">
        <v>2</v>
      </c>
      <c r="R1139" t="s">
        <v>48</v>
      </c>
      <c r="S1139" t="s">
        <v>49</v>
      </c>
      <c r="T1139" s="3">
        <v>0.84</v>
      </c>
      <c r="U1139" s="3">
        <v>0.23</v>
      </c>
      <c r="V1139" s="3">
        <v>1.81</v>
      </c>
      <c r="W1139">
        <v>1.08</v>
      </c>
      <c r="X1139" t="s">
        <v>50</v>
      </c>
      <c r="Y1139" s="3">
        <v>9.19</v>
      </c>
      <c r="Z1139" t="s">
        <v>73</v>
      </c>
      <c r="AA1139" t="s">
        <v>7732</v>
      </c>
      <c r="AB1139" t="s">
        <v>53</v>
      </c>
      <c r="AC1139" s="3">
        <v>1.29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f t="shared" si="34"/>
        <v>13.360000000000001</v>
      </c>
      <c r="AK1139" s="3">
        <f t="shared" si="35"/>
        <v>4.1700000000000017</v>
      </c>
    </row>
    <row r="1140" spans="1:37">
      <c r="A1140">
        <v>10337470</v>
      </c>
      <c r="B1140" t="s">
        <v>37</v>
      </c>
      <c r="C1140" t="s">
        <v>7733</v>
      </c>
      <c r="E1140" t="s">
        <v>933</v>
      </c>
      <c r="F1140" t="s">
        <v>7734</v>
      </c>
      <c r="G1140" t="s">
        <v>7735</v>
      </c>
      <c r="H1140" t="s">
        <v>42</v>
      </c>
      <c r="I1140" t="s">
        <v>7736</v>
      </c>
      <c r="J1140" t="s">
        <v>7737</v>
      </c>
      <c r="K1140" t="s">
        <v>7738</v>
      </c>
      <c r="L1140" t="s">
        <v>82</v>
      </c>
      <c r="M1140" t="s">
        <v>46</v>
      </c>
      <c r="N1140" t="s">
        <v>47</v>
      </c>
      <c r="O1140">
        <v>3</v>
      </c>
      <c r="P1140">
        <v>1</v>
      </c>
      <c r="Q1140">
        <v>3</v>
      </c>
      <c r="R1140" t="s">
        <v>48</v>
      </c>
      <c r="S1140" t="s">
        <v>49</v>
      </c>
      <c r="T1140" s="3">
        <v>0.84</v>
      </c>
      <c r="U1140" s="3">
        <v>0.23</v>
      </c>
      <c r="V1140" s="3">
        <v>2.68</v>
      </c>
      <c r="W1140">
        <v>1.22</v>
      </c>
      <c r="X1140" t="s">
        <v>50</v>
      </c>
      <c r="Y1140" s="3">
        <v>9.19</v>
      </c>
      <c r="Z1140" t="s">
        <v>73</v>
      </c>
      <c r="AA1140" t="s">
        <v>7739</v>
      </c>
      <c r="AB1140" t="s">
        <v>53</v>
      </c>
      <c r="AC1140" s="3">
        <v>1.29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f t="shared" si="34"/>
        <v>14.23</v>
      </c>
      <c r="AK1140" s="3">
        <f t="shared" si="35"/>
        <v>5.0400000000000009</v>
      </c>
    </row>
    <row r="1141" spans="1:37">
      <c r="A1141">
        <v>10341478</v>
      </c>
      <c r="B1141" t="s">
        <v>37</v>
      </c>
      <c r="C1141" t="s">
        <v>7740</v>
      </c>
      <c r="E1141" t="s">
        <v>3582</v>
      </c>
      <c r="F1141" t="s">
        <v>7741</v>
      </c>
      <c r="G1141" t="s">
        <v>7742</v>
      </c>
      <c r="H1141" t="s">
        <v>42</v>
      </c>
      <c r="I1141" t="s">
        <v>7743</v>
      </c>
      <c r="J1141" t="s">
        <v>7744</v>
      </c>
      <c r="K1141">
        <v>8000</v>
      </c>
      <c r="L1141" t="s">
        <v>505</v>
      </c>
      <c r="M1141" t="s">
        <v>46</v>
      </c>
      <c r="N1141" t="s">
        <v>47</v>
      </c>
      <c r="O1141">
        <v>2</v>
      </c>
      <c r="P1141">
        <v>1</v>
      </c>
      <c r="Q1141">
        <v>2</v>
      </c>
      <c r="R1141" t="s">
        <v>48</v>
      </c>
      <c r="S1141" t="s">
        <v>49</v>
      </c>
      <c r="T1141" s="3">
        <v>0.84</v>
      </c>
      <c r="U1141" s="3">
        <v>0.23</v>
      </c>
      <c r="V1141" s="3">
        <v>1.81</v>
      </c>
      <c r="W1141">
        <v>1.08</v>
      </c>
      <c r="X1141" t="s">
        <v>50</v>
      </c>
      <c r="Y1141" s="3">
        <v>9.19</v>
      </c>
      <c r="Z1141" t="s">
        <v>73</v>
      </c>
      <c r="AA1141" t="s">
        <v>7745</v>
      </c>
      <c r="AB1141" t="s">
        <v>53</v>
      </c>
      <c r="AC1141" s="3">
        <v>1.29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f t="shared" si="34"/>
        <v>13.360000000000001</v>
      </c>
      <c r="AK1141" s="3">
        <f t="shared" si="35"/>
        <v>4.1700000000000017</v>
      </c>
    </row>
    <row r="1142" spans="1:37">
      <c r="A1142">
        <v>10341829</v>
      </c>
      <c r="B1142" t="s">
        <v>37</v>
      </c>
      <c r="C1142" t="s">
        <v>7746</v>
      </c>
      <c r="E1142" t="s">
        <v>7747</v>
      </c>
      <c r="F1142" t="s">
        <v>7748</v>
      </c>
      <c r="G1142" t="s">
        <v>7749</v>
      </c>
      <c r="H1142" t="s">
        <v>42</v>
      </c>
      <c r="I1142" t="s">
        <v>7750</v>
      </c>
      <c r="J1142" t="s">
        <v>7751</v>
      </c>
      <c r="K1142">
        <v>92120</v>
      </c>
      <c r="L1142" t="s">
        <v>130</v>
      </c>
      <c r="M1142" t="s">
        <v>46</v>
      </c>
      <c r="N1142" t="s">
        <v>47</v>
      </c>
      <c r="O1142">
        <v>2</v>
      </c>
      <c r="P1142">
        <v>1</v>
      </c>
      <c r="Q1142">
        <v>2</v>
      </c>
      <c r="R1142" t="s">
        <v>48</v>
      </c>
      <c r="S1142" t="s">
        <v>49</v>
      </c>
      <c r="T1142" s="3">
        <v>0.84</v>
      </c>
      <c r="U1142" s="3">
        <v>0.23</v>
      </c>
      <c r="V1142" s="3">
        <v>1.81</v>
      </c>
      <c r="W1142">
        <v>0.98</v>
      </c>
      <c r="X1142" t="s">
        <v>50</v>
      </c>
      <c r="Y1142" s="3">
        <v>14.26</v>
      </c>
      <c r="Z1142" t="s">
        <v>73</v>
      </c>
      <c r="AA1142" t="s">
        <v>7752</v>
      </c>
      <c r="AB1142" t="s">
        <v>53</v>
      </c>
      <c r="AC1142" s="3">
        <v>1.29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f t="shared" si="34"/>
        <v>18.43</v>
      </c>
      <c r="AK1142" s="3">
        <f t="shared" si="35"/>
        <v>4.17</v>
      </c>
    </row>
    <row r="1143" spans="1:37">
      <c r="A1143">
        <v>10341481</v>
      </c>
      <c r="B1143" t="s">
        <v>37</v>
      </c>
      <c r="C1143" t="s">
        <v>7753</v>
      </c>
      <c r="E1143" t="s">
        <v>7754</v>
      </c>
      <c r="F1143" t="s">
        <v>7755</v>
      </c>
      <c r="G1143" t="s">
        <v>7756</v>
      </c>
      <c r="H1143" t="s">
        <v>42</v>
      </c>
      <c r="I1143" t="s">
        <v>7757</v>
      </c>
      <c r="J1143" t="s">
        <v>7758</v>
      </c>
      <c r="K1143">
        <v>80802</v>
      </c>
      <c r="L1143" t="s">
        <v>71</v>
      </c>
      <c r="M1143" t="s">
        <v>46</v>
      </c>
      <c r="N1143" t="s">
        <v>47</v>
      </c>
      <c r="O1143">
        <v>2</v>
      </c>
      <c r="P1143">
        <v>1</v>
      </c>
      <c r="Q1143">
        <v>2</v>
      </c>
      <c r="R1143" t="s">
        <v>48</v>
      </c>
      <c r="S1143" t="s">
        <v>49</v>
      </c>
      <c r="T1143" s="3">
        <v>0.84</v>
      </c>
      <c r="U1143" s="3">
        <v>0.23</v>
      </c>
      <c r="V1143" s="3">
        <v>1.81</v>
      </c>
      <c r="W1143">
        <v>1.08</v>
      </c>
      <c r="X1143" t="s">
        <v>72</v>
      </c>
      <c r="Y1143" s="3">
        <v>5.44</v>
      </c>
      <c r="Z1143" t="s">
        <v>73</v>
      </c>
      <c r="AA1143" t="s">
        <v>5153</v>
      </c>
      <c r="AB1143" t="s">
        <v>53</v>
      </c>
      <c r="AC1143" s="3">
        <v>1.29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f t="shared" si="34"/>
        <v>9.6100000000000012</v>
      </c>
      <c r="AK1143" s="3">
        <f t="shared" si="35"/>
        <v>4.1700000000000008</v>
      </c>
    </row>
    <row r="1144" spans="1:37">
      <c r="A1144">
        <v>10341821</v>
      </c>
      <c r="B1144" t="s">
        <v>37</v>
      </c>
      <c r="C1144" t="s">
        <v>7759</v>
      </c>
      <c r="E1144" t="s">
        <v>7760</v>
      </c>
      <c r="F1144" t="s">
        <v>6419</v>
      </c>
      <c r="G1144" t="s">
        <v>7761</v>
      </c>
      <c r="H1144" t="s">
        <v>42</v>
      </c>
      <c r="I1144" t="s">
        <v>7762</v>
      </c>
      <c r="J1144" t="s">
        <v>7763</v>
      </c>
      <c r="K1144">
        <v>9180</v>
      </c>
      <c r="L1144" t="s">
        <v>505</v>
      </c>
      <c r="M1144" t="s">
        <v>46</v>
      </c>
      <c r="N1144" t="s">
        <v>47</v>
      </c>
      <c r="O1144">
        <v>2</v>
      </c>
      <c r="P1144">
        <v>1</v>
      </c>
      <c r="Q1144">
        <v>2</v>
      </c>
      <c r="R1144" t="s">
        <v>48</v>
      </c>
      <c r="S1144" t="s">
        <v>49</v>
      </c>
      <c r="T1144" s="3">
        <v>0.84</v>
      </c>
      <c r="U1144" s="3">
        <v>0.23</v>
      </c>
      <c r="V1144" s="3">
        <v>1.81</v>
      </c>
      <c r="W1144">
        <v>0.79</v>
      </c>
      <c r="X1144" t="s">
        <v>50</v>
      </c>
      <c r="Y1144" s="3">
        <v>9.19</v>
      </c>
      <c r="Z1144" t="s">
        <v>73</v>
      </c>
      <c r="AA1144" t="s">
        <v>7764</v>
      </c>
      <c r="AB1144" t="s">
        <v>53</v>
      </c>
      <c r="AC1144" s="3">
        <v>1.29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f t="shared" si="34"/>
        <v>13.360000000000001</v>
      </c>
      <c r="AK1144" s="3">
        <f t="shared" si="35"/>
        <v>4.1700000000000017</v>
      </c>
    </row>
    <row r="1145" spans="1:37">
      <c r="A1145">
        <v>10342004</v>
      </c>
      <c r="B1145" t="s">
        <v>37</v>
      </c>
      <c r="C1145" t="s">
        <v>7765</v>
      </c>
      <c r="E1145" t="s">
        <v>7766</v>
      </c>
      <c r="F1145" t="s">
        <v>7767</v>
      </c>
      <c r="G1145" t="s">
        <v>7768</v>
      </c>
      <c r="H1145" t="s">
        <v>42</v>
      </c>
      <c r="I1145" t="s">
        <v>7769</v>
      </c>
      <c r="J1145" t="s">
        <v>7770</v>
      </c>
      <c r="K1145">
        <v>9220</v>
      </c>
      <c r="L1145" t="s">
        <v>403</v>
      </c>
      <c r="M1145" t="s">
        <v>46</v>
      </c>
      <c r="N1145" t="s">
        <v>47</v>
      </c>
      <c r="O1145">
        <v>2</v>
      </c>
      <c r="P1145">
        <v>1</v>
      </c>
      <c r="Q1145">
        <v>2</v>
      </c>
      <c r="R1145" t="s">
        <v>48</v>
      </c>
      <c r="S1145" t="s">
        <v>49</v>
      </c>
      <c r="T1145" s="3">
        <v>0.84</v>
      </c>
      <c r="U1145" s="3">
        <v>0.23</v>
      </c>
      <c r="V1145" s="3">
        <v>1.81</v>
      </c>
      <c r="W1145">
        <v>1.08</v>
      </c>
      <c r="X1145" t="s">
        <v>50</v>
      </c>
      <c r="Y1145" s="3">
        <v>12.09</v>
      </c>
      <c r="Z1145" t="s">
        <v>73</v>
      </c>
      <c r="AA1145" t="s">
        <v>7281</v>
      </c>
      <c r="AB1145" t="s">
        <v>53</v>
      </c>
      <c r="AC1145" s="3">
        <v>1.29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f t="shared" si="34"/>
        <v>16.260000000000002</v>
      </c>
      <c r="AK1145" s="3">
        <f t="shared" si="35"/>
        <v>4.1700000000000017</v>
      </c>
    </row>
    <row r="1146" spans="1:37">
      <c r="A1146">
        <v>10338926</v>
      </c>
      <c r="B1146" t="s">
        <v>37</v>
      </c>
      <c r="C1146" t="s">
        <v>7771</v>
      </c>
      <c r="E1146" t="s">
        <v>1571</v>
      </c>
      <c r="F1146" t="s">
        <v>7772</v>
      </c>
      <c r="G1146" t="s">
        <v>7773</v>
      </c>
      <c r="H1146" t="s">
        <v>42</v>
      </c>
      <c r="I1146" t="s">
        <v>7774</v>
      </c>
      <c r="J1146" t="s">
        <v>7775</v>
      </c>
      <c r="K1146">
        <v>73560</v>
      </c>
      <c r="L1146" t="s">
        <v>71</v>
      </c>
      <c r="M1146" t="s">
        <v>46</v>
      </c>
      <c r="N1146" t="s">
        <v>47</v>
      </c>
      <c r="O1146">
        <v>6</v>
      </c>
      <c r="P1146">
        <v>1</v>
      </c>
      <c r="Q1146">
        <v>6</v>
      </c>
      <c r="R1146" t="s">
        <v>48</v>
      </c>
      <c r="S1146" t="s">
        <v>49</v>
      </c>
      <c r="T1146" s="3">
        <v>0.84</v>
      </c>
      <c r="U1146" s="3">
        <v>0.23</v>
      </c>
      <c r="V1146" s="3">
        <v>5.29</v>
      </c>
      <c r="W1146">
        <v>2.44</v>
      </c>
      <c r="X1146" t="s">
        <v>72</v>
      </c>
      <c r="Y1146" s="3">
        <v>5.44</v>
      </c>
      <c r="Z1146" t="s">
        <v>73</v>
      </c>
      <c r="AA1146" t="s">
        <v>7776</v>
      </c>
      <c r="AB1146" t="s">
        <v>53</v>
      </c>
      <c r="AC1146" s="3">
        <v>1.29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f t="shared" si="34"/>
        <v>13.09</v>
      </c>
      <c r="AK1146" s="3">
        <f t="shared" si="35"/>
        <v>7.6499999999999995</v>
      </c>
    </row>
    <row r="1147" spans="1:37">
      <c r="A1147">
        <v>10338928</v>
      </c>
      <c r="B1147" t="s">
        <v>37</v>
      </c>
      <c r="C1147" t="s">
        <v>7777</v>
      </c>
      <c r="E1147" t="s">
        <v>7778</v>
      </c>
      <c r="F1147" t="s">
        <v>7779</v>
      </c>
      <c r="G1147" t="s">
        <v>7780</v>
      </c>
      <c r="H1147" t="s">
        <v>42</v>
      </c>
      <c r="I1147" t="s">
        <v>7781</v>
      </c>
      <c r="J1147" t="s">
        <v>7782</v>
      </c>
      <c r="K1147">
        <v>22605</v>
      </c>
      <c r="L1147" t="s">
        <v>71</v>
      </c>
      <c r="M1147" t="s">
        <v>46</v>
      </c>
      <c r="N1147" t="s">
        <v>47</v>
      </c>
      <c r="O1147">
        <v>3</v>
      </c>
      <c r="P1147">
        <v>1</v>
      </c>
      <c r="Q1147">
        <v>3</v>
      </c>
      <c r="R1147" t="s">
        <v>48</v>
      </c>
      <c r="S1147" t="s">
        <v>49</v>
      </c>
      <c r="T1147" s="3">
        <v>0.84</v>
      </c>
      <c r="U1147" s="3">
        <v>0.23</v>
      </c>
      <c r="V1147" s="3">
        <v>2.68</v>
      </c>
      <c r="W1147">
        <v>1.37</v>
      </c>
      <c r="X1147" t="s">
        <v>72</v>
      </c>
      <c r="Y1147" s="3">
        <v>5.44</v>
      </c>
      <c r="Z1147" t="s">
        <v>73</v>
      </c>
      <c r="AA1147" t="s">
        <v>7783</v>
      </c>
      <c r="AB1147" t="s">
        <v>53</v>
      </c>
      <c r="AC1147" s="3">
        <v>1.29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f t="shared" si="34"/>
        <v>10.48</v>
      </c>
      <c r="AK1147" s="3">
        <f t="shared" si="35"/>
        <v>5.04</v>
      </c>
    </row>
    <row r="1148" spans="1:37">
      <c r="A1148">
        <v>10338763</v>
      </c>
      <c r="B1148" t="s">
        <v>37</v>
      </c>
      <c r="C1148" t="s">
        <v>7784</v>
      </c>
      <c r="E1148" t="s">
        <v>2605</v>
      </c>
      <c r="F1148" t="s">
        <v>2535</v>
      </c>
      <c r="G1148" t="s">
        <v>7785</v>
      </c>
      <c r="H1148" t="s">
        <v>42</v>
      </c>
      <c r="I1148" t="s">
        <v>7786</v>
      </c>
      <c r="J1148" t="s">
        <v>7787</v>
      </c>
      <c r="K1148" t="s">
        <v>7788</v>
      </c>
      <c r="L1148" t="s">
        <v>142</v>
      </c>
      <c r="M1148" t="s">
        <v>46</v>
      </c>
      <c r="N1148" t="s">
        <v>47</v>
      </c>
      <c r="O1148">
        <v>3</v>
      </c>
      <c r="P1148">
        <v>1</v>
      </c>
      <c r="Q1148">
        <v>3</v>
      </c>
      <c r="R1148" t="s">
        <v>48</v>
      </c>
      <c r="S1148" t="s">
        <v>49</v>
      </c>
      <c r="T1148" s="3">
        <v>0.84</v>
      </c>
      <c r="U1148" s="3">
        <v>0.23</v>
      </c>
      <c r="V1148" s="3">
        <v>2.68</v>
      </c>
      <c r="W1148">
        <v>1.57</v>
      </c>
      <c r="X1148" t="s">
        <v>50</v>
      </c>
      <c r="Y1148" s="3">
        <v>16.43</v>
      </c>
      <c r="Z1148" t="s">
        <v>73</v>
      </c>
      <c r="AA1148" t="s">
        <v>7789</v>
      </c>
      <c r="AB1148" t="s">
        <v>53</v>
      </c>
      <c r="AC1148" s="3">
        <v>1.29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f t="shared" si="34"/>
        <v>21.47</v>
      </c>
      <c r="AK1148" s="3">
        <f t="shared" si="35"/>
        <v>5.0399999999999991</v>
      </c>
    </row>
    <row r="1149" spans="1:37">
      <c r="A1149">
        <v>10338765</v>
      </c>
      <c r="B1149" t="s">
        <v>37</v>
      </c>
      <c r="C1149" t="s">
        <v>7790</v>
      </c>
      <c r="E1149" t="s">
        <v>7791</v>
      </c>
      <c r="F1149" t="s">
        <v>7792</v>
      </c>
      <c r="G1149" t="s">
        <v>7793</v>
      </c>
      <c r="H1149" t="s">
        <v>42</v>
      </c>
      <c r="I1149" t="s">
        <v>7794</v>
      </c>
      <c r="J1149" t="s">
        <v>7795</v>
      </c>
      <c r="K1149" t="s">
        <v>7796</v>
      </c>
      <c r="L1149" t="s">
        <v>275</v>
      </c>
      <c r="M1149" t="s">
        <v>46</v>
      </c>
      <c r="N1149" t="s">
        <v>47</v>
      </c>
      <c r="O1149">
        <v>6</v>
      </c>
      <c r="P1149">
        <v>1</v>
      </c>
      <c r="Q1149">
        <v>6</v>
      </c>
      <c r="R1149" t="s">
        <v>48</v>
      </c>
      <c r="S1149" t="s">
        <v>49</v>
      </c>
      <c r="T1149" s="3">
        <v>0.84</v>
      </c>
      <c r="U1149" s="3">
        <v>0.23</v>
      </c>
      <c r="V1149" s="3">
        <v>5.29</v>
      </c>
      <c r="W1149">
        <v>3.04</v>
      </c>
      <c r="X1149" t="s">
        <v>50</v>
      </c>
      <c r="Y1149" s="3">
        <v>44.16</v>
      </c>
      <c r="Z1149" t="s">
        <v>83</v>
      </c>
      <c r="AA1149" t="s">
        <v>1776</v>
      </c>
      <c r="AB1149" t="s">
        <v>53</v>
      </c>
      <c r="AC1149" s="3">
        <v>1.27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f t="shared" si="34"/>
        <v>51.79</v>
      </c>
      <c r="AK1149" s="3">
        <f t="shared" si="35"/>
        <v>7.6300000000000026</v>
      </c>
    </row>
    <row r="1150" spans="1:37">
      <c r="A1150">
        <v>10338927</v>
      </c>
      <c r="B1150" t="s">
        <v>37</v>
      </c>
      <c r="C1150" t="s">
        <v>7797</v>
      </c>
      <c r="E1150" t="s">
        <v>7798</v>
      </c>
      <c r="F1150" t="s">
        <v>5787</v>
      </c>
      <c r="G1150" t="s">
        <v>7799</v>
      </c>
      <c r="H1150" t="s">
        <v>42</v>
      </c>
      <c r="I1150" t="s">
        <v>7800</v>
      </c>
      <c r="J1150" t="s">
        <v>7801</v>
      </c>
      <c r="K1150">
        <v>86159</v>
      </c>
      <c r="L1150" t="s">
        <v>71</v>
      </c>
      <c r="M1150" t="s">
        <v>46</v>
      </c>
      <c r="N1150" t="s">
        <v>47</v>
      </c>
      <c r="O1150">
        <v>3</v>
      </c>
      <c r="P1150">
        <v>1</v>
      </c>
      <c r="Q1150">
        <v>3</v>
      </c>
      <c r="R1150" t="s">
        <v>48</v>
      </c>
      <c r="S1150" t="s">
        <v>49</v>
      </c>
      <c r="T1150" s="3">
        <v>0.84</v>
      </c>
      <c r="U1150" s="3">
        <v>0.23</v>
      </c>
      <c r="V1150" s="3">
        <v>2.68</v>
      </c>
      <c r="W1150">
        <v>1.22</v>
      </c>
      <c r="X1150" t="s">
        <v>72</v>
      </c>
      <c r="Y1150" s="3">
        <v>5.44</v>
      </c>
      <c r="Z1150" t="s">
        <v>73</v>
      </c>
      <c r="AA1150" t="s">
        <v>7802</v>
      </c>
      <c r="AB1150" t="s">
        <v>53</v>
      </c>
      <c r="AC1150" s="3">
        <v>1.29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f t="shared" si="34"/>
        <v>10.48</v>
      </c>
      <c r="AK1150" s="3">
        <f t="shared" si="35"/>
        <v>5.04</v>
      </c>
    </row>
    <row r="1151" spans="1:37">
      <c r="A1151">
        <v>10340717</v>
      </c>
      <c r="B1151" t="s">
        <v>37</v>
      </c>
      <c r="C1151" t="s">
        <v>7803</v>
      </c>
      <c r="E1151" t="s">
        <v>7804</v>
      </c>
      <c r="F1151" t="s">
        <v>7805</v>
      </c>
      <c r="G1151" t="s">
        <v>7806</v>
      </c>
      <c r="H1151" t="s">
        <v>42</v>
      </c>
      <c r="I1151" t="s">
        <v>7807</v>
      </c>
      <c r="J1151" t="s">
        <v>7808</v>
      </c>
      <c r="K1151" t="s">
        <v>7809</v>
      </c>
      <c r="L1151" t="s">
        <v>142</v>
      </c>
      <c r="M1151" t="s">
        <v>46</v>
      </c>
      <c r="N1151" t="s">
        <v>47</v>
      </c>
      <c r="O1151">
        <v>1</v>
      </c>
      <c r="P1151">
        <v>1</v>
      </c>
      <c r="Q1151">
        <v>1</v>
      </c>
      <c r="R1151" t="s">
        <v>48</v>
      </c>
      <c r="S1151" t="s">
        <v>49</v>
      </c>
      <c r="T1151" s="3">
        <v>0.84</v>
      </c>
      <c r="U1151" s="3">
        <v>0.23</v>
      </c>
      <c r="V1151" s="3">
        <v>0.94</v>
      </c>
      <c r="W1151">
        <v>1.7</v>
      </c>
      <c r="X1151" t="s">
        <v>50</v>
      </c>
      <c r="Y1151" s="3">
        <v>16.43</v>
      </c>
      <c r="Z1151" t="s">
        <v>73</v>
      </c>
      <c r="AA1151" t="s">
        <v>490</v>
      </c>
      <c r="AB1151" t="s">
        <v>53</v>
      </c>
      <c r="AC1151" s="3">
        <v>1.29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f t="shared" si="34"/>
        <v>19.73</v>
      </c>
      <c r="AK1151" s="3">
        <f t="shared" si="35"/>
        <v>3.3000000000000007</v>
      </c>
    </row>
    <row r="1152" spans="1:37">
      <c r="A1152">
        <v>10341826</v>
      </c>
      <c r="B1152" t="s">
        <v>37</v>
      </c>
      <c r="C1152" t="s">
        <v>7810</v>
      </c>
      <c r="E1152" t="s">
        <v>7811</v>
      </c>
      <c r="F1152" t="s">
        <v>7812</v>
      </c>
      <c r="G1152" t="s">
        <v>7813</v>
      </c>
      <c r="H1152" t="s">
        <v>42</v>
      </c>
      <c r="I1152" t="s">
        <v>7814</v>
      </c>
      <c r="J1152" t="s">
        <v>7815</v>
      </c>
      <c r="K1152">
        <v>13589</v>
      </c>
      <c r="L1152" t="s">
        <v>71</v>
      </c>
      <c r="M1152" t="s">
        <v>46</v>
      </c>
      <c r="N1152" t="s">
        <v>47</v>
      </c>
      <c r="O1152">
        <v>1</v>
      </c>
      <c r="P1152">
        <v>1</v>
      </c>
      <c r="Q1152">
        <v>1</v>
      </c>
      <c r="R1152" t="s">
        <v>48</v>
      </c>
      <c r="S1152" t="s">
        <v>49</v>
      </c>
      <c r="T1152" s="3">
        <v>0.84</v>
      </c>
      <c r="U1152" s="3">
        <v>0.23</v>
      </c>
      <c r="V1152" s="3">
        <v>0.94</v>
      </c>
      <c r="W1152">
        <v>0.59</v>
      </c>
      <c r="X1152" t="s">
        <v>108</v>
      </c>
      <c r="Y1152" s="3">
        <v>5.14</v>
      </c>
      <c r="Z1152" t="s">
        <v>109</v>
      </c>
      <c r="AA1152" t="s">
        <v>267</v>
      </c>
      <c r="AB1152" t="s">
        <v>53</v>
      </c>
      <c r="AC1152" s="3">
        <v>1.06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f t="shared" si="34"/>
        <v>8.2099999999999991</v>
      </c>
      <c r="AK1152" s="3">
        <f t="shared" si="35"/>
        <v>3.0699999999999994</v>
      </c>
    </row>
    <row r="1153" spans="1:37">
      <c r="A1153">
        <v>10341828</v>
      </c>
      <c r="B1153" t="s">
        <v>37</v>
      </c>
      <c r="C1153" t="s">
        <v>7816</v>
      </c>
      <c r="E1153" t="s">
        <v>1886</v>
      </c>
      <c r="F1153" t="s">
        <v>7817</v>
      </c>
      <c r="G1153" t="s">
        <v>7818</v>
      </c>
      <c r="H1153" t="s">
        <v>42</v>
      </c>
      <c r="I1153" t="s">
        <v>7819</v>
      </c>
      <c r="J1153" t="s">
        <v>7820</v>
      </c>
      <c r="K1153">
        <v>35085</v>
      </c>
      <c r="L1153" t="s">
        <v>71</v>
      </c>
      <c r="M1153" t="s">
        <v>46</v>
      </c>
      <c r="N1153" t="s">
        <v>47</v>
      </c>
      <c r="O1153">
        <v>1</v>
      </c>
      <c r="P1153">
        <v>1</v>
      </c>
      <c r="Q1153">
        <v>1</v>
      </c>
      <c r="R1153" t="s">
        <v>48</v>
      </c>
      <c r="S1153" t="s">
        <v>49</v>
      </c>
      <c r="T1153" s="3">
        <v>0.84</v>
      </c>
      <c r="U1153" s="3">
        <v>0.23</v>
      </c>
      <c r="V1153" s="3">
        <v>0.94</v>
      </c>
      <c r="W1153">
        <v>0.59</v>
      </c>
      <c r="X1153" t="s">
        <v>108</v>
      </c>
      <c r="Y1153" s="3">
        <v>6.53</v>
      </c>
      <c r="Z1153" t="s">
        <v>109</v>
      </c>
      <c r="AA1153" t="s">
        <v>3322</v>
      </c>
      <c r="AB1153" t="s">
        <v>53</v>
      </c>
      <c r="AC1153" s="3">
        <v>1.06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f t="shared" si="34"/>
        <v>9.6</v>
      </c>
      <c r="AK1153" s="3">
        <f t="shared" si="35"/>
        <v>3.0699999999999994</v>
      </c>
    </row>
    <row r="1154" spans="1:37">
      <c r="A1154">
        <v>10338761</v>
      </c>
      <c r="B1154" t="s">
        <v>37</v>
      </c>
      <c r="C1154" t="s">
        <v>7821</v>
      </c>
      <c r="E1154" t="s">
        <v>3681</v>
      </c>
      <c r="F1154" t="s">
        <v>1222</v>
      </c>
      <c r="G1154" t="s">
        <v>7822</v>
      </c>
      <c r="H1154" t="s">
        <v>42</v>
      </c>
      <c r="I1154" t="s">
        <v>7823</v>
      </c>
      <c r="J1154" t="s">
        <v>7824</v>
      </c>
      <c r="K1154" t="s">
        <v>7825</v>
      </c>
      <c r="L1154" t="s">
        <v>142</v>
      </c>
      <c r="M1154" t="s">
        <v>46</v>
      </c>
      <c r="N1154" t="s">
        <v>47</v>
      </c>
      <c r="O1154">
        <v>1</v>
      </c>
      <c r="P1154">
        <v>1</v>
      </c>
      <c r="Q1154">
        <v>1</v>
      </c>
      <c r="R1154" t="s">
        <v>48</v>
      </c>
      <c r="S1154" t="s">
        <v>49</v>
      </c>
      <c r="T1154" s="3">
        <v>0.84</v>
      </c>
      <c r="U1154" s="3">
        <v>0.23</v>
      </c>
      <c r="V1154" s="3">
        <v>0.94</v>
      </c>
      <c r="W1154">
        <v>0.49</v>
      </c>
      <c r="X1154" t="s">
        <v>50</v>
      </c>
      <c r="Y1154" s="3">
        <v>16.43</v>
      </c>
      <c r="Z1154" t="s">
        <v>109</v>
      </c>
      <c r="AA1154" t="s">
        <v>1802</v>
      </c>
      <c r="AB1154" t="s">
        <v>53</v>
      </c>
      <c r="AC1154" s="3">
        <v>1.06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f t="shared" ref="AJ1154:AJ1217" si="36">AI1154+AH1154+AG1154+AF1154+AE1154+AD1154+AC1154+Y1154+V1154+U1154+T1154</f>
        <v>19.5</v>
      </c>
      <c r="AK1154" s="3">
        <f t="shared" ref="AK1154:AK1217" si="37">AJ1154-Y1154</f>
        <v>3.0700000000000003</v>
      </c>
    </row>
    <row r="1155" spans="1:37">
      <c r="A1155">
        <v>10338764</v>
      </c>
      <c r="B1155" t="s">
        <v>37</v>
      </c>
      <c r="C1155" t="s">
        <v>7826</v>
      </c>
      <c r="E1155" t="s">
        <v>7827</v>
      </c>
      <c r="F1155" t="s">
        <v>7828</v>
      </c>
      <c r="G1155" t="s">
        <v>7829</v>
      </c>
      <c r="H1155" t="s">
        <v>42</v>
      </c>
      <c r="I1155" t="s">
        <v>7830</v>
      </c>
      <c r="J1155" t="s">
        <v>7831</v>
      </c>
      <c r="K1155">
        <v>2020</v>
      </c>
      <c r="L1155" t="s">
        <v>505</v>
      </c>
      <c r="M1155" t="s">
        <v>46</v>
      </c>
      <c r="N1155" t="s">
        <v>47</v>
      </c>
      <c r="O1155">
        <v>1</v>
      </c>
      <c r="P1155">
        <v>1</v>
      </c>
      <c r="Q1155">
        <v>1</v>
      </c>
      <c r="R1155" t="s">
        <v>48</v>
      </c>
      <c r="S1155" t="s">
        <v>49</v>
      </c>
      <c r="T1155" s="3">
        <v>0.84</v>
      </c>
      <c r="U1155" s="3">
        <v>0.23</v>
      </c>
      <c r="V1155" s="3">
        <v>0.94</v>
      </c>
      <c r="W1155">
        <v>0.49</v>
      </c>
      <c r="X1155" t="s">
        <v>50</v>
      </c>
      <c r="Y1155" s="3">
        <v>9.19</v>
      </c>
      <c r="Z1155" t="s">
        <v>109</v>
      </c>
      <c r="AA1155" t="s">
        <v>1802</v>
      </c>
      <c r="AB1155" t="s">
        <v>53</v>
      </c>
      <c r="AC1155" s="3">
        <v>1.06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f t="shared" si="36"/>
        <v>12.26</v>
      </c>
      <c r="AK1155" s="3">
        <f t="shared" si="37"/>
        <v>3.0700000000000003</v>
      </c>
    </row>
    <row r="1156" spans="1:37">
      <c r="A1156">
        <v>10343619</v>
      </c>
      <c r="B1156" t="s">
        <v>37</v>
      </c>
      <c r="C1156" t="s">
        <v>7832</v>
      </c>
      <c r="E1156" t="s">
        <v>7833</v>
      </c>
      <c r="F1156" t="s">
        <v>7834</v>
      </c>
      <c r="G1156" t="s">
        <v>7835</v>
      </c>
      <c r="H1156" t="s">
        <v>42</v>
      </c>
      <c r="I1156" t="s">
        <v>7836</v>
      </c>
      <c r="J1156" t="s">
        <v>7837</v>
      </c>
      <c r="K1156" t="s">
        <v>7838</v>
      </c>
      <c r="L1156" t="s">
        <v>82</v>
      </c>
      <c r="M1156" t="s">
        <v>46</v>
      </c>
      <c r="N1156" t="s">
        <v>47</v>
      </c>
      <c r="O1156">
        <v>1</v>
      </c>
      <c r="P1156">
        <v>1</v>
      </c>
      <c r="Q1156">
        <v>1</v>
      </c>
      <c r="R1156" t="s">
        <v>48</v>
      </c>
      <c r="S1156" t="s">
        <v>49</v>
      </c>
      <c r="T1156" s="3">
        <v>0.84</v>
      </c>
      <c r="U1156" s="3">
        <v>0.23</v>
      </c>
      <c r="V1156" s="3">
        <v>0.94</v>
      </c>
      <c r="W1156">
        <v>1.5</v>
      </c>
      <c r="X1156" t="s">
        <v>50</v>
      </c>
      <c r="Y1156" s="3">
        <v>9.19</v>
      </c>
      <c r="Z1156" t="s">
        <v>73</v>
      </c>
      <c r="AA1156" t="s">
        <v>848</v>
      </c>
      <c r="AB1156" t="s">
        <v>53</v>
      </c>
      <c r="AC1156" s="3">
        <v>1.29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f t="shared" si="36"/>
        <v>12.49</v>
      </c>
      <c r="AK1156" s="3">
        <f t="shared" si="37"/>
        <v>3.3000000000000007</v>
      </c>
    </row>
    <row r="1157" spans="1:37">
      <c r="A1157">
        <v>10341066</v>
      </c>
      <c r="B1157" t="s">
        <v>37</v>
      </c>
      <c r="C1157" t="s">
        <v>7839</v>
      </c>
      <c r="E1157" t="s">
        <v>1527</v>
      </c>
      <c r="F1157" t="s">
        <v>7840</v>
      </c>
      <c r="G1157" t="s">
        <v>7841</v>
      </c>
      <c r="H1157" t="s">
        <v>42</v>
      </c>
      <c r="I1157" t="s">
        <v>7842</v>
      </c>
      <c r="J1157" t="s">
        <v>7843</v>
      </c>
      <c r="K1157" t="s">
        <v>7844</v>
      </c>
      <c r="L1157" t="s">
        <v>142</v>
      </c>
      <c r="M1157" t="s">
        <v>46</v>
      </c>
      <c r="N1157" t="s">
        <v>47</v>
      </c>
      <c r="O1157">
        <v>1</v>
      </c>
      <c r="P1157">
        <v>1</v>
      </c>
      <c r="Q1157">
        <v>1</v>
      </c>
      <c r="R1157" t="s">
        <v>48</v>
      </c>
      <c r="S1157" t="s">
        <v>49</v>
      </c>
      <c r="T1157" s="3">
        <v>0.84</v>
      </c>
      <c r="U1157" s="3">
        <v>0.23</v>
      </c>
      <c r="V1157" s="3">
        <v>0.94</v>
      </c>
      <c r="W1157">
        <v>1.5</v>
      </c>
      <c r="X1157" t="s">
        <v>50</v>
      </c>
      <c r="Y1157" s="3">
        <v>16.43</v>
      </c>
      <c r="Z1157" t="s">
        <v>73</v>
      </c>
      <c r="AA1157" t="s">
        <v>198</v>
      </c>
      <c r="AB1157" t="s">
        <v>53</v>
      </c>
      <c r="AC1157" s="3">
        <v>1.29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f t="shared" si="36"/>
        <v>19.73</v>
      </c>
      <c r="AK1157" s="3">
        <f t="shared" si="37"/>
        <v>3.3000000000000007</v>
      </c>
    </row>
    <row r="1158" spans="1:37">
      <c r="A1158">
        <v>10341272</v>
      </c>
      <c r="B1158" t="s">
        <v>37</v>
      </c>
      <c r="C1158" t="s">
        <v>7845</v>
      </c>
      <c r="E1158" t="s">
        <v>240</v>
      </c>
      <c r="F1158" t="s">
        <v>7846</v>
      </c>
      <c r="G1158" t="s">
        <v>7847</v>
      </c>
      <c r="H1158" t="s">
        <v>42</v>
      </c>
      <c r="I1158" t="s">
        <v>7848</v>
      </c>
      <c r="J1158" t="s">
        <v>7849</v>
      </c>
      <c r="K1158">
        <v>34233</v>
      </c>
      <c r="L1158" t="s">
        <v>71</v>
      </c>
      <c r="M1158" t="s">
        <v>46</v>
      </c>
      <c r="N1158" t="s">
        <v>47</v>
      </c>
      <c r="O1158">
        <v>1</v>
      </c>
      <c r="P1158">
        <v>1</v>
      </c>
      <c r="Q1158">
        <v>1</v>
      </c>
      <c r="R1158" t="s">
        <v>48</v>
      </c>
      <c r="S1158" t="s">
        <v>49</v>
      </c>
      <c r="T1158" s="3">
        <v>0.84</v>
      </c>
      <c r="U1158" s="3">
        <v>0.23</v>
      </c>
      <c r="V1158" s="3">
        <v>0.94</v>
      </c>
      <c r="W1158">
        <v>0.49</v>
      </c>
      <c r="X1158" t="s">
        <v>108</v>
      </c>
      <c r="Y1158" s="3">
        <v>5.14</v>
      </c>
      <c r="Z1158" t="s">
        <v>109</v>
      </c>
      <c r="AA1158" t="s">
        <v>1802</v>
      </c>
      <c r="AB1158" t="s">
        <v>53</v>
      </c>
      <c r="AC1158" s="3">
        <v>1.06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f t="shared" si="36"/>
        <v>8.2099999999999991</v>
      </c>
      <c r="AK1158" s="3">
        <f t="shared" si="37"/>
        <v>3.0699999999999994</v>
      </c>
    </row>
    <row r="1159" spans="1:37">
      <c r="A1159">
        <v>10340712</v>
      </c>
      <c r="B1159" t="s">
        <v>37</v>
      </c>
      <c r="C1159" t="s">
        <v>7850</v>
      </c>
      <c r="E1159" t="s">
        <v>4729</v>
      </c>
      <c r="F1159" t="s">
        <v>7851</v>
      </c>
      <c r="G1159" t="s">
        <v>7852</v>
      </c>
      <c r="H1159" t="s">
        <v>42</v>
      </c>
      <c r="I1159" t="s">
        <v>7853</v>
      </c>
      <c r="J1159" t="s">
        <v>7854</v>
      </c>
      <c r="K1159">
        <v>98000</v>
      </c>
      <c r="L1159" t="s">
        <v>7855</v>
      </c>
      <c r="M1159" t="s">
        <v>46</v>
      </c>
      <c r="N1159" t="s">
        <v>47</v>
      </c>
      <c r="O1159">
        <v>1</v>
      </c>
      <c r="P1159">
        <v>1</v>
      </c>
      <c r="Q1159">
        <v>1</v>
      </c>
      <c r="R1159" t="s">
        <v>48</v>
      </c>
      <c r="S1159" t="s">
        <v>49</v>
      </c>
      <c r="T1159" s="3">
        <v>0.84</v>
      </c>
      <c r="U1159" s="3">
        <v>0.23</v>
      </c>
      <c r="V1159" s="3">
        <v>0.94</v>
      </c>
      <c r="W1159">
        <v>0.49</v>
      </c>
      <c r="X1159" t="s">
        <v>50</v>
      </c>
      <c r="Y1159" s="3">
        <v>14.26</v>
      </c>
      <c r="Z1159" t="s">
        <v>109</v>
      </c>
      <c r="AA1159" t="s">
        <v>7856</v>
      </c>
      <c r="AB1159" t="s">
        <v>53</v>
      </c>
      <c r="AC1159" s="3">
        <v>1.06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f t="shared" si="36"/>
        <v>17.330000000000002</v>
      </c>
      <c r="AK1159" s="3">
        <f t="shared" si="37"/>
        <v>3.0700000000000021</v>
      </c>
    </row>
    <row r="1160" spans="1:37">
      <c r="A1160">
        <v>10341830</v>
      </c>
      <c r="B1160" t="s">
        <v>37</v>
      </c>
      <c r="C1160" t="s">
        <v>7857</v>
      </c>
      <c r="E1160" t="s">
        <v>4897</v>
      </c>
      <c r="F1160" t="s">
        <v>7858</v>
      </c>
      <c r="G1160" t="s">
        <v>7859</v>
      </c>
      <c r="H1160" t="s">
        <v>42</v>
      </c>
      <c r="I1160" t="s">
        <v>7860</v>
      </c>
      <c r="J1160" t="s">
        <v>7861</v>
      </c>
      <c r="K1160">
        <v>40489</v>
      </c>
      <c r="L1160" t="s">
        <v>71</v>
      </c>
      <c r="M1160" t="s">
        <v>46</v>
      </c>
      <c r="N1160" t="s">
        <v>47</v>
      </c>
      <c r="O1160">
        <v>1</v>
      </c>
      <c r="P1160">
        <v>1</v>
      </c>
      <c r="Q1160">
        <v>1</v>
      </c>
      <c r="R1160" t="s">
        <v>48</v>
      </c>
      <c r="S1160" t="s">
        <v>49</v>
      </c>
      <c r="T1160" s="3">
        <v>0.84</v>
      </c>
      <c r="U1160" s="3">
        <v>0.23</v>
      </c>
      <c r="V1160" s="3">
        <v>0.94</v>
      </c>
      <c r="W1160">
        <v>0.49</v>
      </c>
      <c r="X1160" t="s">
        <v>108</v>
      </c>
      <c r="Y1160" s="3">
        <v>5.14</v>
      </c>
      <c r="Z1160" t="s">
        <v>109</v>
      </c>
      <c r="AA1160" t="s">
        <v>1802</v>
      </c>
      <c r="AB1160" t="s">
        <v>53</v>
      </c>
      <c r="AC1160" s="3">
        <v>1.06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f t="shared" si="36"/>
        <v>8.2099999999999991</v>
      </c>
      <c r="AK1160" s="3">
        <f t="shared" si="37"/>
        <v>3.0699999999999994</v>
      </c>
    </row>
    <row r="1161" spans="1:37">
      <c r="A1161">
        <v>10339708</v>
      </c>
      <c r="B1161" t="s">
        <v>37</v>
      </c>
      <c r="C1161" t="s">
        <v>7862</v>
      </c>
      <c r="E1161" t="s">
        <v>3109</v>
      </c>
      <c r="F1161" t="s">
        <v>7863</v>
      </c>
      <c r="G1161" t="s">
        <v>7864</v>
      </c>
      <c r="H1161" t="s">
        <v>42</v>
      </c>
      <c r="I1161" t="s">
        <v>7865</v>
      </c>
      <c r="J1161" t="s">
        <v>7866</v>
      </c>
      <c r="K1161">
        <v>3040</v>
      </c>
      <c r="L1161" t="s">
        <v>505</v>
      </c>
      <c r="M1161" t="s">
        <v>46</v>
      </c>
      <c r="N1161" t="s">
        <v>47</v>
      </c>
      <c r="O1161">
        <v>1</v>
      </c>
      <c r="P1161">
        <v>1</v>
      </c>
      <c r="Q1161">
        <v>1</v>
      </c>
      <c r="R1161" t="s">
        <v>48</v>
      </c>
      <c r="S1161" t="s">
        <v>49</v>
      </c>
      <c r="T1161" s="3">
        <v>0.84</v>
      </c>
      <c r="U1161" s="3">
        <v>0.23</v>
      </c>
      <c r="V1161" s="3">
        <v>0.94</v>
      </c>
      <c r="W1161">
        <v>0.59</v>
      </c>
      <c r="X1161" t="s">
        <v>50</v>
      </c>
      <c r="Y1161" s="3">
        <v>9.19</v>
      </c>
      <c r="Z1161" t="s">
        <v>109</v>
      </c>
      <c r="AA1161" t="s">
        <v>2623</v>
      </c>
      <c r="AB1161" t="s">
        <v>53</v>
      </c>
      <c r="AC1161" s="3">
        <v>1.06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f t="shared" si="36"/>
        <v>12.26</v>
      </c>
      <c r="AK1161" s="3">
        <f t="shared" si="37"/>
        <v>3.0700000000000003</v>
      </c>
    </row>
    <row r="1162" spans="1:37">
      <c r="A1162">
        <v>10339997</v>
      </c>
      <c r="B1162" t="s">
        <v>37</v>
      </c>
      <c r="C1162" t="s">
        <v>7867</v>
      </c>
      <c r="E1162" t="s">
        <v>7868</v>
      </c>
      <c r="F1162" t="s">
        <v>7869</v>
      </c>
      <c r="G1162" t="s">
        <v>7870</v>
      </c>
      <c r="H1162" t="s">
        <v>42</v>
      </c>
      <c r="I1162" t="s">
        <v>7871</v>
      </c>
      <c r="J1162" t="s">
        <v>7872</v>
      </c>
      <c r="K1162">
        <v>80687</v>
      </c>
      <c r="L1162" t="s">
        <v>71</v>
      </c>
      <c r="M1162" t="s">
        <v>46</v>
      </c>
      <c r="N1162" t="s">
        <v>47</v>
      </c>
      <c r="O1162">
        <v>1</v>
      </c>
      <c r="P1162">
        <v>1</v>
      </c>
      <c r="Q1162">
        <v>1</v>
      </c>
      <c r="R1162" t="s">
        <v>48</v>
      </c>
      <c r="S1162" t="s">
        <v>49</v>
      </c>
      <c r="T1162" s="3">
        <v>0.84</v>
      </c>
      <c r="U1162" s="3">
        <v>0.23</v>
      </c>
      <c r="V1162" s="3">
        <v>0.94</v>
      </c>
      <c r="W1162">
        <v>0.59</v>
      </c>
      <c r="X1162" t="s">
        <v>108</v>
      </c>
      <c r="Y1162" s="3">
        <v>5.14</v>
      </c>
      <c r="Z1162" t="s">
        <v>109</v>
      </c>
      <c r="AA1162" t="s">
        <v>2623</v>
      </c>
      <c r="AB1162" t="s">
        <v>53</v>
      </c>
      <c r="AC1162" s="3">
        <v>1.06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f t="shared" si="36"/>
        <v>8.2099999999999991</v>
      </c>
      <c r="AK1162" s="3">
        <f t="shared" si="37"/>
        <v>3.0699999999999994</v>
      </c>
    </row>
    <row r="1163" spans="1:37">
      <c r="A1163">
        <v>10341479</v>
      </c>
      <c r="B1163" t="s">
        <v>37</v>
      </c>
      <c r="C1163" t="s">
        <v>7873</v>
      </c>
      <c r="E1163" t="s">
        <v>39</v>
      </c>
      <c r="F1163" t="s">
        <v>7874</v>
      </c>
      <c r="G1163" t="s">
        <v>7875</v>
      </c>
      <c r="H1163" t="s">
        <v>42</v>
      </c>
      <c r="I1163" t="s">
        <v>7876</v>
      </c>
      <c r="J1163" t="s">
        <v>7877</v>
      </c>
      <c r="K1163" t="s">
        <v>7878</v>
      </c>
      <c r="L1163" t="s">
        <v>82</v>
      </c>
      <c r="M1163" t="s">
        <v>46</v>
      </c>
      <c r="N1163" t="s">
        <v>47</v>
      </c>
      <c r="O1163">
        <v>1</v>
      </c>
      <c r="P1163">
        <v>1</v>
      </c>
      <c r="Q1163">
        <v>1</v>
      </c>
      <c r="R1163" t="s">
        <v>48</v>
      </c>
      <c r="S1163" t="s">
        <v>49</v>
      </c>
      <c r="T1163" s="3">
        <v>0.84</v>
      </c>
      <c r="U1163" s="3">
        <v>0.23</v>
      </c>
      <c r="V1163" s="3">
        <v>0.94</v>
      </c>
      <c r="W1163">
        <v>0.59</v>
      </c>
      <c r="X1163" t="s">
        <v>50</v>
      </c>
      <c r="Y1163" s="3">
        <v>9.19</v>
      </c>
      <c r="Z1163" t="s">
        <v>109</v>
      </c>
      <c r="AA1163" t="s">
        <v>1341</v>
      </c>
      <c r="AB1163" t="s">
        <v>53</v>
      </c>
      <c r="AC1163" s="3">
        <v>1.06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f t="shared" si="36"/>
        <v>12.26</v>
      </c>
      <c r="AK1163" s="3">
        <f t="shared" si="37"/>
        <v>3.0700000000000003</v>
      </c>
    </row>
    <row r="1164" spans="1:37">
      <c r="A1164">
        <v>10340875</v>
      </c>
      <c r="B1164" t="s">
        <v>37</v>
      </c>
      <c r="C1164" t="s">
        <v>7879</v>
      </c>
      <c r="E1164" t="s">
        <v>247</v>
      </c>
      <c r="F1164" t="s">
        <v>7880</v>
      </c>
      <c r="G1164" t="s">
        <v>7881</v>
      </c>
      <c r="H1164" t="s">
        <v>42</v>
      </c>
      <c r="I1164" t="s">
        <v>7882</v>
      </c>
      <c r="J1164" t="s">
        <v>7883</v>
      </c>
      <c r="K1164">
        <v>61276</v>
      </c>
      <c r="L1164" t="s">
        <v>71</v>
      </c>
      <c r="M1164" t="s">
        <v>46</v>
      </c>
      <c r="N1164" t="s">
        <v>47</v>
      </c>
      <c r="O1164">
        <v>1</v>
      </c>
      <c r="P1164">
        <v>1</v>
      </c>
      <c r="Q1164">
        <v>1</v>
      </c>
      <c r="R1164" t="s">
        <v>48</v>
      </c>
      <c r="S1164" t="s">
        <v>49</v>
      </c>
      <c r="T1164" s="3">
        <v>0.84</v>
      </c>
      <c r="U1164" s="3">
        <v>0.23</v>
      </c>
      <c r="V1164" s="3">
        <v>0.94</v>
      </c>
      <c r="W1164">
        <v>0.59</v>
      </c>
      <c r="X1164" t="s">
        <v>108</v>
      </c>
      <c r="Y1164" s="3">
        <v>5.14</v>
      </c>
      <c r="Z1164" t="s">
        <v>109</v>
      </c>
      <c r="AA1164" t="s">
        <v>2623</v>
      </c>
      <c r="AB1164" t="s">
        <v>53</v>
      </c>
      <c r="AC1164" s="3">
        <v>1.06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f t="shared" si="36"/>
        <v>8.2099999999999991</v>
      </c>
      <c r="AK1164" s="3">
        <f t="shared" si="37"/>
        <v>3.0699999999999994</v>
      </c>
    </row>
    <row r="1165" spans="1:37">
      <c r="A1165">
        <v>10341824</v>
      </c>
      <c r="B1165" t="s">
        <v>37</v>
      </c>
      <c r="C1165" t="s">
        <v>7884</v>
      </c>
      <c r="E1165" t="s">
        <v>7885</v>
      </c>
      <c r="F1165" t="s">
        <v>7886</v>
      </c>
      <c r="G1165" t="s">
        <v>7887</v>
      </c>
      <c r="H1165" t="s">
        <v>42</v>
      </c>
      <c r="I1165" t="s">
        <v>7888</v>
      </c>
      <c r="J1165" t="s">
        <v>7889</v>
      </c>
      <c r="K1165">
        <v>30655</v>
      </c>
      <c r="L1165" t="s">
        <v>71</v>
      </c>
      <c r="M1165" t="s">
        <v>46</v>
      </c>
      <c r="N1165" t="s">
        <v>47</v>
      </c>
      <c r="O1165">
        <v>1</v>
      </c>
      <c r="P1165">
        <v>1</v>
      </c>
      <c r="Q1165">
        <v>1</v>
      </c>
      <c r="R1165" t="s">
        <v>48</v>
      </c>
      <c r="S1165" t="s">
        <v>49</v>
      </c>
      <c r="T1165" s="3">
        <v>0.84</v>
      </c>
      <c r="U1165" s="3">
        <v>0.23</v>
      </c>
      <c r="V1165" s="3">
        <v>0.94</v>
      </c>
      <c r="W1165">
        <v>0.59</v>
      </c>
      <c r="X1165" t="s">
        <v>108</v>
      </c>
      <c r="Y1165" s="3">
        <v>5.14</v>
      </c>
      <c r="Z1165" t="s">
        <v>109</v>
      </c>
      <c r="AA1165" t="s">
        <v>2623</v>
      </c>
      <c r="AB1165" t="s">
        <v>53</v>
      </c>
      <c r="AC1165" s="3">
        <v>1.06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f t="shared" si="36"/>
        <v>8.2099999999999991</v>
      </c>
      <c r="AK1165" s="3">
        <f t="shared" si="37"/>
        <v>3.0699999999999994</v>
      </c>
    </row>
    <row r="1166" spans="1:37">
      <c r="A1166">
        <v>10341474</v>
      </c>
      <c r="B1166" t="s">
        <v>37</v>
      </c>
      <c r="C1166" t="s">
        <v>7890</v>
      </c>
      <c r="E1166" t="s">
        <v>7891</v>
      </c>
      <c r="F1166" t="s">
        <v>7892</v>
      </c>
      <c r="G1166" t="s">
        <v>7893</v>
      </c>
      <c r="H1166" t="s">
        <v>42</v>
      </c>
      <c r="I1166" t="s">
        <v>7894</v>
      </c>
      <c r="J1166" t="s">
        <v>7895</v>
      </c>
      <c r="K1166" t="s">
        <v>7896</v>
      </c>
      <c r="L1166" t="s">
        <v>82</v>
      </c>
      <c r="M1166" t="s">
        <v>46</v>
      </c>
      <c r="N1166" t="s">
        <v>47</v>
      </c>
      <c r="O1166">
        <v>1</v>
      </c>
      <c r="P1166">
        <v>1</v>
      </c>
      <c r="Q1166">
        <v>1</v>
      </c>
      <c r="R1166" t="s">
        <v>48</v>
      </c>
      <c r="S1166" t="s">
        <v>49</v>
      </c>
      <c r="T1166" s="3">
        <v>0.84</v>
      </c>
      <c r="U1166" s="3">
        <v>0.23</v>
      </c>
      <c r="V1166" s="3">
        <v>0.94</v>
      </c>
      <c r="W1166">
        <v>0.49</v>
      </c>
      <c r="X1166" t="s">
        <v>50</v>
      </c>
      <c r="Y1166" s="3">
        <v>9.19</v>
      </c>
      <c r="Z1166" t="s">
        <v>109</v>
      </c>
      <c r="AA1166" t="s">
        <v>7420</v>
      </c>
      <c r="AB1166" t="s">
        <v>53</v>
      </c>
      <c r="AC1166" s="3">
        <v>1.06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f t="shared" si="36"/>
        <v>12.26</v>
      </c>
      <c r="AK1166" s="3">
        <f t="shared" si="37"/>
        <v>3.0700000000000003</v>
      </c>
    </row>
    <row r="1167" spans="1:37">
      <c r="A1167">
        <v>10336143</v>
      </c>
      <c r="B1167" t="s">
        <v>37</v>
      </c>
      <c r="C1167" t="s">
        <v>7897</v>
      </c>
      <c r="E1167" t="s">
        <v>7898</v>
      </c>
      <c r="F1167" t="s">
        <v>7899</v>
      </c>
      <c r="G1167" t="s">
        <v>7900</v>
      </c>
      <c r="H1167" t="s">
        <v>42</v>
      </c>
      <c r="I1167" t="s">
        <v>7901</v>
      </c>
      <c r="J1167" t="s">
        <v>7902</v>
      </c>
      <c r="K1167">
        <v>27400</v>
      </c>
      <c r="L1167" t="s">
        <v>130</v>
      </c>
      <c r="M1167" t="s">
        <v>46</v>
      </c>
      <c r="N1167" t="s">
        <v>47</v>
      </c>
      <c r="O1167">
        <v>1</v>
      </c>
      <c r="P1167">
        <v>1</v>
      </c>
      <c r="Q1167">
        <v>1</v>
      </c>
      <c r="R1167" t="s">
        <v>48</v>
      </c>
      <c r="S1167" t="s">
        <v>49</v>
      </c>
      <c r="T1167" s="3">
        <v>0.84</v>
      </c>
      <c r="U1167" s="3">
        <v>0.23</v>
      </c>
      <c r="V1167" s="3">
        <v>0.94</v>
      </c>
      <c r="W1167">
        <v>0.59</v>
      </c>
      <c r="X1167" t="s">
        <v>50</v>
      </c>
      <c r="Y1167" s="3">
        <v>14.26</v>
      </c>
      <c r="Z1167" t="s">
        <v>109</v>
      </c>
      <c r="AA1167" t="s">
        <v>3486</v>
      </c>
      <c r="AB1167" t="s">
        <v>53</v>
      </c>
      <c r="AC1167" s="3">
        <v>1.06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f t="shared" si="36"/>
        <v>17.330000000000002</v>
      </c>
      <c r="AK1167" s="3">
        <f t="shared" si="37"/>
        <v>3.0700000000000021</v>
      </c>
    </row>
    <row r="1168" spans="1:37">
      <c r="A1168">
        <v>10341064</v>
      </c>
      <c r="B1168" t="s">
        <v>37</v>
      </c>
      <c r="C1168" t="s">
        <v>7903</v>
      </c>
      <c r="E1168" t="s">
        <v>4889</v>
      </c>
      <c r="F1168" t="s">
        <v>7904</v>
      </c>
      <c r="G1168" t="s">
        <v>7905</v>
      </c>
      <c r="H1168" t="s">
        <v>42</v>
      </c>
      <c r="I1168" t="s">
        <v>7906</v>
      </c>
      <c r="J1168" t="s">
        <v>7907</v>
      </c>
      <c r="K1168" t="s">
        <v>7908</v>
      </c>
      <c r="L1168" t="s">
        <v>142</v>
      </c>
      <c r="M1168" t="s">
        <v>46</v>
      </c>
      <c r="N1168" t="s">
        <v>47</v>
      </c>
      <c r="O1168">
        <v>1</v>
      </c>
      <c r="P1168">
        <v>1</v>
      </c>
      <c r="Q1168">
        <v>1</v>
      </c>
      <c r="R1168" t="s">
        <v>48</v>
      </c>
      <c r="S1168" t="s">
        <v>49</v>
      </c>
      <c r="T1168" s="3">
        <v>0.84</v>
      </c>
      <c r="U1168" s="3">
        <v>0.23</v>
      </c>
      <c r="V1168" s="3">
        <v>0.94</v>
      </c>
      <c r="W1168">
        <v>3.1</v>
      </c>
      <c r="X1168" t="s">
        <v>50</v>
      </c>
      <c r="Y1168" s="3">
        <v>16.43</v>
      </c>
      <c r="Z1168" t="s">
        <v>83</v>
      </c>
      <c r="AA1168" t="s">
        <v>4031</v>
      </c>
      <c r="AB1168" t="s">
        <v>53</v>
      </c>
      <c r="AC1168" s="3">
        <v>1.27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f t="shared" si="36"/>
        <v>19.71</v>
      </c>
      <c r="AK1168" s="3">
        <f t="shared" si="37"/>
        <v>3.2800000000000011</v>
      </c>
    </row>
    <row r="1169" spans="1:37">
      <c r="A1169">
        <v>10341472</v>
      </c>
      <c r="B1169" t="s">
        <v>37</v>
      </c>
      <c r="C1169" t="s">
        <v>7909</v>
      </c>
      <c r="E1169" t="s">
        <v>7910</v>
      </c>
      <c r="F1169" t="s">
        <v>7911</v>
      </c>
      <c r="G1169" t="s">
        <v>7912</v>
      </c>
      <c r="H1169" t="s">
        <v>42</v>
      </c>
      <c r="I1169" t="s">
        <v>7913</v>
      </c>
      <c r="J1169" t="s">
        <v>7914</v>
      </c>
      <c r="K1169">
        <v>50823</v>
      </c>
      <c r="L1169" t="s">
        <v>71</v>
      </c>
      <c r="M1169" t="s">
        <v>46</v>
      </c>
      <c r="N1169" t="s">
        <v>47</v>
      </c>
      <c r="O1169">
        <v>1</v>
      </c>
      <c r="P1169">
        <v>1</v>
      </c>
      <c r="Q1169">
        <v>1</v>
      </c>
      <c r="R1169" t="s">
        <v>48</v>
      </c>
      <c r="S1169" t="s">
        <v>49</v>
      </c>
      <c r="T1169" s="3">
        <v>0.84</v>
      </c>
      <c r="U1169" s="3">
        <v>0.23</v>
      </c>
      <c r="V1169" s="3">
        <v>0.94</v>
      </c>
      <c r="W1169">
        <v>0.59</v>
      </c>
      <c r="X1169" t="s">
        <v>108</v>
      </c>
      <c r="Y1169" s="3">
        <v>5.14</v>
      </c>
      <c r="Z1169" t="s">
        <v>109</v>
      </c>
      <c r="AA1169" t="s">
        <v>5153</v>
      </c>
      <c r="AB1169" t="s">
        <v>53</v>
      </c>
      <c r="AC1169" s="3">
        <v>1.06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f t="shared" si="36"/>
        <v>8.2099999999999991</v>
      </c>
      <c r="AK1169" s="3">
        <f t="shared" si="37"/>
        <v>3.0699999999999994</v>
      </c>
    </row>
    <row r="1170" spans="1:37">
      <c r="A1170">
        <v>10340873</v>
      </c>
      <c r="B1170" t="s">
        <v>37</v>
      </c>
      <c r="C1170" t="s">
        <v>7915</v>
      </c>
      <c r="E1170" t="s">
        <v>437</v>
      </c>
      <c r="F1170" t="s">
        <v>7916</v>
      </c>
      <c r="G1170" t="s">
        <v>7917</v>
      </c>
      <c r="H1170" t="s">
        <v>42</v>
      </c>
      <c r="I1170" t="s">
        <v>7918</v>
      </c>
      <c r="J1170" t="s">
        <v>7919</v>
      </c>
      <c r="K1170">
        <v>22587</v>
      </c>
      <c r="L1170" t="s">
        <v>71</v>
      </c>
      <c r="M1170" t="s">
        <v>46</v>
      </c>
      <c r="N1170" t="s">
        <v>47</v>
      </c>
      <c r="O1170">
        <v>1</v>
      </c>
      <c r="P1170">
        <v>1</v>
      </c>
      <c r="Q1170">
        <v>1</v>
      </c>
      <c r="R1170" t="s">
        <v>48</v>
      </c>
      <c r="S1170" t="s">
        <v>49</v>
      </c>
      <c r="T1170" s="3">
        <v>0.84</v>
      </c>
      <c r="U1170" s="3">
        <v>0.23</v>
      </c>
      <c r="V1170" s="3">
        <v>0.94</v>
      </c>
      <c r="W1170">
        <v>0.49</v>
      </c>
      <c r="X1170" t="s">
        <v>108</v>
      </c>
      <c r="Y1170" s="3">
        <v>5.14</v>
      </c>
      <c r="Z1170" t="s">
        <v>109</v>
      </c>
      <c r="AA1170" t="s">
        <v>714</v>
      </c>
      <c r="AB1170" t="s">
        <v>53</v>
      </c>
      <c r="AC1170" s="3">
        <v>1.06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f t="shared" si="36"/>
        <v>8.2099999999999991</v>
      </c>
      <c r="AK1170" s="3">
        <f t="shared" si="37"/>
        <v>3.0699999999999994</v>
      </c>
    </row>
    <row r="1171" spans="1:37">
      <c r="A1171">
        <v>10339854</v>
      </c>
      <c r="B1171" t="s">
        <v>37</v>
      </c>
      <c r="C1171" t="s">
        <v>7920</v>
      </c>
      <c r="E1171" t="s">
        <v>1121</v>
      </c>
      <c r="F1171" t="s">
        <v>7921</v>
      </c>
      <c r="G1171" t="s">
        <v>7922</v>
      </c>
      <c r="H1171" t="s">
        <v>42</v>
      </c>
      <c r="I1171" t="s">
        <v>7923</v>
      </c>
      <c r="J1171" t="s">
        <v>7924</v>
      </c>
      <c r="K1171">
        <v>69780</v>
      </c>
      <c r="L1171" t="s">
        <v>130</v>
      </c>
      <c r="M1171" t="s">
        <v>46</v>
      </c>
      <c r="N1171" t="s">
        <v>47</v>
      </c>
      <c r="O1171">
        <v>5</v>
      </c>
      <c r="P1171">
        <v>1</v>
      </c>
      <c r="Q1171">
        <v>5</v>
      </c>
      <c r="R1171" t="s">
        <v>48</v>
      </c>
      <c r="S1171" t="s">
        <v>49</v>
      </c>
      <c r="T1171" s="3">
        <v>0.84</v>
      </c>
      <c r="U1171" s="3">
        <v>0.23</v>
      </c>
      <c r="V1171" s="3">
        <v>4.42</v>
      </c>
      <c r="W1171">
        <v>1.54</v>
      </c>
      <c r="X1171" t="s">
        <v>50</v>
      </c>
      <c r="Y1171" s="3">
        <v>14.26</v>
      </c>
      <c r="Z1171" t="s">
        <v>73</v>
      </c>
      <c r="AA1171" t="s">
        <v>7925</v>
      </c>
      <c r="AB1171" t="s">
        <v>53</v>
      </c>
      <c r="AC1171" s="3">
        <v>1.29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f t="shared" si="36"/>
        <v>21.04</v>
      </c>
      <c r="AK1171" s="3">
        <f t="shared" si="37"/>
        <v>6.7799999999999994</v>
      </c>
    </row>
    <row r="1172" spans="1:37">
      <c r="A1172">
        <v>10339710</v>
      </c>
      <c r="B1172" t="s">
        <v>37</v>
      </c>
      <c r="C1172" t="s">
        <v>7926</v>
      </c>
      <c r="E1172" t="s">
        <v>2526</v>
      </c>
      <c r="F1172" t="s">
        <v>7927</v>
      </c>
      <c r="G1172" t="s">
        <v>7928</v>
      </c>
      <c r="H1172" t="s">
        <v>42</v>
      </c>
      <c r="I1172" t="s">
        <v>7929</v>
      </c>
      <c r="J1172" t="s">
        <v>7930</v>
      </c>
      <c r="K1172" t="s">
        <v>7931</v>
      </c>
      <c r="L1172" t="s">
        <v>62</v>
      </c>
      <c r="M1172" t="s">
        <v>46</v>
      </c>
      <c r="N1172" t="s">
        <v>47</v>
      </c>
      <c r="O1172">
        <v>5</v>
      </c>
      <c r="P1172">
        <v>1</v>
      </c>
      <c r="Q1172">
        <v>5</v>
      </c>
      <c r="R1172" t="s">
        <v>48</v>
      </c>
      <c r="S1172" t="s">
        <v>49</v>
      </c>
      <c r="T1172" s="3">
        <v>0.84</v>
      </c>
      <c r="U1172" s="3">
        <v>0.23</v>
      </c>
      <c r="V1172" s="3">
        <v>4.42</v>
      </c>
      <c r="W1172">
        <v>2.5499999999999998</v>
      </c>
      <c r="X1172" t="s">
        <v>100</v>
      </c>
      <c r="Y1172" s="3">
        <v>48.36</v>
      </c>
      <c r="Z1172" t="s">
        <v>73</v>
      </c>
      <c r="AA1172" t="s">
        <v>7932</v>
      </c>
      <c r="AB1172" t="s">
        <v>53</v>
      </c>
      <c r="AC1172" s="3">
        <v>1.29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f t="shared" si="36"/>
        <v>55.14</v>
      </c>
      <c r="AK1172" s="3">
        <f t="shared" si="37"/>
        <v>6.7800000000000011</v>
      </c>
    </row>
    <row r="1173" spans="1:37">
      <c r="A1173">
        <v>10339711</v>
      </c>
      <c r="B1173" t="s">
        <v>37</v>
      </c>
      <c r="C1173" t="s">
        <v>7933</v>
      </c>
      <c r="E1173" t="s">
        <v>7934</v>
      </c>
      <c r="F1173" t="s">
        <v>7935</v>
      </c>
      <c r="G1173" t="s">
        <v>7936</v>
      </c>
      <c r="H1173" t="s">
        <v>42</v>
      </c>
      <c r="I1173" t="s">
        <v>7937</v>
      </c>
      <c r="J1173" t="s">
        <v>7938</v>
      </c>
      <c r="K1173" t="s">
        <v>7939</v>
      </c>
      <c r="L1173" t="s">
        <v>82</v>
      </c>
      <c r="M1173" t="s">
        <v>46</v>
      </c>
      <c r="N1173" t="s">
        <v>47</v>
      </c>
      <c r="O1173">
        <v>5</v>
      </c>
      <c r="P1173">
        <v>1</v>
      </c>
      <c r="Q1173">
        <v>5</v>
      </c>
      <c r="R1173" t="s">
        <v>48</v>
      </c>
      <c r="S1173" t="s">
        <v>49</v>
      </c>
      <c r="T1173" s="3">
        <v>0.84</v>
      </c>
      <c r="U1173" s="3">
        <v>0.23</v>
      </c>
      <c r="V1173" s="3">
        <v>4.42</v>
      </c>
      <c r="W1173">
        <v>2.5499999999999998</v>
      </c>
      <c r="X1173" t="s">
        <v>50</v>
      </c>
      <c r="Y1173" s="3">
        <v>9.19</v>
      </c>
      <c r="Z1173" t="s">
        <v>73</v>
      </c>
      <c r="AA1173" t="s">
        <v>7940</v>
      </c>
      <c r="AB1173" t="s">
        <v>53</v>
      </c>
      <c r="AC1173" s="3">
        <v>1.29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f t="shared" si="36"/>
        <v>15.97</v>
      </c>
      <c r="AK1173" s="3">
        <f t="shared" si="37"/>
        <v>6.7800000000000011</v>
      </c>
    </row>
    <row r="1174" spans="1:37">
      <c r="A1174">
        <v>10340097</v>
      </c>
      <c r="B1174" t="s">
        <v>37</v>
      </c>
      <c r="C1174" t="s">
        <v>7941</v>
      </c>
      <c r="E1174" t="s">
        <v>7942</v>
      </c>
      <c r="F1174" t="s">
        <v>7943</v>
      </c>
      <c r="G1174" t="s">
        <v>7944</v>
      </c>
      <c r="H1174" t="s">
        <v>42</v>
      </c>
      <c r="I1174" t="s">
        <v>7945</v>
      </c>
      <c r="J1174" t="s">
        <v>7946</v>
      </c>
      <c r="K1174" t="s">
        <v>7947</v>
      </c>
      <c r="L1174" t="s">
        <v>62</v>
      </c>
      <c r="M1174" t="s">
        <v>46</v>
      </c>
      <c r="N1174" t="s">
        <v>47</v>
      </c>
      <c r="O1174">
        <v>3</v>
      </c>
      <c r="P1174">
        <v>1</v>
      </c>
      <c r="Q1174">
        <v>3</v>
      </c>
      <c r="R1174" t="s">
        <v>48</v>
      </c>
      <c r="S1174" t="s">
        <v>49</v>
      </c>
      <c r="T1174" s="3">
        <v>0.84</v>
      </c>
      <c r="U1174" s="3">
        <v>0.23</v>
      </c>
      <c r="V1174" s="3">
        <v>2.68</v>
      </c>
      <c r="W1174">
        <v>1.22</v>
      </c>
      <c r="X1174" t="s">
        <v>100</v>
      </c>
      <c r="Y1174" s="3">
        <v>48.36</v>
      </c>
      <c r="Z1174" t="s">
        <v>73</v>
      </c>
      <c r="AA1174" t="s">
        <v>7948</v>
      </c>
      <c r="AB1174" t="s">
        <v>53</v>
      </c>
      <c r="AC1174" s="3">
        <v>1.29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f t="shared" si="36"/>
        <v>53.4</v>
      </c>
      <c r="AK1174" s="3">
        <f t="shared" si="37"/>
        <v>5.0399999999999991</v>
      </c>
    </row>
    <row r="1175" spans="1:37">
      <c r="A1175">
        <v>10339712</v>
      </c>
      <c r="B1175" t="s">
        <v>37</v>
      </c>
      <c r="C1175" t="s">
        <v>7949</v>
      </c>
      <c r="E1175" t="s">
        <v>7950</v>
      </c>
      <c r="F1175" t="s">
        <v>7951</v>
      </c>
      <c r="G1175" t="s">
        <v>7952</v>
      </c>
      <c r="H1175" t="s">
        <v>42</v>
      </c>
      <c r="I1175" t="s">
        <v>7953</v>
      </c>
      <c r="J1175" t="s">
        <v>7954</v>
      </c>
      <c r="K1175" t="s">
        <v>7955</v>
      </c>
      <c r="L1175" t="s">
        <v>82</v>
      </c>
      <c r="M1175" t="s">
        <v>46</v>
      </c>
      <c r="N1175" t="s">
        <v>47</v>
      </c>
      <c r="O1175">
        <v>4</v>
      </c>
      <c r="P1175">
        <v>1</v>
      </c>
      <c r="Q1175">
        <v>4</v>
      </c>
      <c r="R1175" t="s">
        <v>48</v>
      </c>
      <c r="S1175" t="s">
        <v>49</v>
      </c>
      <c r="T1175" s="3">
        <v>0.84</v>
      </c>
      <c r="U1175" s="3">
        <v>0.23</v>
      </c>
      <c r="V1175" s="3">
        <v>3.55</v>
      </c>
      <c r="W1175">
        <v>2.06</v>
      </c>
      <c r="X1175" t="s">
        <v>50</v>
      </c>
      <c r="Y1175" s="3">
        <v>9.19</v>
      </c>
      <c r="Z1175" t="s">
        <v>73</v>
      </c>
      <c r="AA1175" t="s">
        <v>327</v>
      </c>
      <c r="AB1175" t="s">
        <v>53</v>
      </c>
      <c r="AC1175" s="3">
        <v>1.29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f t="shared" si="36"/>
        <v>15.100000000000001</v>
      </c>
      <c r="AK1175" s="3">
        <f t="shared" si="37"/>
        <v>5.9100000000000019</v>
      </c>
    </row>
    <row r="1176" spans="1:37">
      <c r="A1176">
        <v>10342412</v>
      </c>
      <c r="B1176" t="s">
        <v>37</v>
      </c>
      <c r="C1176" t="s">
        <v>7956</v>
      </c>
      <c r="E1176" t="s">
        <v>896</v>
      </c>
      <c r="F1176" t="s">
        <v>7957</v>
      </c>
      <c r="G1176" t="s">
        <v>7958</v>
      </c>
      <c r="H1176" t="s">
        <v>42</v>
      </c>
      <c r="I1176" t="s">
        <v>7959</v>
      </c>
      <c r="J1176" t="s">
        <v>7960</v>
      </c>
      <c r="K1176">
        <v>92500</v>
      </c>
      <c r="L1176" t="s">
        <v>130</v>
      </c>
      <c r="M1176" t="s">
        <v>46</v>
      </c>
      <c r="N1176" t="s">
        <v>47</v>
      </c>
      <c r="O1176">
        <v>2</v>
      </c>
      <c r="P1176">
        <v>1</v>
      </c>
      <c r="Q1176">
        <v>2</v>
      </c>
      <c r="R1176" t="s">
        <v>48</v>
      </c>
      <c r="S1176" t="s">
        <v>49</v>
      </c>
      <c r="T1176" s="3">
        <v>0.84</v>
      </c>
      <c r="U1176" s="3">
        <v>0.23</v>
      </c>
      <c r="V1176" s="3">
        <v>1.81</v>
      </c>
      <c r="W1176">
        <v>2.1</v>
      </c>
      <c r="X1176" t="s">
        <v>50</v>
      </c>
      <c r="Y1176" s="3">
        <v>14.26</v>
      </c>
      <c r="Z1176" t="s">
        <v>83</v>
      </c>
      <c r="AA1176" t="s">
        <v>7961</v>
      </c>
      <c r="AB1176" t="s">
        <v>53</v>
      </c>
      <c r="AC1176" s="3">
        <v>1.27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f t="shared" si="36"/>
        <v>18.41</v>
      </c>
      <c r="AK1176" s="3">
        <f t="shared" si="37"/>
        <v>4.1500000000000004</v>
      </c>
    </row>
    <row r="1177" spans="1:37">
      <c r="A1177">
        <v>10343382</v>
      </c>
      <c r="B1177" t="s">
        <v>37</v>
      </c>
      <c r="C1177" t="s">
        <v>7962</v>
      </c>
      <c r="E1177" t="s">
        <v>7963</v>
      </c>
      <c r="F1177" t="s">
        <v>7964</v>
      </c>
      <c r="G1177" t="s">
        <v>7965</v>
      </c>
      <c r="H1177" t="s">
        <v>42</v>
      </c>
      <c r="I1177" t="s">
        <v>7966</v>
      </c>
      <c r="J1177" t="s">
        <v>7967</v>
      </c>
      <c r="K1177" t="s">
        <v>7968</v>
      </c>
      <c r="L1177" t="s">
        <v>82</v>
      </c>
      <c r="M1177" t="s">
        <v>46</v>
      </c>
      <c r="N1177" t="s">
        <v>47</v>
      </c>
      <c r="O1177">
        <v>2</v>
      </c>
      <c r="P1177">
        <v>1</v>
      </c>
      <c r="Q1177">
        <v>2</v>
      </c>
      <c r="R1177" t="s">
        <v>48</v>
      </c>
      <c r="S1177" t="s">
        <v>49</v>
      </c>
      <c r="T1177" s="3">
        <v>0.84</v>
      </c>
      <c r="U1177" s="3">
        <v>0.23</v>
      </c>
      <c r="V1177" s="3">
        <v>1.81</v>
      </c>
      <c r="W1177">
        <v>0.88</v>
      </c>
      <c r="X1177" t="s">
        <v>50</v>
      </c>
      <c r="Y1177" s="3">
        <v>9.19</v>
      </c>
      <c r="Z1177" t="s">
        <v>109</v>
      </c>
      <c r="AA1177" t="s">
        <v>7969</v>
      </c>
      <c r="AB1177" t="s">
        <v>53</v>
      </c>
      <c r="AC1177" s="3">
        <v>1.06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f t="shared" si="36"/>
        <v>13.13</v>
      </c>
      <c r="AK1177" s="3">
        <f t="shared" si="37"/>
        <v>3.9400000000000013</v>
      </c>
    </row>
    <row r="1178" spans="1:37">
      <c r="A1178">
        <v>10342415</v>
      </c>
      <c r="B1178" t="s">
        <v>37</v>
      </c>
      <c r="C1178" t="s">
        <v>7970</v>
      </c>
      <c r="E1178" t="s">
        <v>7971</v>
      </c>
      <c r="F1178" t="s">
        <v>7972</v>
      </c>
      <c r="G1178" t="s">
        <v>7973</v>
      </c>
      <c r="H1178" t="s">
        <v>42</v>
      </c>
      <c r="I1178" t="s">
        <v>7974</v>
      </c>
      <c r="J1178" t="s">
        <v>7975</v>
      </c>
      <c r="K1178">
        <v>8210</v>
      </c>
      <c r="L1178" t="s">
        <v>505</v>
      </c>
      <c r="M1178" t="s">
        <v>46</v>
      </c>
      <c r="N1178" t="s">
        <v>47</v>
      </c>
      <c r="O1178">
        <v>2</v>
      </c>
      <c r="P1178">
        <v>1</v>
      </c>
      <c r="Q1178">
        <v>2</v>
      </c>
      <c r="R1178" t="s">
        <v>48</v>
      </c>
      <c r="S1178" t="s">
        <v>49</v>
      </c>
      <c r="T1178" s="3">
        <v>0.84</v>
      </c>
      <c r="U1178" s="3">
        <v>0.23</v>
      </c>
      <c r="V1178" s="3">
        <v>1.81</v>
      </c>
      <c r="W1178">
        <v>4.0999999999999996</v>
      </c>
      <c r="X1178" t="s">
        <v>50</v>
      </c>
      <c r="Y1178" s="3">
        <v>9.19</v>
      </c>
      <c r="Z1178" t="s">
        <v>83</v>
      </c>
      <c r="AA1178" t="s">
        <v>1079</v>
      </c>
      <c r="AB1178" t="s">
        <v>53</v>
      </c>
      <c r="AC1178" s="3">
        <v>1.27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f t="shared" si="36"/>
        <v>13.34</v>
      </c>
      <c r="AK1178" s="3">
        <f t="shared" si="37"/>
        <v>4.1500000000000004</v>
      </c>
    </row>
    <row r="1179" spans="1:37">
      <c r="A1179">
        <v>10342614</v>
      </c>
      <c r="B1179" t="s">
        <v>37</v>
      </c>
      <c r="C1179" t="s">
        <v>7976</v>
      </c>
      <c r="E1179" t="s">
        <v>7977</v>
      </c>
      <c r="F1179" t="s">
        <v>7978</v>
      </c>
      <c r="G1179" t="s">
        <v>7979</v>
      </c>
      <c r="H1179" t="s">
        <v>42</v>
      </c>
      <c r="I1179" t="s">
        <v>7980</v>
      </c>
      <c r="J1179" t="s">
        <v>7981</v>
      </c>
      <c r="K1179" t="s">
        <v>7982</v>
      </c>
      <c r="L1179" t="s">
        <v>142</v>
      </c>
      <c r="M1179" t="s">
        <v>46</v>
      </c>
      <c r="N1179" t="s">
        <v>47</v>
      </c>
      <c r="O1179">
        <v>2</v>
      </c>
      <c r="P1179">
        <v>1</v>
      </c>
      <c r="Q1179">
        <v>2</v>
      </c>
      <c r="R1179" t="s">
        <v>48</v>
      </c>
      <c r="S1179" t="s">
        <v>49</v>
      </c>
      <c r="T1179" s="3">
        <v>0.84</v>
      </c>
      <c r="U1179" s="3">
        <v>0.23</v>
      </c>
      <c r="V1179" s="3">
        <v>1.81</v>
      </c>
      <c r="W1179">
        <v>0.59</v>
      </c>
      <c r="X1179" t="s">
        <v>50</v>
      </c>
      <c r="Y1179" s="3">
        <v>16.43</v>
      </c>
      <c r="Z1179" t="s">
        <v>109</v>
      </c>
      <c r="AA1179" t="s">
        <v>7983</v>
      </c>
      <c r="AB1179" t="s">
        <v>53</v>
      </c>
      <c r="AC1179" s="3">
        <v>1.06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f t="shared" si="36"/>
        <v>20.369999999999997</v>
      </c>
      <c r="AK1179" s="3">
        <f t="shared" si="37"/>
        <v>3.9399999999999977</v>
      </c>
    </row>
    <row r="1180" spans="1:37">
      <c r="A1180">
        <v>10342416</v>
      </c>
      <c r="B1180" t="s">
        <v>37</v>
      </c>
      <c r="C1180" t="s">
        <v>7984</v>
      </c>
      <c r="E1180" t="s">
        <v>7985</v>
      </c>
      <c r="F1180" t="s">
        <v>7986</v>
      </c>
      <c r="G1180" t="s">
        <v>7987</v>
      </c>
      <c r="H1180" t="s">
        <v>42</v>
      </c>
      <c r="I1180" t="s">
        <v>7988</v>
      </c>
      <c r="J1180" t="s">
        <v>7989</v>
      </c>
      <c r="K1180">
        <v>81827</v>
      </c>
      <c r="L1180" t="s">
        <v>71</v>
      </c>
      <c r="M1180" t="s">
        <v>46</v>
      </c>
      <c r="N1180" t="s">
        <v>47</v>
      </c>
      <c r="O1180">
        <v>2</v>
      </c>
      <c r="P1180">
        <v>1</v>
      </c>
      <c r="Q1180">
        <v>2</v>
      </c>
      <c r="R1180" t="s">
        <v>48</v>
      </c>
      <c r="S1180" t="s">
        <v>49</v>
      </c>
      <c r="T1180" s="3">
        <v>0.84</v>
      </c>
      <c r="U1180" s="3">
        <v>0.23</v>
      </c>
      <c r="V1180" s="3">
        <v>1.81</v>
      </c>
      <c r="W1180">
        <v>0.73</v>
      </c>
      <c r="X1180" t="s">
        <v>72</v>
      </c>
      <c r="Y1180" s="3">
        <v>5.44</v>
      </c>
      <c r="Z1180" t="s">
        <v>73</v>
      </c>
      <c r="AA1180" t="s">
        <v>1452</v>
      </c>
      <c r="AB1180" t="s">
        <v>53</v>
      </c>
      <c r="AC1180" s="3">
        <v>1.29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f t="shared" si="36"/>
        <v>9.6100000000000012</v>
      </c>
      <c r="AK1180" s="3">
        <f t="shared" si="37"/>
        <v>4.1700000000000008</v>
      </c>
    </row>
    <row r="1181" spans="1:37">
      <c r="A1181">
        <v>10342856</v>
      </c>
      <c r="B1181" t="s">
        <v>37</v>
      </c>
      <c r="C1181" t="s">
        <v>7990</v>
      </c>
      <c r="E1181" t="s">
        <v>7991</v>
      </c>
      <c r="F1181" t="s">
        <v>7992</v>
      </c>
      <c r="G1181" t="s">
        <v>7993</v>
      </c>
      <c r="H1181" t="s">
        <v>42</v>
      </c>
      <c r="I1181" t="s">
        <v>7994</v>
      </c>
      <c r="J1181" t="s">
        <v>7995</v>
      </c>
      <c r="K1181" t="s">
        <v>7996</v>
      </c>
      <c r="L1181" t="s">
        <v>142</v>
      </c>
      <c r="M1181" t="s">
        <v>46</v>
      </c>
      <c r="N1181" t="s">
        <v>47</v>
      </c>
      <c r="O1181">
        <v>2</v>
      </c>
      <c r="P1181">
        <v>1</v>
      </c>
      <c r="Q1181">
        <v>2</v>
      </c>
      <c r="R1181" t="s">
        <v>48</v>
      </c>
      <c r="S1181" t="s">
        <v>49</v>
      </c>
      <c r="T1181" s="3">
        <v>0.84</v>
      </c>
      <c r="U1181" s="3">
        <v>0.23</v>
      </c>
      <c r="V1181" s="3">
        <v>1.81</v>
      </c>
      <c r="W1181">
        <v>1.08</v>
      </c>
      <c r="X1181" t="s">
        <v>50</v>
      </c>
      <c r="Y1181" s="3">
        <v>16.43</v>
      </c>
      <c r="Z1181" t="s">
        <v>73</v>
      </c>
      <c r="AA1181" t="s">
        <v>2837</v>
      </c>
      <c r="AB1181" t="s">
        <v>53</v>
      </c>
      <c r="AC1181" s="3">
        <v>1.29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f t="shared" si="36"/>
        <v>20.599999999999998</v>
      </c>
      <c r="AK1181" s="3">
        <f t="shared" si="37"/>
        <v>4.1699999999999982</v>
      </c>
    </row>
    <row r="1182" spans="1:37">
      <c r="A1182">
        <v>10342853</v>
      </c>
      <c r="B1182" t="s">
        <v>37</v>
      </c>
      <c r="C1182" t="s">
        <v>7997</v>
      </c>
      <c r="E1182" t="s">
        <v>7998</v>
      </c>
      <c r="F1182" t="s">
        <v>7999</v>
      </c>
      <c r="G1182" t="s">
        <v>8000</v>
      </c>
      <c r="H1182" t="s">
        <v>42</v>
      </c>
      <c r="I1182" t="s">
        <v>8001</v>
      </c>
      <c r="J1182" t="s">
        <v>8002</v>
      </c>
      <c r="K1182" t="s">
        <v>8003</v>
      </c>
      <c r="L1182" t="s">
        <v>62</v>
      </c>
      <c r="M1182" t="s">
        <v>46</v>
      </c>
      <c r="N1182" t="s">
        <v>47</v>
      </c>
      <c r="O1182">
        <v>2</v>
      </c>
      <c r="P1182">
        <v>1</v>
      </c>
      <c r="Q1182">
        <v>2</v>
      </c>
      <c r="R1182" t="s">
        <v>48</v>
      </c>
      <c r="S1182" t="s">
        <v>49</v>
      </c>
      <c r="T1182" s="3">
        <v>0.84</v>
      </c>
      <c r="U1182" s="3">
        <v>0.23</v>
      </c>
      <c r="V1182" s="3">
        <v>1.81</v>
      </c>
      <c r="W1182">
        <v>0.98</v>
      </c>
      <c r="X1182" t="s">
        <v>100</v>
      </c>
      <c r="Y1182" s="3">
        <v>32.770000000000003</v>
      </c>
      <c r="Z1182" t="s">
        <v>73</v>
      </c>
      <c r="AA1182" t="s">
        <v>8004</v>
      </c>
      <c r="AB1182" t="s">
        <v>53</v>
      </c>
      <c r="AC1182" s="3">
        <v>1.29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f t="shared" si="36"/>
        <v>36.940000000000005</v>
      </c>
      <c r="AK1182" s="3">
        <f t="shared" si="37"/>
        <v>4.1700000000000017</v>
      </c>
    </row>
    <row r="1183" spans="1:37">
      <c r="A1183">
        <v>10343065</v>
      </c>
      <c r="B1183" t="s">
        <v>37</v>
      </c>
      <c r="C1183" t="s">
        <v>8005</v>
      </c>
      <c r="E1183" t="s">
        <v>1578</v>
      </c>
      <c r="F1183" t="s">
        <v>8006</v>
      </c>
      <c r="G1183" t="s">
        <v>8007</v>
      </c>
      <c r="H1183" t="s">
        <v>42</v>
      </c>
      <c r="I1183" t="s">
        <v>8008</v>
      </c>
      <c r="J1183" t="s">
        <v>8009</v>
      </c>
      <c r="K1183">
        <v>49082</v>
      </c>
      <c r="L1183" t="s">
        <v>71</v>
      </c>
      <c r="M1183" t="s">
        <v>46</v>
      </c>
      <c r="N1183" t="s">
        <v>47</v>
      </c>
      <c r="O1183">
        <v>2</v>
      </c>
      <c r="P1183">
        <v>1</v>
      </c>
      <c r="Q1183">
        <v>2</v>
      </c>
      <c r="R1183" t="s">
        <v>48</v>
      </c>
      <c r="S1183" t="s">
        <v>49</v>
      </c>
      <c r="T1183" s="3">
        <v>0.84</v>
      </c>
      <c r="U1183" s="3">
        <v>0.23</v>
      </c>
      <c r="V1183" s="3">
        <v>1.81</v>
      </c>
      <c r="W1183">
        <v>1.08</v>
      </c>
      <c r="X1183" t="s">
        <v>72</v>
      </c>
      <c r="Y1183" s="3">
        <v>5.44</v>
      </c>
      <c r="Z1183" t="s">
        <v>73</v>
      </c>
      <c r="AA1183" t="s">
        <v>2837</v>
      </c>
      <c r="AB1183" t="s">
        <v>53</v>
      </c>
      <c r="AC1183" s="3">
        <v>1.29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f t="shared" si="36"/>
        <v>9.6100000000000012</v>
      </c>
      <c r="AK1183" s="3">
        <f t="shared" si="37"/>
        <v>4.1700000000000008</v>
      </c>
    </row>
    <row r="1184" spans="1:37">
      <c r="A1184">
        <v>10343381</v>
      </c>
      <c r="B1184" t="s">
        <v>37</v>
      </c>
      <c r="C1184" t="s">
        <v>8010</v>
      </c>
      <c r="E1184" t="s">
        <v>6700</v>
      </c>
      <c r="F1184" t="s">
        <v>8011</v>
      </c>
      <c r="G1184" t="s">
        <v>8012</v>
      </c>
      <c r="H1184" t="s">
        <v>42</v>
      </c>
      <c r="I1184" t="s">
        <v>8013</v>
      </c>
      <c r="J1184" t="s">
        <v>8014</v>
      </c>
      <c r="K1184" t="s">
        <v>8015</v>
      </c>
      <c r="L1184" t="s">
        <v>82</v>
      </c>
      <c r="M1184" t="s">
        <v>46</v>
      </c>
      <c r="N1184" t="s">
        <v>47</v>
      </c>
      <c r="O1184">
        <v>2</v>
      </c>
      <c r="P1184">
        <v>1</v>
      </c>
      <c r="Q1184">
        <v>2</v>
      </c>
      <c r="R1184" t="s">
        <v>48</v>
      </c>
      <c r="S1184" t="s">
        <v>49</v>
      </c>
      <c r="T1184" s="3">
        <v>0.84</v>
      </c>
      <c r="U1184" s="3">
        <v>0.23</v>
      </c>
      <c r="V1184" s="3">
        <v>1.81</v>
      </c>
      <c r="W1184">
        <v>1.08</v>
      </c>
      <c r="X1184" t="s">
        <v>50</v>
      </c>
      <c r="Y1184" s="3">
        <v>9.19</v>
      </c>
      <c r="Z1184" t="s">
        <v>73</v>
      </c>
      <c r="AA1184" t="s">
        <v>7484</v>
      </c>
      <c r="AB1184" t="s">
        <v>53</v>
      </c>
      <c r="AC1184" s="3">
        <v>1.29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f t="shared" si="36"/>
        <v>13.360000000000001</v>
      </c>
      <c r="AK1184" s="3">
        <f t="shared" si="37"/>
        <v>4.1700000000000017</v>
      </c>
    </row>
    <row r="1185" spans="1:37">
      <c r="A1185">
        <v>10342206</v>
      </c>
      <c r="B1185" t="s">
        <v>37</v>
      </c>
      <c r="C1185" t="s">
        <v>8016</v>
      </c>
      <c r="E1185" t="s">
        <v>2638</v>
      </c>
      <c r="F1185" t="s">
        <v>8017</v>
      </c>
      <c r="G1185" t="s">
        <v>8018</v>
      </c>
      <c r="H1185" t="s">
        <v>42</v>
      </c>
      <c r="I1185" t="s">
        <v>8019</v>
      </c>
      <c r="J1185" t="s">
        <v>8020</v>
      </c>
      <c r="K1185" t="s">
        <v>8021</v>
      </c>
      <c r="L1185" t="s">
        <v>142</v>
      </c>
      <c r="M1185" t="s">
        <v>46</v>
      </c>
      <c r="N1185" t="s">
        <v>47</v>
      </c>
      <c r="O1185">
        <v>2</v>
      </c>
      <c r="P1185">
        <v>1</v>
      </c>
      <c r="Q1185">
        <v>2</v>
      </c>
      <c r="R1185" t="s">
        <v>48</v>
      </c>
      <c r="S1185" t="s">
        <v>49</v>
      </c>
      <c r="T1185" s="3">
        <v>0.84</v>
      </c>
      <c r="U1185" s="3">
        <v>0.23</v>
      </c>
      <c r="V1185" s="3">
        <v>1.81</v>
      </c>
      <c r="W1185">
        <v>0.38</v>
      </c>
      <c r="X1185" t="s">
        <v>50</v>
      </c>
      <c r="Y1185" s="3">
        <v>16.43</v>
      </c>
      <c r="Z1185" t="s">
        <v>109</v>
      </c>
      <c r="AA1185" t="s">
        <v>8022</v>
      </c>
      <c r="AB1185" t="s">
        <v>53</v>
      </c>
      <c r="AC1185" s="3">
        <v>1.06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f t="shared" si="36"/>
        <v>20.369999999999997</v>
      </c>
      <c r="AK1185" s="3">
        <f t="shared" si="37"/>
        <v>3.9399999999999977</v>
      </c>
    </row>
    <row r="1186" spans="1:37">
      <c r="A1186">
        <v>10341060</v>
      </c>
      <c r="B1186" t="s">
        <v>37</v>
      </c>
      <c r="C1186" t="s">
        <v>8023</v>
      </c>
      <c r="E1186" t="s">
        <v>8024</v>
      </c>
      <c r="F1186" t="s">
        <v>300</v>
      </c>
      <c r="G1186" t="s">
        <v>8025</v>
      </c>
      <c r="H1186" t="s">
        <v>42</v>
      </c>
      <c r="I1186" t="s">
        <v>8026</v>
      </c>
      <c r="J1186" t="s">
        <v>8027</v>
      </c>
      <c r="K1186" t="s">
        <v>8028</v>
      </c>
      <c r="L1186" t="s">
        <v>142</v>
      </c>
      <c r="M1186" t="s">
        <v>46</v>
      </c>
      <c r="N1186" t="s">
        <v>47</v>
      </c>
      <c r="O1186">
        <v>4</v>
      </c>
      <c r="P1186">
        <v>1</v>
      </c>
      <c r="Q1186">
        <v>4</v>
      </c>
      <c r="R1186" t="s">
        <v>48</v>
      </c>
      <c r="S1186" t="s">
        <v>49</v>
      </c>
      <c r="T1186" s="3">
        <v>0.84</v>
      </c>
      <c r="U1186" s="3">
        <v>0.23</v>
      </c>
      <c r="V1186" s="3">
        <v>3.55</v>
      </c>
      <c r="W1186">
        <v>1.66</v>
      </c>
      <c r="X1186" t="s">
        <v>50</v>
      </c>
      <c r="Y1186" s="3">
        <v>16.43</v>
      </c>
      <c r="Z1186" t="s">
        <v>73</v>
      </c>
      <c r="AA1186" t="s">
        <v>538</v>
      </c>
      <c r="AB1186" t="s">
        <v>53</v>
      </c>
      <c r="AC1186" s="3">
        <v>1.29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f t="shared" si="36"/>
        <v>22.34</v>
      </c>
      <c r="AK1186" s="3">
        <f t="shared" si="37"/>
        <v>5.91</v>
      </c>
    </row>
    <row r="1187" spans="1:37">
      <c r="A1187">
        <v>10340716</v>
      </c>
      <c r="B1187" t="s">
        <v>37</v>
      </c>
      <c r="C1187" t="s">
        <v>8029</v>
      </c>
      <c r="E1187" t="s">
        <v>1736</v>
      </c>
      <c r="F1187" t="s">
        <v>8030</v>
      </c>
      <c r="G1187" t="s">
        <v>8031</v>
      </c>
      <c r="H1187" t="s">
        <v>42</v>
      </c>
      <c r="I1187" t="s">
        <v>8032</v>
      </c>
      <c r="J1187" t="s">
        <v>8033</v>
      </c>
      <c r="K1187">
        <v>50968</v>
      </c>
      <c r="L1187" t="s">
        <v>71</v>
      </c>
      <c r="M1187" t="s">
        <v>46</v>
      </c>
      <c r="N1187" t="s">
        <v>47</v>
      </c>
      <c r="O1187">
        <v>3</v>
      </c>
      <c r="P1187">
        <v>1</v>
      </c>
      <c r="Q1187">
        <v>3</v>
      </c>
      <c r="R1187" t="s">
        <v>48</v>
      </c>
      <c r="S1187" t="s">
        <v>49</v>
      </c>
      <c r="T1187" s="3">
        <v>0.84</v>
      </c>
      <c r="U1187" s="3">
        <v>0.23</v>
      </c>
      <c r="V1187" s="3">
        <v>2.68</v>
      </c>
      <c r="W1187">
        <v>1.57</v>
      </c>
      <c r="X1187" t="s">
        <v>72</v>
      </c>
      <c r="Y1187" s="3">
        <v>5.44</v>
      </c>
      <c r="Z1187" t="s">
        <v>73</v>
      </c>
      <c r="AA1187" t="s">
        <v>8034</v>
      </c>
      <c r="AB1187" t="s">
        <v>53</v>
      </c>
      <c r="AC1187" s="3">
        <v>1.29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f t="shared" si="36"/>
        <v>10.48</v>
      </c>
      <c r="AK1187" s="3">
        <f t="shared" si="37"/>
        <v>5.04</v>
      </c>
    </row>
    <row r="1188" spans="1:37">
      <c r="A1188">
        <v>10340874</v>
      </c>
      <c r="B1188" t="s">
        <v>37</v>
      </c>
      <c r="C1188" t="s">
        <v>8035</v>
      </c>
      <c r="E1188" t="s">
        <v>954</v>
      </c>
      <c r="F1188" t="s">
        <v>2201</v>
      </c>
      <c r="G1188" t="s">
        <v>8036</v>
      </c>
      <c r="H1188" t="s">
        <v>42</v>
      </c>
      <c r="I1188" t="s">
        <v>8037</v>
      </c>
      <c r="J1188" t="s">
        <v>8038</v>
      </c>
      <c r="K1188" t="s">
        <v>8039</v>
      </c>
      <c r="L1188" t="s">
        <v>142</v>
      </c>
      <c r="M1188" t="s">
        <v>46</v>
      </c>
      <c r="N1188" t="s">
        <v>47</v>
      </c>
      <c r="O1188">
        <v>4</v>
      </c>
      <c r="P1188">
        <v>1</v>
      </c>
      <c r="Q1188">
        <v>4</v>
      </c>
      <c r="R1188" t="s">
        <v>48</v>
      </c>
      <c r="S1188" t="s">
        <v>49</v>
      </c>
      <c r="T1188" s="3">
        <v>0.84</v>
      </c>
      <c r="U1188" s="3">
        <v>0.23</v>
      </c>
      <c r="V1188" s="3">
        <v>3.55</v>
      </c>
      <c r="W1188">
        <v>2.06</v>
      </c>
      <c r="X1188" t="s">
        <v>50</v>
      </c>
      <c r="Y1188" s="3">
        <v>16.43</v>
      </c>
      <c r="Z1188" t="s">
        <v>73</v>
      </c>
      <c r="AA1188" t="s">
        <v>990</v>
      </c>
      <c r="AB1188" t="s">
        <v>53</v>
      </c>
      <c r="AC1188" s="3">
        <v>1.29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f t="shared" si="36"/>
        <v>22.34</v>
      </c>
      <c r="AK1188" s="3">
        <f t="shared" si="37"/>
        <v>5.91</v>
      </c>
    </row>
    <row r="1189" spans="1:37">
      <c r="A1189">
        <v>10337969</v>
      </c>
      <c r="B1189" t="s">
        <v>37</v>
      </c>
      <c r="C1189" t="s">
        <v>8040</v>
      </c>
      <c r="E1189" t="s">
        <v>7985</v>
      </c>
      <c r="F1189" t="s">
        <v>8041</v>
      </c>
      <c r="G1189" t="s">
        <v>8042</v>
      </c>
      <c r="H1189" t="s">
        <v>42</v>
      </c>
      <c r="I1189" t="s">
        <v>8043</v>
      </c>
      <c r="J1189" t="s">
        <v>8044</v>
      </c>
      <c r="K1189">
        <v>39365</v>
      </c>
      <c r="L1189" t="s">
        <v>71</v>
      </c>
      <c r="M1189" t="s">
        <v>46</v>
      </c>
      <c r="N1189" t="s">
        <v>47</v>
      </c>
      <c r="O1189">
        <v>4</v>
      </c>
      <c r="P1189">
        <v>1</v>
      </c>
      <c r="Q1189">
        <v>4</v>
      </c>
      <c r="R1189" t="s">
        <v>48</v>
      </c>
      <c r="S1189" t="s">
        <v>49</v>
      </c>
      <c r="T1189" s="3">
        <v>0.84</v>
      </c>
      <c r="U1189" s="3">
        <v>0.23</v>
      </c>
      <c r="V1189" s="3">
        <v>3.55</v>
      </c>
      <c r="W1189">
        <v>1.28</v>
      </c>
      <c r="X1189" t="s">
        <v>72</v>
      </c>
      <c r="Y1189" s="3">
        <v>5.44</v>
      </c>
      <c r="Z1189" t="s">
        <v>73</v>
      </c>
      <c r="AA1189" t="s">
        <v>8045</v>
      </c>
      <c r="AB1189" t="s">
        <v>53</v>
      </c>
      <c r="AC1189" s="3">
        <v>1.29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f t="shared" si="36"/>
        <v>11.350000000000001</v>
      </c>
      <c r="AK1189" s="3">
        <f t="shared" si="37"/>
        <v>5.910000000000001</v>
      </c>
    </row>
    <row r="1190" spans="1:37">
      <c r="A1190">
        <v>10338130</v>
      </c>
      <c r="B1190" t="s">
        <v>37</v>
      </c>
      <c r="C1190" t="s">
        <v>8046</v>
      </c>
      <c r="E1190" t="s">
        <v>8047</v>
      </c>
      <c r="F1190" t="s">
        <v>8048</v>
      </c>
      <c r="G1190" t="s">
        <v>8049</v>
      </c>
      <c r="H1190" t="s">
        <v>42</v>
      </c>
      <c r="I1190" t="s">
        <v>8050</v>
      </c>
      <c r="J1190" t="s">
        <v>8051</v>
      </c>
      <c r="K1190">
        <v>22393</v>
      </c>
      <c r="L1190" t="s">
        <v>71</v>
      </c>
      <c r="M1190" t="s">
        <v>46</v>
      </c>
      <c r="N1190" t="s">
        <v>47</v>
      </c>
      <c r="O1190">
        <v>4</v>
      </c>
      <c r="P1190">
        <v>1</v>
      </c>
      <c r="Q1190">
        <v>4</v>
      </c>
      <c r="R1190" t="s">
        <v>48</v>
      </c>
      <c r="S1190" t="s">
        <v>49</v>
      </c>
      <c r="T1190" s="3">
        <v>0.84</v>
      </c>
      <c r="U1190" s="3">
        <v>0.23</v>
      </c>
      <c r="V1190" s="3">
        <v>3.55</v>
      </c>
      <c r="W1190">
        <v>2.06</v>
      </c>
      <c r="X1190" t="s">
        <v>72</v>
      </c>
      <c r="Y1190" s="3">
        <v>5.44</v>
      </c>
      <c r="Z1190" t="s">
        <v>73</v>
      </c>
      <c r="AA1190" t="s">
        <v>8052</v>
      </c>
      <c r="AB1190" t="s">
        <v>53</v>
      </c>
      <c r="AC1190" s="3">
        <v>1.29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f t="shared" si="36"/>
        <v>11.350000000000001</v>
      </c>
      <c r="AK1190" s="3">
        <f t="shared" si="37"/>
        <v>5.910000000000001</v>
      </c>
    </row>
    <row r="1191" spans="1:37">
      <c r="A1191">
        <v>10341480</v>
      </c>
      <c r="B1191" t="s">
        <v>37</v>
      </c>
      <c r="C1191" t="s">
        <v>8053</v>
      </c>
      <c r="E1191" t="s">
        <v>2512</v>
      </c>
      <c r="F1191" t="s">
        <v>8054</v>
      </c>
      <c r="G1191" t="s">
        <v>8055</v>
      </c>
      <c r="H1191" t="s">
        <v>42</v>
      </c>
      <c r="I1191" t="s">
        <v>8056</v>
      </c>
      <c r="J1191" t="s">
        <v>8057</v>
      </c>
      <c r="K1191" t="s">
        <v>8058</v>
      </c>
      <c r="L1191" t="s">
        <v>142</v>
      </c>
      <c r="M1191" t="s">
        <v>46</v>
      </c>
      <c r="N1191" t="s">
        <v>47</v>
      </c>
      <c r="O1191">
        <v>10</v>
      </c>
      <c r="P1191">
        <v>1</v>
      </c>
      <c r="Q1191">
        <v>10</v>
      </c>
      <c r="R1191" t="s">
        <v>48</v>
      </c>
      <c r="S1191" t="s">
        <v>49</v>
      </c>
      <c r="T1191" s="3">
        <v>7</v>
      </c>
      <c r="U1191" s="3">
        <v>0.23</v>
      </c>
      <c r="V1191" s="3">
        <v>13.2</v>
      </c>
      <c r="W1191">
        <v>2.77</v>
      </c>
      <c r="X1191" t="s">
        <v>50</v>
      </c>
      <c r="Y1191" s="3">
        <v>16.43</v>
      </c>
      <c r="Z1191" t="s">
        <v>73</v>
      </c>
      <c r="AA1191" t="s">
        <v>8059</v>
      </c>
      <c r="AB1191" t="s">
        <v>53</v>
      </c>
      <c r="AC1191" s="3">
        <v>1.29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f t="shared" si="36"/>
        <v>38.15</v>
      </c>
      <c r="AK1191" s="3">
        <f t="shared" si="37"/>
        <v>21.72</v>
      </c>
    </row>
    <row r="1192" spans="1:37">
      <c r="A1192">
        <v>10341059</v>
      </c>
      <c r="B1192" t="s">
        <v>37</v>
      </c>
      <c r="C1192" t="s">
        <v>8060</v>
      </c>
      <c r="E1192" t="s">
        <v>6460</v>
      </c>
      <c r="F1192" t="s">
        <v>8061</v>
      </c>
      <c r="G1192" t="s">
        <v>8062</v>
      </c>
      <c r="H1192" t="s">
        <v>42</v>
      </c>
      <c r="I1192" t="s">
        <v>8063</v>
      </c>
      <c r="J1192" t="s">
        <v>8064</v>
      </c>
      <c r="K1192">
        <v>8422</v>
      </c>
      <c r="L1192" t="s">
        <v>369</v>
      </c>
      <c r="M1192" t="s">
        <v>46</v>
      </c>
      <c r="N1192" t="s">
        <v>47</v>
      </c>
      <c r="O1192">
        <v>3</v>
      </c>
      <c r="P1192">
        <v>1</v>
      </c>
      <c r="Q1192">
        <v>3</v>
      </c>
      <c r="R1192" t="s">
        <v>48</v>
      </c>
      <c r="S1192" t="s">
        <v>49</v>
      </c>
      <c r="T1192" s="3">
        <v>0.84</v>
      </c>
      <c r="U1192" s="3">
        <v>0.23</v>
      </c>
      <c r="V1192" s="3">
        <v>2.68</v>
      </c>
      <c r="W1192">
        <v>1.22</v>
      </c>
      <c r="X1192" t="s">
        <v>50</v>
      </c>
      <c r="Y1192" s="3">
        <v>9.19</v>
      </c>
      <c r="Z1192" t="s">
        <v>73</v>
      </c>
      <c r="AA1192" t="s">
        <v>2372</v>
      </c>
      <c r="AB1192" t="s">
        <v>53</v>
      </c>
      <c r="AC1192" s="3">
        <v>1.29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f t="shared" si="36"/>
        <v>14.23</v>
      </c>
      <c r="AK1192" s="3">
        <f t="shared" si="37"/>
        <v>5.0400000000000009</v>
      </c>
    </row>
    <row r="1193" spans="1:37">
      <c r="A1193">
        <v>10338447</v>
      </c>
      <c r="B1193" t="s">
        <v>37</v>
      </c>
      <c r="C1193" t="s">
        <v>8065</v>
      </c>
      <c r="E1193" t="s">
        <v>437</v>
      </c>
      <c r="F1193" t="s">
        <v>8066</v>
      </c>
      <c r="G1193" t="s">
        <v>8067</v>
      </c>
      <c r="H1193" t="s">
        <v>42</v>
      </c>
      <c r="I1193" t="s">
        <v>8068</v>
      </c>
      <c r="J1193" t="s">
        <v>8069</v>
      </c>
      <c r="K1193" t="s">
        <v>8070</v>
      </c>
      <c r="L1193" t="s">
        <v>142</v>
      </c>
      <c r="M1193" t="s">
        <v>46</v>
      </c>
      <c r="N1193" t="s">
        <v>47</v>
      </c>
      <c r="O1193">
        <v>4</v>
      </c>
      <c r="P1193">
        <v>1</v>
      </c>
      <c r="Q1193">
        <v>4</v>
      </c>
      <c r="R1193" t="s">
        <v>48</v>
      </c>
      <c r="S1193" t="s">
        <v>49</v>
      </c>
      <c r="T1193" s="3">
        <v>0.84</v>
      </c>
      <c r="U1193" s="3">
        <v>0.23</v>
      </c>
      <c r="V1193" s="3">
        <v>3.55</v>
      </c>
      <c r="W1193">
        <v>2.06</v>
      </c>
      <c r="X1193" t="s">
        <v>50</v>
      </c>
      <c r="Y1193" s="3">
        <v>16.43</v>
      </c>
      <c r="Z1193" t="s">
        <v>73</v>
      </c>
      <c r="AA1193" t="s">
        <v>8071</v>
      </c>
      <c r="AB1193" t="s">
        <v>53</v>
      </c>
      <c r="AC1193" s="3">
        <v>1.29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f t="shared" si="36"/>
        <v>22.34</v>
      </c>
      <c r="AK1193" s="3">
        <f t="shared" si="37"/>
        <v>5.91</v>
      </c>
    </row>
    <row r="1194" spans="1:37">
      <c r="A1194">
        <v>10338762</v>
      </c>
      <c r="B1194" t="s">
        <v>37</v>
      </c>
      <c r="C1194" t="s">
        <v>8072</v>
      </c>
      <c r="E1194" t="s">
        <v>857</v>
      </c>
      <c r="F1194" t="s">
        <v>8073</v>
      </c>
      <c r="G1194" t="s">
        <v>8074</v>
      </c>
      <c r="H1194" t="s">
        <v>42</v>
      </c>
      <c r="I1194" t="s">
        <v>8075</v>
      </c>
      <c r="J1194" t="s">
        <v>8076</v>
      </c>
      <c r="K1194">
        <v>85716</v>
      </c>
      <c r="L1194" t="s">
        <v>71</v>
      </c>
      <c r="M1194" t="s">
        <v>46</v>
      </c>
      <c r="N1194" t="s">
        <v>47</v>
      </c>
      <c r="O1194">
        <v>4</v>
      </c>
      <c r="P1194">
        <v>1</v>
      </c>
      <c r="Q1194">
        <v>4</v>
      </c>
      <c r="R1194" t="s">
        <v>48</v>
      </c>
      <c r="S1194" t="s">
        <v>49</v>
      </c>
      <c r="T1194" s="3">
        <v>0.84</v>
      </c>
      <c r="U1194" s="3">
        <v>0.23</v>
      </c>
      <c r="V1194" s="3">
        <v>3.55</v>
      </c>
      <c r="W1194">
        <v>1.66</v>
      </c>
      <c r="X1194" t="s">
        <v>72</v>
      </c>
      <c r="Y1194" s="3">
        <v>5.44</v>
      </c>
      <c r="Z1194" t="s">
        <v>73</v>
      </c>
      <c r="AA1194" t="s">
        <v>8077</v>
      </c>
      <c r="AB1194" t="s">
        <v>53</v>
      </c>
      <c r="AC1194" s="3">
        <v>1.29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f t="shared" si="36"/>
        <v>11.350000000000001</v>
      </c>
      <c r="AK1194" s="3">
        <f t="shared" si="37"/>
        <v>5.910000000000001</v>
      </c>
    </row>
    <row r="1195" spans="1:37">
      <c r="A1195">
        <v>10338448</v>
      </c>
      <c r="B1195" t="s">
        <v>37</v>
      </c>
      <c r="C1195" t="s">
        <v>8078</v>
      </c>
      <c r="E1195" t="s">
        <v>8079</v>
      </c>
      <c r="F1195" t="s">
        <v>8080</v>
      </c>
      <c r="G1195" t="s">
        <v>8081</v>
      </c>
      <c r="H1195" t="s">
        <v>42</v>
      </c>
      <c r="I1195" t="s">
        <v>8082</v>
      </c>
      <c r="J1195" t="s">
        <v>8083</v>
      </c>
      <c r="K1195">
        <v>4047</v>
      </c>
      <c r="L1195" t="s">
        <v>1701</v>
      </c>
      <c r="M1195" t="s">
        <v>46</v>
      </c>
      <c r="N1195" t="s">
        <v>47</v>
      </c>
      <c r="O1195">
        <v>4</v>
      </c>
      <c r="P1195">
        <v>1</v>
      </c>
      <c r="Q1195">
        <v>4</v>
      </c>
      <c r="R1195" t="s">
        <v>48</v>
      </c>
      <c r="S1195" t="s">
        <v>49</v>
      </c>
      <c r="T1195" s="3">
        <v>0.84</v>
      </c>
      <c r="U1195" s="3">
        <v>0.23</v>
      </c>
      <c r="V1195" s="3">
        <v>3.55</v>
      </c>
      <c r="W1195">
        <v>1.38</v>
      </c>
      <c r="X1195" t="s">
        <v>1702</v>
      </c>
      <c r="Y1195" s="3">
        <v>58.8</v>
      </c>
      <c r="Z1195" t="s">
        <v>73</v>
      </c>
      <c r="AA1195" t="s">
        <v>8084</v>
      </c>
      <c r="AB1195" t="s">
        <v>53</v>
      </c>
      <c r="AC1195" s="3">
        <v>1.29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f t="shared" si="36"/>
        <v>64.709999999999994</v>
      </c>
      <c r="AK1195" s="3">
        <f t="shared" si="37"/>
        <v>5.9099999999999966</v>
      </c>
    </row>
    <row r="1196" spans="1:37">
      <c r="A1196">
        <v>10340358</v>
      </c>
      <c r="B1196" t="s">
        <v>37</v>
      </c>
      <c r="C1196" t="s">
        <v>8085</v>
      </c>
      <c r="E1196" t="s">
        <v>4889</v>
      </c>
      <c r="F1196" t="s">
        <v>8086</v>
      </c>
      <c r="G1196" t="s">
        <v>8087</v>
      </c>
      <c r="H1196" t="s">
        <v>42</v>
      </c>
      <c r="I1196" t="s">
        <v>8088</v>
      </c>
      <c r="J1196" t="s">
        <v>8089</v>
      </c>
      <c r="K1196" t="s">
        <v>8090</v>
      </c>
      <c r="L1196" t="s">
        <v>142</v>
      </c>
      <c r="M1196" t="s">
        <v>46</v>
      </c>
      <c r="N1196" t="s">
        <v>47</v>
      </c>
      <c r="O1196">
        <v>4</v>
      </c>
      <c r="P1196">
        <v>1</v>
      </c>
      <c r="Q1196">
        <v>4</v>
      </c>
      <c r="R1196" t="s">
        <v>48</v>
      </c>
      <c r="S1196" t="s">
        <v>49</v>
      </c>
      <c r="T1196" s="3">
        <v>0.84</v>
      </c>
      <c r="U1196" s="3">
        <v>0.23</v>
      </c>
      <c r="V1196" s="3">
        <v>3.55</v>
      </c>
      <c r="W1196">
        <v>1.66</v>
      </c>
      <c r="X1196" t="s">
        <v>50</v>
      </c>
      <c r="Y1196" s="3">
        <v>16.43</v>
      </c>
      <c r="Z1196" t="s">
        <v>73</v>
      </c>
      <c r="AA1196" t="s">
        <v>2989</v>
      </c>
      <c r="AB1196" t="s">
        <v>53</v>
      </c>
      <c r="AC1196" s="3">
        <v>1.29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f t="shared" si="36"/>
        <v>22.34</v>
      </c>
      <c r="AK1196" s="3">
        <f t="shared" si="37"/>
        <v>5.91</v>
      </c>
    </row>
    <row r="1197" spans="1:37">
      <c r="A1197">
        <v>10339709</v>
      </c>
      <c r="B1197" t="s">
        <v>37</v>
      </c>
      <c r="C1197" t="s">
        <v>8091</v>
      </c>
      <c r="E1197" t="s">
        <v>8092</v>
      </c>
      <c r="F1197" t="s">
        <v>8093</v>
      </c>
      <c r="G1197" t="s">
        <v>8094</v>
      </c>
      <c r="H1197" t="s">
        <v>42</v>
      </c>
      <c r="I1197" t="s">
        <v>8095</v>
      </c>
      <c r="J1197" t="s">
        <v>8096</v>
      </c>
      <c r="K1197">
        <v>2650</v>
      </c>
      <c r="L1197" t="s">
        <v>505</v>
      </c>
      <c r="M1197" t="s">
        <v>46</v>
      </c>
      <c r="N1197" t="s">
        <v>47</v>
      </c>
      <c r="O1197">
        <v>6</v>
      </c>
      <c r="P1197">
        <v>1</v>
      </c>
      <c r="Q1197">
        <v>6</v>
      </c>
      <c r="R1197" t="s">
        <v>48</v>
      </c>
      <c r="S1197" t="s">
        <v>49</v>
      </c>
      <c r="T1197" s="3">
        <v>0.84</v>
      </c>
      <c r="U1197" s="3">
        <v>0.23</v>
      </c>
      <c r="V1197" s="3">
        <v>5.29</v>
      </c>
      <c r="W1197">
        <v>2.4500000000000002</v>
      </c>
      <c r="X1197" t="s">
        <v>50</v>
      </c>
      <c r="Y1197" s="3">
        <v>9.19</v>
      </c>
      <c r="Z1197" t="s">
        <v>73</v>
      </c>
      <c r="AA1197" t="s">
        <v>8097</v>
      </c>
      <c r="AB1197" t="s">
        <v>53</v>
      </c>
      <c r="AC1197" s="3">
        <v>1.29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f t="shared" si="36"/>
        <v>16.84</v>
      </c>
      <c r="AK1197" s="3">
        <f t="shared" si="37"/>
        <v>7.65</v>
      </c>
    </row>
    <row r="1198" spans="1:37">
      <c r="A1198">
        <v>10340713</v>
      </c>
      <c r="B1198" t="s">
        <v>37</v>
      </c>
      <c r="C1198" t="s">
        <v>8098</v>
      </c>
      <c r="E1198" t="s">
        <v>8099</v>
      </c>
      <c r="F1198" t="s">
        <v>8100</v>
      </c>
      <c r="G1198" t="s">
        <v>8101</v>
      </c>
      <c r="H1198" t="s">
        <v>42</v>
      </c>
      <c r="I1198" t="s">
        <v>8102</v>
      </c>
      <c r="J1198" t="s">
        <v>8103</v>
      </c>
      <c r="K1198" t="s">
        <v>8104</v>
      </c>
      <c r="L1198" t="s">
        <v>142</v>
      </c>
      <c r="M1198" t="s">
        <v>46</v>
      </c>
      <c r="N1198" t="s">
        <v>47</v>
      </c>
      <c r="O1198">
        <v>4</v>
      </c>
      <c r="P1198">
        <v>1</v>
      </c>
      <c r="Q1198">
        <v>4</v>
      </c>
      <c r="R1198" t="s">
        <v>48</v>
      </c>
      <c r="S1198" t="s">
        <v>49</v>
      </c>
      <c r="T1198" s="3">
        <v>0.84</v>
      </c>
      <c r="U1198" s="3">
        <v>0.23</v>
      </c>
      <c r="V1198" s="3">
        <v>3.55</v>
      </c>
      <c r="W1198">
        <v>2.06</v>
      </c>
      <c r="X1198" t="s">
        <v>50</v>
      </c>
      <c r="Y1198" s="3">
        <v>16.43</v>
      </c>
      <c r="Z1198" t="s">
        <v>73</v>
      </c>
      <c r="AA1198" t="s">
        <v>327</v>
      </c>
      <c r="AB1198" t="s">
        <v>53</v>
      </c>
      <c r="AC1198" s="3">
        <v>1.29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f t="shared" si="36"/>
        <v>22.34</v>
      </c>
      <c r="AK1198" s="3">
        <f t="shared" si="37"/>
        <v>5.91</v>
      </c>
    </row>
    <row r="1199" spans="1:37">
      <c r="A1199">
        <v>10339515</v>
      </c>
      <c r="B1199" t="s">
        <v>37</v>
      </c>
      <c r="C1199" t="s">
        <v>8105</v>
      </c>
      <c r="E1199" t="s">
        <v>8106</v>
      </c>
      <c r="F1199" t="s">
        <v>8107</v>
      </c>
      <c r="G1199" t="s">
        <v>8108</v>
      </c>
      <c r="H1199" t="s">
        <v>42</v>
      </c>
      <c r="I1199" t="s">
        <v>8109</v>
      </c>
      <c r="J1199" t="s">
        <v>8110</v>
      </c>
      <c r="K1199" t="s">
        <v>8111</v>
      </c>
      <c r="L1199" t="s">
        <v>142</v>
      </c>
      <c r="M1199" t="s">
        <v>46</v>
      </c>
      <c r="N1199" t="s">
        <v>47</v>
      </c>
      <c r="O1199">
        <v>4</v>
      </c>
      <c r="P1199">
        <v>1</v>
      </c>
      <c r="Q1199">
        <v>4</v>
      </c>
      <c r="R1199" t="s">
        <v>48</v>
      </c>
      <c r="S1199" t="s">
        <v>49</v>
      </c>
      <c r="T1199" s="3">
        <v>0.84</v>
      </c>
      <c r="U1199" s="3">
        <v>0.23</v>
      </c>
      <c r="V1199" s="3">
        <v>3.55</v>
      </c>
      <c r="W1199">
        <v>1.42</v>
      </c>
      <c r="X1199" t="s">
        <v>50</v>
      </c>
      <c r="Y1199" s="3">
        <v>16.43</v>
      </c>
      <c r="Z1199" t="s">
        <v>73</v>
      </c>
      <c r="AA1199" t="s">
        <v>8112</v>
      </c>
      <c r="AB1199" t="s">
        <v>53</v>
      </c>
      <c r="AC1199" s="3">
        <v>1.29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f t="shared" si="36"/>
        <v>22.34</v>
      </c>
      <c r="AK1199" s="3">
        <f t="shared" si="37"/>
        <v>5.91</v>
      </c>
    </row>
    <row r="1200" spans="1:37">
      <c r="A1200">
        <v>10340526</v>
      </c>
      <c r="B1200" t="s">
        <v>37</v>
      </c>
      <c r="C1200" t="s">
        <v>8113</v>
      </c>
      <c r="E1200" t="s">
        <v>2064</v>
      </c>
      <c r="F1200" t="s">
        <v>8114</v>
      </c>
      <c r="G1200" t="s">
        <v>8115</v>
      </c>
      <c r="H1200" t="s">
        <v>42</v>
      </c>
      <c r="I1200" t="s">
        <v>8116</v>
      </c>
      <c r="J1200" t="s">
        <v>8117</v>
      </c>
      <c r="K1200" t="s">
        <v>8118</v>
      </c>
      <c r="L1200" t="s">
        <v>142</v>
      </c>
      <c r="M1200" t="s">
        <v>46</v>
      </c>
      <c r="N1200" t="s">
        <v>47</v>
      </c>
      <c r="O1200">
        <v>4</v>
      </c>
      <c r="P1200">
        <v>1</v>
      </c>
      <c r="Q1200">
        <v>4</v>
      </c>
      <c r="R1200" t="s">
        <v>48</v>
      </c>
      <c r="S1200" t="s">
        <v>49</v>
      </c>
      <c r="T1200" s="3">
        <v>0.84</v>
      </c>
      <c r="U1200" s="3">
        <v>0.23</v>
      </c>
      <c r="V1200" s="3">
        <v>3.55</v>
      </c>
      <c r="W1200">
        <v>2.06</v>
      </c>
      <c r="X1200" t="s">
        <v>50</v>
      </c>
      <c r="Y1200" s="3">
        <v>16.43</v>
      </c>
      <c r="Z1200" t="s">
        <v>73</v>
      </c>
      <c r="AA1200" t="s">
        <v>8119</v>
      </c>
      <c r="AB1200" t="s">
        <v>53</v>
      </c>
      <c r="AC1200" s="3">
        <v>1.29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f t="shared" si="36"/>
        <v>22.34</v>
      </c>
      <c r="AK1200" s="3">
        <f t="shared" si="37"/>
        <v>5.91</v>
      </c>
    </row>
    <row r="1201" spans="1:37">
      <c r="A1201">
        <v>10340711</v>
      </c>
      <c r="B1201" t="s">
        <v>37</v>
      </c>
      <c r="C1201" t="s">
        <v>8120</v>
      </c>
      <c r="E1201" t="s">
        <v>4258</v>
      </c>
      <c r="F1201" t="s">
        <v>8121</v>
      </c>
      <c r="G1201" t="s">
        <v>8122</v>
      </c>
      <c r="H1201" t="s">
        <v>42</v>
      </c>
      <c r="I1201" t="s">
        <v>8123</v>
      </c>
      <c r="J1201" t="s">
        <v>8124</v>
      </c>
      <c r="K1201">
        <v>1654</v>
      </c>
      <c r="L1201" t="s">
        <v>505</v>
      </c>
      <c r="M1201" t="s">
        <v>46</v>
      </c>
      <c r="N1201" t="s">
        <v>47</v>
      </c>
      <c r="O1201">
        <v>4</v>
      </c>
      <c r="P1201">
        <v>1</v>
      </c>
      <c r="Q1201">
        <v>4</v>
      </c>
      <c r="R1201" t="s">
        <v>48</v>
      </c>
      <c r="S1201" t="s">
        <v>49</v>
      </c>
      <c r="T1201" s="3">
        <v>0.84</v>
      </c>
      <c r="U1201" s="3">
        <v>0.23</v>
      </c>
      <c r="V1201" s="3">
        <v>3.55</v>
      </c>
      <c r="W1201">
        <v>1.66</v>
      </c>
      <c r="X1201" t="s">
        <v>50</v>
      </c>
      <c r="Y1201" s="3">
        <v>18.91</v>
      </c>
      <c r="Z1201" t="s">
        <v>73</v>
      </c>
      <c r="AA1201" t="s">
        <v>429</v>
      </c>
      <c r="AB1201" t="s">
        <v>53</v>
      </c>
      <c r="AC1201" s="3">
        <v>1.29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f t="shared" si="36"/>
        <v>24.82</v>
      </c>
      <c r="AK1201" s="3">
        <f t="shared" si="37"/>
        <v>5.91</v>
      </c>
    </row>
    <row r="1202" spans="1:37">
      <c r="A1202">
        <v>10339074</v>
      </c>
      <c r="B1202" t="s">
        <v>37</v>
      </c>
      <c r="C1202" t="s">
        <v>8125</v>
      </c>
      <c r="E1202" t="s">
        <v>8126</v>
      </c>
      <c r="F1202" t="s">
        <v>8127</v>
      </c>
      <c r="G1202" t="s">
        <v>8128</v>
      </c>
      <c r="H1202" t="s">
        <v>42</v>
      </c>
      <c r="I1202" t="s">
        <v>8129</v>
      </c>
      <c r="J1202" t="s">
        <v>8130</v>
      </c>
      <c r="K1202" t="s">
        <v>8131</v>
      </c>
      <c r="L1202" t="s">
        <v>142</v>
      </c>
      <c r="M1202" t="s">
        <v>46</v>
      </c>
      <c r="N1202" t="s">
        <v>47</v>
      </c>
      <c r="O1202">
        <v>4</v>
      </c>
      <c r="P1202">
        <v>1</v>
      </c>
      <c r="Q1202">
        <v>4</v>
      </c>
      <c r="R1202" t="s">
        <v>48</v>
      </c>
      <c r="S1202" t="s">
        <v>49</v>
      </c>
      <c r="T1202" s="3">
        <v>0.84</v>
      </c>
      <c r="U1202" s="3">
        <v>0.23</v>
      </c>
      <c r="V1202" s="3">
        <v>3.55</v>
      </c>
      <c r="W1202">
        <v>2.06</v>
      </c>
      <c r="X1202" t="s">
        <v>50</v>
      </c>
      <c r="Y1202" s="3">
        <v>16.43</v>
      </c>
      <c r="Z1202" t="s">
        <v>73</v>
      </c>
      <c r="AA1202" t="s">
        <v>990</v>
      </c>
      <c r="AB1202" t="s">
        <v>53</v>
      </c>
      <c r="AC1202" s="3">
        <v>1.29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f t="shared" si="36"/>
        <v>22.34</v>
      </c>
      <c r="AK1202" s="3">
        <f t="shared" si="37"/>
        <v>5.91</v>
      </c>
    </row>
    <row r="1203" spans="1:37">
      <c r="A1203">
        <v>10340715</v>
      </c>
      <c r="B1203" t="s">
        <v>37</v>
      </c>
      <c r="C1203" t="s">
        <v>8132</v>
      </c>
      <c r="E1203" t="s">
        <v>3304</v>
      </c>
      <c r="F1203" t="s">
        <v>934</v>
      </c>
      <c r="G1203" t="s">
        <v>8133</v>
      </c>
      <c r="H1203" t="s">
        <v>42</v>
      </c>
      <c r="I1203" t="s">
        <v>8134</v>
      </c>
      <c r="J1203" t="s">
        <v>8135</v>
      </c>
      <c r="K1203">
        <v>69115</v>
      </c>
      <c r="L1203" t="s">
        <v>71</v>
      </c>
      <c r="M1203" t="s">
        <v>46</v>
      </c>
      <c r="N1203" t="s">
        <v>47</v>
      </c>
      <c r="O1203">
        <v>3</v>
      </c>
      <c r="P1203">
        <v>1</v>
      </c>
      <c r="Q1203">
        <v>3</v>
      </c>
      <c r="R1203" t="s">
        <v>48</v>
      </c>
      <c r="S1203" t="s">
        <v>49</v>
      </c>
      <c r="T1203" s="3">
        <v>0.84</v>
      </c>
      <c r="U1203" s="3">
        <v>0.23</v>
      </c>
      <c r="V1203" s="3">
        <v>2.68</v>
      </c>
      <c r="W1203">
        <v>1.22</v>
      </c>
      <c r="X1203" t="s">
        <v>72</v>
      </c>
      <c r="Y1203" s="3">
        <v>5.44</v>
      </c>
      <c r="Z1203" t="s">
        <v>73</v>
      </c>
      <c r="AA1203" t="s">
        <v>8136</v>
      </c>
      <c r="AB1203" t="s">
        <v>53</v>
      </c>
      <c r="AC1203" s="3">
        <v>1.29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f t="shared" si="36"/>
        <v>10.48</v>
      </c>
      <c r="AK1203" s="3">
        <f t="shared" si="37"/>
        <v>5.04</v>
      </c>
    </row>
    <row r="1204" spans="1:37">
      <c r="A1204">
        <v>10339227</v>
      </c>
      <c r="B1204" t="s">
        <v>37</v>
      </c>
      <c r="C1204" t="s">
        <v>8137</v>
      </c>
      <c r="E1204" t="s">
        <v>8138</v>
      </c>
      <c r="F1204" t="s">
        <v>5264</v>
      </c>
      <c r="G1204" t="s">
        <v>8139</v>
      </c>
      <c r="H1204" t="s">
        <v>42</v>
      </c>
      <c r="I1204" t="s">
        <v>8140</v>
      </c>
      <c r="J1204" t="s">
        <v>8141</v>
      </c>
      <c r="K1204" t="s">
        <v>8142</v>
      </c>
      <c r="L1204" t="s">
        <v>142</v>
      </c>
      <c r="M1204" t="s">
        <v>46</v>
      </c>
      <c r="N1204" t="s">
        <v>47</v>
      </c>
      <c r="O1204">
        <v>3</v>
      </c>
      <c r="P1204">
        <v>1</v>
      </c>
      <c r="Q1204">
        <v>3</v>
      </c>
      <c r="R1204" t="s">
        <v>48</v>
      </c>
      <c r="S1204" t="s">
        <v>49</v>
      </c>
      <c r="T1204" s="3">
        <v>0.84</v>
      </c>
      <c r="U1204" s="3">
        <v>0.23</v>
      </c>
      <c r="V1204" s="3">
        <v>2.68</v>
      </c>
      <c r="W1204">
        <v>1.29</v>
      </c>
      <c r="X1204" t="s">
        <v>50</v>
      </c>
      <c r="Y1204" s="3">
        <v>16.43</v>
      </c>
      <c r="Z1204" t="s">
        <v>73</v>
      </c>
      <c r="AA1204" t="s">
        <v>8143</v>
      </c>
      <c r="AB1204" t="s">
        <v>53</v>
      </c>
      <c r="AC1204" s="3">
        <v>1.29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f t="shared" si="36"/>
        <v>21.47</v>
      </c>
      <c r="AK1204" s="3">
        <f t="shared" si="37"/>
        <v>5.0399999999999991</v>
      </c>
    </row>
    <row r="1205" spans="1:37">
      <c r="A1205">
        <v>10339516</v>
      </c>
      <c r="B1205" t="s">
        <v>37</v>
      </c>
      <c r="C1205" t="s">
        <v>8144</v>
      </c>
      <c r="E1205" t="s">
        <v>8145</v>
      </c>
      <c r="F1205" t="s">
        <v>8146</v>
      </c>
      <c r="G1205" t="s">
        <v>8147</v>
      </c>
      <c r="H1205" t="s">
        <v>42</v>
      </c>
      <c r="I1205" t="s">
        <v>8148</v>
      </c>
      <c r="J1205" t="s">
        <v>8149</v>
      </c>
      <c r="K1205" t="s">
        <v>8150</v>
      </c>
      <c r="L1205" t="s">
        <v>142</v>
      </c>
      <c r="M1205" t="s">
        <v>46</v>
      </c>
      <c r="N1205" t="s">
        <v>47</v>
      </c>
      <c r="O1205">
        <v>6</v>
      </c>
      <c r="P1205">
        <v>1</v>
      </c>
      <c r="Q1205">
        <v>6</v>
      </c>
      <c r="R1205" t="s">
        <v>48</v>
      </c>
      <c r="S1205" t="s">
        <v>49</v>
      </c>
      <c r="T1205" s="3">
        <v>0.84</v>
      </c>
      <c r="U1205" s="3">
        <v>0.23</v>
      </c>
      <c r="V1205" s="3">
        <v>5.29</v>
      </c>
      <c r="W1205">
        <v>2.44</v>
      </c>
      <c r="X1205" t="s">
        <v>50</v>
      </c>
      <c r="Y1205" s="3">
        <v>16.43</v>
      </c>
      <c r="Z1205" t="s">
        <v>83</v>
      </c>
      <c r="AA1205" t="s">
        <v>2756</v>
      </c>
      <c r="AB1205" t="s">
        <v>53</v>
      </c>
      <c r="AC1205" s="3">
        <v>1.27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f t="shared" si="36"/>
        <v>24.06</v>
      </c>
      <c r="AK1205" s="3">
        <f t="shared" si="37"/>
        <v>7.629999999999999</v>
      </c>
    </row>
    <row r="1206" spans="1:37">
      <c r="A1206">
        <v>10341837</v>
      </c>
      <c r="B1206" t="s">
        <v>37</v>
      </c>
      <c r="C1206" t="s">
        <v>8151</v>
      </c>
      <c r="D1206" t="s">
        <v>8152</v>
      </c>
      <c r="E1206" t="s">
        <v>240</v>
      </c>
      <c r="F1206" t="s">
        <v>8153</v>
      </c>
      <c r="G1206" t="s">
        <v>8154</v>
      </c>
      <c r="H1206" t="s">
        <v>42</v>
      </c>
      <c r="I1206" t="s">
        <v>8155</v>
      </c>
      <c r="J1206" t="s">
        <v>8156</v>
      </c>
      <c r="K1206">
        <v>13503</v>
      </c>
      <c r="L1206" t="s">
        <v>71</v>
      </c>
      <c r="M1206" t="s">
        <v>46</v>
      </c>
      <c r="N1206" t="s">
        <v>47</v>
      </c>
      <c r="O1206">
        <v>17</v>
      </c>
      <c r="P1206">
        <v>1</v>
      </c>
      <c r="Q1206">
        <v>17</v>
      </c>
      <c r="R1206" t="s">
        <v>48</v>
      </c>
      <c r="S1206" t="s">
        <v>49</v>
      </c>
      <c r="T1206" s="3">
        <v>7</v>
      </c>
      <c r="U1206" s="3">
        <v>0.23</v>
      </c>
      <c r="V1206" s="3">
        <v>21.47</v>
      </c>
      <c r="W1206">
        <v>8.43</v>
      </c>
      <c r="X1206" t="s">
        <v>72</v>
      </c>
      <c r="Y1206" s="3">
        <v>7.46</v>
      </c>
      <c r="Z1206" t="s">
        <v>51</v>
      </c>
      <c r="AA1206" t="s">
        <v>1341</v>
      </c>
      <c r="AB1206" t="s">
        <v>53</v>
      </c>
      <c r="AC1206" s="3">
        <v>1.87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f t="shared" si="36"/>
        <v>38.03</v>
      </c>
      <c r="AK1206" s="3">
        <f t="shared" si="37"/>
        <v>30.57</v>
      </c>
    </row>
    <row r="1207" spans="1:37">
      <c r="A1207">
        <v>10337636</v>
      </c>
      <c r="B1207" t="s">
        <v>37</v>
      </c>
      <c r="C1207" t="s">
        <v>8157</v>
      </c>
      <c r="E1207" t="s">
        <v>2625</v>
      </c>
      <c r="F1207" t="s">
        <v>8158</v>
      </c>
      <c r="G1207" t="s">
        <v>8159</v>
      </c>
      <c r="H1207" t="s">
        <v>42</v>
      </c>
      <c r="I1207" t="s">
        <v>8160</v>
      </c>
      <c r="J1207" t="s">
        <v>8161</v>
      </c>
      <c r="K1207">
        <v>8790</v>
      </c>
      <c r="L1207" t="s">
        <v>505</v>
      </c>
      <c r="M1207" t="s">
        <v>46</v>
      </c>
      <c r="N1207" t="s">
        <v>47</v>
      </c>
      <c r="O1207">
        <v>3</v>
      </c>
      <c r="P1207">
        <v>1</v>
      </c>
      <c r="Q1207">
        <v>3</v>
      </c>
      <c r="R1207" t="s">
        <v>48</v>
      </c>
      <c r="S1207" t="s">
        <v>49</v>
      </c>
      <c r="T1207" s="3">
        <v>0.84</v>
      </c>
      <c r="U1207" s="3">
        <v>0.23</v>
      </c>
      <c r="V1207" s="3">
        <v>2.68</v>
      </c>
      <c r="W1207">
        <v>1.47</v>
      </c>
      <c r="X1207" t="s">
        <v>50</v>
      </c>
      <c r="Y1207" s="3">
        <v>9.19</v>
      </c>
      <c r="Z1207" t="s">
        <v>73</v>
      </c>
      <c r="AA1207" t="s">
        <v>8162</v>
      </c>
      <c r="AB1207" t="s">
        <v>53</v>
      </c>
      <c r="AC1207" s="3">
        <v>1.29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f t="shared" si="36"/>
        <v>14.23</v>
      </c>
      <c r="AK1207" s="3">
        <f t="shared" si="37"/>
        <v>5.0400000000000009</v>
      </c>
    </row>
    <row r="1208" spans="1:37">
      <c r="A1208">
        <v>10337638</v>
      </c>
      <c r="B1208" t="s">
        <v>37</v>
      </c>
      <c r="C1208" t="s">
        <v>8163</v>
      </c>
      <c r="E1208" t="s">
        <v>3705</v>
      </c>
      <c r="F1208" t="s">
        <v>8164</v>
      </c>
      <c r="G1208" t="s">
        <v>8165</v>
      </c>
      <c r="H1208" t="s">
        <v>42</v>
      </c>
      <c r="I1208" t="s">
        <v>8166</v>
      </c>
      <c r="J1208" t="s">
        <v>8167</v>
      </c>
      <c r="K1208">
        <v>25746</v>
      </c>
      <c r="L1208" t="s">
        <v>71</v>
      </c>
      <c r="M1208" t="s">
        <v>46</v>
      </c>
      <c r="N1208" t="s">
        <v>47</v>
      </c>
      <c r="O1208">
        <v>4</v>
      </c>
      <c r="P1208">
        <v>1</v>
      </c>
      <c r="Q1208">
        <v>4</v>
      </c>
      <c r="R1208" t="s">
        <v>48</v>
      </c>
      <c r="S1208" t="s">
        <v>49</v>
      </c>
      <c r="T1208" s="3">
        <v>0.84</v>
      </c>
      <c r="U1208" s="3">
        <v>0.23</v>
      </c>
      <c r="V1208" s="3">
        <v>3.55</v>
      </c>
      <c r="W1208">
        <v>1.66</v>
      </c>
      <c r="X1208" t="s">
        <v>72</v>
      </c>
      <c r="Y1208" s="3">
        <v>5.44</v>
      </c>
      <c r="Z1208" t="s">
        <v>73</v>
      </c>
      <c r="AA1208" t="s">
        <v>8168</v>
      </c>
      <c r="AB1208" t="s">
        <v>53</v>
      </c>
      <c r="AC1208" s="3">
        <v>1.29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f t="shared" si="36"/>
        <v>11.350000000000001</v>
      </c>
      <c r="AK1208" s="3">
        <f t="shared" si="37"/>
        <v>5.910000000000001</v>
      </c>
    </row>
    <row r="1209" spans="1:37">
      <c r="A1209">
        <v>10341062</v>
      </c>
      <c r="B1209" t="s">
        <v>37</v>
      </c>
      <c r="C1209" t="s">
        <v>8169</v>
      </c>
      <c r="E1209" t="s">
        <v>8170</v>
      </c>
      <c r="F1209" t="s">
        <v>8171</v>
      </c>
      <c r="G1209" t="s">
        <v>8172</v>
      </c>
      <c r="H1209" t="s">
        <v>42</v>
      </c>
      <c r="I1209" t="s">
        <v>8173</v>
      </c>
      <c r="J1209" t="s">
        <v>8174</v>
      </c>
      <c r="K1209" t="s">
        <v>8175</v>
      </c>
      <c r="L1209" t="s">
        <v>142</v>
      </c>
      <c r="M1209" t="s">
        <v>46</v>
      </c>
      <c r="N1209" t="s">
        <v>47</v>
      </c>
      <c r="O1209">
        <v>6</v>
      </c>
      <c r="P1209">
        <v>1</v>
      </c>
      <c r="Q1209">
        <v>6</v>
      </c>
      <c r="R1209" t="s">
        <v>48</v>
      </c>
      <c r="S1209" t="s">
        <v>49</v>
      </c>
      <c r="T1209" s="3">
        <v>0.84</v>
      </c>
      <c r="U1209" s="3">
        <v>0.23</v>
      </c>
      <c r="V1209" s="3">
        <v>5.29</v>
      </c>
      <c r="W1209">
        <v>2.87</v>
      </c>
      <c r="X1209" t="s">
        <v>50</v>
      </c>
      <c r="Y1209" s="3">
        <v>16.43</v>
      </c>
      <c r="Z1209" t="s">
        <v>73</v>
      </c>
      <c r="AA1209" t="s">
        <v>8176</v>
      </c>
      <c r="AB1209" t="s">
        <v>53</v>
      </c>
      <c r="AC1209" s="3">
        <v>1.29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f t="shared" si="36"/>
        <v>24.08</v>
      </c>
      <c r="AK1209" s="3">
        <f t="shared" si="37"/>
        <v>7.6499999999999986</v>
      </c>
    </row>
    <row r="1210" spans="1:37">
      <c r="A1210">
        <v>10337637</v>
      </c>
      <c r="B1210" t="s">
        <v>37</v>
      </c>
      <c r="C1210" t="s">
        <v>8177</v>
      </c>
      <c r="E1210" t="s">
        <v>687</v>
      </c>
      <c r="F1210" t="s">
        <v>8178</v>
      </c>
      <c r="G1210" t="s">
        <v>8179</v>
      </c>
      <c r="H1210" t="s">
        <v>42</v>
      </c>
      <c r="I1210" t="s">
        <v>8180</v>
      </c>
      <c r="J1210" t="s">
        <v>8181</v>
      </c>
      <c r="K1210" t="s">
        <v>8182</v>
      </c>
      <c r="L1210" t="s">
        <v>82</v>
      </c>
      <c r="M1210" t="s">
        <v>46</v>
      </c>
      <c r="N1210" t="s">
        <v>47</v>
      </c>
      <c r="O1210">
        <v>4</v>
      </c>
      <c r="P1210">
        <v>1</v>
      </c>
      <c r="Q1210">
        <v>4</v>
      </c>
      <c r="R1210" t="s">
        <v>48</v>
      </c>
      <c r="S1210" t="s">
        <v>49</v>
      </c>
      <c r="T1210" s="3">
        <v>0.84</v>
      </c>
      <c r="U1210" s="3">
        <v>0.23</v>
      </c>
      <c r="V1210" s="3">
        <v>3.55</v>
      </c>
      <c r="W1210">
        <v>1.1299999999999999</v>
      </c>
      <c r="X1210" t="s">
        <v>50</v>
      </c>
      <c r="Y1210" s="3">
        <v>9.19</v>
      </c>
      <c r="Z1210" t="s">
        <v>73</v>
      </c>
      <c r="AA1210" t="s">
        <v>8183</v>
      </c>
      <c r="AB1210" t="s">
        <v>53</v>
      </c>
      <c r="AC1210" s="3">
        <v>1.29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f t="shared" si="36"/>
        <v>15.100000000000001</v>
      </c>
      <c r="AK1210" s="3">
        <f t="shared" si="37"/>
        <v>5.9100000000000019</v>
      </c>
    </row>
    <row r="1211" spans="1:37">
      <c r="A1211">
        <v>10332906</v>
      </c>
      <c r="B1211" t="s">
        <v>37</v>
      </c>
      <c r="C1211" t="s">
        <v>8184</v>
      </c>
      <c r="E1211" t="s">
        <v>3681</v>
      </c>
      <c r="F1211" t="s">
        <v>8185</v>
      </c>
      <c r="G1211" t="s">
        <v>8186</v>
      </c>
      <c r="H1211" t="s">
        <v>42</v>
      </c>
      <c r="I1211" t="s">
        <v>8187</v>
      </c>
      <c r="J1211" t="s">
        <v>8188</v>
      </c>
      <c r="K1211" t="s">
        <v>8189</v>
      </c>
      <c r="L1211" t="s">
        <v>142</v>
      </c>
      <c r="M1211" t="s">
        <v>46</v>
      </c>
      <c r="N1211" t="s">
        <v>47</v>
      </c>
      <c r="O1211">
        <v>9</v>
      </c>
      <c r="P1211">
        <v>1</v>
      </c>
      <c r="Q1211">
        <v>9</v>
      </c>
      <c r="R1211" t="s">
        <v>48</v>
      </c>
      <c r="S1211" t="s">
        <v>49</v>
      </c>
      <c r="T1211" s="3">
        <v>0.84</v>
      </c>
      <c r="U1211" s="3">
        <v>0.23</v>
      </c>
      <c r="V1211" s="3">
        <v>7.9</v>
      </c>
      <c r="W1211">
        <v>2.0299999999999998</v>
      </c>
      <c r="X1211" t="s">
        <v>50</v>
      </c>
      <c r="Y1211" s="3">
        <v>16.43</v>
      </c>
      <c r="Z1211" t="s">
        <v>73</v>
      </c>
      <c r="AA1211" t="s">
        <v>8190</v>
      </c>
      <c r="AB1211" t="s">
        <v>53</v>
      </c>
      <c r="AC1211" s="3">
        <v>1.29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f t="shared" si="36"/>
        <v>26.689999999999998</v>
      </c>
      <c r="AK1211" s="3">
        <f t="shared" si="37"/>
        <v>10.259999999999998</v>
      </c>
    </row>
    <row r="1212" spans="1:37">
      <c r="A1212">
        <v>10337531</v>
      </c>
      <c r="B1212" t="s">
        <v>37</v>
      </c>
      <c r="C1212" t="s">
        <v>8191</v>
      </c>
      <c r="E1212" t="s">
        <v>8192</v>
      </c>
      <c r="F1212" t="s">
        <v>8193</v>
      </c>
      <c r="G1212" t="s">
        <v>8194</v>
      </c>
      <c r="H1212" t="s">
        <v>42</v>
      </c>
      <c r="I1212" t="s">
        <v>8195</v>
      </c>
      <c r="J1212" t="s">
        <v>8196</v>
      </c>
      <c r="K1212">
        <v>1980</v>
      </c>
      <c r="L1212" t="s">
        <v>505</v>
      </c>
      <c r="M1212" t="s">
        <v>46</v>
      </c>
      <c r="N1212" t="s">
        <v>47</v>
      </c>
      <c r="O1212">
        <v>3</v>
      </c>
      <c r="P1212">
        <v>1</v>
      </c>
      <c r="Q1212">
        <v>3</v>
      </c>
      <c r="R1212" t="s">
        <v>48</v>
      </c>
      <c r="S1212" t="s">
        <v>49</v>
      </c>
      <c r="T1212" s="3">
        <v>0.84</v>
      </c>
      <c r="U1212" s="3">
        <v>0.23</v>
      </c>
      <c r="V1212" s="3">
        <v>2.68</v>
      </c>
      <c r="W1212">
        <v>1.43</v>
      </c>
      <c r="X1212" t="s">
        <v>50</v>
      </c>
      <c r="Y1212" s="3">
        <v>9.19</v>
      </c>
      <c r="Z1212" t="s">
        <v>73</v>
      </c>
      <c r="AA1212" t="s">
        <v>8197</v>
      </c>
      <c r="AB1212" t="s">
        <v>53</v>
      </c>
      <c r="AC1212" s="3">
        <v>1.29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f t="shared" si="36"/>
        <v>14.23</v>
      </c>
      <c r="AK1212" s="3">
        <f t="shared" si="37"/>
        <v>5.0400000000000009</v>
      </c>
    </row>
    <row r="1213" spans="1:37">
      <c r="A1213">
        <v>10337468</v>
      </c>
      <c r="B1213" t="s">
        <v>37</v>
      </c>
      <c r="C1213" t="s">
        <v>8198</v>
      </c>
      <c r="E1213" t="s">
        <v>492</v>
      </c>
      <c r="F1213" t="s">
        <v>8199</v>
      </c>
      <c r="G1213" t="s">
        <v>8200</v>
      </c>
      <c r="H1213" t="s">
        <v>42</v>
      </c>
      <c r="I1213" t="s">
        <v>8201</v>
      </c>
      <c r="J1213" t="s">
        <v>8202</v>
      </c>
      <c r="K1213">
        <v>2861</v>
      </c>
      <c r="L1213" t="s">
        <v>505</v>
      </c>
      <c r="M1213" t="s">
        <v>46</v>
      </c>
      <c r="N1213" t="s">
        <v>47</v>
      </c>
      <c r="O1213">
        <v>4</v>
      </c>
      <c r="P1213">
        <v>1</v>
      </c>
      <c r="Q1213">
        <v>4</v>
      </c>
      <c r="R1213" t="s">
        <v>48</v>
      </c>
      <c r="S1213" t="s">
        <v>49</v>
      </c>
      <c r="T1213" s="3">
        <v>0.84</v>
      </c>
      <c r="U1213" s="3">
        <v>0.23</v>
      </c>
      <c r="V1213" s="3">
        <v>3.55</v>
      </c>
      <c r="W1213">
        <v>1.66</v>
      </c>
      <c r="X1213" t="s">
        <v>50</v>
      </c>
      <c r="Y1213" s="3">
        <v>9.19</v>
      </c>
      <c r="Z1213" t="s">
        <v>73</v>
      </c>
      <c r="AA1213" t="s">
        <v>1569</v>
      </c>
      <c r="AB1213" t="s">
        <v>53</v>
      </c>
      <c r="AC1213" s="3">
        <v>1.29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f t="shared" si="36"/>
        <v>15.100000000000001</v>
      </c>
      <c r="AK1213" s="3">
        <f t="shared" si="37"/>
        <v>5.9100000000000019</v>
      </c>
    </row>
    <row r="1214" spans="1:37">
      <c r="A1214">
        <v>10341061</v>
      </c>
      <c r="B1214" t="s">
        <v>37</v>
      </c>
      <c r="C1214" t="s">
        <v>8203</v>
      </c>
      <c r="E1214" t="s">
        <v>8204</v>
      </c>
      <c r="F1214" t="s">
        <v>8205</v>
      </c>
      <c r="G1214" t="s">
        <v>8206</v>
      </c>
      <c r="H1214" t="s">
        <v>42</v>
      </c>
      <c r="I1214" t="s">
        <v>8207</v>
      </c>
      <c r="J1214" t="s">
        <v>8208</v>
      </c>
      <c r="K1214" t="s">
        <v>8209</v>
      </c>
      <c r="L1214" t="s">
        <v>142</v>
      </c>
      <c r="M1214" t="s">
        <v>46</v>
      </c>
      <c r="N1214" t="s">
        <v>47</v>
      </c>
      <c r="O1214">
        <v>8</v>
      </c>
      <c r="P1214">
        <v>1</v>
      </c>
      <c r="Q1214">
        <v>8</v>
      </c>
      <c r="R1214" t="s">
        <v>48</v>
      </c>
      <c r="S1214" t="s">
        <v>49</v>
      </c>
      <c r="T1214" s="3">
        <v>0.84</v>
      </c>
      <c r="U1214" s="3">
        <v>0.23</v>
      </c>
      <c r="V1214" s="3">
        <v>7.03</v>
      </c>
      <c r="W1214">
        <v>2.44</v>
      </c>
      <c r="X1214" t="s">
        <v>50</v>
      </c>
      <c r="Y1214" s="3">
        <v>16.43</v>
      </c>
      <c r="Z1214" t="s">
        <v>109</v>
      </c>
      <c r="AA1214" t="s">
        <v>8210</v>
      </c>
      <c r="AB1214" t="s">
        <v>53</v>
      </c>
      <c r="AC1214" s="3">
        <v>1.06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f t="shared" si="36"/>
        <v>25.59</v>
      </c>
      <c r="AK1214" s="3">
        <f t="shared" si="37"/>
        <v>9.16</v>
      </c>
    </row>
    <row r="1215" spans="1:37">
      <c r="A1215">
        <v>10341274</v>
      </c>
      <c r="B1215" t="s">
        <v>37</v>
      </c>
      <c r="C1215" t="s">
        <v>8211</v>
      </c>
      <c r="E1215" t="s">
        <v>8212</v>
      </c>
      <c r="F1215" t="s">
        <v>8213</v>
      </c>
      <c r="G1215" t="s">
        <v>8214</v>
      </c>
      <c r="H1215" t="s">
        <v>42</v>
      </c>
      <c r="I1215" t="s">
        <v>8215</v>
      </c>
      <c r="J1215" t="s">
        <v>8216</v>
      </c>
      <c r="K1215" t="s">
        <v>8217</v>
      </c>
      <c r="L1215" t="s">
        <v>142</v>
      </c>
      <c r="M1215" t="s">
        <v>46</v>
      </c>
      <c r="N1215" t="s">
        <v>47</v>
      </c>
      <c r="O1215">
        <v>4</v>
      </c>
      <c r="P1215">
        <v>1</v>
      </c>
      <c r="Q1215">
        <v>4</v>
      </c>
      <c r="R1215" t="s">
        <v>48</v>
      </c>
      <c r="S1215" t="s">
        <v>49</v>
      </c>
      <c r="T1215" s="3">
        <v>0.84</v>
      </c>
      <c r="U1215" s="3">
        <v>0.23</v>
      </c>
      <c r="V1215" s="3">
        <v>3.55</v>
      </c>
      <c r="W1215">
        <v>1.66</v>
      </c>
      <c r="X1215" t="s">
        <v>50</v>
      </c>
      <c r="Y1215" s="3">
        <v>16.43</v>
      </c>
      <c r="Z1215" t="s">
        <v>73</v>
      </c>
      <c r="AA1215" t="s">
        <v>538</v>
      </c>
      <c r="AB1215" t="s">
        <v>53</v>
      </c>
      <c r="AC1215" s="3">
        <v>1.29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f t="shared" si="36"/>
        <v>22.34</v>
      </c>
      <c r="AK1215" s="3">
        <f t="shared" si="37"/>
        <v>5.91</v>
      </c>
    </row>
    <row r="1216" spans="1:37">
      <c r="A1216">
        <v>10341067</v>
      </c>
      <c r="B1216" t="s">
        <v>37</v>
      </c>
      <c r="C1216" t="s">
        <v>8218</v>
      </c>
      <c r="E1216" t="s">
        <v>8219</v>
      </c>
      <c r="F1216" t="s">
        <v>8220</v>
      </c>
      <c r="G1216" t="s">
        <v>8221</v>
      </c>
      <c r="H1216" t="s">
        <v>42</v>
      </c>
      <c r="I1216" t="s">
        <v>8222</v>
      </c>
      <c r="J1216" t="s">
        <v>8223</v>
      </c>
      <c r="K1216" t="s">
        <v>8224</v>
      </c>
      <c r="L1216" t="s">
        <v>142</v>
      </c>
      <c r="M1216" t="s">
        <v>46</v>
      </c>
      <c r="N1216" t="s">
        <v>47</v>
      </c>
      <c r="O1216">
        <v>3</v>
      </c>
      <c r="P1216">
        <v>1</v>
      </c>
      <c r="Q1216">
        <v>3</v>
      </c>
      <c r="R1216" t="s">
        <v>48</v>
      </c>
      <c r="S1216" t="s">
        <v>49</v>
      </c>
      <c r="T1216" s="3">
        <v>0.84</v>
      </c>
      <c r="U1216" s="3">
        <v>0.23</v>
      </c>
      <c r="V1216" s="3">
        <v>2.68</v>
      </c>
      <c r="W1216">
        <v>1.22</v>
      </c>
      <c r="X1216" t="s">
        <v>50</v>
      </c>
      <c r="Y1216" s="3">
        <v>16.43</v>
      </c>
      <c r="Z1216" t="s">
        <v>73</v>
      </c>
      <c r="AA1216" t="s">
        <v>8225</v>
      </c>
      <c r="AB1216" t="s">
        <v>53</v>
      </c>
      <c r="AC1216" s="3">
        <v>1.29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f t="shared" si="36"/>
        <v>21.47</v>
      </c>
      <c r="AK1216" s="3">
        <f t="shared" si="37"/>
        <v>5.0399999999999991</v>
      </c>
    </row>
    <row r="1217" spans="1:37">
      <c r="A1217">
        <v>10341278</v>
      </c>
      <c r="B1217" t="s">
        <v>37</v>
      </c>
      <c r="C1217" t="s">
        <v>8226</v>
      </c>
      <c r="E1217" t="s">
        <v>8227</v>
      </c>
      <c r="F1217" t="s">
        <v>8228</v>
      </c>
      <c r="G1217" t="s">
        <v>8229</v>
      </c>
      <c r="H1217" t="s">
        <v>42</v>
      </c>
      <c r="I1217" t="s">
        <v>8230</v>
      </c>
      <c r="J1217" t="s">
        <v>8231</v>
      </c>
      <c r="K1217" t="s">
        <v>8232</v>
      </c>
      <c r="L1217" t="s">
        <v>142</v>
      </c>
      <c r="M1217" t="s">
        <v>46</v>
      </c>
      <c r="N1217" t="s">
        <v>47</v>
      </c>
      <c r="O1217">
        <v>4</v>
      </c>
      <c r="P1217">
        <v>1</v>
      </c>
      <c r="Q1217">
        <v>4</v>
      </c>
      <c r="R1217" t="s">
        <v>48</v>
      </c>
      <c r="S1217" t="s">
        <v>49</v>
      </c>
      <c r="T1217" s="3">
        <v>0.84</v>
      </c>
      <c r="U1217" s="3">
        <v>0.23</v>
      </c>
      <c r="V1217" s="3">
        <v>3.55</v>
      </c>
      <c r="W1217">
        <v>2.67</v>
      </c>
      <c r="X1217" t="s">
        <v>50</v>
      </c>
      <c r="Y1217" s="3">
        <v>16.43</v>
      </c>
      <c r="Z1217" t="s">
        <v>73</v>
      </c>
      <c r="AA1217" t="s">
        <v>8233</v>
      </c>
      <c r="AB1217" t="s">
        <v>53</v>
      </c>
      <c r="AC1217" s="3">
        <v>1.29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f t="shared" si="36"/>
        <v>22.34</v>
      </c>
      <c r="AK1217" s="3">
        <f t="shared" si="37"/>
        <v>5.91</v>
      </c>
    </row>
    <row r="1218" spans="1:37">
      <c r="A1218">
        <v>10341470</v>
      </c>
      <c r="B1218" t="s">
        <v>37</v>
      </c>
      <c r="C1218" t="s">
        <v>8234</v>
      </c>
      <c r="E1218" t="s">
        <v>8235</v>
      </c>
      <c r="F1218" t="s">
        <v>8236</v>
      </c>
      <c r="G1218" t="s">
        <v>8237</v>
      </c>
      <c r="H1218" t="s">
        <v>42</v>
      </c>
      <c r="I1218" t="s">
        <v>8238</v>
      </c>
      <c r="J1218" t="s">
        <v>8239</v>
      </c>
      <c r="K1218">
        <v>2980</v>
      </c>
      <c r="L1218" t="s">
        <v>505</v>
      </c>
      <c r="M1218" t="s">
        <v>46</v>
      </c>
      <c r="N1218" t="s">
        <v>47</v>
      </c>
      <c r="O1218">
        <v>9</v>
      </c>
      <c r="P1218">
        <v>1</v>
      </c>
      <c r="Q1218">
        <v>9</v>
      </c>
      <c r="R1218" t="s">
        <v>48</v>
      </c>
      <c r="S1218" t="s">
        <v>49</v>
      </c>
      <c r="T1218" s="3">
        <v>0.84</v>
      </c>
      <c r="U1218" s="3">
        <v>0.23</v>
      </c>
      <c r="V1218" s="3">
        <v>7.9</v>
      </c>
      <c r="W1218">
        <v>3.6</v>
      </c>
      <c r="X1218" t="s">
        <v>50</v>
      </c>
      <c r="Y1218" s="3">
        <v>9.19</v>
      </c>
      <c r="Z1218" t="s">
        <v>83</v>
      </c>
      <c r="AA1218" t="s">
        <v>8240</v>
      </c>
      <c r="AB1218" t="s">
        <v>53</v>
      </c>
      <c r="AC1218" s="3">
        <v>1.27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f t="shared" ref="AJ1218:AJ1281" si="38">AI1218+AH1218+AG1218+AF1218+AE1218+AD1218+AC1218+Y1218+V1218+U1218+T1218</f>
        <v>19.43</v>
      </c>
      <c r="AK1218" s="3">
        <f t="shared" ref="AK1218:AK1281" si="39">AJ1218-Y1218</f>
        <v>10.24</v>
      </c>
    </row>
    <row r="1219" spans="1:37">
      <c r="A1219">
        <v>10341475</v>
      </c>
      <c r="B1219" t="s">
        <v>37</v>
      </c>
      <c r="C1219" t="s">
        <v>8241</v>
      </c>
      <c r="E1219" t="s">
        <v>1736</v>
      </c>
      <c r="F1219" t="s">
        <v>8242</v>
      </c>
      <c r="G1219" t="s">
        <v>8243</v>
      </c>
      <c r="H1219" t="s">
        <v>42</v>
      </c>
      <c r="I1219" t="s">
        <v>8244</v>
      </c>
      <c r="J1219" t="s">
        <v>8245</v>
      </c>
      <c r="K1219">
        <v>35085</v>
      </c>
      <c r="L1219" t="s">
        <v>71</v>
      </c>
      <c r="M1219" t="s">
        <v>46</v>
      </c>
      <c r="N1219" t="s">
        <v>47</v>
      </c>
      <c r="O1219">
        <v>8</v>
      </c>
      <c r="P1219">
        <v>1</v>
      </c>
      <c r="Q1219">
        <v>8</v>
      </c>
      <c r="R1219" t="s">
        <v>48</v>
      </c>
      <c r="S1219" t="s">
        <v>49</v>
      </c>
      <c r="T1219" s="3">
        <v>0.84</v>
      </c>
      <c r="U1219" s="3">
        <v>0.23</v>
      </c>
      <c r="V1219" s="3">
        <v>7.03</v>
      </c>
      <c r="W1219">
        <v>2.96</v>
      </c>
      <c r="X1219" t="s">
        <v>72</v>
      </c>
      <c r="Y1219" s="3">
        <v>6.61</v>
      </c>
      <c r="Z1219" t="s">
        <v>83</v>
      </c>
      <c r="AA1219" t="s">
        <v>8246</v>
      </c>
      <c r="AB1219" t="s">
        <v>53</v>
      </c>
      <c r="AC1219" s="3">
        <v>1.27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f t="shared" si="38"/>
        <v>15.98</v>
      </c>
      <c r="AK1219" s="3">
        <f t="shared" si="39"/>
        <v>9.370000000000001</v>
      </c>
    </row>
    <row r="1220" spans="1:37">
      <c r="A1220">
        <v>10341476</v>
      </c>
      <c r="B1220" t="s">
        <v>37</v>
      </c>
      <c r="C1220" t="s">
        <v>8247</v>
      </c>
      <c r="E1220" t="s">
        <v>8248</v>
      </c>
      <c r="F1220" t="s">
        <v>1628</v>
      </c>
      <c r="G1220" t="s">
        <v>8249</v>
      </c>
      <c r="H1220" t="s">
        <v>42</v>
      </c>
      <c r="I1220" t="s">
        <v>8250</v>
      </c>
      <c r="J1220" t="s">
        <v>8251</v>
      </c>
      <c r="K1220">
        <v>60389</v>
      </c>
      <c r="L1220" t="s">
        <v>71</v>
      </c>
      <c r="M1220" t="s">
        <v>46</v>
      </c>
      <c r="N1220" t="s">
        <v>47</v>
      </c>
      <c r="O1220">
        <v>3</v>
      </c>
      <c r="P1220">
        <v>1</v>
      </c>
      <c r="Q1220">
        <v>3</v>
      </c>
      <c r="R1220" t="s">
        <v>48</v>
      </c>
      <c r="S1220" t="s">
        <v>49</v>
      </c>
      <c r="T1220" s="3">
        <v>0.84</v>
      </c>
      <c r="U1220" s="3">
        <v>0.23</v>
      </c>
      <c r="V1220" s="3">
        <v>2.68</v>
      </c>
      <c r="W1220">
        <v>1.02</v>
      </c>
      <c r="X1220" t="s">
        <v>72</v>
      </c>
      <c r="Y1220" s="3">
        <v>5.44</v>
      </c>
      <c r="Z1220" t="s">
        <v>73</v>
      </c>
      <c r="AA1220" t="s">
        <v>8252</v>
      </c>
      <c r="AB1220" t="s">
        <v>53</v>
      </c>
      <c r="AC1220" s="3">
        <v>1.29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f t="shared" si="38"/>
        <v>10.48</v>
      </c>
      <c r="AK1220" s="3">
        <f t="shared" si="39"/>
        <v>5.04</v>
      </c>
    </row>
    <row r="1221" spans="1:37">
      <c r="A1221">
        <v>10341646</v>
      </c>
      <c r="B1221" t="s">
        <v>37</v>
      </c>
      <c r="C1221" t="s">
        <v>8253</v>
      </c>
      <c r="E1221" t="s">
        <v>8254</v>
      </c>
      <c r="F1221" t="s">
        <v>8255</v>
      </c>
      <c r="G1221" t="s">
        <v>8256</v>
      </c>
      <c r="H1221" t="s">
        <v>42</v>
      </c>
      <c r="I1221" t="s">
        <v>8257</v>
      </c>
      <c r="J1221" t="s">
        <v>8258</v>
      </c>
      <c r="K1221">
        <v>3960</v>
      </c>
      <c r="L1221" t="s">
        <v>505</v>
      </c>
      <c r="M1221" t="s">
        <v>46</v>
      </c>
      <c r="N1221" t="s">
        <v>47</v>
      </c>
      <c r="O1221">
        <v>4</v>
      </c>
      <c r="P1221">
        <v>1</v>
      </c>
      <c r="Q1221">
        <v>4</v>
      </c>
      <c r="R1221" t="s">
        <v>48</v>
      </c>
      <c r="S1221" t="s">
        <v>49</v>
      </c>
      <c r="T1221" s="3">
        <v>0.84</v>
      </c>
      <c r="U1221" s="3">
        <v>0.23</v>
      </c>
      <c r="V1221" s="3">
        <v>3.55</v>
      </c>
      <c r="W1221">
        <v>2.06</v>
      </c>
      <c r="X1221" t="s">
        <v>50</v>
      </c>
      <c r="Y1221" s="3">
        <v>9.19</v>
      </c>
      <c r="Z1221" t="s">
        <v>73</v>
      </c>
      <c r="AA1221" t="s">
        <v>327</v>
      </c>
      <c r="AB1221" t="s">
        <v>53</v>
      </c>
      <c r="AC1221" s="3">
        <v>1.29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f t="shared" si="38"/>
        <v>15.100000000000001</v>
      </c>
      <c r="AK1221" s="3">
        <f t="shared" si="39"/>
        <v>5.9100000000000019</v>
      </c>
    </row>
    <row r="1222" spans="1:37">
      <c r="A1222">
        <v>10345055</v>
      </c>
      <c r="B1222" t="s">
        <v>37</v>
      </c>
      <c r="C1222" t="s">
        <v>8259</v>
      </c>
      <c r="E1222" t="s">
        <v>8260</v>
      </c>
      <c r="F1222" t="s">
        <v>8261</v>
      </c>
      <c r="G1222" t="s">
        <v>8262</v>
      </c>
      <c r="H1222" t="s">
        <v>42</v>
      </c>
      <c r="I1222" t="s">
        <v>8263</v>
      </c>
      <c r="J1222" t="s">
        <v>8264</v>
      </c>
      <c r="K1222">
        <v>1050</v>
      </c>
      <c r="L1222" t="s">
        <v>505</v>
      </c>
      <c r="M1222" t="s">
        <v>46</v>
      </c>
      <c r="N1222" t="s">
        <v>47</v>
      </c>
      <c r="O1222">
        <v>4</v>
      </c>
      <c r="P1222">
        <v>1</v>
      </c>
      <c r="Q1222">
        <v>4</v>
      </c>
      <c r="R1222" t="s">
        <v>48</v>
      </c>
      <c r="S1222" t="s">
        <v>49</v>
      </c>
      <c r="T1222" s="3">
        <v>0.84</v>
      </c>
      <c r="U1222" s="3">
        <v>0.23</v>
      </c>
      <c r="V1222" s="3">
        <v>3.55</v>
      </c>
      <c r="W1222">
        <v>1.66</v>
      </c>
      <c r="X1222" t="s">
        <v>50</v>
      </c>
      <c r="Y1222" s="3">
        <v>9.19</v>
      </c>
      <c r="Z1222" t="s">
        <v>73</v>
      </c>
      <c r="AA1222" t="s">
        <v>8265</v>
      </c>
      <c r="AB1222" t="s">
        <v>53</v>
      </c>
      <c r="AC1222" s="3">
        <v>1.29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f t="shared" si="38"/>
        <v>15.100000000000001</v>
      </c>
      <c r="AK1222" s="3">
        <f t="shared" si="39"/>
        <v>5.9100000000000019</v>
      </c>
    </row>
    <row r="1223" spans="1:37">
      <c r="A1223">
        <v>10344705</v>
      </c>
      <c r="B1223" t="s">
        <v>37</v>
      </c>
      <c r="C1223" t="s">
        <v>8266</v>
      </c>
      <c r="E1223" t="s">
        <v>8267</v>
      </c>
      <c r="F1223" t="s">
        <v>8268</v>
      </c>
      <c r="G1223" t="s">
        <v>8269</v>
      </c>
      <c r="H1223" t="s">
        <v>42</v>
      </c>
      <c r="I1223" t="s">
        <v>8270</v>
      </c>
      <c r="J1223" t="s">
        <v>8271</v>
      </c>
      <c r="K1223">
        <v>45479</v>
      </c>
      <c r="L1223" t="s">
        <v>71</v>
      </c>
      <c r="M1223" t="s">
        <v>46</v>
      </c>
      <c r="N1223" t="s">
        <v>47</v>
      </c>
      <c r="O1223">
        <v>4</v>
      </c>
      <c r="P1223">
        <v>1</v>
      </c>
      <c r="Q1223">
        <v>4</v>
      </c>
      <c r="R1223" t="s">
        <v>48</v>
      </c>
      <c r="S1223" t="s">
        <v>49</v>
      </c>
      <c r="T1223" s="3">
        <v>0.84</v>
      </c>
      <c r="U1223" s="3">
        <v>0.23</v>
      </c>
      <c r="V1223" s="3">
        <v>3.55</v>
      </c>
      <c r="W1223">
        <v>1.66</v>
      </c>
      <c r="X1223" t="s">
        <v>72</v>
      </c>
      <c r="Y1223" s="3">
        <v>5.44</v>
      </c>
      <c r="Z1223" t="s">
        <v>73</v>
      </c>
      <c r="AA1223" t="s">
        <v>583</v>
      </c>
      <c r="AB1223" t="s">
        <v>53</v>
      </c>
      <c r="AC1223" s="3">
        <v>1.29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f t="shared" si="38"/>
        <v>11.350000000000001</v>
      </c>
      <c r="AK1223" s="3">
        <f t="shared" si="39"/>
        <v>5.910000000000001</v>
      </c>
    </row>
    <row r="1224" spans="1:37">
      <c r="A1224">
        <v>10344703</v>
      </c>
      <c r="B1224" t="s">
        <v>37</v>
      </c>
      <c r="C1224" t="s">
        <v>8272</v>
      </c>
      <c r="E1224" t="s">
        <v>8273</v>
      </c>
      <c r="F1224" t="s">
        <v>8274</v>
      </c>
      <c r="G1224" t="s">
        <v>8275</v>
      </c>
      <c r="H1224" t="s">
        <v>42</v>
      </c>
      <c r="I1224" t="s">
        <v>8276</v>
      </c>
      <c r="J1224" t="s">
        <v>8277</v>
      </c>
      <c r="K1224" t="s">
        <v>8278</v>
      </c>
      <c r="L1224" t="s">
        <v>152</v>
      </c>
      <c r="M1224" t="s">
        <v>46</v>
      </c>
      <c r="N1224" t="s">
        <v>47</v>
      </c>
      <c r="O1224">
        <v>4</v>
      </c>
      <c r="P1224">
        <v>1</v>
      </c>
      <c r="Q1224">
        <v>4</v>
      </c>
      <c r="R1224" t="s">
        <v>48</v>
      </c>
      <c r="S1224" t="s">
        <v>49</v>
      </c>
      <c r="T1224" s="3">
        <v>0.84</v>
      </c>
      <c r="U1224" s="3">
        <v>0.23</v>
      </c>
      <c r="V1224" s="3">
        <v>3.55</v>
      </c>
      <c r="W1224">
        <v>2.79</v>
      </c>
      <c r="X1224" t="s">
        <v>1702</v>
      </c>
      <c r="Y1224" s="3">
        <v>39.89</v>
      </c>
      <c r="Z1224" t="s">
        <v>83</v>
      </c>
      <c r="AA1224" t="s">
        <v>8279</v>
      </c>
      <c r="AB1224" t="s">
        <v>53</v>
      </c>
      <c r="AC1224" s="3">
        <v>1.27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f t="shared" si="38"/>
        <v>45.78</v>
      </c>
      <c r="AK1224" s="3">
        <f t="shared" si="39"/>
        <v>5.8900000000000006</v>
      </c>
    </row>
    <row r="1225" spans="1:37">
      <c r="A1225">
        <v>10344702</v>
      </c>
      <c r="B1225" t="s">
        <v>37</v>
      </c>
      <c r="C1225" t="s">
        <v>8280</v>
      </c>
      <c r="E1225" t="s">
        <v>8281</v>
      </c>
      <c r="F1225" t="s">
        <v>8282</v>
      </c>
      <c r="G1225" t="s">
        <v>8283</v>
      </c>
      <c r="H1225" t="s">
        <v>42</v>
      </c>
      <c r="I1225" t="s">
        <v>8284</v>
      </c>
      <c r="J1225" t="s">
        <v>8285</v>
      </c>
      <c r="K1225">
        <v>8000</v>
      </c>
      <c r="L1225" t="s">
        <v>505</v>
      </c>
      <c r="M1225" t="s">
        <v>46</v>
      </c>
      <c r="N1225" t="s">
        <v>47</v>
      </c>
      <c r="O1225">
        <v>3</v>
      </c>
      <c r="P1225">
        <v>1</v>
      </c>
      <c r="Q1225">
        <v>3</v>
      </c>
      <c r="R1225" t="s">
        <v>48</v>
      </c>
      <c r="S1225" t="s">
        <v>49</v>
      </c>
      <c r="T1225" s="3">
        <v>0.84</v>
      </c>
      <c r="U1225" s="3">
        <v>0.23</v>
      </c>
      <c r="V1225" s="3">
        <v>2.68</v>
      </c>
      <c r="W1225">
        <v>1.04</v>
      </c>
      <c r="X1225" t="s">
        <v>50</v>
      </c>
      <c r="Y1225" s="3">
        <v>9.19</v>
      </c>
      <c r="Z1225" t="s">
        <v>73</v>
      </c>
      <c r="AA1225" t="s">
        <v>8286</v>
      </c>
      <c r="AB1225" t="s">
        <v>53</v>
      </c>
      <c r="AC1225" s="3">
        <v>1.29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f t="shared" si="38"/>
        <v>14.23</v>
      </c>
      <c r="AK1225" s="3">
        <f t="shared" si="39"/>
        <v>5.0400000000000009</v>
      </c>
    </row>
    <row r="1226" spans="1:37">
      <c r="A1226">
        <v>10345054</v>
      </c>
      <c r="B1226" t="s">
        <v>37</v>
      </c>
      <c r="C1226" t="s">
        <v>8287</v>
      </c>
      <c r="E1226" t="s">
        <v>2534</v>
      </c>
      <c r="F1226" t="s">
        <v>5666</v>
      </c>
      <c r="G1226" t="s">
        <v>8288</v>
      </c>
      <c r="H1226" t="s">
        <v>42</v>
      </c>
      <c r="I1226" t="s">
        <v>8289</v>
      </c>
      <c r="J1226" t="s">
        <v>5669</v>
      </c>
      <c r="K1226">
        <v>80469</v>
      </c>
      <c r="L1226" t="s">
        <v>71</v>
      </c>
      <c r="M1226" t="s">
        <v>46</v>
      </c>
      <c r="N1226" t="s">
        <v>47</v>
      </c>
      <c r="O1226">
        <v>3</v>
      </c>
      <c r="P1226">
        <v>1</v>
      </c>
      <c r="Q1226">
        <v>3</v>
      </c>
      <c r="R1226" t="s">
        <v>48</v>
      </c>
      <c r="S1226" t="s">
        <v>49</v>
      </c>
      <c r="T1226" s="3">
        <v>0.84</v>
      </c>
      <c r="U1226" s="3">
        <v>0.23</v>
      </c>
      <c r="V1226" s="3">
        <v>2.68</v>
      </c>
      <c r="W1226">
        <v>1.5</v>
      </c>
      <c r="X1226" t="s">
        <v>72</v>
      </c>
      <c r="Y1226" s="3">
        <v>5.44</v>
      </c>
      <c r="Z1226" t="s">
        <v>73</v>
      </c>
      <c r="AA1226" t="s">
        <v>8290</v>
      </c>
      <c r="AB1226" t="s">
        <v>53</v>
      </c>
      <c r="AC1226" s="3">
        <v>1.29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f t="shared" si="38"/>
        <v>10.48</v>
      </c>
      <c r="AK1226" s="3">
        <f t="shared" si="39"/>
        <v>5.04</v>
      </c>
    </row>
    <row r="1227" spans="1:37">
      <c r="A1227">
        <v>10342207</v>
      </c>
      <c r="B1227" t="s">
        <v>37</v>
      </c>
      <c r="C1227" t="s">
        <v>8291</v>
      </c>
      <c r="E1227" t="s">
        <v>8292</v>
      </c>
      <c r="F1227" t="s">
        <v>8293</v>
      </c>
      <c r="G1227" t="s">
        <v>8294</v>
      </c>
      <c r="H1227" t="s">
        <v>42</v>
      </c>
      <c r="I1227" t="s">
        <v>8295</v>
      </c>
      <c r="J1227" t="s">
        <v>8296</v>
      </c>
      <c r="K1227" t="s">
        <v>8297</v>
      </c>
      <c r="L1227" t="s">
        <v>82</v>
      </c>
      <c r="M1227" t="s">
        <v>46</v>
      </c>
      <c r="N1227" t="s">
        <v>47</v>
      </c>
      <c r="O1227">
        <v>4</v>
      </c>
      <c r="P1227">
        <v>1</v>
      </c>
      <c r="Q1227">
        <v>4</v>
      </c>
      <c r="R1227" t="s">
        <v>48</v>
      </c>
      <c r="S1227" t="s">
        <v>49</v>
      </c>
      <c r="T1227" s="3">
        <v>0.84</v>
      </c>
      <c r="U1227" s="3">
        <v>0.23</v>
      </c>
      <c r="V1227" s="3">
        <v>3.55</v>
      </c>
      <c r="W1227">
        <v>1.86</v>
      </c>
      <c r="X1227" t="s">
        <v>50</v>
      </c>
      <c r="Y1227" s="3">
        <v>9.19</v>
      </c>
      <c r="Z1227" t="s">
        <v>73</v>
      </c>
      <c r="AA1227" t="s">
        <v>8298</v>
      </c>
      <c r="AB1227" t="s">
        <v>53</v>
      </c>
      <c r="AC1227" s="3">
        <v>1.29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f t="shared" si="38"/>
        <v>15.100000000000001</v>
      </c>
      <c r="AK1227" s="3">
        <f t="shared" si="39"/>
        <v>5.9100000000000019</v>
      </c>
    </row>
    <row r="1228" spans="1:37">
      <c r="A1228">
        <v>10342208</v>
      </c>
      <c r="B1228" t="s">
        <v>37</v>
      </c>
      <c r="C1228" t="s">
        <v>8299</v>
      </c>
      <c r="E1228" t="s">
        <v>8300</v>
      </c>
      <c r="F1228" t="s">
        <v>8301</v>
      </c>
      <c r="G1228" t="s">
        <v>8302</v>
      </c>
      <c r="H1228" t="s">
        <v>42</v>
      </c>
      <c r="I1228" t="s">
        <v>8303</v>
      </c>
      <c r="J1228" t="s">
        <v>8304</v>
      </c>
      <c r="K1228">
        <v>2811</v>
      </c>
      <c r="L1228" t="s">
        <v>505</v>
      </c>
      <c r="M1228" t="s">
        <v>46</v>
      </c>
      <c r="N1228" t="s">
        <v>47</v>
      </c>
      <c r="O1228">
        <v>4</v>
      </c>
      <c r="P1228">
        <v>1</v>
      </c>
      <c r="Q1228">
        <v>4</v>
      </c>
      <c r="R1228" t="s">
        <v>48</v>
      </c>
      <c r="S1228" t="s">
        <v>49</v>
      </c>
      <c r="T1228" s="3">
        <v>0.84</v>
      </c>
      <c r="U1228" s="3">
        <v>0.23</v>
      </c>
      <c r="V1228" s="3">
        <v>3.55</v>
      </c>
      <c r="W1228">
        <v>1.66</v>
      </c>
      <c r="X1228" t="s">
        <v>50</v>
      </c>
      <c r="Y1228" s="3">
        <v>9.19</v>
      </c>
      <c r="Z1228" t="s">
        <v>73</v>
      </c>
      <c r="AA1228" t="s">
        <v>459</v>
      </c>
      <c r="AB1228" t="s">
        <v>53</v>
      </c>
      <c r="AC1228" s="3">
        <v>1.29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f t="shared" si="38"/>
        <v>15.100000000000001</v>
      </c>
      <c r="AK1228" s="3">
        <f t="shared" si="39"/>
        <v>5.9100000000000019</v>
      </c>
    </row>
    <row r="1229" spans="1:37">
      <c r="A1229">
        <v>10345306</v>
      </c>
      <c r="B1229" t="s">
        <v>37</v>
      </c>
      <c r="C1229" t="s">
        <v>8305</v>
      </c>
      <c r="E1229" t="s">
        <v>200</v>
      </c>
      <c r="F1229" t="s">
        <v>201</v>
      </c>
      <c r="G1229" t="s">
        <v>8306</v>
      </c>
      <c r="H1229" t="s">
        <v>42</v>
      </c>
      <c r="I1229" t="s">
        <v>8307</v>
      </c>
      <c r="J1229" t="s">
        <v>8308</v>
      </c>
      <c r="K1229" t="s">
        <v>205</v>
      </c>
      <c r="L1229" t="s">
        <v>82</v>
      </c>
      <c r="M1229" t="s">
        <v>46</v>
      </c>
      <c r="N1229" t="s">
        <v>47</v>
      </c>
      <c r="O1229">
        <v>5</v>
      </c>
      <c r="P1229">
        <v>1</v>
      </c>
      <c r="Q1229">
        <v>5</v>
      </c>
      <c r="R1229" t="s">
        <v>48</v>
      </c>
      <c r="S1229" t="s">
        <v>49</v>
      </c>
      <c r="T1229" s="3">
        <v>0.84</v>
      </c>
      <c r="U1229" s="3">
        <v>0.23</v>
      </c>
      <c r="V1229" s="3">
        <v>4.42</v>
      </c>
      <c r="W1229">
        <v>2.5499999999999998</v>
      </c>
      <c r="X1229" t="s">
        <v>50</v>
      </c>
      <c r="Y1229" s="3">
        <v>10.58</v>
      </c>
      <c r="Z1229" t="s">
        <v>73</v>
      </c>
      <c r="AA1229" t="s">
        <v>206</v>
      </c>
      <c r="AB1229" t="s">
        <v>53</v>
      </c>
      <c r="AC1229" s="3">
        <v>1.29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f t="shared" si="38"/>
        <v>17.36</v>
      </c>
      <c r="AK1229" s="3">
        <f t="shared" si="39"/>
        <v>6.7799999999999994</v>
      </c>
    </row>
    <row r="1230" spans="1:37">
      <c r="A1230">
        <v>10345305</v>
      </c>
      <c r="B1230" t="s">
        <v>37</v>
      </c>
      <c r="C1230" t="s">
        <v>8309</v>
      </c>
      <c r="E1230" t="s">
        <v>8310</v>
      </c>
      <c r="F1230" t="s">
        <v>8311</v>
      </c>
      <c r="G1230" t="s">
        <v>8312</v>
      </c>
      <c r="H1230" t="s">
        <v>42</v>
      </c>
      <c r="I1230" t="s">
        <v>8313</v>
      </c>
      <c r="J1230" t="s">
        <v>8314</v>
      </c>
      <c r="K1230" t="s">
        <v>8315</v>
      </c>
      <c r="L1230" t="s">
        <v>142</v>
      </c>
      <c r="M1230" t="s">
        <v>46</v>
      </c>
      <c r="N1230" t="s">
        <v>47</v>
      </c>
      <c r="O1230">
        <v>1</v>
      </c>
      <c r="P1230">
        <v>1</v>
      </c>
      <c r="Q1230">
        <v>1</v>
      </c>
      <c r="R1230" t="s">
        <v>48</v>
      </c>
      <c r="S1230" t="s">
        <v>49</v>
      </c>
      <c r="T1230" s="3">
        <v>0.84</v>
      </c>
      <c r="U1230" s="3">
        <v>0.23</v>
      </c>
      <c r="V1230" s="3">
        <v>0.94</v>
      </c>
      <c r="W1230">
        <v>0.2</v>
      </c>
      <c r="X1230" t="s">
        <v>50</v>
      </c>
      <c r="Y1230" s="3">
        <v>16.43</v>
      </c>
      <c r="Z1230" t="s">
        <v>109</v>
      </c>
      <c r="AA1230" t="s">
        <v>8316</v>
      </c>
      <c r="AB1230" t="s">
        <v>53</v>
      </c>
      <c r="AC1230" s="3">
        <v>1.06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f t="shared" si="38"/>
        <v>19.5</v>
      </c>
      <c r="AK1230" s="3">
        <f t="shared" si="39"/>
        <v>3.0700000000000003</v>
      </c>
    </row>
    <row r="1231" spans="1:37">
      <c r="A1231">
        <v>10342011</v>
      </c>
      <c r="B1231" t="s">
        <v>37</v>
      </c>
      <c r="C1231" t="s">
        <v>8317</v>
      </c>
      <c r="E1231" t="s">
        <v>157</v>
      </c>
      <c r="F1231" t="s">
        <v>8318</v>
      </c>
      <c r="G1231" t="s">
        <v>8319</v>
      </c>
      <c r="H1231" t="s">
        <v>42</v>
      </c>
      <c r="I1231" t="s">
        <v>8320</v>
      </c>
      <c r="J1231" t="s">
        <v>8321</v>
      </c>
      <c r="K1231">
        <v>81477</v>
      </c>
      <c r="L1231" t="s">
        <v>71</v>
      </c>
      <c r="M1231" t="s">
        <v>46</v>
      </c>
      <c r="N1231" t="s">
        <v>47</v>
      </c>
      <c r="O1231">
        <v>6</v>
      </c>
      <c r="P1231">
        <v>1</v>
      </c>
      <c r="Q1231">
        <v>6</v>
      </c>
      <c r="R1231" t="s">
        <v>48</v>
      </c>
      <c r="S1231" t="s">
        <v>49</v>
      </c>
      <c r="T1231" s="3">
        <v>0.84</v>
      </c>
      <c r="U1231" s="3">
        <v>0.23</v>
      </c>
      <c r="V1231" s="3">
        <v>5.29</v>
      </c>
      <c r="W1231">
        <v>2.44</v>
      </c>
      <c r="X1231" t="s">
        <v>72</v>
      </c>
      <c r="Y1231" s="3">
        <v>5.44</v>
      </c>
      <c r="Z1231" t="s">
        <v>73</v>
      </c>
      <c r="AA1231" t="s">
        <v>5588</v>
      </c>
      <c r="AB1231" t="s">
        <v>53</v>
      </c>
      <c r="AC1231" s="3">
        <v>1.29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f t="shared" si="38"/>
        <v>13.09</v>
      </c>
      <c r="AK1231" s="3">
        <f t="shared" si="39"/>
        <v>7.6499999999999995</v>
      </c>
    </row>
    <row r="1232" spans="1:37">
      <c r="A1232">
        <v>10342616</v>
      </c>
      <c r="B1232" t="s">
        <v>37</v>
      </c>
      <c r="C1232" t="s">
        <v>8322</v>
      </c>
      <c r="E1232" t="s">
        <v>86</v>
      </c>
      <c r="F1232" t="s">
        <v>8323</v>
      </c>
      <c r="G1232" t="s">
        <v>8324</v>
      </c>
      <c r="H1232" t="s">
        <v>42</v>
      </c>
      <c r="I1232" t="s">
        <v>8325</v>
      </c>
      <c r="J1232" t="s">
        <v>8326</v>
      </c>
      <c r="K1232">
        <v>3190</v>
      </c>
      <c r="L1232" t="s">
        <v>505</v>
      </c>
      <c r="M1232" t="s">
        <v>46</v>
      </c>
      <c r="N1232" t="s">
        <v>47</v>
      </c>
      <c r="O1232">
        <v>8</v>
      </c>
      <c r="P1232">
        <v>1</v>
      </c>
      <c r="Q1232">
        <v>8</v>
      </c>
      <c r="R1232" t="s">
        <v>48</v>
      </c>
      <c r="S1232" t="s">
        <v>49</v>
      </c>
      <c r="T1232" s="3">
        <v>0.84</v>
      </c>
      <c r="U1232" s="3">
        <v>0.23</v>
      </c>
      <c r="V1232" s="3">
        <v>7.03</v>
      </c>
      <c r="W1232">
        <v>3.62</v>
      </c>
      <c r="X1232" t="s">
        <v>50</v>
      </c>
      <c r="Y1232" s="3">
        <v>9.19</v>
      </c>
      <c r="Z1232" t="s">
        <v>83</v>
      </c>
      <c r="AA1232" t="s">
        <v>8327</v>
      </c>
      <c r="AB1232" t="s">
        <v>53</v>
      </c>
      <c r="AC1232" s="3">
        <v>1.27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f t="shared" si="38"/>
        <v>18.559999999999999</v>
      </c>
      <c r="AK1232" s="3">
        <f t="shared" si="39"/>
        <v>9.3699999999999992</v>
      </c>
    </row>
    <row r="1233" spans="1:37">
      <c r="A1233">
        <v>10342014</v>
      </c>
      <c r="B1233" t="s">
        <v>37</v>
      </c>
      <c r="C1233" t="s">
        <v>8328</v>
      </c>
      <c r="E1233" t="s">
        <v>2853</v>
      </c>
      <c r="F1233" t="s">
        <v>8329</v>
      </c>
      <c r="G1233" t="s">
        <v>8330</v>
      </c>
      <c r="H1233" t="s">
        <v>42</v>
      </c>
      <c r="I1233" t="s">
        <v>8331</v>
      </c>
      <c r="J1233" t="s">
        <v>8332</v>
      </c>
      <c r="K1233">
        <v>1370</v>
      </c>
      <c r="L1233" t="s">
        <v>505</v>
      </c>
      <c r="M1233" t="s">
        <v>46</v>
      </c>
      <c r="N1233" t="s">
        <v>47</v>
      </c>
      <c r="O1233">
        <v>4</v>
      </c>
      <c r="P1233">
        <v>1</v>
      </c>
      <c r="Q1233">
        <v>4</v>
      </c>
      <c r="R1233" t="s">
        <v>48</v>
      </c>
      <c r="S1233" t="s">
        <v>49</v>
      </c>
      <c r="T1233" s="3">
        <v>0.84</v>
      </c>
      <c r="U1233" s="3">
        <v>0.23</v>
      </c>
      <c r="V1233" s="3">
        <v>3.55</v>
      </c>
      <c r="W1233">
        <v>1.66</v>
      </c>
      <c r="X1233" t="s">
        <v>50</v>
      </c>
      <c r="Y1233" s="3">
        <v>9.19</v>
      </c>
      <c r="Z1233" t="s">
        <v>73</v>
      </c>
      <c r="AA1233" t="s">
        <v>538</v>
      </c>
      <c r="AB1233" t="s">
        <v>53</v>
      </c>
      <c r="AC1233" s="3">
        <v>1.29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f t="shared" si="38"/>
        <v>15.100000000000001</v>
      </c>
      <c r="AK1233" s="3">
        <f t="shared" si="39"/>
        <v>5.9100000000000019</v>
      </c>
    </row>
    <row r="1234" spans="1:37">
      <c r="A1234">
        <v>10344858</v>
      </c>
      <c r="B1234" t="s">
        <v>37</v>
      </c>
      <c r="C1234" t="s">
        <v>8333</v>
      </c>
      <c r="E1234" t="s">
        <v>8334</v>
      </c>
      <c r="F1234" t="s">
        <v>8335</v>
      </c>
      <c r="G1234" t="s">
        <v>8336</v>
      </c>
      <c r="H1234" t="s">
        <v>42</v>
      </c>
      <c r="I1234" t="s">
        <v>8337</v>
      </c>
      <c r="J1234" t="s">
        <v>8338</v>
      </c>
      <c r="K1234">
        <v>3300</v>
      </c>
      <c r="L1234" t="s">
        <v>505</v>
      </c>
      <c r="M1234" t="s">
        <v>46</v>
      </c>
      <c r="N1234" t="s">
        <v>47</v>
      </c>
      <c r="O1234">
        <v>1</v>
      </c>
      <c r="P1234">
        <v>1</v>
      </c>
      <c r="Q1234">
        <v>1</v>
      </c>
      <c r="R1234" t="s">
        <v>48</v>
      </c>
      <c r="S1234" t="s">
        <v>49</v>
      </c>
      <c r="T1234" s="3">
        <v>0.84</v>
      </c>
      <c r="U1234" s="3">
        <v>0.23</v>
      </c>
      <c r="V1234" s="3">
        <v>0.94</v>
      </c>
      <c r="W1234">
        <v>0.36</v>
      </c>
      <c r="X1234" t="s">
        <v>50</v>
      </c>
      <c r="Y1234" s="3">
        <v>10.58</v>
      </c>
      <c r="Z1234" t="s">
        <v>109</v>
      </c>
      <c r="AA1234" t="s">
        <v>6634</v>
      </c>
      <c r="AB1234" t="s">
        <v>53</v>
      </c>
      <c r="AC1234" s="3">
        <v>1.06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f t="shared" si="38"/>
        <v>13.65</v>
      </c>
      <c r="AK1234" s="3">
        <f t="shared" si="39"/>
        <v>3.0700000000000003</v>
      </c>
    </row>
    <row r="1235" spans="1:37">
      <c r="A1235">
        <v>10342414</v>
      </c>
      <c r="B1235" t="s">
        <v>37</v>
      </c>
      <c r="C1235" t="s">
        <v>8339</v>
      </c>
      <c r="E1235" t="s">
        <v>8340</v>
      </c>
      <c r="F1235" t="s">
        <v>1039</v>
      </c>
      <c r="G1235" t="s">
        <v>8341</v>
      </c>
      <c r="H1235" t="s">
        <v>42</v>
      </c>
      <c r="I1235" t="s">
        <v>8342</v>
      </c>
      <c r="J1235" t="s">
        <v>8343</v>
      </c>
      <c r="K1235" t="s">
        <v>8344</v>
      </c>
      <c r="L1235" t="s">
        <v>142</v>
      </c>
      <c r="M1235" t="s">
        <v>46</v>
      </c>
      <c r="N1235" t="s">
        <v>47</v>
      </c>
      <c r="O1235">
        <v>5</v>
      </c>
      <c r="P1235">
        <v>1</v>
      </c>
      <c r="Q1235">
        <v>5</v>
      </c>
      <c r="R1235" t="s">
        <v>48</v>
      </c>
      <c r="S1235" t="s">
        <v>49</v>
      </c>
      <c r="T1235" s="3">
        <v>0.84</v>
      </c>
      <c r="U1235" s="3">
        <v>0.23</v>
      </c>
      <c r="V1235" s="3">
        <v>4.42</v>
      </c>
      <c r="W1235">
        <v>1.85</v>
      </c>
      <c r="X1235" t="s">
        <v>50</v>
      </c>
      <c r="Y1235" s="3">
        <v>16.43</v>
      </c>
      <c r="Z1235" t="s">
        <v>73</v>
      </c>
      <c r="AA1235" t="s">
        <v>8345</v>
      </c>
      <c r="AB1235" t="s">
        <v>53</v>
      </c>
      <c r="AC1235" s="3">
        <v>1.29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f t="shared" si="38"/>
        <v>23.21</v>
      </c>
      <c r="AK1235" s="3">
        <f t="shared" si="39"/>
        <v>6.7800000000000011</v>
      </c>
    </row>
    <row r="1236" spans="1:37">
      <c r="A1236">
        <v>10342418</v>
      </c>
      <c r="B1236" t="s">
        <v>37</v>
      </c>
      <c r="C1236" t="s">
        <v>8346</v>
      </c>
      <c r="E1236" t="s">
        <v>532</v>
      </c>
      <c r="F1236" t="s">
        <v>8347</v>
      </c>
      <c r="G1236" t="s">
        <v>8348</v>
      </c>
      <c r="H1236" t="s">
        <v>42</v>
      </c>
      <c r="I1236" t="s">
        <v>8349</v>
      </c>
      <c r="J1236" t="s">
        <v>8350</v>
      </c>
      <c r="K1236" t="s">
        <v>8351</v>
      </c>
      <c r="L1236" t="s">
        <v>142</v>
      </c>
      <c r="M1236" t="s">
        <v>46</v>
      </c>
      <c r="N1236" t="s">
        <v>47</v>
      </c>
      <c r="O1236">
        <v>4</v>
      </c>
      <c r="P1236">
        <v>1</v>
      </c>
      <c r="Q1236">
        <v>4</v>
      </c>
      <c r="R1236" t="s">
        <v>48</v>
      </c>
      <c r="S1236" t="s">
        <v>49</v>
      </c>
      <c r="T1236" s="3">
        <v>0.84</v>
      </c>
      <c r="U1236" s="3">
        <v>0.23</v>
      </c>
      <c r="V1236" s="3">
        <v>3.55</v>
      </c>
      <c r="W1236">
        <v>1.66</v>
      </c>
      <c r="X1236" t="s">
        <v>50</v>
      </c>
      <c r="Y1236" s="3">
        <v>16.43</v>
      </c>
      <c r="Z1236" t="s">
        <v>73</v>
      </c>
      <c r="AA1236" t="s">
        <v>429</v>
      </c>
      <c r="AB1236" t="s">
        <v>53</v>
      </c>
      <c r="AC1236" s="3">
        <v>1.29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f t="shared" si="38"/>
        <v>22.34</v>
      </c>
      <c r="AK1236" s="3">
        <f t="shared" si="39"/>
        <v>5.91</v>
      </c>
    </row>
    <row r="1237" spans="1:37">
      <c r="A1237">
        <v>10342860</v>
      </c>
      <c r="B1237" t="s">
        <v>37</v>
      </c>
      <c r="C1237" t="s">
        <v>8352</v>
      </c>
      <c r="E1237" t="s">
        <v>1244</v>
      </c>
      <c r="F1237" t="s">
        <v>8353</v>
      </c>
      <c r="G1237" t="s">
        <v>8354</v>
      </c>
      <c r="H1237" t="s">
        <v>42</v>
      </c>
      <c r="I1237" t="s">
        <v>8355</v>
      </c>
      <c r="J1237" t="s">
        <v>8356</v>
      </c>
      <c r="K1237">
        <v>28050</v>
      </c>
      <c r="L1237" t="s">
        <v>91</v>
      </c>
      <c r="M1237" t="s">
        <v>46</v>
      </c>
      <c r="N1237" t="s">
        <v>47</v>
      </c>
      <c r="O1237">
        <v>3</v>
      </c>
      <c r="P1237">
        <v>1</v>
      </c>
      <c r="Q1237">
        <v>3</v>
      </c>
      <c r="R1237" t="s">
        <v>48</v>
      </c>
      <c r="S1237" t="s">
        <v>49</v>
      </c>
      <c r="T1237" s="3">
        <v>0.84</v>
      </c>
      <c r="U1237" s="3">
        <v>0.23</v>
      </c>
      <c r="V1237" s="3">
        <v>2.68</v>
      </c>
      <c r="W1237">
        <v>1.04</v>
      </c>
      <c r="X1237" t="s">
        <v>50</v>
      </c>
      <c r="Y1237" s="3">
        <v>16.43</v>
      </c>
      <c r="Z1237" t="s">
        <v>109</v>
      </c>
      <c r="AA1237" t="s">
        <v>8357</v>
      </c>
      <c r="AB1237" t="s">
        <v>53</v>
      </c>
      <c r="AC1237" s="3">
        <v>1.06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f t="shared" si="38"/>
        <v>21.24</v>
      </c>
      <c r="AK1237" s="3">
        <f t="shared" si="39"/>
        <v>4.8099999999999987</v>
      </c>
    </row>
    <row r="1238" spans="1:37">
      <c r="A1238">
        <v>10343625</v>
      </c>
      <c r="B1238" t="s">
        <v>37</v>
      </c>
      <c r="C1238" t="s">
        <v>8358</v>
      </c>
      <c r="E1238" t="s">
        <v>8359</v>
      </c>
      <c r="F1238" t="s">
        <v>8360</v>
      </c>
      <c r="G1238" t="s">
        <v>8361</v>
      </c>
      <c r="H1238" t="s">
        <v>42</v>
      </c>
      <c r="I1238" t="s">
        <v>8362</v>
      </c>
      <c r="J1238" t="s">
        <v>8363</v>
      </c>
      <c r="K1238">
        <v>93170</v>
      </c>
      <c r="L1238" t="s">
        <v>130</v>
      </c>
      <c r="M1238" t="s">
        <v>46</v>
      </c>
      <c r="N1238" t="s">
        <v>47</v>
      </c>
      <c r="O1238">
        <v>3</v>
      </c>
      <c r="P1238">
        <v>1</v>
      </c>
      <c r="Q1238">
        <v>3</v>
      </c>
      <c r="R1238" t="s">
        <v>48</v>
      </c>
      <c r="S1238" t="s">
        <v>49</v>
      </c>
      <c r="T1238" s="3">
        <v>0.84</v>
      </c>
      <c r="U1238" s="3">
        <v>0.23</v>
      </c>
      <c r="V1238" s="3">
        <v>2.68</v>
      </c>
      <c r="W1238">
        <v>1.87</v>
      </c>
      <c r="X1238" t="s">
        <v>50</v>
      </c>
      <c r="Y1238" s="3">
        <v>14.26</v>
      </c>
      <c r="Z1238" t="s">
        <v>83</v>
      </c>
      <c r="AA1238" t="s">
        <v>8364</v>
      </c>
      <c r="AB1238" t="s">
        <v>53</v>
      </c>
      <c r="AC1238" s="3">
        <v>1.27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f t="shared" si="38"/>
        <v>19.28</v>
      </c>
      <c r="AK1238" s="3">
        <f t="shared" si="39"/>
        <v>5.0200000000000014</v>
      </c>
    </row>
    <row r="1239" spans="1:37">
      <c r="A1239">
        <v>10342617</v>
      </c>
      <c r="B1239" t="s">
        <v>37</v>
      </c>
      <c r="C1239" t="s">
        <v>8365</v>
      </c>
      <c r="D1239" t="s">
        <v>8366</v>
      </c>
      <c r="E1239" t="s">
        <v>5285</v>
      </c>
      <c r="F1239" t="s">
        <v>8367</v>
      </c>
      <c r="G1239" t="s">
        <v>8368</v>
      </c>
      <c r="H1239" t="s">
        <v>42</v>
      </c>
      <c r="I1239" t="s">
        <v>8369</v>
      </c>
      <c r="J1239" t="s">
        <v>8370</v>
      </c>
      <c r="K1239" t="s">
        <v>8371</v>
      </c>
      <c r="L1239" t="s">
        <v>82</v>
      </c>
      <c r="M1239" t="s">
        <v>46</v>
      </c>
      <c r="N1239" t="s">
        <v>47</v>
      </c>
      <c r="O1239">
        <v>4</v>
      </c>
      <c r="P1239">
        <v>1</v>
      </c>
      <c r="Q1239">
        <v>4</v>
      </c>
      <c r="R1239" t="s">
        <v>48</v>
      </c>
      <c r="S1239" t="s">
        <v>49</v>
      </c>
      <c r="T1239" s="3">
        <v>0.84</v>
      </c>
      <c r="U1239" s="3">
        <v>0.23</v>
      </c>
      <c r="V1239" s="3">
        <v>3.55</v>
      </c>
      <c r="W1239">
        <v>1.66</v>
      </c>
      <c r="X1239" t="s">
        <v>50</v>
      </c>
      <c r="Y1239" s="3">
        <v>9.19</v>
      </c>
      <c r="Z1239" t="s">
        <v>73</v>
      </c>
      <c r="AA1239" t="s">
        <v>1878</v>
      </c>
      <c r="AB1239" t="s">
        <v>53</v>
      </c>
      <c r="AC1239" s="3">
        <v>1.29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f t="shared" si="38"/>
        <v>15.100000000000001</v>
      </c>
      <c r="AK1239" s="3">
        <f t="shared" si="39"/>
        <v>5.9100000000000019</v>
      </c>
    </row>
    <row r="1240" spans="1:37">
      <c r="A1240">
        <v>10343615</v>
      </c>
      <c r="B1240" t="s">
        <v>37</v>
      </c>
      <c r="C1240" t="s">
        <v>8372</v>
      </c>
      <c r="E1240" t="s">
        <v>8373</v>
      </c>
      <c r="F1240" t="s">
        <v>8374</v>
      </c>
      <c r="G1240" t="s">
        <v>8375</v>
      </c>
      <c r="H1240" t="s">
        <v>42</v>
      </c>
      <c r="I1240" t="s">
        <v>8376</v>
      </c>
      <c r="J1240" t="s">
        <v>8377</v>
      </c>
      <c r="K1240" t="s">
        <v>8378</v>
      </c>
      <c r="L1240" t="s">
        <v>142</v>
      </c>
      <c r="M1240" t="s">
        <v>46</v>
      </c>
      <c r="N1240" t="s">
        <v>47</v>
      </c>
      <c r="O1240">
        <v>5</v>
      </c>
      <c r="P1240">
        <v>1</v>
      </c>
      <c r="Q1240">
        <v>5</v>
      </c>
      <c r="R1240" t="s">
        <v>48</v>
      </c>
      <c r="S1240" t="s">
        <v>49</v>
      </c>
      <c r="T1240" s="3">
        <v>0.84</v>
      </c>
      <c r="U1240" s="3">
        <v>0.23</v>
      </c>
      <c r="V1240" s="3">
        <v>4.42</v>
      </c>
      <c r="W1240">
        <v>1.8</v>
      </c>
      <c r="X1240" t="s">
        <v>50</v>
      </c>
      <c r="Y1240" s="3">
        <v>16.43</v>
      </c>
      <c r="Z1240" t="s">
        <v>73</v>
      </c>
      <c r="AA1240" t="s">
        <v>8379</v>
      </c>
      <c r="AB1240" t="s">
        <v>53</v>
      </c>
      <c r="AC1240" s="3">
        <v>1.29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f t="shared" si="38"/>
        <v>23.21</v>
      </c>
      <c r="AK1240" s="3">
        <f t="shared" si="39"/>
        <v>6.7800000000000011</v>
      </c>
    </row>
    <row r="1241" spans="1:37">
      <c r="A1241">
        <v>10343383</v>
      </c>
      <c r="B1241" t="s">
        <v>37</v>
      </c>
      <c r="C1241" t="s">
        <v>8380</v>
      </c>
      <c r="E1241" t="s">
        <v>39</v>
      </c>
      <c r="F1241" t="s">
        <v>8381</v>
      </c>
      <c r="G1241" t="s">
        <v>8382</v>
      </c>
      <c r="H1241" t="s">
        <v>42</v>
      </c>
      <c r="I1241" t="s">
        <v>8383</v>
      </c>
      <c r="J1241" t="s">
        <v>8384</v>
      </c>
      <c r="K1241">
        <v>5020</v>
      </c>
      <c r="L1241" t="s">
        <v>618</v>
      </c>
      <c r="M1241" t="s">
        <v>46</v>
      </c>
      <c r="N1241" t="s">
        <v>47</v>
      </c>
      <c r="O1241">
        <v>4</v>
      </c>
      <c r="P1241">
        <v>1</v>
      </c>
      <c r="Q1241">
        <v>4</v>
      </c>
      <c r="R1241" t="s">
        <v>48</v>
      </c>
      <c r="S1241" t="s">
        <v>49</v>
      </c>
      <c r="T1241" s="3">
        <v>0.84</v>
      </c>
      <c r="U1241" s="3">
        <v>0.23</v>
      </c>
      <c r="V1241" s="3">
        <v>3.55</v>
      </c>
      <c r="W1241">
        <v>1.29</v>
      </c>
      <c r="X1241" t="s">
        <v>50</v>
      </c>
      <c r="Y1241" s="3">
        <v>9.19</v>
      </c>
      <c r="Z1241" t="s">
        <v>73</v>
      </c>
      <c r="AA1241" t="s">
        <v>8385</v>
      </c>
      <c r="AB1241" t="s">
        <v>53</v>
      </c>
      <c r="AC1241" s="3">
        <v>1.29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f t="shared" si="38"/>
        <v>15.100000000000001</v>
      </c>
      <c r="AK1241" s="3">
        <f t="shared" si="39"/>
        <v>5.9100000000000019</v>
      </c>
    </row>
    <row r="1242" spans="1:37">
      <c r="A1242">
        <v>10342417</v>
      </c>
      <c r="B1242" t="s">
        <v>37</v>
      </c>
      <c r="C1242" t="s">
        <v>8386</v>
      </c>
      <c r="E1242" t="s">
        <v>240</v>
      </c>
      <c r="F1242" t="s">
        <v>8387</v>
      </c>
      <c r="G1242" t="s">
        <v>8388</v>
      </c>
      <c r="H1242" t="s">
        <v>42</v>
      </c>
      <c r="I1242" t="s">
        <v>8389</v>
      </c>
      <c r="J1242" t="s">
        <v>8390</v>
      </c>
      <c r="K1242">
        <v>60325</v>
      </c>
      <c r="L1242" t="s">
        <v>71</v>
      </c>
      <c r="M1242" t="s">
        <v>46</v>
      </c>
      <c r="N1242" t="s">
        <v>47</v>
      </c>
      <c r="O1242">
        <v>3</v>
      </c>
      <c r="P1242">
        <v>1</v>
      </c>
      <c r="Q1242">
        <v>3</v>
      </c>
      <c r="R1242" t="s">
        <v>48</v>
      </c>
      <c r="S1242" t="s">
        <v>49</v>
      </c>
      <c r="T1242" s="3">
        <v>0.84</v>
      </c>
      <c r="U1242" s="3">
        <v>0.23</v>
      </c>
      <c r="V1242" s="3">
        <v>2.68</v>
      </c>
      <c r="W1242">
        <v>1.57</v>
      </c>
      <c r="X1242" t="s">
        <v>72</v>
      </c>
      <c r="Y1242" s="3">
        <v>5.44</v>
      </c>
      <c r="Z1242" t="s">
        <v>83</v>
      </c>
      <c r="AA1242" t="s">
        <v>8391</v>
      </c>
      <c r="AB1242" t="s">
        <v>53</v>
      </c>
      <c r="AC1242" s="3">
        <v>1.27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f t="shared" si="38"/>
        <v>10.46</v>
      </c>
      <c r="AK1242" s="3">
        <f t="shared" si="39"/>
        <v>5.0200000000000005</v>
      </c>
    </row>
    <row r="1243" spans="1:37">
      <c r="A1243">
        <v>10343813</v>
      </c>
      <c r="B1243" t="s">
        <v>37</v>
      </c>
      <c r="C1243" t="s">
        <v>8392</v>
      </c>
      <c r="E1243" t="s">
        <v>8393</v>
      </c>
      <c r="F1243" t="s">
        <v>8393</v>
      </c>
      <c r="G1243" t="s">
        <v>8394</v>
      </c>
      <c r="H1243" t="s">
        <v>42</v>
      </c>
      <c r="I1243" t="s">
        <v>8395</v>
      </c>
      <c r="J1243" t="s">
        <v>8396</v>
      </c>
      <c r="K1243" t="s">
        <v>8397</v>
      </c>
      <c r="L1243" t="s">
        <v>142</v>
      </c>
      <c r="M1243" t="s">
        <v>46</v>
      </c>
      <c r="N1243" t="s">
        <v>47</v>
      </c>
      <c r="O1243">
        <v>4</v>
      </c>
      <c r="P1243">
        <v>1</v>
      </c>
      <c r="Q1243">
        <v>4</v>
      </c>
      <c r="R1243" t="s">
        <v>48</v>
      </c>
      <c r="S1243" t="s">
        <v>49</v>
      </c>
      <c r="T1243" s="3">
        <v>0.84</v>
      </c>
      <c r="U1243" s="3">
        <v>0.23</v>
      </c>
      <c r="V1243" s="3">
        <v>3.55</v>
      </c>
      <c r="W1243">
        <v>1.66</v>
      </c>
      <c r="X1243" t="s">
        <v>50</v>
      </c>
      <c r="Y1243" s="3">
        <v>16.43</v>
      </c>
      <c r="Z1243" t="s">
        <v>73</v>
      </c>
      <c r="AA1243" t="s">
        <v>2255</v>
      </c>
      <c r="AB1243" t="s">
        <v>53</v>
      </c>
      <c r="AC1243" s="3">
        <v>1.29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f t="shared" si="38"/>
        <v>22.34</v>
      </c>
      <c r="AK1243" s="3">
        <f t="shared" si="39"/>
        <v>5.91</v>
      </c>
    </row>
    <row r="1244" spans="1:37">
      <c r="A1244">
        <v>10343623</v>
      </c>
      <c r="B1244" t="s">
        <v>37</v>
      </c>
      <c r="C1244" t="s">
        <v>8398</v>
      </c>
      <c r="E1244" t="s">
        <v>4455</v>
      </c>
      <c r="F1244" t="s">
        <v>8399</v>
      </c>
      <c r="G1244" t="s">
        <v>8400</v>
      </c>
      <c r="H1244" t="s">
        <v>42</v>
      </c>
      <c r="I1244" t="s">
        <v>8401</v>
      </c>
      <c r="J1244" t="s">
        <v>8402</v>
      </c>
      <c r="K1244">
        <v>2970</v>
      </c>
      <c r="L1244" t="s">
        <v>505</v>
      </c>
      <c r="M1244" t="s">
        <v>46</v>
      </c>
      <c r="N1244" t="s">
        <v>47</v>
      </c>
      <c r="O1244">
        <v>5</v>
      </c>
      <c r="P1244">
        <v>1</v>
      </c>
      <c r="Q1244">
        <v>5</v>
      </c>
      <c r="R1244" t="s">
        <v>48</v>
      </c>
      <c r="S1244" t="s">
        <v>49</v>
      </c>
      <c r="T1244" s="3">
        <v>0.84</v>
      </c>
      <c r="U1244" s="3">
        <v>0.23</v>
      </c>
      <c r="V1244" s="3">
        <v>4.42</v>
      </c>
      <c r="W1244">
        <v>2.5499999999999998</v>
      </c>
      <c r="X1244" t="s">
        <v>50</v>
      </c>
      <c r="Y1244" s="3">
        <v>9.19</v>
      </c>
      <c r="Z1244" t="s">
        <v>73</v>
      </c>
      <c r="AA1244" t="s">
        <v>8403</v>
      </c>
      <c r="AB1244" t="s">
        <v>53</v>
      </c>
      <c r="AC1244" s="3">
        <v>1.29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f t="shared" si="38"/>
        <v>15.97</v>
      </c>
      <c r="AK1244" s="3">
        <f t="shared" si="39"/>
        <v>6.7800000000000011</v>
      </c>
    </row>
    <row r="1245" spans="1:37">
      <c r="A1245">
        <v>10342854</v>
      </c>
      <c r="B1245" t="s">
        <v>37</v>
      </c>
      <c r="C1245" t="s">
        <v>8404</v>
      </c>
      <c r="E1245" t="s">
        <v>8405</v>
      </c>
      <c r="F1245" t="s">
        <v>8406</v>
      </c>
      <c r="G1245" t="s">
        <v>8407</v>
      </c>
      <c r="H1245" t="s">
        <v>42</v>
      </c>
      <c r="I1245" t="s">
        <v>8408</v>
      </c>
      <c r="J1245" t="s">
        <v>8409</v>
      </c>
      <c r="K1245">
        <v>85609</v>
      </c>
      <c r="L1245" t="s">
        <v>71</v>
      </c>
      <c r="M1245" t="s">
        <v>46</v>
      </c>
      <c r="N1245" t="s">
        <v>47</v>
      </c>
      <c r="O1245">
        <v>9</v>
      </c>
      <c r="P1245">
        <v>1</v>
      </c>
      <c r="Q1245">
        <v>9</v>
      </c>
      <c r="R1245" t="s">
        <v>48</v>
      </c>
      <c r="S1245" t="s">
        <v>49</v>
      </c>
      <c r="T1245" s="3">
        <v>0.84</v>
      </c>
      <c r="U1245" s="3">
        <v>0.23</v>
      </c>
      <c r="V1245" s="3">
        <v>7.9</v>
      </c>
      <c r="W1245">
        <v>5.0199999999999996</v>
      </c>
      <c r="X1245" t="s">
        <v>72</v>
      </c>
      <c r="Y1245" s="3">
        <v>7.46</v>
      </c>
      <c r="Z1245" t="s">
        <v>83</v>
      </c>
      <c r="AA1245" t="s">
        <v>8410</v>
      </c>
      <c r="AB1245" t="s">
        <v>53</v>
      </c>
      <c r="AC1245" s="3">
        <v>1.27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f t="shared" si="38"/>
        <v>17.700000000000003</v>
      </c>
      <c r="AK1245" s="3">
        <f t="shared" si="39"/>
        <v>10.240000000000002</v>
      </c>
    </row>
    <row r="1246" spans="1:37">
      <c r="A1246">
        <v>10343624</v>
      </c>
      <c r="B1246" t="s">
        <v>37</v>
      </c>
      <c r="C1246" t="s">
        <v>8411</v>
      </c>
      <c r="E1246" t="s">
        <v>809</v>
      </c>
      <c r="F1246" t="s">
        <v>8412</v>
      </c>
      <c r="G1246" t="s">
        <v>8413</v>
      </c>
      <c r="H1246" t="s">
        <v>42</v>
      </c>
      <c r="I1246" t="s">
        <v>8414</v>
      </c>
      <c r="J1246" t="s">
        <v>8415</v>
      </c>
      <c r="K1246" t="s">
        <v>8416</v>
      </c>
      <c r="L1246" t="s">
        <v>142</v>
      </c>
      <c r="M1246" t="s">
        <v>46</v>
      </c>
      <c r="N1246" t="s">
        <v>47</v>
      </c>
      <c r="O1246">
        <v>4</v>
      </c>
      <c r="P1246">
        <v>1</v>
      </c>
      <c r="Q1246">
        <v>4</v>
      </c>
      <c r="R1246" t="s">
        <v>48</v>
      </c>
      <c r="S1246" t="s">
        <v>49</v>
      </c>
      <c r="T1246" s="3">
        <v>0.84</v>
      </c>
      <c r="U1246" s="3">
        <v>0.23</v>
      </c>
      <c r="V1246" s="3">
        <v>3.55</v>
      </c>
      <c r="W1246">
        <v>1.1200000000000001</v>
      </c>
      <c r="X1246" t="s">
        <v>50</v>
      </c>
      <c r="Y1246" s="3">
        <v>16.43</v>
      </c>
      <c r="Z1246" t="s">
        <v>73</v>
      </c>
      <c r="AA1246" t="s">
        <v>8417</v>
      </c>
      <c r="AB1246" t="s">
        <v>53</v>
      </c>
      <c r="AC1246" s="3">
        <v>1.29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f t="shared" si="38"/>
        <v>22.34</v>
      </c>
      <c r="AK1246" s="3">
        <f t="shared" si="39"/>
        <v>5.91</v>
      </c>
    </row>
    <row r="1247" spans="1:37">
      <c r="A1247">
        <v>10343064</v>
      </c>
      <c r="B1247" t="s">
        <v>37</v>
      </c>
      <c r="C1247" t="s">
        <v>8418</v>
      </c>
      <c r="E1247" t="s">
        <v>657</v>
      </c>
      <c r="F1247" t="s">
        <v>8419</v>
      </c>
      <c r="G1247" t="s">
        <v>8420</v>
      </c>
      <c r="H1247" t="s">
        <v>42</v>
      </c>
      <c r="I1247" t="s">
        <v>8421</v>
      </c>
      <c r="J1247" t="s">
        <v>8422</v>
      </c>
      <c r="K1247" t="s">
        <v>8423</v>
      </c>
      <c r="L1247" t="s">
        <v>82</v>
      </c>
      <c r="M1247" t="s">
        <v>46</v>
      </c>
      <c r="N1247" t="s">
        <v>47</v>
      </c>
      <c r="O1247">
        <v>4</v>
      </c>
      <c r="P1247">
        <v>1</v>
      </c>
      <c r="Q1247">
        <v>4</v>
      </c>
      <c r="R1247" t="s">
        <v>48</v>
      </c>
      <c r="S1247" t="s">
        <v>49</v>
      </c>
      <c r="T1247" s="3">
        <v>0.84</v>
      </c>
      <c r="U1247" s="3">
        <v>0.23</v>
      </c>
      <c r="V1247" s="3">
        <v>3.55</v>
      </c>
      <c r="W1247">
        <v>1.66</v>
      </c>
      <c r="X1247" t="s">
        <v>50</v>
      </c>
      <c r="Y1247" s="3">
        <v>9.19</v>
      </c>
      <c r="Z1247" t="s">
        <v>73</v>
      </c>
      <c r="AA1247" t="s">
        <v>429</v>
      </c>
      <c r="AB1247" t="s">
        <v>53</v>
      </c>
      <c r="AC1247" s="3">
        <v>1.29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f t="shared" si="38"/>
        <v>15.100000000000001</v>
      </c>
      <c r="AK1247" s="3">
        <f t="shared" si="39"/>
        <v>5.9100000000000019</v>
      </c>
    </row>
    <row r="1248" spans="1:37">
      <c r="A1248">
        <v>10342857</v>
      </c>
      <c r="B1248" t="s">
        <v>37</v>
      </c>
      <c r="C1248" t="s">
        <v>8424</v>
      </c>
      <c r="E1248" t="s">
        <v>8425</v>
      </c>
      <c r="F1248" t="s">
        <v>8426</v>
      </c>
      <c r="G1248" t="s">
        <v>8427</v>
      </c>
      <c r="H1248" t="s">
        <v>42</v>
      </c>
      <c r="I1248" t="s">
        <v>8428</v>
      </c>
      <c r="J1248" t="s">
        <v>8429</v>
      </c>
      <c r="K1248">
        <v>97839</v>
      </c>
      <c r="L1248" t="s">
        <v>71</v>
      </c>
      <c r="M1248" t="s">
        <v>46</v>
      </c>
      <c r="N1248" t="s">
        <v>47</v>
      </c>
      <c r="O1248">
        <v>3</v>
      </c>
      <c r="P1248">
        <v>1</v>
      </c>
      <c r="Q1248">
        <v>3</v>
      </c>
      <c r="R1248" t="s">
        <v>48</v>
      </c>
      <c r="S1248" t="s">
        <v>49</v>
      </c>
      <c r="T1248" s="3">
        <v>0.84</v>
      </c>
      <c r="U1248" s="3">
        <v>0.23</v>
      </c>
      <c r="V1248" s="3">
        <v>2.68</v>
      </c>
      <c r="W1248">
        <v>1.23</v>
      </c>
      <c r="X1248" t="s">
        <v>108</v>
      </c>
      <c r="Y1248" s="3">
        <v>5.14</v>
      </c>
      <c r="Z1248" t="s">
        <v>109</v>
      </c>
      <c r="AA1248" t="s">
        <v>8430</v>
      </c>
      <c r="AB1248" t="s">
        <v>53</v>
      </c>
      <c r="AC1248" s="3">
        <v>1.06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f t="shared" si="38"/>
        <v>9.9499999999999993</v>
      </c>
      <c r="AK1248" s="3">
        <f t="shared" si="39"/>
        <v>4.8099999999999996</v>
      </c>
    </row>
    <row r="1249" spans="1:37">
      <c r="A1249">
        <v>10343617</v>
      </c>
      <c r="B1249" t="s">
        <v>37</v>
      </c>
      <c r="C1249" t="s">
        <v>8431</v>
      </c>
      <c r="E1249" t="s">
        <v>515</v>
      </c>
      <c r="F1249" t="s">
        <v>8432</v>
      </c>
      <c r="G1249" t="s">
        <v>8433</v>
      </c>
      <c r="H1249" t="s">
        <v>42</v>
      </c>
      <c r="I1249" t="s">
        <v>8434</v>
      </c>
      <c r="J1249" t="s">
        <v>8435</v>
      </c>
      <c r="K1249">
        <v>9031</v>
      </c>
      <c r="L1249" t="s">
        <v>505</v>
      </c>
      <c r="M1249" t="s">
        <v>46</v>
      </c>
      <c r="N1249" t="s">
        <v>47</v>
      </c>
      <c r="O1249">
        <v>2</v>
      </c>
      <c r="P1249">
        <v>1</v>
      </c>
      <c r="Q1249">
        <v>2</v>
      </c>
      <c r="R1249" t="s">
        <v>48</v>
      </c>
      <c r="S1249" t="s">
        <v>49</v>
      </c>
      <c r="T1249" s="3">
        <v>0.84</v>
      </c>
      <c r="U1249" s="3">
        <v>0.23</v>
      </c>
      <c r="V1249" s="3">
        <v>1.81</v>
      </c>
      <c r="W1249">
        <v>2.59</v>
      </c>
      <c r="X1249" t="s">
        <v>50</v>
      </c>
      <c r="Y1249" s="3">
        <v>9.19</v>
      </c>
      <c r="Z1249" t="s">
        <v>83</v>
      </c>
      <c r="AA1249" t="s">
        <v>8436</v>
      </c>
      <c r="AB1249" t="s">
        <v>53</v>
      </c>
      <c r="AC1249" s="3">
        <v>1.27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f t="shared" si="38"/>
        <v>13.34</v>
      </c>
      <c r="AK1249" s="3">
        <f t="shared" si="39"/>
        <v>4.1500000000000004</v>
      </c>
    </row>
    <row r="1250" spans="1:37">
      <c r="A1250">
        <v>10343811</v>
      </c>
      <c r="B1250" t="s">
        <v>37</v>
      </c>
      <c r="C1250" t="s">
        <v>8437</v>
      </c>
      <c r="E1250" t="s">
        <v>500</v>
      </c>
      <c r="F1250" t="s">
        <v>8438</v>
      </c>
      <c r="G1250" t="s">
        <v>8439</v>
      </c>
      <c r="H1250" t="s">
        <v>42</v>
      </c>
      <c r="I1250" t="s">
        <v>8440</v>
      </c>
      <c r="J1250" t="s">
        <v>8441</v>
      </c>
      <c r="K1250">
        <v>6020</v>
      </c>
      <c r="L1250" t="s">
        <v>618</v>
      </c>
      <c r="M1250" t="s">
        <v>46</v>
      </c>
      <c r="N1250" t="s">
        <v>47</v>
      </c>
      <c r="O1250">
        <v>2</v>
      </c>
      <c r="P1250">
        <v>1</v>
      </c>
      <c r="Q1250">
        <v>2</v>
      </c>
      <c r="R1250" t="s">
        <v>48</v>
      </c>
      <c r="S1250" t="s">
        <v>49</v>
      </c>
      <c r="T1250" s="3">
        <v>0.84</v>
      </c>
      <c r="U1250" s="3">
        <v>0.23</v>
      </c>
      <c r="V1250" s="3">
        <v>1.81</v>
      </c>
      <c r="W1250">
        <v>0.23699999999999999</v>
      </c>
      <c r="X1250" t="s">
        <v>50</v>
      </c>
      <c r="Y1250" s="3">
        <v>9.19</v>
      </c>
      <c r="Z1250" t="s">
        <v>109</v>
      </c>
      <c r="AA1250" t="s">
        <v>8442</v>
      </c>
      <c r="AB1250" t="s">
        <v>53</v>
      </c>
      <c r="AC1250" s="3">
        <v>1.06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f t="shared" si="38"/>
        <v>13.13</v>
      </c>
      <c r="AK1250" s="3">
        <f t="shared" si="39"/>
        <v>3.9400000000000013</v>
      </c>
    </row>
    <row r="1251" spans="1:37">
      <c r="A1251">
        <v>10344704</v>
      </c>
      <c r="B1251" t="s">
        <v>37</v>
      </c>
      <c r="C1251" t="s">
        <v>8443</v>
      </c>
      <c r="E1251" t="s">
        <v>1094</v>
      </c>
      <c r="F1251" t="s">
        <v>8444</v>
      </c>
      <c r="G1251" t="s">
        <v>8445</v>
      </c>
      <c r="H1251" t="s">
        <v>42</v>
      </c>
      <c r="I1251" t="s">
        <v>8446</v>
      </c>
      <c r="J1251" t="s">
        <v>8447</v>
      </c>
      <c r="K1251">
        <v>29614</v>
      </c>
      <c r="L1251" t="s">
        <v>71</v>
      </c>
      <c r="M1251" t="s">
        <v>46</v>
      </c>
      <c r="N1251" t="s">
        <v>47</v>
      </c>
      <c r="O1251">
        <v>2</v>
      </c>
      <c r="P1251">
        <v>1</v>
      </c>
      <c r="Q1251">
        <v>2</v>
      </c>
      <c r="R1251" t="s">
        <v>48</v>
      </c>
      <c r="S1251" t="s">
        <v>49</v>
      </c>
      <c r="T1251" s="3">
        <v>0.84</v>
      </c>
      <c r="U1251" s="3">
        <v>0.23</v>
      </c>
      <c r="V1251" s="3">
        <v>1.81</v>
      </c>
      <c r="W1251">
        <v>0.88</v>
      </c>
      <c r="X1251" t="s">
        <v>108</v>
      </c>
      <c r="Y1251" s="3">
        <v>5.14</v>
      </c>
      <c r="Z1251" t="s">
        <v>109</v>
      </c>
      <c r="AA1251" t="s">
        <v>3438</v>
      </c>
      <c r="AB1251" t="s">
        <v>53</v>
      </c>
      <c r="AC1251" s="3">
        <v>1.06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f t="shared" si="38"/>
        <v>9.08</v>
      </c>
      <c r="AK1251" s="3">
        <f t="shared" si="39"/>
        <v>3.9400000000000004</v>
      </c>
    </row>
    <row r="1252" spans="1:37">
      <c r="A1252">
        <v>10345635</v>
      </c>
      <c r="B1252" t="s">
        <v>37</v>
      </c>
      <c r="C1252" t="s">
        <v>8448</v>
      </c>
      <c r="E1252" t="s">
        <v>2684</v>
      </c>
      <c r="F1252" t="s">
        <v>8449</v>
      </c>
      <c r="G1252" t="s">
        <v>8450</v>
      </c>
      <c r="H1252" t="s">
        <v>42</v>
      </c>
      <c r="I1252" t="s">
        <v>8451</v>
      </c>
      <c r="J1252" t="s">
        <v>8452</v>
      </c>
      <c r="K1252" t="s">
        <v>8453</v>
      </c>
      <c r="L1252" t="s">
        <v>82</v>
      </c>
      <c r="M1252" t="s">
        <v>46</v>
      </c>
      <c r="N1252" t="s">
        <v>47</v>
      </c>
      <c r="O1252">
        <v>2</v>
      </c>
      <c r="P1252">
        <v>1</v>
      </c>
      <c r="Q1252">
        <v>2</v>
      </c>
      <c r="R1252" t="s">
        <v>48</v>
      </c>
      <c r="S1252" t="s">
        <v>49</v>
      </c>
      <c r="T1252" s="3">
        <v>0.84</v>
      </c>
      <c r="U1252" s="3">
        <v>0.23</v>
      </c>
      <c r="V1252" s="3">
        <v>1.81</v>
      </c>
      <c r="W1252">
        <v>1.08</v>
      </c>
      <c r="X1252" t="s">
        <v>50</v>
      </c>
      <c r="Y1252" s="3">
        <v>9.19</v>
      </c>
      <c r="Z1252" t="s">
        <v>109</v>
      </c>
      <c r="AA1252" t="s">
        <v>498</v>
      </c>
      <c r="AB1252" t="s">
        <v>53</v>
      </c>
      <c r="AC1252" s="3">
        <v>1.06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f t="shared" si="38"/>
        <v>13.13</v>
      </c>
      <c r="AK1252" s="3">
        <f t="shared" si="39"/>
        <v>3.9400000000000013</v>
      </c>
    </row>
    <row r="1253" spans="1:37">
      <c r="A1253">
        <v>10343621</v>
      </c>
      <c r="B1253" t="s">
        <v>37</v>
      </c>
      <c r="C1253" t="s">
        <v>8454</v>
      </c>
      <c r="E1253" t="s">
        <v>3020</v>
      </c>
      <c r="F1253" t="s">
        <v>8455</v>
      </c>
      <c r="G1253" t="s">
        <v>8456</v>
      </c>
      <c r="H1253" t="s">
        <v>42</v>
      </c>
      <c r="I1253" t="s">
        <v>8457</v>
      </c>
      <c r="J1253" t="s">
        <v>8458</v>
      </c>
      <c r="K1253">
        <v>1320</v>
      </c>
      <c r="L1253" t="s">
        <v>369</v>
      </c>
      <c r="M1253" t="s">
        <v>46</v>
      </c>
      <c r="N1253" t="s">
        <v>47</v>
      </c>
      <c r="O1253">
        <v>2</v>
      </c>
      <c r="P1253">
        <v>1</v>
      </c>
      <c r="Q1253">
        <v>2</v>
      </c>
      <c r="R1253" t="s">
        <v>48</v>
      </c>
      <c r="S1253" t="s">
        <v>49</v>
      </c>
      <c r="T1253" s="3">
        <v>0.84</v>
      </c>
      <c r="U1253" s="3">
        <v>0.23</v>
      </c>
      <c r="V1253" s="3">
        <v>1.81</v>
      </c>
      <c r="W1253">
        <v>0.88</v>
      </c>
      <c r="X1253" t="s">
        <v>50</v>
      </c>
      <c r="Y1253" s="3">
        <v>9.19</v>
      </c>
      <c r="Z1253" t="s">
        <v>109</v>
      </c>
      <c r="AA1253" t="s">
        <v>8459</v>
      </c>
      <c r="AB1253" t="s">
        <v>53</v>
      </c>
      <c r="AC1253" s="3">
        <v>1.06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f t="shared" si="38"/>
        <v>13.13</v>
      </c>
      <c r="AK1253" s="3">
        <f t="shared" si="39"/>
        <v>3.9400000000000013</v>
      </c>
    </row>
    <row r="1254" spans="1:37">
      <c r="A1254">
        <v>10345636</v>
      </c>
      <c r="B1254" t="s">
        <v>37</v>
      </c>
      <c r="C1254" t="s">
        <v>8460</v>
      </c>
      <c r="E1254" t="s">
        <v>8461</v>
      </c>
      <c r="F1254" t="s">
        <v>8462</v>
      </c>
      <c r="G1254" t="s">
        <v>8463</v>
      </c>
      <c r="H1254" t="s">
        <v>42</v>
      </c>
      <c r="I1254" t="s">
        <v>8464</v>
      </c>
      <c r="J1254" t="s">
        <v>8465</v>
      </c>
      <c r="K1254">
        <v>9800</v>
      </c>
      <c r="L1254" t="s">
        <v>505</v>
      </c>
      <c r="M1254" t="s">
        <v>46</v>
      </c>
      <c r="N1254" t="s">
        <v>47</v>
      </c>
      <c r="O1254">
        <v>2</v>
      </c>
      <c r="P1254">
        <v>1</v>
      </c>
      <c r="Q1254">
        <v>2</v>
      </c>
      <c r="R1254" t="s">
        <v>48</v>
      </c>
      <c r="S1254" t="s">
        <v>49</v>
      </c>
      <c r="T1254" s="3">
        <v>0.84</v>
      </c>
      <c r="U1254" s="3">
        <v>0.23</v>
      </c>
      <c r="V1254" s="3">
        <v>1.81</v>
      </c>
      <c r="W1254">
        <v>1.08</v>
      </c>
      <c r="X1254" t="s">
        <v>50</v>
      </c>
      <c r="Y1254" s="3">
        <v>9.19</v>
      </c>
      <c r="Z1254" t="s">
        <v>109</v>
      </c>
      <c r="AA1254" t="s">
        <v>498</v>
      </c>
      <c r="AB1254" t="s">
        <v>53</v>
      </c>
      <c r="AC1254" s="3">
        <v>1.06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f t="shared" si="38"/>
        <v>13.13</v>
      </c>
      <c r="AK1254" s="3">
        <f t="shared" si="39"/>
        <v>3.9400000000000013</v>
      </c>
    </row>
    <row r="1255" spans="1:37">
      <c r="A1255">
        <v>10335803</v>
      </c>
      <c r="B1255" t="s">
        <v>37</v>
      </c>
      <c r="C1255" t="s">
        <v>8466</v>
      </c>
      <c r="E1255" t="s">
        <v>2064</v>
      </c>
      <c r="F1255" t="s">
        <v>8467</v>
      </c>
      <c r="G1255" t="s">
        <v>8468</v>
      </c>
      <c r="H1255" t="s">
        <v>42</v>
      </c>
      <c r="I1255" t="s">
        <v>8469</v>
      </c>
      <c r="J1255" t="s">
        <v>8470</v>
      </c>
      <c r="K1255">
        <v>80335</v>
      </c>
      <c r="L1255" t="s">
        <v>71</v>
      </c>
      <c r="M1255" t="s">
        <v>46</v>
      </c>
      <c r="N1255" t="s">
        <v>47</v>
      </c>
      <c r="O1255">
        <v>4</v>
      </c>
      <c r="P1255">
        <v>1</v>
      </c>
      <c r="Q1255">
        <v>4</v>
      </c>
      <c r="R1255" t="s">
        <v>48</v>
      </c>
      <c r="S1255" t="s">
        <v>49</v>
      </c>
      <c r="T1255" s="3">
        <v>0.84</v>
      </c>
      <c r="U1255" s="3">
        <v>0.23</v>
      </c>
      <c r="V1255" s="3">
        <v>3.55</v>
      </c>
      <c r="W1255">
        <v>2.39</v>
      </c>
      <c r="X1255" t="s">
        <v>72</v>
      </c>
      <c r="Y1255" s="3">
        <v>5.44</v>
      </c>
      <c r="Z1255" t="s">
        <v>83</v>
      </c>
      <c r="AA1255" t="s">
        <v>8471</v>
      </c>
      <c r="AB1255" t="s">
        <v>53</v>
      </c>
      <c r="AC1255" s="3">
        <v>1.27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f t="shared" si="38"/>
        <v>11.330000000000002</v>
      </c>
      <c r="AK1255" s="3">
        <f t="shared" si="39"/>
        <v>5.8900000000000015</v>
      </c>
    </row>
    <row r="1256" spans="1:37">
      <c r="A1256">
        <v>10340527</v>
      </c>
      <c r="B1256" t="s">
        <v>37</v>
      </c>
      <c r="C1256" t="s">
        <v>8472</v>
      </c>
      <c r="E1256" t="s">
        <v>321</v>
      </c>
      <c r="F1256" t="s">
        <v>8473</v>
      </c>
      <c r="G1256" t="s">
        <v>8474</v>
      </c>
      <c r="H1256" t="s">
        <v>42</v>
      </c>
      <c r="I1256" t="s">
        <v>8475</v>
      </c>
      <c r="J1256" t="s">
        <v>8476</v>
      </c>
      <c r="K1256" t="s">
        <v>8477</v>
      </c>
      <c r="L1256" t="s">
        <v>142</v>
      </c>
      <c r="M1256" t="s">
        <v>46</v>
      </c>
      <c r="N1256" t="s">
        <v>47</v>
      </c>
      <c r="O1256">
        <v>7</v>
      </c>
      <c r="P1256">
        <v>1</v>
      </c>
      <c r="Q1256">
        <v>7</v>
      </c>
      <c r="R1256" t="s">
        <v>48</v>
      </c>
      <c r="S1256" t="s">
        <v>49</v>
      </c>
      <c r="T1256" s="3">
        <v>0.84</v>
      </c>
      <c r="U1256" s="3">
        <v>0.23</v>
      </c>
      <c r="V1256" s="3">
        <v>6.16</v>
      </c>
      <c r="W1256">
        <v>2.11</v>
      </c>
      <c r="X1256" t="s">
        <v>50</v>
      </c>
      <c r="Y1256" s="3">
        <v>16.43</v>
      </c>
      <c r="Z1256" t="s">
        <v>83</v>
      </c>
      <c r="AA1256" t="s">
        <v>8478</v>
      </c>
      <c r="AB1256" t="s">
        <v>53</v>
      </c>
      <c r="AC1256" s="3">
        <v>1.27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f t="shared" si="38"/>
        <v>24.93</v>
      </c>
      <c r="AK1256" s="3">
        <f t="shared" si="39"/>
        <v>8.5</v>
      </c>
    </row>
    <row r="1257" spans="1:37">
      <c r="A1257">
        <v>10345633</v>
      </c>
      <c r="B1257" t="s">
        <v>37</v>
      </c>
      <c r="C1257" t="s">
        <v>8479</v>
      </c>
      <c r="E1257" t="s">
        <v>1647</v>
      </c>
      <c r="F1257" t="s">
        <v>8480</v>
      </c>
      <c r="G1257" t="s">
        <v>8481</v>
      </c>
      <c r="H1257" t="s">
        <v>42</v>
      </c>
      <c r="I1257" t="s">
        <v>8482</v>
      </c>
      <c r="J1257" t="s">
        <v>8483</v>
      </c>
      <c r="K1257">
        <v>9040</v>
      </c>
      <c r="L1257" t="s">
        <v>505</v>
      </c>
      <c r="M1257" t="s">
        <v>46</v>
      </c>
      <c r="N1257" t="s">
        <v>47</v>
      </c>
      <c r="O1257">
        <v>1</v>
      </c>
      <c r="P1257">
        <v>1</v>
      </c>
      <c r="Q1257">
        <v>1</v>
      </c>
      <c r="R1257" t="s">
        <v>48</v>
      </c>
      <c r="S1257" t="s">
        <v>49</v>
      </c>
      <c r="T1257" s="3">
        <v>0.84</v>
      </c>
      <c r="U1257" s="3">
        <v>0.23</v>
      </c>
      <c r="V1257" s="3">
        <v>0.94</v>
      </c>
      <c r="W1257">
        <v>0.59</v>
      </c>
      <c r="X1257" t="s">
        <v>50</v>
      </c>
      <c r="Y1257" s="3">
        <v>9.19</v>
      </c>
      <c r="Z1257" t="s">
        <v>73</v>
      </c>
      <c r="AA1257" t="s">
        <v>267</v>
      </c>
      <c r="AB1257" t="s">
        <v>53</v>
      </c>
      <c r="AC1257" s="3">
        <v>1.29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f t="shared" si="38"/>
        <v>12.49</v>
      </c>
      <c r="AK1257" s="3">
        <f t="shared" si="39"/>
        <v>3.3000000000000007</v>
      </c>
    </row>
    <row r="1258" spans="1:37">
      <c r="A1258">
        <v>10342859</v>
      </c>
      <c r="B1258" t="s">
        <v>37</v>
      </c>
      <c r="C1258" t="s">
        <v>8484</v>
      </c>
      <c r="E1258" t="s">
        <v>1221</v>
      </c>
      <c r="F1258" t="s">
        <v>1222</v>
      </c>
      <c r="G1258" t="s">
        <v>8485</v>
      </c>
      <c r="H1258" t="s">
        <v>42</v>
      </c>
      <c r="I1258" t="s">
        <v>8486</v>
      </c>
      <c r="J1258" t="s">
        <v>1225</v>
      </c>
      <c r="K1258" t="s">
        <v>1226</v>
      </c>
      <c r="L1258" t="s">
        <v>142</v>
      </c>
      <c r="M1258" t="s">
        <v>46</v>
      </c>
      <c r="N1258" t="s">
        <v>47</v>
      </c>
      <c r="O1258">
        <v>5</v>
      </c>
      <c r="P1258">
        <v>1</v>
      </c>
      <c r="Q1258">
        <v>5</v>
      </c>
      <c r="R1258" t="s">
        <v>48</v>
      </c>
      <c r="S1258" t="s">
        <v>49</v>
      </c>
      <c r="T1258" s="3">
        <v>0.84</v>
      </c>
      <c r="U1258" s="3">
        <v>0.23</v>
      </c>
      <c r="V1258" s="3">
        <v>4.42</v>
      </c>
      <c r="W1258">
        <v>1.44</v>
      </c>
      <c r="X1258" t="s">
        <v>50</v>
      </c>
      <c r="Y1258" s="3">
        <v>17.82</v>
      </c>
      <c r="Z1258" t="s">
        <v>109</v>
      </c>
      <c r="AA1258" t="s">
        <v>8487</v>
      </c>
      <c r="AB1258" t="s">
        <v>53</v>
      </c>
      <c r="AC1258" s="3">
        <v>1.06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f t="shared" si="38"/>
        <v>24.369999999999997</v>
      </c>
      <c r="AK1258" s="3">
        <f t="shared" si="39"/>
        <v>6.5499999999999972</v>
      </c>
    </row>
    <row r="1259" spans="1:37">
      <c r="A1259">
        <v>10342010</v>
      </c>
      <c r="B1259" t="s">
        <v>37</v>
      </c>
      <c r="C1259" t="s">
        <v>8488</v>
      </c>
      <c r="E1259" t="s">
        <v>8489</v>
      </c>
      <c r="F1259" t="s">
        <v>7855</v>
      </c>
      <c r="G1259" t="s">
        <v>8490</v>
      </c>
      <c r="H1259" t="s">
        <v>42</v>
      </c>
      <c r="I1259" t="s">
        <v>8491</v>
      </c>
      <c r="J1259" t="s">
        <v>8492</v>
      </c>
      <c r="K1259">
        <v>13088</v>
      </c>
      <c r="L1259" t="s">
        <v>71</v>
      </c>
      <c r="M1259" t="s">
        <v>46</v>
      </c>
      <c r="N1259" t="s">
        <v>47</v>
      </c>
      <c r="O1259">
        <v>1</v>
      </c>
      <c r="P1259">
        <v>1</v>
      </c>
      <c r="Q1259">
        <v>1</v>
      </c>
      <c r="R1259" t="s">
        <v>48</v>
      </c>
      <c r="S1259" t="s">
        <v>49</v>
      </c>
      <c r="T1259" s="3">
        <v>0.84</v>
      </c>
      <c r="U1259" s="3">
        <v>0.23</v>
      </c>
      <c r="V1259" s="3">
        <v>0.94</v>
      </c>
      <c r="W1259">
        <v>1.5</v>
      </c>
      <c r="X1259" t="s">
        <v>72</v>
      </c>
      <c r="Y1259" s="3">
        <v>6.83</v>
      </c>
      <c r="Z1259" t="s">
        <v>73</v>
      </c>
      <c r="AA1259" t="s">
        <v>8493</v>
      </c>
      <c r="AB1259" t="s">
        <v>53</v>
      </c>
      <c r="AC1259" s="3">
        <v>1.29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f t="shared" si="38"/>
        <v>10.130000000000001</v>
      </c>
      <c r="AK1259" s="3">
        <f t="shared" si="39"/>
        <v>3.3000000000000007</v>
      </c>
    </row>
    <row r="1260" spans="1:37">
      <c r="A1260">
        <v>10342015</v>
      </c>
      <c r="B1260" t="s">
        <v>37</v>
      </c>
      <c r="C1260" t="s">
        <v>8494</v>
      </c>
      <c r="E1260" t="s">
        <v>8495</v>
      </c>
      <c r="F1260" t="s">
        <v>8496</v>
      </c>
      <c r="G1260" t="s">
        <v>8497</v>
      </c>
      <c r="H1260" t="s">
        <v>42</v>
      </c>
      <c r="I1260" t="s">
        <v>8498</v>
      </c>
      <c r="J1260" t="s">
        <v>8499</v>
      </c>
      <c r="K1260">
        <v>1310</v>
      </c>
      <c r="L1260" t="s">
        <v>505</v>
      </c>
      <c r="M1260" t="s">
        <v>46</v>
      </c>
      <c r="N1260" t="s">
        <v>47</v>
      </c>
      <c r="O1260">
        <v>1</v>
      </c>
      <c r="P1260">
        <v>1</v>
      </c>
      <c r="Q1260">
        <v>1</v>
      </c>
      <c r="R1260" t="s">
        <v>48</v>
      </c>
      <c r="S1260" t="s">
        <v>49</v>
      </c>
      <c r="T1260" s="3">
        <v>0.84</v>
      </c>
      <c r="U1260" s="3">
        <v>0.23</v>
      </c>
      <c r="V1260" s="3">
        <v>0.94</v>
      </c>
      <c r="W1260">
        <v>1.5</v>
      </c>
      <c r="X1260" t="s">
        <v>50</v>
      </c>
      <c r="Y1260" s="3">
        <v>9.19</v>
      </c>
      <c r="Z1260" t="s">
        <v>73</v>
      </c>
      <c r="AA1260" t="s">
        <v>8500</v>
      </c>
      <c r="AB1260" t="s">
        <v>53</v>
      </c>
      <c r="AC1260" s="3">
        <v>1.29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f t="shared" si="38"/>
        <v>12.49</v>
      </c>
      <c r="AK1260" s="3">
        <f t="shared" si="39"/>
        <v>3.3000000000000007</v>
      </c>
    </row>
    <row r="1261" spans="1:37">
      <c r="A1261">
        <v>10344283</v>
      </c>
      <c r="B1261" t="s">
        <v>37</v>
      </c>
      <c r="C1261" t="s">
        <v>8501</v>
      </c>
      <c r="E1261" t="s">
        <v>8502</v>
      </c>
      <c r="F1261" t="s">
        <v>8503</v>
      </c>
      <c r="G1261" t="s">
        <v>8504</v>
      </c>
      <c r="H1261" t="s">
        <v>42</v>
      </c>
      <c r="I1261" t="s">
        <v>8505</v>
      </c>
      <c r="J1261" t="s">
        <v>8506</v>
      </c>
      <c r="K1261">
        <v>48346</v>
      </c>
      <c r="L1261" t="s">
        <v>71</v>
      </c>
      <c r="M1261" t="s">
        <v>46</v>
      </c>
      <c r="N1261" t="s">
        <v>47</v>
      </c>
      <c r="O1261">
        <v>1</v>
      </c>
      <c r="P1261">
        <v>1</v>
      </c>
      <c r="Q1261">
        <v>1</v>
      </c>
      <c r="R1261" t="s">
        <v>48</v>
      </c>
      <c r="S1261" t="s">
        <v>49</v>
      </c>
      <c r="T1261" s="3">
        <v>0.84</v>
      </c>
      <c r="U1261" s="3">
        <v>0.23</v>
      </c>
      <c r="V1261" s="3">
        <v>0.94</v>
      </c>
      <c r="W1261">
        <v>0.49</v>
      </c>
      <c r="X1261" t="s">
        <v>108</v>
      </c>
      <c r="Y1261" s="3">
        <v>5.14</v>
      </c>
      <c r="Z1261" t="s">
        <v>109</v>
      </c>
      <c r="AA1261" t="s">
        <v>8507</v>
      </c>
      <c r="AB1261" t="s">
        <v>53</v>
      </c>
      <c r="AC1261" s="3">
        <v>1.06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f t="shared" si="38"/>
        <v>8.2099999999999991</v>
      </c>
      <c r="AK1261" s="3">
        <f t="shared" si="39"/>
        <v>3.0699999999999994</v>
      </c>
    </row>
    <row r="1262" spans="1:37">
      <c r="A1262">
        <v>10342009</v>
      </c>
      <c r="B1262" t="s">
        <v>37</v>
      </c>
      <c r="C1262" t="s">
        <v>8508</v>
      </c>
      <c r="E1262" t="s">
        <v>299</v>
      </c>
      <c r="F1262" t="s">
        <v>8509</v>
      </c>
      <c r="G1262" t="s">
        <v>8510</v>
      </c>
      <c r="H1262" t="s">
        <v>42</v>
      </c>
      <c r="I1262" t="s">
        <v>8511</v>
      </c>
      <c r="J1262" t="s">
        <v>8512</v>
      </c>
      <c r="K1262" t="s">
        <v>8513</v>
      </c>
      <c r="L1262" t="s">
        <v>142</v>
      </c>
      <c r="M1262" t="s">
        <v>46</v>
      </c>
      <c r="N1262" t="s">
        <v>47</v>
      </c>
      <c r="O1262">
        <v>1</v>
      </c>
      <c r="P1262">
        <v>1</v>
      </c>
      <c r="Q1262">
        <v>1</v>
      </c>
      <c r="R1262" t="s">
        <v>48</v>
      </c>
      <c r="S1262" t="s">
        <v>49</v>
      </c>
      <c r="T1262" s="3">
        <v>0.84</v>
      </c>
      <c r="U1262" s="3">
        <v>0.23</v>
      </c>
      <c r="V1262" s="3">
        <v>0.94</v>
      </c>
      <c r="W1262">
        <v>0.49</v>
      </c>
      <c r="X1262" t="s">
        <v>50</v>
      </c>
      <c r="Y1262" s="3">
        <v>16.43</v>
      </c>
      <c r="Z1262" t="s">
        <v>109</v>
      </c>
      <c r="AA1262" t="s">
        <v>8514</v>
      </c>
      <c r="AB1262" t="s">
        <v>53</v>
      </c>
      <c r="AC1262" s="3">
        <v>1.06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f t="shared" si="38"/>
        <v>19.5</v>
      </c>
      <c r="AK1262" s="3">
        <f t="shared" si="39"/>
        <v>3.0700000000000003</v>
      </c>
    </row>
    <row r="1263" spans="1:37">
      <c r="A1263">
        <v>10342006</v>
      </c>
      <c r="B1263" t="s">
        <v>37</v>
      </c>
      <c r="C1263" t="s">
        <v>8515</v>
      </c>
      <c r="E1263" t="s">
        <v>8516</v>
      </c>
      <c r="F1263" t="s">
        <v>8517</v>
      </c>
      <c r="G1263" t="s">
        <v>8518</v>
      </c>
      <c r="H1263" t="s">
        <v>42</v>
      </c>
      <c r="I1263" t="s">
        <v>8519</v>
      </c>
      <c r="J1263" t="s">
        <v>8520</v>
      </c>
      <c r="K1263">
        <v>2550</v>
      </c>
      <c r="L1263" t="s">
        <v>505</v>
      </c>
      <c r="M1263" t="s">
        <v>46</v>
      </c>
      <c r="N1263" t="s">
        <v>47</v>
      </c>
      <c r="O1263">
        <v>1</v>
      </c>
      <c r="P1263">
        <v>1</v>
      </c>
      <c r="Q1263">
        <v>1</v>
      </c>
      <c r="R1263" t="s">
        <v>48</v>
      </c>
      <c r="S1263" t="s">
        <v>49</v>
      </c>
      <c r="T1263" s="3">
        <v>0.84</v>
      </c>
      <c r="U1263" s="3">
        <v>0.23</v>
      </c>
      <c r="V1263" s="3">
        <v>0.94</v>
      </c>
      <c r="W1263">
        <v>0.59</v>
      </c>
      <c r="X1263" t="s">
        <v>50</v>
      </c>
      <c r="Y1263" s="3">
        <v>9.19</v>
      </c>
      <c r="Z1263" t="s">
        <v>73</v>
      </c>
      <c r="AA1263" t="s">
        <v>7163</v>
      </c>
      <c r="AB1263" t="s">
        <v>53</v>
      </c>
      <c r="AC1263" s="3">
        <v>1.29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f t="shared" si="38"/>
        <v>12.49</v>
      </c>
      <c r="AK1263" s="3">
        <f t="shared" si="39"/>
        <v>3.3000000000000007</v>
      </c>
    </row>
    <row r="1264" spans="1:37">
      <c r="A1264">
        <v>10343063</v>
      </c>
      <c r="B1264" t="s">
        <v>37</v>
      </c>
      <c r="C1264" t="s">
        <v>8521</v>
      </c>
      <c r="E1264" t="s">
        <v>8522</v>
      </c>
      <c r="F1264" t="s">
        <v>8523</v>
      </c>
      <c r="G1264" t="s">
        <v>8524</v>
      </c>
      <c r="H1264" t="s">
        <v>42</v>
      </c>
      <c r="I1264" t="s">
        <v>8525</v>
      </c>
      <c r="J1264" t="s">
        <v>8526</v>
      </c>
      <c r="K1264" t="s">
        <v>8527</v>
      </c>
      <c r="L1264" t="s">
        <v>142</v>
      </c>
      <c r="M1264" t="s">
        <v>46</v>
      </c>
      <c r="N1264" t="s">
        <v>47</v>
      </c>
      <c r="O1264">
        <v>1</v>
      </c>
      <c r="P1264">
        <v>1</v>
      </c>
      <c r="Q1264">
        <v>1</v>
      </c>
      <c r="R1264" t="s">
        <v>48</v>
      </c>
      <c r="S1264" t="s">
        <v>49</v>
      </c>
      <c r="T1264" s="3">
        <v>0.84</v>
      </c>
      <c r="U1264" s="3">
        <v>0.23</v>
      </c>
      <c r="V1264" s="3">
        <v>0.94</v>
      </c>
      <c r="W1264">
        <v>0.49</v>
      </c>
      <c r="X1264" t="s">
        <v>50</v>
      </c>
      <c r="Y1264" s="3">
        <v>16.43</v>
      </c>
      <c r="Z1264" t="s">
        <v>109</v>
      </c>
      <c r="AA1264" t="s">
        <v>1802</v>
      </c>
      <c r="AB1264" t="s">
        <v>53</v>
      </c>
      <c r="AC1264" s="3">
        <v>1.06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f t="shared" si="38"/>
        <v>19.5</v>
      </c>
      <c r="AK1264" s="3">
        <f t="shared" si="39"/>
        <v>3.0700000000000003</v>
      </c>
    </row>
    <row r="1265" spans="1:37">
      <c r="A1265">
        <v>10342855</v>
      </c>
      <c r="B1265" t="s">
        <v>37</v>
      </c>
      <c r="C1265" t="s">
        <v>8528</v>
      </c>
      <c r="E1265" t="s">
        <v>8529</v>
      </c>
      <c r="F1265" t="s">
        <v>8530</v>
      </c>
      <c r="G1265" t="s">
        <v>8531</v>
      </c>
      <c r="H1265" t="s">
        <v>42</v>
      </c>
      <c r="I1265" t="s">
        <v>8532</v>
      </c>
      <c r="J1265" t="s">
        <v>8533</v>
      </c>
      <c r="K1265" t="s">
        <v>8534</v>
      </c>
      <c r="L1265" t="s">
        <v>142</v>
      </c>
      <c r="M1265" t="s">
        <v>46</v>
      </c>
      <c r="N1265" t="s">
        <v>47</v>
      </c>
      <c r="O1265">
        <v>1</v>
      </c>
      <c r="P1265">
        <v>1</v>
      </c>
      <c r="Q1265">
        <v>1</v>
      </c>
      <c r="R1265" t="s">
        <v>48</v>
      </c>
      <c r="S1265" t="s">
        <v>49</v>
      </c>
      <c r="T1265" s="3">
        <v>0.84</v>
      </c>
      <c r="U1265" s="3">
        <v>0.23</v>
      </c>
      <c r="V1265" s="3">
        <v>0.94</v>
      </c>
      <c r="W1265">
        <v>0.59</v>
      </c>
      <c r="X1265" t="s">
        <v>50</v>
      </c>
      <c r="Y1265" s="3">
        <v>16.43</v>
      </c>
      <c r="Z1265" t="s">
        <v>73</v>
      </c>
      <c r="AA1265" t="s">
        <v>267</v>
      </c>
      <c r="AB1265" t="s">
        <v>53</v>
      </c>
      <c r="AC1265" s="3">
        <v>1.29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f t="shared" si="38"/>
        <v>19.73</v>
      </c>
      <c r="AK1265" s="3">
        <f t="shared" si="39"/>
        <v>3.3000000000000007</v>
      </c>
    </row>
    <row r="1266" spans="1:37">
      <c r="A1266">
        <v>10343812</v>
      </c>
      <c r="B1266" t="s">
        <v>37</v>
      </c>
      <c r="C1266" t="s">
        <v>8535</v>
      </c>
      <c r="E1266" t="s">
        <v>8536</v>
      </c>
      <c r="F1266" t="s">
        <v>8537</v>
      </c>
      <c r="G1266" t="s">
        <v>8538</v>
      </c>
      <c r="H1266" t="s">
        <v>42</v>
      </c>
      <c r="I1266" t="s">
        <v>8539</v>
      </c>
      <c r="J1266" t="s">
        <v>8540</v>
      </c>
      <c r="K1266">
        <v>46014</v>
      </c>
      <c r="L1266" t="s">
        <v>91</v>
      </c>
      <c r="M1266" t="s">
        <v>46</v>
      </c>
      <c r="N1266" t="s">
        <v>47</v>
      </c>
      <c r="O1266">
        <v>1</v>
      </c>
      <c r="P1266">
        <v>1</v>
      </c>
      <c r="Q1266">
        <v>1</v>
      </c>
      <c r="R1266" t="s">
        <v>48</v>
      </c>
      <c r="S1266" t="s">
        <v>49</v>
      </c>
      <c r="T1266" s="3">
        <v>0.84</v>
      </c>
      <c r="U1266" s="3">
        <v>0.23</v>
      </c>
      <c r="V1266" s="3">
        <v>0.94</v>
      </c>
      <c r="W1266">
        <v>0.59</v>
      </c>
      <c r="X1266" t="s">
        <v>50</v>
      </c>
      <c r="Y1266" s="3">
        <v>16.43</v>
      </c>
      <c r="Z1266" t="s">
        <v>73</v>
      </c>
      <c r="AA1266" t="s">
        <v>2623</v>
      </c>
      <c r="AB1266" t="s">
        <v>53</v>
      </c>
      <c r="AC1266" s="3">
        <v>1.29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f t="shared" si="38"/>
        <v>19.73</v>
      </c>
      <c r="AK1266" s="3">
        <f t="shared" si="39"/>
        <v>3.3000000000000007</v>
      </c>
    </row>
    <row r="1267" spans="1:37">
      <c r="A1267">
        <v>10342858</v>
      </c>
      <c r="B1267" t="s">
        <v>37</v>
      </c>
      <c r="C1267" t="s">
        <v>8541</v>
      </c>
      <c r="E1267" t="s">
        <v>3567</v>
      </c>
      <c r="F1267" t="s">
        <v>5208</v>
      </c>
      <c r="G1267" t="s">
        <v>8542</v>
      </c>
      <c r="H1267" t="s">
        <v>42</v>
      </c>
      <c r="I1267" t="s">
        <v>8543</v>
      </c>
      <c r="J1267" t="s">
        <v>8544</v>
      </c>
      <c r="K1267" t="s">
        <v>8545</v>
      </c>
      <c r="L1267" t="s">
        <v>142</v>
      </c>
      <c r="M1267" t="s">
        <v>46</v>
      </c>
      <c r="N1267" t="s">
        <v>47</v>
      </c>
      <c r="O1267">
        <v>1</v>
      </c>
      <c r="P1267">
        <v>1</v>
      </c>
      <c r="Q1267">
        <v>1</v>
      </c>
      <c r="R1267" t="s">
        <v>48</v>
      </c>
      <c r="S1267" t="s">
        <v>49</v>
      </c>
      <c r="T1267" s="3">
        <v>0.84</v>
      </c>
      <c r="U1267" s="3">
        <v>0.23</v>
      </c>
      <c r="V1267" s="3">
        <v>0.94</v>
      </c>
      <c r="W1267">
        <v>0.49</v>
      </c>
      <c r="X1267" t="s">
        <v>50</v>
      </c>
      <c r="Y1267" s="3">
        <v>16.43</v>
      </c>
      <c r="Z1267" t="s">
        <v>109</v>
      </c>
      <c r="AA1267" t="s">
        <v>2824</v>
      </c>
      <c r="AB1267" t="s">
        <v>53</v>
      </c>
      <c r="AC1267" s="3">
        <v>1.06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f t="shared" si="38"/>
        <v>19.5</v>
      </c>
      <c r="AK1267" s="3">
        <f t="shared" si="39"/>
        <v>3.0700000000000003</v>
      </c>
    </row>
    <row r="1268" spans="1:37">
      <c r="A1268">
        <v>10342012</v>
      </c>
      <c r="B1268" t="s">
        <v>37</v>
      </c>
      <c r="C1268" t="s">
        <v>8546</v>
      </c>
      <c r="E1268" t="s">
        <v>3681</v>
      </c>
      <c r="F1268" t="s">
        <v>8547</v>
      </c>
      <c r="G1268" t="s">
        <v>8548</v>
      </c>
      <c r="H1268" t="s">
        <v>42</v>
      </c>
      <c r="I1268" t="s">
        <v>8549</v>
      </c>
      <c r="J1268" t="s">
        <v>8550</v>
      </c>
      <c r="K1268">
        <v>14169</v>
      </c>
      <c r="L1268" t="s">
        <v>71</v>
      </c>
      <c r="M1268" t="s">
        <v>46</v>
      </c>
      <c r="N1268" t="s">
        <v>47</v>
      </c>
      <c r="O1268">
        <v>1</v>
      </c>
      <c r="P1268">
        <v>1</v>
      </c>
      <c r="Q1268">
        <v>1</v>
      </c>
      <c r="R1268" t="s">
        <v>48</v>
      </c>
      <c r="S1268" t="s">
        <v>49</v>
      </c>
      <c r="T1268" s="3">
        <v>0.84</v>
      </c>
      <c r="U1268" s="3">
        <v>0.23</v>
      </c>
      <c r="V1268" s="3">
        <v>0.94</v>
      </c>
      <c r="W1268">
        <v>0.59</v>
      </c>
      <c r="X1268" t="s">
        <v>72</v>
      </c>
      <c r="Y1268" s="3">
        <v>5.44</v>
      </c>
      <c r="Z1268" t="s">
        <v>73</v>
      </c>
      <c r="AA1268" t="s">
        <v>1341</v>
      </c>
      <c r="AB1268" t="s">
        <v>53</v>
      </c>
      <c r="AC1268" s="3">
        <v>1.29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f t="shared" si="38"/>
        <v>8.74</v>
      </c>
      <c r="AK1268" s="3">
        <f t="shared" si="39"/>
        <v>3.3</v>
      </c>
    </row>
    <row r="1269" spans="1:37">
      <c r="A1269">
        <v>10342413</v>
      </c>
      <c r="B1269" t="s">
        <v>37</v>
      </c>
      <c r="C1269" t="s">
        <v>8551</v>
      </c>
      <c r="E1269" t="s">
        <v>8552</v>
      </c>
      <c r="F1269" t="s">
        <v>8553</v>
      </c>
      <c r="G1269" t="s">
        <v>8554</v>
      </c>
      <c r="H1269" t="s">
        <v>42</v>
      </c>
      <c r="I1269" t="s">
        <v>8555</v>
      </c>
      <c r="J1269" t="s">
        <v>8556</v>
      </c>
      <c r="K1269">
        <v>10405</v>
      </c>
      <c r="L1269" t="s">
        <v>71</v>
      </c>
      <c r="M1269" t="s">
        <v>46</v>
      </c>
      <c r="N1269" t="s">
        <v>47</v>
      </c>
      <c r="O1269">
        <v>1</v>
      </c>
      <c r="P1269">
        <v>1</v>
      </c>
      <c r="Q1269">
        <v>1</v>
      </c>
      <c r="R1269" t="s">
        <v>48</v>
      </c>
      <c r="S1269" t="s">
        <v>49</v>
      </c>
      <c r="T1269" s="3">
        <v>0.84</v>
      </c>
      <c r="U1269" s="3">
        <v>0.23</v>
      </c>
      <c r="V1269" s="3">
        <v>0.94</v>
      </c>
      <c r="W1269">
        <v>0.59</v>
      </c>
      <c r="X1269" t="s">
        <v>108</v>
      </c>
      <c r="Y1269" s="3">
        <v>5.14</v>
      </c>
      <c r="Z1269" t="s">
        <v>109</v>
      </c>
      <c r="AA1269" t="s">
        <v>966</v>
      </c>
      <c r="AB1269" t="s">
        <v>53</v>
      </c>
      <c r="AC1269" s="3">
        <v>1.06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f t="shared" si="38"/>
        <v>8.2099999999999991</v>
      </c>
      <c r="AK1269" s="3">
        <f t="shared" si="39"/>
        <v>3.0699999999999994</v>
      </c>
    </row>
    <row r="1270" spans="1:37">
      <c r="A1270">
        <v>10343380</v>
      </c>
      <c r="B1270" t="s">
        <v>37</v>
      </c>
      <c r="C1270" t="s">
        <v>8557</v>
      </c>
      <c r="E1270" t="s">
        <v>8558</v>
      </c>
      <c r="F1270" t="s">
        <v>8559</v>
      </c>
      <c r="G1270" t="s">
        <v>8560</v>
      </c>
      <c r="H1270" t="s">
        <v>42</v>
      </c>
      <c r="I1270" t="s">
        <v>8561</v>
      </c>
      <c r="J1270" t="s">
        <v>8562</v>
      </c>
      <c r="K1270">
        <v>21407</v>
      </c>
      <c r="L1270" t="s">
        <v>71</v>
      </c>
      <c r="M1270" t="s">
        <v>46</v>
      </c>
      <c r="N1270" t="s">
        <v>47</v>
      </c>
      <c r="O1270">
        <v>1</v>
      </c>
      <c r="P1270">
        <v>1</v>
      </c>
      <c r="Q1270">
        <v>1</v>
      </c>
      <c r="R1270" t="s">
        <v>48</v>
      </c>
      <c r="S1270" t="s">
        <v>49</v>
      </c>
      <c r="T1270" s="3">
        <v>0.84</v>
      </c>
      <c r="U1270" s="3">
        <v>0.23</v>
      </c>
      <c r="V1270" s="3">
        <v>0.94</v>
      </c>
      <c r="W1270">
        <v>0.49</v>
      </c>
      <c r="X1270" t="s">
        <v>72</v>
      </c>
      <c r="Y1270" s="3">
        <v>5.44</v>
      </c>
      <c r="Z1270" t="s">
        <v>73</v>
      </c>
      <c r="AA1270" t="s">
        <v>793</v>
      </c>
      <c r="AB1270" t="s">
        <v>53</v>
      </c>
      <c r="AC1270" s="3">
        <v>1.29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f t="shared" si="38"/>
        <v>8.74</v>
      </c>
      <c r="AK1270" s="3">
        <f t="shared" si="39"/>
        <v>3.3</v>
      </c>
    </row>
    <row r="1271" spans="1:37">
      <c r="A1271">
        <v>10342013</v>
      </c>
      <c r="B1271" t="s">
        <v>37</v>
      </c>
      <c r="C1271" t="s">
        <v>8563</v>
      </c>
      <c r="E1271" t="s">
        <v>8564</v>
      </c>
      <c r="F1271" t="s">
        <v>2898</v>
      </c>
      <c r="G1271" t="s">
        <v>8565</v>
      </c>
      <c r="H1271" t="s">
        <v>42</v>
      </c>
      <c r="I1271" t="s">
        <v>8566</v>
      </c>
      <c r="J1271" t="s">
        <v>8567</v>
      </c>
      <c r="K1271">
        <v>1170</v>
      </c>
      <c r="L1271" t="s">
        <v>505</v>
      </c>
      <c r="M1271" t="s">
        <v>46</v>
      </c>
      <c r="N1271" t="s">
        <v>47</v>
      </c>
      <c r="O1271">
        <v>1</v>
      </c>
      <c r="P1271">
        <v>1</v>
      </c>
      <c r="Q1271">
        <v>1</v>
      </c>
      <c r="R1271" t="s">
        <v>48</v>
      </c>
      <c r="S1271" t="s">
        <v>49</v>
      </c>
      <c r="T1271" s="3">
        <v>0.84</v>
      </c>
      <c r="U1271" s="3">
        <v>0.23</v>
      </c>
      <c r="V1271" s="3">
        <v>0.94</v>
      </c>
      <c r="W1271">
        <v>0.59</v>
      </c>
      <c r="X1271" t="s">
        <v>50</v>
      </c>
      <c r="Y1271" s="3">
        <v>9.19</v>
      </c>
      <c r="Z1271" t="s">
        <v>73</v>
      </c>
      <c r="AA1271" t="s">
        <v>7549</v>
      </c>
      <c r="AB1271" t="s">
        <v>53</v>
      </c>
      <c r="AC1271" s="3">
        <v>1.29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f t="shared" si="38"/>
        <v>12.49</v>
      </c>
      <c r="AK1271" s="3">
        <f t="shared" si="39"/>
        <v>3.3000000000000007</v>
      </c>
    </row>
    <row r="1272" spans="1:37">
      <c r="A1272">
        <v>10342615</v>
      </c>
      <c r="B1272" t="s">
        <v>37</v>
      </c>
      <c r="C1272" t="s">
        <v>8568</v>
      </c>
      <c r="E1272" t="s">
        <v>1313</v>
      </c>
      <c r="F1272" t="s">
        <v>8569</v>
      </c>
      <c r="G1272" t="s">
        <v>8570</v>
      </c>
      <c r="H1272" t="s">
        <v>42</v>
      </c>
      <c r="I1272" t="s">
        <v>8571</v>
      </c>
      <c r="J1272" t="s">
        <v>8572</v>
      </c>
      <c r="K1272">
        <v>31157</v>
      </c>
      <c r="L1272" t="s">
        <v>71</v>
      </c>
      <c r="M1272" t="s">
        <v>46</v>
      </c>
      <c r="N1272" t="s">
        <v>47</v>
      </c>
      <c r="O1272">
        <v>1</v>
      </c>
      <c r="P1272">
        <v>1</v>
      </c>
      <c r="Q1272">
        <v>1</v>
      </c>
      <c r="R1272" t="s">
        <v>48</v>
      </c>
      <c r="S1272" t="s">
        <v>49</v>
      </c>
      <c r="T1272" s="3">
        <v>0.84</v>
      </c>
      <c r="U1272" s="3">
        <v>0.23</v>
      </c>
      <c r="V1272" s="3">
        <v>0.94</v>
      </c>
      <c r="W1272">
        <v>0.25</v>
      </c>
      <c r="X1272" t="s">
        <v>108</v>
      </c>
      <c r="Y1272" s="3">
        <v>5.14</v>
      </c>
      <c r="Z1272" t="s">
        <v>109</v>
      </c>
      <c r="AA1272" t="s">
        <v>8573</v>
      </c>
      <c r="AB1272" t="s">
        <v>53</v>
      </c>
      <c r="AC1272" s="3">
        <v>1.06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f t="shared" si="38"/>
        <v>8.2099999999999991</v>
      </c>
      <c r="AK1272" s="3">
        <f t="shared" si="39"/>
        <v>3.0699999999999994</v>
      </c>
    </row>
    <row r="1273" spans="1:37">
      <c r="A1273">
        <v>10342008</v>
      </c>
      <c r="B1273" t="s">
        <v>37</v>
      </c>
      <c r="C1273" t="s">
        <v>8574</v>
      </c>
      <c r="E1273" t="s">
        <v>8575</v>
      </c>
      <c r="F1273" t="s">
        <v>8576</v>
      </c>
      <c r="G1273" t="s">
        <v>8577</v>
      </c>
      <c r="H1273" t="s">
        <v>42</v>
      </c>
      <c r="I1273" t="s">
        <v>8578</v>
      </c>
      <c r="J1273" t="s">
        <v>8579</v>
      </c>
      <c r="K1273">
        <v>80337</v>
      </c>
      <c r="L1273" t="s">
        <v>71</v>
      </c>
      <c r="M1273" t="s">
        <v>46</v>
      </c>
      <c r="N1273" t="s">
        <v>47</v>
      </c>
      <c r="O1273">
        <v>4</v>
      </c>
      <c r="P1273">
        <v>1</v>
      </c>
      <c r="Q1273">
        <v>4</v>
      </c>
      <c r="R1273" t="s">
        <v>48</v>
      </c>
      <c r="S1273" t="s">
        <v>49</v>
      </c>
      <c r="T1273" s="3">
        <v>0.84</v>
      </c>
      <c r="U1273" s="3">
        <v>0.23</v>
      </c>
      <c r="V1273" s="3">
        <v>3.55</v>
      </c>
      <c r="W1273">
        <v>2.2200000000000002</v>
      </c>
      <c r="X1273" t="s">
        <v>72</v>
      </c>
      <c r="Y1273" s="3">
        <v>5.44</v>
      </c>
      <c r="Z1273" t="s">
        <v>73</v>
      </c>
      <c r="AA1273" t="s">
        <v>8580</v>
      </c>
      <c r="AB1273" t="s">
        <v>53</v>
      </c>
      <c r="AC1273" s="3">
        <v>1.29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f t="shared" si="38"/>
        <v>11.350000000000001</v>
      </c>
      <c r="AK1273" s="3">
        <f t="shared" si="39"/>
        <v>5.910000000000001</v>
      </c>
    </row>
    <row r="1274" spans="1:37">
      <c r="A1274">
        <v>10341835</v>
      </c>
      <c r="B1274" t="s">
        <v>37</v>
      </c>
      <c r="C1274" t="s">
        <v>8581</v>
      </c>
      <c r="E1274" t="s">
        <v>8582</v>
      </c>
      <c r="F1274" t="s">
        <v>8583</v>
      </c>
      <c r="G1274" t="s">
        <v>8584</v>
      </c>
      <c r="H1274" t="s">
        <v>42</v>
      </c>
      <c r="I1274" t="s">
        <v>8585</v>
      </c>
      <c r="J1274" t="s">
        <v>8586</v>
      </c>
      <c r="K1274">
        <v>92800</v>
      </c>
      <c r="L1274" t="s">
        <v>130</v>
      </c>
      <c r="M1274" t="s">
        <v>46</v>
      </c>
      <c r="N1274" t="s">
        <v>47</v>
      </c>
      <c r="O1274">
        <v>3</v>
      </c>
      <c r="P1274">
        <v>1</v>
      </c>
      <c r="Q1274">
        <v>3</v>
      </c>
      <c r="R1274" t="s">
        <v>48</v>
      </c>
      <c r="S1274" t="s">
        <v>49</v>
      </c>
      <c r="T1274" s="3">
        <v>0.84</v>
      </c>
      <c r="U1274" s="3">
        <v>0.23</v>
      </c>
      <c r="V1274" s="3">
        <v>2.68</v>
      </c>
      <c r="W1274">
        <v>1.36</v>
      </c>
      <c r="X1274" t="s">
        <v>50</v>
      </c>
      <c r="Y1274" s="3">
        <v>14.26</v>
      </c>
      <c r="Z1274" t="s">
        <v>73</v>
      </c>
      <c r="AA1274" t="s">
        <v>8587</v>
      </c>
      <c r="AB1274" t="s">
        <v>53</v>
      </c>
      <c r="AC1274" s="3">
        <v>1.29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f t="shared" si="38"/>
        <v>19.3</v>
      </c>
      <c r="AK1274" s="3">
        <f t="shared" si="39"/>
        <v>5.0400000000000009</v>
      </c>
    </row>
    <row r="1275" spans="1:37">
      <c r="A1275">
        <v>10342007</v>
      </c>
      <c r="B1275" t="s">
        <v>37</v>
      </c>
      <c r="C1275" t="s">
        <v>8588</v>
      </c>
      <c r="E1275" t="s">
        <v>5371</v>
      </c>
      <c r="F1275" t="s">
        <v>8589</v>
      </c>
      <c r="G1275" t="s">
        <v>8590</v>
      </c>
      <c r="H1275" t="s">
        <v>42</v>
      </c>
      <c r="I1275" t="s">
        <v>8591</v>
      </c>
      <c r="J1275" t="s">
        <v>8592</v>
      </c>
      <c r="K1275">
        <v>65326</v>
      </c>
      <c r="L1275" t="s">
        <v>71</v>
      </c>
      <c r="M1275" t="s">
        <v>46</v>
      </c>
      <c r="N1275" t="s">
        <v>47</v>
      </c>
      <c r="O1275">
        <v>4</v>
      </c>
      <c r="P1275">
        <v>1</v>
      </c>
      <c r="Q1275">
        <v>4</v>
      </c>
      <c r="R1275" t="s">
        <v>48</v>
      </c>
      <c r="S1275" t="s">
        <v>49</v>
      </c>
      <c r="T1275" s="3">
        <v>0.84</v>
      </c>
      <c r="U1275" s="3">
        <v>0.23</v>
      </c>
      <c r="V1275" s="3">
        <v>3.55</v>
      </c>
      <c r="W1275">
        <v>2.06</v>
      </c>
      <c r="X1275" t="s">
        <v>72</v>
      </c>
      <c r="Y1275" s="3">
        <v>5.44</v>
      </c>
      <c r="Z1275" t="s">
        <v>73</v>
      </c>
      <c r="AA1275" t="s">
        <v>327</v>
      </c>
      <c r="AB1275" t="s">
        <v>53</v>
      </c>
      <c r="AC1275" s="3">
        <v>1.29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f t="shared" si="38"/>
        <v>11.350000000000001</v>
      </c>
      <c r="AK1275" s="3">
        <f t="shared" si="39"/>
        <v>5.910000000000001</v>
      </c>
    </row>
    <row r="1276" spans="1:37">
      <c r="A1276">
        <v>10342005</v>
      </c>
      <c r="B1276" t="s">
        <v>37</v>
      </c>
      <c r="C1276" t="s">
        <v>8593</v>
      </c>
      <c r="E1276" t="s">
        <v>3946</v>
      </c>
      <c r="F1276" t="s">
        <v>8594</v>
      </c>
      <c r="G1276" t="s">
        <v>8595</v>
      </c>
      <c r="H1276" t="s">
        <v>42</v>
      </c>
      <c r="I1276" t="s">
        <v>8596</v>
      </c>
      <c r="J1276" t="s">
        <v>8597</v>
      </c>
      <c r="K1276">
        <v>80801</v>
      </c>
      <c r="L1276" t="s">
        <v>71</v>
      </c>
      <c r="M1276" t="s">
        <v>46</v>
      </c>
      <c r="N1276" t="s">
        <v>47</v>
      </c>
      <c r="O1276">
        <v>4</v>
      </c>
      <c r="P1276">
        <v>1</v>
      </c>
      <c r="Q1276">
        <v>4</v>
      </c>
      <c r="R1276" t="s">
        <v>48</v>
      </c>
      <c r="S1276" t="s">
        <v>49</v>
      </c>
      <c r="T1276" s="3">
        <v>0.84</v>
      </c>
      <c r="U1276" s="3">
        <v>0.23</v>
      </c>
      <c r="V1276" s="3">
        <v>3.55</v>
      </c>
      <c r="W1276">
        <v>1.72</v>
      </c>
      <c r="X1276" t="s">
        <v>72</v>
      </c>
      <c r="Y1276" s="3">
        <v>6.83</v>
      </c>
      <c r="Z1276" t="s">
        <v>73</v>
      </c>
      <c r="AA1276" t="s">
        <v>8598</v>
      </c>
      <c r="AB1276" t="s">
        <v>53</v>
      </c>
      <c r="AC1276" s="3">
        <v>1.29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f t="shared" si="38"/>
        <v>12.740000000000002</v>
      </c>
      <c r="AK1276" s="3">
        <f t="shared" si="39"/>
        <v>5.9100000000000019</v>
      </c>
    </row>
    <row r="1277" spans="1:37">
      <c r="A1277">
        <v>10341834</v>
      </c>
      <c r="B1277" t="s">
        <v>37</v>
      </c>
      <c r="C1277" t="s">
        <v>8599</v>
      </c>
      <c r="E1277" t="s">
        <v>5271</v>
      </c>
      <c r="F1277" t="s">
        <v>8600</v>
      </c>
      <c r="G1277" t="s">
        <v>8601</v>
      </c>
      <c r="H1277" t="s">
        <v>42</v>
      </c>
      <c r="I1277" t="s">
        <v>8602</v>
      </c>
      <c r="J1277" t="s">
        <v>8603</v>
      </c>
      <c r="K1277">
        <v>1170</v>
      </c>
      <c r="L1277" t="s">
        <v>505</v>
      </c>
      <c r="M1277" t="s">
        <v>46</v>
      </c>
      <c r="N1277" t="s">
        <v>47</v>
      </c>
      <c r="O1277">
        <v>4</v>
      </c>
      <c r="P1277">
        <v>1</v>
      </c>
      <c r="Q1277">
        <v>4</v>
      </c>
      <c r="R1277" t="s">
        <v>48</v>
      </c>
      <c r="S1277" t="s">
        <v>49</v>
      </c>
      <c r="T1277" s="3">
        <v>0.84</v>
      </c>
      <c r="U1277" s="3">
        <v>0.23</v>
      </c>
      <c r="V1277" s="3">
        <v>3.55</v>
      </c>
      <c r="W1277">
        <v>1.66</v>
      </c>
      <c r="X1277" t="s">
        <v>50</v>
      </c>
      <c r="Y1277" s="3">
        <v>9.19</v>
      </c>
      <c r="Z1277" t="s">
        <v>73</v>
      </c>
      <c r="AA1277" t="s">
        <v>429</v>
      </c>
      <c r="AB1277" t="s">
        <v>53</v>
      </c>
      <c r="AC1277" s="3">
        <v>1.29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f t="shared" si="38"/>
        <v>15.100000000000001</v>
      </c>
      <c r="AK1277" s="3">
        <f t="shared" si="39"/>
        <v>5.9100000000000019</v>
      </c>
    </row>
    <row r="1278" spans="1:37">
      <c r="A1278">
        <v>10341832</v>
      </c>
      <c r="B1278" t="s">
        <v>37</v>
      </c>
      <c r="C1278" t="s">
        <v>8604</v>
      </c>
      <c r="E1278" t="s">
        <v>1101</v>
      </c>
      <c r="F1278" t="s">
        <v>8605</v>
      </c>
      <c r="G1278" t="s">
        <v>8606</v>
      </c>
      <c r="H1278" t="s">
        <v>42</v>
      </c>
      <c r="I1278" t="s">
        <v>8607</v>
      </c>
      <c r="J1278" t="s">
        <v>8608</v>
      </c>
      <c r="K1278">
        <v>60596</v>
      </c>
      <c r="L1278" t="s">
        <v>71</v>
      </c>
      <c r="M1278" t="s">
        <v>46</v>
      </c>
      <c r="N1278" t="s">
        <v>47</v>
      </c>
      <c r="O1278">
        <v>3</v>
      </c>
      <c r="P1278">
        <v>1</v>
      </c>
      <c r="Q1278">
        <v>3</v>
      </c>
      <c r="R1278" t="s">
        <v>48</v>
      </c>
      <c r="S1278" t="s">
        <v>49</v>
      </c>
      <c r="T1278" s="3">
        <v>0.84</v>
      </c>
      <c r="U1278" s="3">
        <v>0.23</v>
      </c>
      <c r="V1278" s="3">
        <v>2.68</v>
      </c>
      <c r="W1278">
        <v>1.48</v>
      </c>
      <c r="X1278" t="s">
        <v>72</v>
      </c>
      <c r="Y1278" s="3">
        <v>15.15</v>
      </c>
      <c r="Z1278" t="s">
        <v>83</v>
      </c>
      <c r="AA1278" t="s">
        <v>8609</v>
      </c>
      <c r="AB1278" t="s">
        <v>53</v>
      </c>
      <c r="AC1278" s="3">
        <v>1.27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f t="shared" si="38"/>
        <v>20.170000000000002</v>
      </c>
      <c r="AK1278" s="3">
        <f t="shared" si="39"/>
        <v>5.0200000000000014</v>
      </c>
    </row>
    <row r="1279" spans="1:37">
      <c r="A1279">
        <v>10341823</v>
      </c>
      <c r="B1279" t="s">
        <v>37</v>
      </c>
      <c r="C1279" t="s">
        <v>8610</v>
      </c>
      <c r="E1279" t="s">
        <v>6832</v>
      </c>
      <c r="F1279" t="s">
        <v>8611</v>
      </c>
      <c r="G1279" t="s">
        <v>8612</v>
      </c>
      <c r="H1279" t="s">
        <v>42</v>
      </c>
      <c r="I1279" t="s">
        <v>8613</v>
      </c>
      <c r="J1279" t="s">
        <v>8614</v>
      </c>
      <c r="K1279">
        <v>53111</v>
      </c>
      <c r="L1279" t="s">
        <v>71</v>
      </c>
      <c r="M1279" t="s">
        <v>46</v>
      </c>
      <c r="N1279" t="s">
        <v>47</v>
      </c>
      <c r="O1279">
        <v>3</v>
      </c>
      <c r="P1279">
        <v>1</v>
      </c>
      <c r="Q1279">
        <v>3</v>
      </c>
      <c r="R1279" t="s">
        <v>48</v>
      </c>
      <c r="S1279" t="s">
        <v>49</v>
      </c>
      <c r="T1279" s="3">
        <v>0.84</v>
      </c>
      <c r="U1279" s="3">
        <v>0.23</v>
      </c>
      <c r="V1279" s="3">
        <v>2.68</v>
      </c>
      <c r="W1279">
        <v>1.57</v>
      </c>
      <c r="X1279" t="s">
        <v>72</v>
      </c>
      <c r="Y1279" s="3">
        <v>5.44</v>
      </c>
      <c r="Z1279" t="s">
        <v>83</v>
      </c>
      <c r="AA1279" t="s">
        <v>8615</v>
      </c>
      <c r="AB1279" t="s">
        <v>53</v>
      </c>
      <c r="AC1279" s="3">
        <v>1.27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f t="shared" si="38"/>
        <v>10.46</v>
      </c>
      <c r="AK1279" s="3">
        <f t="shared" si="39"/>
        <v>5.0200000000000005</v>
      </c>
    </row>
    <row r="1280" spans="1:37">
      <c r="A1280">
        <v>10337790</v>
      </c>
      <c r="B1280" t="s">
        <v>37</v>
      </c>
      <c r="C1280" t="s">
        <v>8616</v>
      </c>
      <c r="E1280" t="s">
        <v>8617</v>
      </c>
      <c r="F1280" t="s">
        <v>8618</v>
      </c>
      <c r="G1280" t="s">
        <v>8619</v>
      </c>
      <c r="H1280" t="s">
        <v>42</v>
      </c>
      <c r="I1280" t="s">
        <v>8620</v>
      </c>
      <c r="J1280" t="s">
        <v>8621</v>
      </c>
      <c r="K1280">
        <v>80992</v>
      </c>
      <c r="L1280" t="s">
        <v>71</v>
      </c>
      <c r="M1280" t="s">
        <v>46</v>
      </c>
      <c r="N1280" t="s">
        <v>47</v>
      </c>
      <c r="O1280">
        <v>3</v>
      </c>
      <c r="P1280">
        <v>1</v>
      </c>
      <c r="Q1280">
        <v>3</v>
      </c>
      <c r="R1280" t="s">
        <v>48</v>
      </c>
      <c r="S1280" t="s">
        <v>49</v>
      </c>
      <c r="T1280" s="3">
        <v>0.84</v>
      </c>
      <c r="U1280" s="3">
        <v>0.23</v>
      </c>
      <c r="V1280" s="3">
        <v>2.68</v>
      </c>
      <c r="W1280">
        <v>1.57</v>
      </c>
      <c r="X1280" t="s">
        <v>72</v>
      </c>
      <c r="Y1280" s="3">
        <v>5.44</v>
      </c>
      <c r="Z1280" t="s">
        <v>73</v>
      </c>
      <c r="AA1280" t="s">
        <v>8622</v>
      </c>
      <c r="AB1280" t="s">
        <v>53</v>
      </c>
      <c r="AC1280" s="3">
        <v>1.29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f t="shared" si="38"/>
        <v>10.48</v>
      </c>
      <c r="AK1280" s="3">
        <f t="shared" si="39"/>
        <v>5.04</v>
      </c>
    </row>
    <row r="1281" spans="1:37">
      <c r="A1281">
        <v>10341825</v>
      </c>
      <c r="B1281" t="s">
        <v>37</v>
      </c>
      <c r="C1281" t="s">
        <v>8623</v>
      </c>
      <c r="E1281" t="s">
        <v>4729</v>
      </c>
      <c r="F1281" t="s">
        <v>454</v>
      </c>
      <c r="G1281" t="s">
        <v>8624</v>
      </c>
      <c r="H1281" t="s">
        <v>42</v>
      </c>
      <c r="I1281" t="s">
        <v>8625</v>
      </c>
      <c r="J1281" t="s">
        <v>8626</v>
      </c>
      <c r="K1281" t="s">
        <v>8627</v>
      </c>
      <c r="L1281" t="s">
        <v>142</v>
      </c>
      <c r="M1281" t="s">
        <v>46</v>
      </c>
      <c r="N1281" t="s">
        <v>47</v>
      </c>
      <c r="O1281">
        <v>3</v>
      </c>
      <c r="P1281">
        <v>1</v>
      </c>
      <c r="Q1281">
        <v>3</v>
      </c>
      <c r="R1281" t="s">
        <v>48</v>
      </c>
      <c r="S1281" t="s">
        <v>49</v>
      </c>
      <c r="T1281" s="3">
        <v>0.84</v>
      </c>
      <c r="U1281" s="3">
        <v>0.23</v>
      </c>
      <c r="V1281" s="3">
        <v>2.68</v>
      </c>
      <c r="W1281">
        <v>1.27</v>
      </c>
      <c r="X1281" t="s">
        <v>50</v>
      </c>
      <c r="Y1281" s="3">
        <v>16.43</v>
      </c>
      <c r="Z1281" t="s">
        <v>83</v>
      </c>
      <c r="AA1281" t="s">
        <v>8628</v>
      </c>
      <c r="AB1281" t="s">
        <v>53</v>
      </c>
      <c r="AC1281" s="3">
        <v>1.27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f t="shared" si="38"/>
        <v>21.45</v>
      </c>
      <c r="AK1281" s="3">
        <f t="shared" si="39"/>
        <v>5.0199999999999996</v>
      </c>
    </row>
    <row r="1282" spans="1:37">
      <c r="A1282">
        <v>10337639</v>
      </c>
      <c r="B1282" t="s">
        <v>37</v>
      </c>
      <c r="C1282" t="s">
        <v>8629</v>
      </c>
      <c r="E1282" t="s">
        <v>398</v>
      </c>
      <c r="F1282" t="s">
        <v>8630</v>
      </c>
      <c r="G1282" t="s">
        <v>8631</v>
      </c>
      <c r="H1282" t="s">
        <v>42</v>
      </c>
      <c r="I1282" t="s">
        <v>8632</v>
      </c>
      <c r="J1282" t="s">
        <v>8633</v>
      </c>
      <c r="K1282">
        <v>2490</v>
      </c>
      <c r="L1282" t="s">
        <v>505</v>
      </c>
      <c r="M1282" t="s">
        <v>46</v>
      </c>
      <c r="N1282" t="s">
        <v>47</v>
      </c>
      <c r="O1282">
        <v>9</v>
      </c>
      <c r="P1282">
        <v>1</v>
      </c>
      <c r="Q1282">
        <v>9</v>
      </c>
      <c r="R1282" t="s">
        <v>48</v>
      </c>
      <c r="S1282" t="s">
        <v>49</v>
      </c>
      <c r="T1282" s="3">
        <v>0.84</v>
      </c>
      <c r="U1282" s="3">
        <v>0.23</v>
      </c>
      <c r="V1282" s="3">
        <v>7.9</v>
      </c>
      <c r="W1282">
        <v>3.96</v>
      </c>
      <c r="X1282" t="s">
        <v>50</v>
      </c>
      <c r="Y1282" s="3">
        <v>9.19</v>
      </c>
      <c r="Z1282" t="s">
        <v>83</v>
      </c>
      <c r="AA1282" t="s">
        <v>8634</v>
      </c>
      <c r="AB1282" t="s">
        <v>53</v>
      </c>
      <c r="AC1282" s="3">
        <v>1.27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f t="shared" ref="AJ1282:AJ1345" si="40">AI1282+AH1282+AG1282+AF1282+AE1282+AD1282+AC1282+Y1282+V1282+U1282+T1282</f>
        <v>19.43</v>
      </c>
      <c r="AK1282" s="3">
        <f t="shared" ref="AK1282:AK1345" si="41">AJ1282-Y1282</f>
        <v>10.24</v>
      </c>
    </row>
    <row r="1283" spans="1:37">
      <c r="A1283">
        <v>10341831</v>
      </c>
      <c r="B1283" t="s">
        <v>37</v>
      </c>
      <c r="C1283" t="s">
        <v>8635</v>
      </c>
      <c r="E1283" t="s">
        <v>687</v>
      </c>
      <c r="F1283" t="s">
        <v>8636</v>
      </c>
      <c r="G1283" t="s">
        <v>8637</v>
      </c>
      <c r="H1283" t="s">
        <v>42</v>
      </c>
      <c r="I1283" t="s">
        <v>8638</v>
      </c>
      <c r="J1283" t="s">
        <v>8639</v>
      </c>
      <c r="K1283">
        <v>82057</v>
      </c>
      <c r="L1283" t="s">
        <v>71</v>
      </c>
      <c r="M1283" t="s">
        <v>46</v>
      </c>
      <c r="N1283" t="s">
        <v>47</v>
      </c>
      <c r="O1283">
        <v>4</v>
      </c>
      <c r="P1283">
        <v>1</v>
      </c>
      <c r="Q1283">
        <v>4</v>
      </c>
      <c r="R1283" t="s">
        <v>48</v>
      </c>
      <c r="S1283" t="s">
        <v>49</v>
      </c>
      <c r="T1283" s="3">
        <v>0.84</v>
      </c>
      <c r="U1283" s="3">
        <v>0.23</v>
      </c>
      <c r="V1283" s="3">
        <v>3.55</v>
      </c>
      <c r="W1283">
        <v>2.06</v>
      </c>
      <c r="X1283" t="s">
        <v>72</v>
      </c>
      <c r="Y1283" s="3">
        <v>5.44</v>
      </c>
      <c r="Z1283" t="s">
        <v>83</v>
      </c>
      <c r="AA1283" t="s">
        <v>327</v>
      </c>
      <c r="AB1283" t="s">
        <v>53</v>
      </c>
      <c r="AC1283" s="3">
        <v>1.27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f t="shared" si="40"/>
        <v>11.330000000000002</v>
      </c>
      <c r="AK1283" s="3">
        <f t="shared" si="41"/>
        <v>5.8900000000000015</v>
      </c>
    </row>
    <row r="1284" spans="1:37">
      <c r="A1284">
        <v>10337785</v>
      </c>
      <c r="B1284" t="s">
        <v>37</v>
      </c>
      <c r="C1284" t="s">
        <v>8640</v>
      </c>
      <c r="E1284" t="s">
        <v>2991</v>
      </c>
      <c r="F1284" t="s">
        <v>8641</v>
      </c>
      <c r="G1284" t="s">
        <v>8642</v>
      </c>
      <c r="H1284" t="s">
        <v>42</v>
      </c>
      <c r="I1284" t="s">
        <v>8643</v>
      </c>
      <c r="J1284" t="s">
        <v>8644</v>
      </c>
      <c r="K1284" t="s">
        <v>8645</v>
      </c>
      <c r="L1284" t="s">
        <v>142</v>
      </c>
      <c r="M1284" t="s">
        <v>46</v>
      </c>
      <c r="N1284" t="s">
        <v>47</v>
      </c>
      <c r="O1284">
        <v>4</v>
      </c>
      <c r="P1284">
        <v>1</v>
      </c>
      <c r="Q1284">
        <v>4</v>
      </c>
      <c r="R1284" t="s">
        <v>48</v>
      </c>
      <c r="S1284" t="s">
        <v>49</v>
      </c>
      <c r="T1284" s="3">
        <v>0.84</v>
      </c>
      <c r="U1284" s="3">
        <v>0.23</v>
      </c>
      <c r="V1284" s="3">
        <v>3.55</v>
      </c>
      <c r="W1284">
        <v>1.78</v>
      </c>
      <c r="X1284" t="s">
        <v>50</v>
      </c>
      <c r="Y1284" s="3">
        <v>16.43</v>
      </c>
      <c r="Z1284" t="s">
        <v>73</v>
      </c>
      <c r="AA1284" t="s">
        <v>8646</v>
      </c>
      <c r="AB1284" t="s">
        <v>53</v>
      </c>
      <c r="AC1284" s="3">
        <v>1.29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f t="shared" si="40"/>
        <v>22.34</v>
      </c>
      <c r="AK1284" s="3">
        <f t="shared" si="41"/>
        <v>5.91</v>
      </c>
    </row>
    <row r="1285" spans="1:37">
      <c r="A1285">
        <v>10337968</v>
      </c>
      <c r="B1285" t="s">
        <v>37</v>
      </c>
      <c r="C1285" t="s">
        <v>8647</v>
      </c>
      <c r="E1285" t="s">
        <v>1736</v>
      </c>
      <c r="F1285" t="s">
        <v>6818</v>
      </c>
      <c r="G1285" t="s">
        <v>8648</v>
      </c>
      <c r="H1285" t="s">
        <v>42</v>
      </c>
      <c r="I1285" t="s">
        <v>8649</v>
      </c>
      <c r="J1285" t="s">
        <v>8650</v>
      </c>
      <c r="K1285" t="s">
        <v>8651</v>
      </c>
      <c r="L1285" t="s">
        <v>142</v>
      </c>
      <c r="M1285" t="s">
        <v>46</v>
      </c>
      <c r="N1285" t="s">
        <v>47</v>
      </c>
      <c r="O1285">
        <v>3</v>
      </c>
      <c r="P1285">
        <v>1</v>
      </c>
      <c r="Q1285">
        <v>3</v>
      </c>
      <c r="R1285" t="s">
        <v>48</v>
      </c>
      <c r="S1285" t="s">
        <v>49</v>
      </c>
      <c r="T1285" s="3">
        <v>0.84</v>
      </c>
      <c r="U1285" s="3">
        <v>0.23</v>
      </c>
      <c r="V1285" s="3">
        <v>2.68</v>
      </c>
      <c r="W1285">
        <v>1.6</v>
      </c>
      <c r="X1285" t="s">
        <v>50</v>
      </c>
      <c r="Y1285" s="3">
        <v>16.43</v>
      </c>
      <c r="Z1285" t="s">
        <v>83</v>
      </c>
      <c r="AA1285" t="s">
        <v>8652</v>
      </c>
      <c r="AB1285" t="s">
        <v>53</v>
      </c>
      <c r="AC1285" s="3">
        <v>1.27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f t="shared" si="40"/>
        <v>21.45</v>
      </c>
      <c r="AK1285" s="3">
        <f t="shared" si="41"/>
        <v>5.0199999999999996</v>
      </c>
    </row>
    <row r="1286" spans="1:37">
      <c r="A1286">
        <v>10341833</v>
      </c>
      <c r="B1286" t="s">
        <v>37</v>
      </c>
      <c r="C1286" t="s">
        <v>8653</v>
      </c>
      <c r="E1286" t="s">
        <v>8654</v>
      </c>
      <c r="F1286" t="s">
        <v>8655</v>
      </c>
      <c r="G1286" t="s">
        <v>8656</v>
      </c>
      <c r="H1286" t="s">
        <v>42</v>
      </c>
      <c r="I1286" t="s">
        <v>8657</v>
      </c>
      <c r="J1286" t="s">
        <v>8658</v>
      </c>
      <c r="K1286" t="s">
        <v>8659</v>
      </c>
      <c r="L1286" t="s">
        <v>229</v>
      </c>
      <c r="M1286" t="s">
        <v>46</v>
      </c>
      <c r="N1286" t="s">
        <v>47</v>
      </c>
      <c r="O1286">
        <v>7</v>
      </c>
      <c r="P1286">
        <v>1</v>
      </c>
      <c r="Q1286">
        <v>7</v>
      </c>
      <c r="R1286" t="s">
        <v>48</v>
      </c>
      <c r="S1286" t="s">
        <v>49</v>
      </c>
      <c r="T1286" s="3">
        <v>0.84</v>
      </c>
      <c r="U1286" s="3">
        <v>0.23</v>
      </c>
      <c r="V1286" s="3">
        <v>6.16</v>
      </c>
      <c r="W1286">
        <v>2.87</v>
      </c>
      <c r="X1286" t="s">
        <v>50</v>
      </c>
      <c r="Y1286" s="3">
        <v>12.09</v>
      </c>
      <c r="Z1286" t="s">
        <v>83</v>
      </c>
      <c r="AA1286" t="s">
        <v>8660</v>
      </c>
      <c r="AB1286" t="s">
        <v>53</v>
      </c>
      <c r="AC1286" s="3">
        <v>1.27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f t="shared" si="40"/>
        <v>20.59</v>
      </c>
      <c r="AK1286" s="3">
        <f t="shared" si="41"/>
        <v>8.5</v>
      </c>
    </row>
    <row r="1287" spans="1:37">
      <c r="A1287">
        <v>10337789</v>
      </c>
      <c r="B1287" t="s">
        <v>37</v>
      </c>
      <c r="C1287" t="s">
        <v>8661</v>
      </c>
      <c r="E1287" t="s">
        <v>8662</v>
      </c>
      <c r="F1287" t="s">
        <v>8663</v>
      </c>
      <c r="G1287" t="s">
        <v>8664</v>
      </c>
      <c r="H1287" t="s">
        <v>42</v>
      </c>
      <c r="I1287" t="s">
        <v>8665</v>
      </c>
      <c r="J1287" t="s">
        <v>8666</v>
      </c>
      <c r="K1287" t="s">
        <v>8667</v>
      </c>
      <c r="L1287" t="s">
        <v>82</v>
      </c>
      <c r="M1287" t="s">
        <v>46</v>
      </c>
      <c r="N1287" t="s">
        <v>47</v>
      </c>
      <c r="O1287">
        <v>5</v>
      </c>
      <c r="P1287">
        <v>1</v>
      </c>
      <c r="Q1287">
        <v>5</v>
      </c>
      <c r="R1287" t="s">
        <v>48</v>
      </c>
      <c r="S1287" t="s">
        <v>49</v>
      </c>
      <c r="T1287" s="3">
        <v>0.84</v>
      </c>
      <c r="U1287" s="3">
        <v>0.23</v>
      </c>
      <c r="V1287" s="3">
        <v>4.42</v>
      </c>
      <c r="W1287">
        <v>2.2000000000000002</v>
      </c>
      <c r="X1287" t="s">
        <v>50</v>
      </c>
      <c r="Y1287" s="3">
        <v>9.19</v>
      </c>
      <c r="Z1287" t="s">
        <v>73</v>
      </c>
      <c r="AA1287" t="s">
        <v>8668</v>
      </c>
      <c r="AB1287" t="s">
        <v>53</v>
      </c>
      <c r="AC1287" s="3">
        <v>1.29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f t="shared" si="40"/>
        <v>15.97</v>
      </c>
      <c r="AK1287" s="3">
        <f t="shared" si="41"/>
        <v>6.7800000000000011</v>
      </c>
    </row>
    <row r="1288" spans="1:37">
      <c r="A1288">
        <v>10342618</v>
      </c>
      <c r="B1288" t="s">
        <v>37</v>
      </c>
      <c r="C1288" t="s">
        <v>8669</v>
      </c>
      <c r="E1288" t="s">
        <v>8670</v>
      </c>
      <c r="F1288" t="s">
        <v>8671</v>
      </c>
      <c r="G1288" t="s">
        <v>8672</v>
      </c>
      <c r="H1288" t="s">
        <v>42</v>
      </c>
      <c r="I1288" t="s">
        <v>8673</v>
      </c>
      <c r="J1288" t="s">
        <v>8674</v>
      </c>
      <c r="K1288">
        <v>69003</v>
      </c>
      <c r="L1288" t="s">
        <v>130</v>
      </c>
      <c r="M1288" t="s">
        <v>46</v>
      </c>
      <c r="N1288" t="s">
        <v>47</v>
      </c>
      <c r="O1288">
        <v>3</v>
      </c>
      <c r="P1288">
        <v>1</v>
      </c>
      <c r="Q1288">
        <v>3</v>
      </c>
      <c r="R1288" t="s">
        <v>48</v>
      </c>
      <c r="S1288" t="s">
        <v>49</v>
      </c>
      <c r="T1288" s="3">
        <v>0.84</v>
      </c>
      <c r="U1288" s="3">
        <v>0.23</v>
      </c>
      <c r="V1288" s="3">
        <v>2.68</v>
      </c>
      <c r="W1288">
        <v>1.6</v>
      </c>
      <c r="X1288" t="s">
        <v>50</v>
      </c>
      <c r="Y1288" s="3">
        <v>14.26</v>
      </c>
      <c r="Z1288" t="s">
        <v>83</v>
      </c>
      <c r="AA1288" t="s">
        <v>8652</v>
      </c>
      <c r="AB1288" t="s">
        <v>53</v>
      </c>
      <c r="AC1288" s="3">
        <v>1.27</v>
      </c>
      <c r="AD1288" s="3">
        <v>0</v>
      </c>
      <c r="AE1288" s="3">
        <v>0</v>
      </c>
      <c r="AF1288" s="3">
        <v>0</v>
      </c>
      <c r="AG1288" s="3">
        <v>0</v>
      </c>
      <c r="AH1288" s="3">
        <v>5</v>
      </c>
      <c r="AI1288" s="3">
        <v>0</v>
      </c>
      <c r="AJ1288" s="3">
        <f t="shared" si="40"/>
        <v>24.28</v>
      </c>
      <c r="AK1288" s="3">
        <f t="shared" si="41"/>
        <v>10.020000000000001</v>
      </c>
    </row>
    <row r="1289" spans="1:37">
      <c r="A1289">
        <v>10341836</v>
      </c>
      <c r="B1289" t="s">
        <v>37</v>
      </c>
      <c r="C1289" t="s">
        <v>8675</v>
      </c>
      <c r="E1289" t="s">
        <v>8676</v>
      </c>
      <c r="F1289" t="s">
        <v>8677</v>
      </c>
      <c r="G1289" t="s">
        <v>8678</v>
      </c>
      <c r="H1289" t="s">
        <v>42</v>
      </c>
      <c r="I1289" t="s">
        <v>8679</v>
      </c>
      <c r="J1289" t="s">
        <v>8680</v>
      </c>
      <c r="K1289" t="s">
        <v>8681</v>
      </c>
      <c r="L1289" t="s">
        <v>152</v>
      </c>
      <c r="M1289" t="s">
        <v>46</v>
      </c>
      <c r="N1289" t="s">
        <v>47</v>
      </c>
      <c r="O1289">
        <v>2</v>
      </c>
      <c r="P1289">
        <v>1</v>
      </c>
      <c r="Q1289">
        <v>2</v>
      </c>
      <c r="R1289" t="s">
        <v>48</v>
      </c>
      <c r="S1289" t="s">
        <v>49</v>
      </c>
      <c r="T1289" s="3">
        <v>0.84</v>
      </c>
      <c r="U1289" s="3">
        <v>0.23</v>
      </c>
      <c r="V1289" s="3">
        <v>1.81</v>
      </c>
      <c r="W1289">
        <v>0.88</v>
      </c>
      <c r="X1289" t="s">
        <v>153</v>
      </c>
      <c r="Y1289" s="3">
        <v>21.6</v>
      </c>
      <c r="Z1289" t="s">
        <v>109</v>
      </c>
      <c r="AA1289" t="s">
        <v>714</v>
      </c>
      <c r="AB1289" t="s">
        <v>53</v>
      </c>
      <c r="AC1289" s="3">
        <v>1.06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f t="shared" si="40"/>
        <v>25.54</v>
      </c>
      <c r="AK1289" s="3">
        <f t="shared" si="41"/>
        <v>3.9399999999999977</v>
      </c>
    </row>
    <row r="1290" spans="1:37">
      <c r="A1290">
        <v>10347999</v>
      </c>
      <c r="B1290" t="s">
        <v>37</v>
      </c>
      <c r="C1290" t="s">
        <v>8682</v>
      </c>
      <c r="E1290" t="s">
        <v>8683</v>
      </c>
      <c r="F1290" t="s">
        <v>8684</v>
      </c>
      <c r="G1290" t="s">
        <v>8685</v>
      </c>
      <c r="H1290" t="s">
        <v>42</v>
      </c>
      <c r="I1290" t="s">
        <v>8686</v>
      </c>
      <c r="J1290" t="s">
        <v>8687</v>
      </c>
      <c r="K1290">
        <v>1096</v>
      </c>
      <c r="L1290" t="s">
        <v>1701</v>
      </c>
      <c r="M1290" t="s">
        <v>46</v>
      </c>
      <c r="N1290" t="s">
        <v>47</v>
      </c>
      <c r="O1290">
        <v>1</v>
      </c>
      <c r="P1290">
        <v>1</v>
      </c>
      <c r="Q1290">
        <v>1</v>
      </c>
      <c r="R1290" t="s">
        <v>48</v>
      </c>
      <c r="S1290" t="s">
        <v>49</v>
      </c>
      <c r="T1290" s="3">
        <v>0.84</v>
      </c>
      <c r="U1290" s="3">
        <v>0.23</v>
      </c>
      <c r="V1290" s="3">
        <v>0.94</v>
      </c>
      <c r="W1290">
        <v>1.7</v>
      </c>
      <c r="X1290" t="s">
        <v>1702</v>
      </c>
      <c r="Y1290" s="3">
        <v>39.299999999999997</v>
      </c>
      <c r="Z1290" t="s">
        <v>73</v>
      </c>
      <c r="AA1290" t="s">
        <v>490</v>
      </c>
      <c r="AB1290" t="s">
        <v>53</v>
      </c>
      <c r="AC1290" s="3">
        <v>1.29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f t="shared" si="40"/>
        <v>42.599999999999994</v>
      </c>
      <c r="AK1290" s="3">
        <f t="shared" si="41"/>
        <v>3.2999999999999972</v>
      </c>
    </row>
    <row r="1291" spans="1:37">
      <c r="A1291">
        <v>10347740</v>
      </c>
      <c r="B1291" t="s">
        <v>37</v>
      </c>
      <c r="C1291" t="s">
        <v>8688</v>
      </c>
      <c r="E1291" t="s">
        <v>3681</v>
      </c>
      <c r="F1291" t="s">
        <v>8689</v>
      </c>
      <c r="G1291" t="s">
        <v>8690</v>
      </c>
      <c r="H1291" t="s">
        <v>42</v>
      </c>
      <c r="I1291" t="s">
        <v>8691</v>
      </c>
      <c r="J1291" t="s">
        <v>8692</v>
      </c>
      <c r="K1291" t="s">
        <v>8693</v>
      </c>
      <c r="L1291" t="s">
        <v>142</v>
      </c>
      <c r="M1291" t="s">
        <v>46</v>
      </c>
      <c r="N1291" t="s">
        <v>47</v>
      </c>
      <c r="O1291">
        <v>1</v>
      </c>
      <c r="P1291">
        <v>1</v>
      </c>
      <c r="Q1291">
        <v>1</v>
      </c>
      <c r="R1291" t="s">
        <v>48</v>
      </c>
      <c r="S1291" t="s">
        <v>49</v>
      </c>
      <c r="T1291" s="3">
        <v>0.84</v>
      </c>
      <c r="U1291" s="3">
        <v>0.23</v>
      </c>
      <c r="V1291" s="3">
        <v>0.94</v>
      </c>
      <c r="W1291">
        <v>0.59</v>
      </c>
      <c r="X1291" t="s">
        <v>50</v>
      </c>
      <c r="Y1291" s="3">
        <v>16.43</v>
      </c>
      <c r="Z1291" t="s">
        <v>73</v>
      </c>
      <c r="AA1291" t="s">
        <v>267</v>
      </c>
      <c r="AB1291" t="s">
        <v>53</v>
      </c>
      <c r="AC1291" s="3">
        <v>1.29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f t="shared" si="40"/>
        <v>19.73</v>
      </c>
      <c r="AK1291" s="3">
        <f t="shared" si="41"/>
        <v>3.3000000000000007</v>
      </c>
    </row>
    <row r="1292" spans="1:37">
      <c r="A1292">
        <v>10346250</v>
      </c>
      <c r="B1292" t="s">
        <v>37</v>
      </c>
      <c r="C1292" t="s">
        <v>8694</v>
      </c>
      <c r="E1292" t="s">
        <v>2099</v>
      </c>
      <c r="F1292" t="s">
        <v>8695</v>
      </c>
      <c r="G1292" t="s">
        <v>8696</v>
      </c>
      <c r="H1292" t="s">
        <v>42</v>
      </c>
      <c r="I1292" t="s">
        <v>8697</v>
      </c>
      <c r="J1292" t="s">
        <v>8698</v>
      </c>
      <c r="K1292">
        <v>40477</v>
      </c>
      <c r="L1292" t="s">
        <v>71</v>
      </c>
      <c r="M1292" t="s">
        <v>46</v>
      </c>
      <c r="N1292" t="s">
        <v>47</v>
      </c>
      <c r="O1292">
        <v>1</v>
      </c>
      <c r="P1292">
        <v>1</v>
      </c>
      <c r="Q1292">
        <v>1</v>
      </c>
      <c r="R1292" t="s">
        <v>48</v>
      </c>
      <c r="S1292" t="s">
        <v>49</v>
      </c>
      <c r="T1292" s="3">
        <v>0.84</v>
      </c>
      <c r="U1292" s="3">
        <v>0.23</v>
      </c>
      <c r="V1292" s="3">
        <v>0.94</v>
      </c>
      <c r="W1292">
        <v>1.5</v>
      </c>
      <c r="X1292" t="s">
        <v>72</v>
      </c>
      <c r="Y1292" s="3">
        <v>5.44</v>
      </c>
      <c r="Z1292" t="s">
        <v>73</v>
      </c>
      <c r="AA1292" t="s">
        <v>198</v>
      </c>
      <c r="AB1292" t="s">
        <v>53</v>
      </c>
      <c r="AC1292" s="3">
        <v>1.29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f t="shared" si="40"/>
        <v>8.74</v>
      </c>
      <c r="AK1292" s="3">
        <f t="shared" si="41"/>
        <v>3.3</v>
      </c>
    </row>
    <row r="1293" spans="1:37">
      <c r="A1293">
        <v>10347997</v>
      </c>
      <c r="B1293" t="s">
        <v>37</v>
      </c>
      <c r="C1293" t="s">
        <v>8699</v>
      </c>
      <c r="E1293" t="s">
        <v>8700</v>
      </c>
      <c r="F1293" t="s">
        <v>8701</v>
      </c>
      <c r="G1293" t="s">
        <v>8702</v>
      </c>
      <c r="H1293" t="s">
        <v>42</v>
      </c>
      <c r="I1293" t="s">
        <v>8703</v>
      </c>
      <c r="J1293" t="s">
        <v>8704</v>
      </c>
      <c r="K1293">
        <v>80686</v>
      </c>
      <c r="L1293" t="s">
        <v>71</v>
      </c>
      <c r="M1293" t="s">
        <v>46</v>
      </c>
      <c r="N1293" t="s">
        <v>47</v>
      </c>
      <c r="O1293">
        <v>1</v>
      </c>
      <c r="P1293">
        <v>1</v>
      </c>
      <c r="Q1293">
        <v>1</v>
      </c>
      <c r="R1293" t="s">
        <v>48</v>
      </c>
      <c r="S1293" t="s">
        <v>49</v>
      </c>
      <c r="T1293" s="3">
        <v>0.84</v>
      </c>
      <c r="U1293" s="3">
        <v>0.23</v>
      </c>
      <c r="V1293" s="3">
        <v>0.94</v>
      </c>
      <c r="W1293">
        <v>0.49</v>
      </c>
      <c r="X1293" t="s">
        <v>108</v>
      </c>
      <c r="Y1293" s="3">
        <v>9.3000000000000007</v>
      </c>
      <c r="Z1293" t="s">
        <v>109</v>
      </c>
      <c r="AA1293" t="s">
        <v>3510</v>
      </c>
      <c r="AB1293" t="s">
        <v>53</v>
      </c>
      <c r="AC1293" s="3">
        <v>1.06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f t="shared" si="40"/>
        <v>12.370000000000001</v>
      </c>
      <c r="AK1293" s="3">
        <f t="shared" si="41"/>
        <v>3.0700000000000003</v>
      </c>
    </row>
    <row r="1294" spans="1:37">
      <c r="A1294">
        <v>10347737</v>
      </c>
      <c r="B1294" t="s">
        <v>37</v>
      </c>
      <c r="C1294" t="s">
        <v>8705</v>
      </c>
      <c r="E1294" t="s">
        <v>7500</v>
      </c>
      <c r="F1294" t="s">
        <v>8706</v>
      </c>
      <c r="G1294" t="s">
        <v>8707</v>
      </c>
      <c r="H1294" t="s">
        <v>42</v>
      </c>
      <c r="I1294" t="s">
        <v>8708</v>
      </c>
      <c r="J1294" t="s">
        <v>8709</v>
      </c>
      <c r="K1294">
        <v>37073</v>
      </c>
      <c r="L1294" t="s">
        <v>71</v>
      </c>
      <c r="M1294" t="s">
        <v>46</v>
      </c>
      <c r="N1294" t="s">
        <v>47</v>
      </c>
      <c r="O1294">
        <v>1</v>
      </c>
      <c r="P1294">
        <v>1</v>
      </c>
      <c r="Q1294">
        <v>1</v>
      </c>
      <c r="R1294" t="s">
        <v>48</v>
      </c>
      <c r="S1294" t="s">
        <v>49</v>
      </c>
      <c r="T1294" s="3">
        <v>0.84</v>
      </c>
      <c r="U1294" s="3">
        <v>0.23</v>
      </c>
      <c r="V1294" s="3">
        <v>0.94</v>
      </c>
      <c r="W1294">
        <v>0.49</v>
      </c>
      <c r="X1294" t="s">
        <v>108</v>
      </c>
      <c r="Y1294" s="3">
        <v>19.010000000000002</v>
      </c>
      <c r="Z1294" t="s">
        <v>109</v>
      </c>
      <c r="AA1294" t="s">
        <v>7122</v>
      </c>
      <c r="AB1294" t="s">
        <v>53</v>
      </c>
      <c r="AC1294" s="3">
        <v>1.06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f t="shared" si="40"/>
        <v>22.080000000000002</v>
      </c>
      <c r="AK1294" s="3">
        <f t="shared" si="41"/>
        <v>3.0700000000000003</v>
      </c>
    </row>
    <row r="1295" spans="1:37">
      <c r="A1295">
        <v>10347313</v>
      </c>
      <c r="B1295" t="s">
        <v>37</v>
      </c>
      <c r="C1295" t="s">
        <v>8710</v>
      </c>
      <c r="E1295" t="s">
        <v>8711</v>
      </c>
      <c r="F1295" t="s">
        <v>8712</v>
      </c>
      <c r="G1295" t="s">
        <v>8713</v>
      </c>
      <c r="H1295" t="s">
        <v>42</v>
      </c>
      <c r="I1295" t="s">
        <v>8714</v>
      </c>
      <c r="J1295" t="s">
        <v>8715</v>
      </c>
      <c r="K1295" t="s">
        <v>8716</v>
      </c>
      <c r="L1295" t="s">
        <v>82</v>
      </c>
      <c r="M1295" t="s">
        <v>46</v>
      </c>
      <c r="N1295" t="s">
        <v>47</v>
      </c>
      <c r="O1295">
        <v>1</v>
      </c>
      <c r="P1295">
        <v>1</v>
      </c>
      <c r="Q1295">
        <v>1</v>
      </c>
      <c r="R1295" t="s">
        <v>48</v>
      </c>
      <c r="S1295" t="s">
        <v>49</v>
      </c>
      <c r="T1295" s="3">
        <v>0.84</v>
      </c>
      <c r="U1295" s="3">
        <v>0.23</v>
      </c>
      <c r="V1295" s="3">
        <v>0.94</v>
      </c>
      <c r="W1295">
        <v>0.49</v>
      </c>
      <c r="X1295" t="s">
        <v>50</v>
      </c>
      <c r="Y1295" s="3">
        <v>9.19</v>
      </c>
      <c r="Z1295" t="s">
        <v>109</v>
      </c>
      <c r="AA1295" t="s">
        <v>1802</v>
      </c>
      <c r="AB1295" t="s">
        <v>53</v>
      </c>
      <c r="AC1295" s="3">
        <v>1.06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f t="shared" si="40"/>
        <v>12.26</v>
      </c>
      <c r="AK1295" s="3">
        <f t="shared" si="41"/>
        <v>3.0700000000000003</v>
      </c>
    </row>
    <row r="1296" spans="1:37">
      <c r="A1296">
        <v>10347741</v>
      </c>
      <c r="B1296" t="s">
        <v>37</v>
      </c>
      <c r="C1296" t="s">
        <v>8717</v>
      </c>
      <c r="E1296" t="s">
        <v>8718</v>
      </c>
      <c r="F1296" t="s">
        <v>8719</v>
      </c>
      <c r="G1296" t="s">
        <v>8720</v>
      </c>
      <c r="H1296" t="s">
        <v>42</v>
      </c>
      <c r="I1296" t="s">
        <v>8721</v>
      </c>
      <c r="J1296" t="s">
        <v>8722</v>
      </c>
      <c r="K1296">
        <v>85560</v>
      </c>
      <c r="L1296" t="s">
        <v>71</v>
      </c>
      <c r="M1296" t="s">
        <v>46</v>
      </c>
      <c r="N1296" t="s">
        <v>47</v>
      </c>
      <c r="O1296">
        <v>1</v>
      </c>
      <c r="P1296">
        <v>1</v>
      </c>
      <c r="Q1296">
        <v>1</v>
      </c>
      <c r="R1296" t="s">
        <v>48</v>
      </c>
      <c r="S1296" t="s">
        <v>49</v>
      </c>
      <c r="T1296" s="3">
        <v>0.84</v>
      </c>
      <c r="U1296" s="3">
        <v>0.23</v>
      </c>
      <c r="V1296" s="3">
        <v>0.94</v>
      </c>
      <c r="W1296">
        <v>0.55000000000000004</v>
      </c>
      <c r="X1296" t="s">
        <v>108</v>
      </c>
      <c r="Y1296" s="3">
        <v>5.14</v>
      </c>
      <c r="Z1296" t="s">
        <v>109</v>
      </c>
      <c r="AA1296" t="s">
        <v>8723</v>
      </c>
      <c r="AB1296" t="s">
        <v>53</v>
      </c>
      <c r="AC1296" s="3">
        <v>1.06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f t="shared" si="40"/>
        <v>8.2099999999999991</v>
      </c>
      <c r="AK1296" s="3">
        <f t="shared" si="41"/>
        <v>3.0699999999999994</v>
      </c>
    </row>
    <row r="1297" spans="1:37">
      <c r="A1297">
        <v>10348320</v>
      </c>
      <c r="B1297" t="s">
        <v>37</v>
      </c>
      <c r="C1297" t="s">
        <v>8724</v>
      </c>
      <c r="E1297" t="s">
        <v>8725</v>
      </c>
      <c r="F1297" t="s">
        <v>8726</v>
      </c>
      <c r="G1297" t="s">
        <v>8727</v>
      </c>
      <c r="H1297" t="s">
        <v>42</v>
      </c>
      <c r="I1297" t="s">
        <v>8728</v>
      </c>
      <c r="J1297" t="s">
        <v>8729</v>
      </c>
      <c r="K1297" t="s">
        <v>8730</v>
      </c>
      <c r="L1297" t="s">
        <v>82</v>
      </c>
      <c r="M1297" t="s">
        <v>46</v>
      </c>
      <c r="N1297" t="s">
        <v>47</v>
      </c>
      <c r="O1297">
        <v>1</v>
      </c>
      <c r="P1297">
        <v>1</v>
      </c>
      <c r="Q1297">
        <v>1</v>
      </c>
      <c r="R1297" t="s">
        <v>48</v>
      </c>
      <c r="S1297" t="s">
        <v>49</v>
      </c>
      <c r="T1297" s="3">
        <v>0.84</v>
      </c>
      <c r="U1297" s="3">
        <v>0.23</v>
      </c>
      <c r="V1297" s="3">
        <v>0.94</v>
      </c>
      <c r="W1297">
        <v>1.7</v>
      </c>
      <c r="X1297" t="s">
        <v>50</v>
      </c>
      <c r="Y1297" s="3">
        <v>9.19</v>
      </c>
      <c r="Z1297" t="s">
        <v>83</v>
      </c>
      <c r="AA1297" t="s">
        <v>8731</v>
      </c>
      <c r="AB1297" t="s">
        <v>53</v>
      </c>
      <c r="AC1297" s="3">
        <v>1.27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f t="shared" si="40"/>
        <v>12.469999999999999</v>
      </c>
      <c r="AK1297" s="3">
        <f t="shared" si="41"/>
        <v>3.2799999999999994</v>
      </c>
    </row>
    <row r="1298" spans="1:37">
      <c r="A1298">
        <v>10347993</v>
      </c>
      <c r="B1298" t="s">
        <v>37</v>
      </c>
      <c r="C1298" t="s">
        <v>8732</v>
      </c>
      <c r="E1298" t="s">
        <v>8733</v>
      </c>
      <c r="F1298" t="s">
        <v>8734</v>
      </c>
      <c r="G1298" t="s">
        <v>8735</v>
      </c>
      <c r="H1298" t="s">
        <v>42</v>
      </c>
      <c r="I1298" t="s">
        <v>8736</v>
      </c>
      <c r="J1298" t="s">
        <v>8737</v>
      </c>
      <c r="K1298">
        <v>24598</v>
      </c>
      <c r="L1298" t="s">
        <v>71</v>
      </c>
      <c r="M1298" t="s">
        <v>46</v>
      </c>
      <c r="N1298" t="s">
        <v>47</v>
      </c>
      <c r="O1298">
        <v>1</v>
      </c>
      <c r="P1298">
        <v>1</v>
      </c>
      <c r="Q1298">
        <v>1</v>
      </c>
      <c r="R1298" t="s">
        <v>48</v>
      </c>
      <c r="S1298" t="s">
        <v>49</v>
      </c>
      <c r="T1298" s="3">
        <v>0.84</v>
      </c>
      <c r="U1298" s="3">
        <v>0.23</v>
      </c>
      <c r="V1298" s="3">
        <v>0.94</v>
      </c>
      <c r="W1298">
        <v>0.59</v>
      </c>
      <c r="X1298" t="s">
        <v>72</v>
      </c>
      <c r="Y1298" s="3">
        <v>5.44</v>
      </c>
      <c r="Z1298" t="s">
        <v>73</v>
      </c>
      <c r="AA1298" t="s">
        <v>1371</v>
      </c>
      <c r="AB1298" t="s">
        <v>53</v>
      </c>
      <c r="AC1298" s="3">
        <v>1.29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f t="shared" si="40"/>
        <v>8.74</v>
      </c>
      <c r="AK1298" s="3">
        <f t="shared" si="41"/>
        <v>3.3</v>
      </c>
    </row>
    <row r="1299" spans="1:37">
      <c r="A1299">
        <v>10347739</v>
      </c>
      <c r="B1299" t="s">
        <v>37</v>
      </c>
      <c r="C1299" t="s">
        <v>8738</v>
      </c>
      <c r="E1299" t="s">
        <v>2366</v>
      </c>
      <c r="F1299" t="s">
        <v>8739</v>
      </c>
      <c r="G1299" t="s">
        <v>8740</v>
      </c>
      <c r="H1299" t="s">
        <v>42</v>
      </c>
      <c r="I1299" t="s">
        <v>8741</v>
      </c>
      <c r="J1299" t="s">
        <v>8742</v>
      </c>
      <c r="K1299" t="s">
        <v>8743</v>
      </c>
      <c r="L1299" t="s">
        <v>142</v>
      </c>
      <c r="M1299" t="s">
        <v>46</v>
      </c>
      <c r="N1299" t="s">
        <v>47</v>
      </c>
      <c r="O1299">
        <v>1</v>
      </c>
      <c r="P1299">
        <v>1</v>
      </c>
      <c r="Q1299">
        <v>1</v>
      </c>
      <c r="R1299" t="s">
        <v>48</v>
      </c>
      <c r="S1299" t="s">
        <v>49</v>
      </c>
      <c r="T1299" s="3">
        <v>0.84</v>
      </c>
      <c r="U1299" s="3">
        <v>0.23</v>
      </c>
      <c r="V1299" s="3">
        <v>0.94</v>
      </c>
      <c r="W1299">
        <v>2.1</v>
      </c>
      <c r="X1299" t="s">
        <v>50</v>
      </c>
      <c r="Y1299" s="3">
        <v>16.43</v>
      </c>
      <c r="Z1299" t="s">
        <v>83</v>
      </c>
      <c r="AA1299" t="s">
        <v>4162</v>
      </c>
      <c r="AB1299" t="s">
        <v>53</v>
      </c>
      <c r="AC1299" s="3">
        <v>1.27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f t="shared" si="40"/>
        <v>19.71</v>
      </c>
      <c r="AK1299" s="3">
        <f t="shared" si="41"/>
        <v>3.2800000000000011</v>
      </c>
    </row>
    <row r="1300" spans="1:37">
      <c r="A1300">
        <v>10346476</v>
      </c>
      <c r="B1300" t="s">
        <v>37</v>
      </c>
      <c r="C1300" t="s">
        <v>8744</v>
      </c>
      <c r="E1300" t="s">
        <v>2991</v>
      </c>
      <c r="F1300" t="s">
        <v>4690</v>
      </c>
      <c r="G1300" t="s">
        <v>8745</v>
      </c>
      <c r="H1300" t="s">
        <v>42</v>
      </c>
      <c r="I1300" t="s">
        <v>8746</v>
      </c>
      <c r="J1300" t="s">
        <v>8747</v>
      </c>
      <c r="K1300" t="s">
        <v>8748</v>
      </c>
      <c r="L1300" t="s">
        <v>142</v>
      </c>
      <c r="M1300" t="s">
        <v>46</v>
      </c>
      <c r="N1300" t="s">
        <v>47</v>
      </c>
      <c r="O1300">
        <v>4</v>
      </c>
      <c r="P1300">
        <v>1</v>
      </c>
      <c r="Q1300">
        <v>4</v>
      </c>
      <c r="R1300" t="s">
        <v>48</v>
      </c>
      <c r="S1300" t="s">
        <v>49</v>
      </c>
      <c r="T1300" s="3">
        <v>0.84</v>
      </c>
      <c r="U1300" s="3">
        <v>0.23</v>
      </c>
      <c r="V1300" s="3">
        <v>3.55</v>
      </c>
      <c r="W1300">
        <v>1.66</v>
      </c>
      <c r="X1300" t="s">
        <v>50</v>
      </c>
      <c r="Y1300" s="3">
        <v>16.43</v>
      </c>
      <c r="Z1300" t="s">
        <v>73</v>
      </c>
      <c r="AA1300" t="s">
        <v>2255</v>
      </c>
      <c r="AB1300" t="s">
        <v>53</v>
      </c>
      <c r="AC1300" s="3">
        <v>1.29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f t="shared" si="40"/>
        <v>22.34</v>
      </c>
      <c r="AK1300" s="3">
        <f t="shared" si="41"/>
        <v>5.91</v>
      </c>
    </row>
    <row r="1301" spans="1:37">
      <c r="A1301">
        <v>10346482</v>
      </c>
      <c r="B1301" t="s">
        <v>37</v>
      </c>
      <c r="C1301" t="s">
        <v>8749</v>
      </c>
      <c r="E1301" t="s">
        <v>8750</v>
      </c>
      <c r="F1301" t="s">
        <v>8751</v>
      </c>
      <c r="G1301" t="s">
        <v>8752</v>
      </c>
      <c r="H1301" t="s">
        <v>42</v>
      </c>
      <c r="I1301" t="s">
        <v>8753</v>
      </c>
      <c r="J1301" t="s">
        <v>8754</v>
      </c>
      <c r="K1301">
        <v>65375</v>
      </c>
      <c r="L1301" t="s">
        <v>71</v>
      </c>
      <c r="M1301" t="s">
        <v>46</v>
      </c>
      <c r="N1301" t="s">
        <v>47</v>
      </c>
      <c r="O1301">
        <v>1</v>
      </c>
      <c r="P1301">
        <v>1</v>
      </c>
      <c r="Q1301">
        <v>1</v>
      </c>
      <c r="R1301" t="s">
        <v>48</v>
      </c>
      <c r="S1301" t="s">
        <v>49</v>
      </c>
      <c r="T1301" s="3">
        <v>0.84</v>
      </c>
      <c r="U1301" s="3">
        <v>0.23</v>
      </c>
      <c r="V1301" s="3">
        <v>0.94</v>
      </c>
      <c r="W1301">
        <v>0.24</v>
      </c>
      <c r="X1301" t="s">
        <v>108</v>
      </c>
      <c r="Y1301" s="3">
        <v>5.14</v>
      </c>
      <c r="Z1301" t="s">
        <v>109</v>
      </c>
      <c r="AA1301" t="s">
        <v>736</v>
      </c>
      <c r="AB1301" t="s">
        <v>53</v>
      </c>
      <c r="AC1301" s="3">
        <v>1.06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f t="shared" si="40"/>
        <v>8.2099999999999991</v>
      </c>
      <c r="AK1301" s="3">
        <f t="shared" si="41"/>
        <v>3.0699999999999994</v>
      </c>
    </row>
    <row r="1302" spans="1:37">
      <c r="A1302">
        <v>10347318</v>
      </c>
      <c r="B1302" t="s">
        <v>37</v>
      </c>
      <c r="C1302" t="s">
        <v>8755</v>
      </c>
      <c r="E1302" t="s">
        <v>8756</v>
      </c>
      <c r="F1302" t="s">
        <v>8757</v>
      </c>
      <c r="G1302" t="s">
        <v>8758</v>
      </c>
      <c r="H1302" t="s">
        <v>42</v>
      </c>
      <c r="I1302" t="s">
        <v>8759</v>
      </c>
      <c r="J1302" t="s">
        <v>8760</v>
      </c>
      <c r="K1302" t="s">
        <v>8761</v>
      </c>
      <c r="L1302" t="s">
        <v>142</v>
      </c>
      <c r="M1302" t="s">
        <v>46</v>
      </c>
      <c r="N1302" t="s">
        <v>47</v>
      </c>
      <c r="O1302">
        <v>1</v>
      </c>
      <c r="P1302">
        <v>1</v>
      </c>
      <c r="Q1302">
        <v>1</v>
      </c>
      <c r="R1302" t="s">
        <v>48</v>
      </c>
      <c r="S1302" t="s">
        <v>49</v>
      </c>
      <c r="T1302" s="3">
        <v>0.84</v>
      </c>
      <c r="U1302" s="3">
        <v>0.23</v>
      </c>
      <c r="V1302" s="3">
        <v>0.94</v>
      </c>
      <c r="W1302">
        <v>0.49</v>
      </c>
      <c r="X1302" t="s">
        <v>50</v>
      </c>
      <c r="Y1302" s="3">
        <v>16.43</v>
      </c>
      <c r="Z1302" t="s">
        <v>109</v>
      </c>
      <c r="AA1302" t="s">
        <v>8762</v>
      </c>
      <c r="AB1302" t="s">
        <v>53</v>
      </c>
      <c r="AC1302" s="3">
        <v>1.06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f t="shared" si="40"/>
        <v>19.5</v>
      </c>
      <c r="AK1302" s="3">
        <f t="shared" si="41"/>
        <v>3.0700000000000003</v>
      </c>
    </row>
    <row r="1303" spans="1:37">
      <c r="A1303">
        <v>10347039</v>
      </c>
      <c r="B1303" t="s">
        <v>37</v>
      </c>
      <c r="C1303" t="s">
        <v>8763</v>
      </c>
      <c r="E1303" t="s">
        <v>8764</v>
      </c>
      <c r="F1303" t="s">
        <v>8765</v>
      </c>
      <c r="G1303" t="s">
        <v>8766</v>
      </c>
      <c r="H1303" t="s">
        <v>42</v>
      </c>
      <c r="I1303" t="s">
        <v>8767</v>
      </c>
      <c r="J1303" t="s">
        <v>8768</v>
      </c>
      <c r="K1303">
        <v>820004</v>
      </c>
      <c r="L1303" t="s">
        <v>3866</v>
      </c>
      <c r="M1303" t="s">
        <v>46</v>
      </c>
      <c r="N1303" t="s">
        <v>47</v>
      </c>
      <c r="O1303">
        <v>3</v>
      </c>
      <c r="P1303">
        <v>1</v>
      </c>
      <c r="Q1303">
        <v>3</v>
      </c>
      <c r="R1303" t="s">
        <v>48</v>
      </c>
      <c r="S1303" t="s">
        <v>49</v>
      </c>
      <c r="T1303" s="3">
        <v>0.84</v>
      </c>
      <c r="U1303" s="3">
        <v>0.23</v>
      </c>
      <c r="V1303" s="3">
        <v>2.68</v>
      </c>
      <c r="W1303">
        <v>1.33</v>
      </c>
      <c r="X1303" t="s">
        <v>100</v>
      </c>
      <c r="Y1303" s="3">
        <v>48.36</v>
      </c>
      <c r="Z1303" t="s">
        <v>73</v>
      </c>
      <c r="AA1303" t="s">
        <v>8769</v>
      </c>
      <c r="AB1303" t="s">
        <v>53</v>
      </c>
      <c r="AC1303" s="3">
        <v>1.29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f t="shared" si="40"/>
        <v>53.4</v>
      </c>
      <c r="AK1303" s="3">
        <f t="shared" si="41"/>
        <v>5.0399999999999991</v>
      </c>
    </row>
    <row r="1304" spans="1:37">
      <c r="A1304">
        <v>10348592</v>
      </c>
      <c r="B1304" t="s">
        <v>37</v>
      </c>
      <c r="C1304" t="s">
        <v>8770</v>
      </c>
      <c r="E1304" t="s">
        <v>657</v>
      </c>
      <c r="F1304" t="s">
        <v>8771</v>
      </c>
      <c r="G1304" t="s">
        <v>8772</v>
      </c>
      <c r="H1304" t="s">
        <v>42</v>
      </c>
      <c r="I1304" t="s">
        <v>8773</v>
      </c>
      <c r="J1304" t="s">
        <v>8774</v>
      </c>
      <c r="K1304">
        <v>73278</v>
      </c>
      <c r="L1304" t="s">
        <v>71</v>
      </c>
      <c r="M1304" t="s">
        <v>46</v>
      </c>
      <c r="N1304" t="s">
        <v>47</v>
      </c>
      <c r="O1304">
        <v>1</v>
      </c>
      <c r="P1304">
        <v>1</v>
      </c>
      <c r="Q1304">
        <v>1</v>
      </c>
      <c r="R1304" t="s">
        <v>48</v>
      </c>
      <c r="S1304" t="s">
        <v>49</v>
      </c>
      <c r="T1304" s="3">
        <v>0.84</v>
      </c>
      <c r="U1304" s="3">
        <v>0.23</v>
      </c>
      <c r="V1304" s="3">
        <v>0.94</v>
      </c>
      <c r="W1304">
        <v>0.59</v>
      </c>
      <c r="X1304" t="s">
        <v>72</v>
      </c>
      <c r="Y1304" s="3">
        <v>5.44</v>
      </c>
      <c r="Z1304" t="s">
        <v>73</v>
      </c>
      <c r="AA1304" t="s">
        <v>1371</v>
      </c>
      <c r="AB1304" t="s">
        <v>53</v>
      </c>
      <c r="AC1304" s="3">
        <v>1.29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f t="shared" si="40"/>
        <v>8.74</v>
      </c>
      <c r="AK1304" s="3">
        <f t="shared" si="41"/>
        <v>3.3</v>
      </c>
    </row>
    <row r="1305" spans="1:37">
      <c r="A1305">
        <v>10346754</v>
      </c>
      <c r="B1305" t="s">
        <v>37</v>
      </c>
      <c r="C1305" t="s">
        <v>8775</v>
      </c>
      <c r="E1305" t="s">
        <v>8776</v>
      </c>
      <c r="F1305" t="s">
        <v>8777</v>
      </c>
      <c r="G1305" t="s">
        <v>8778</v>
      </c>
      <c r="H1305" t="s">
        <v>42</v>
      </c>
      <c r="I1305" t="s">
        <v>8779</v>
      </c>
      <c r="J1305" t="s">
        <v>8780</v>
      </c>
      <c r="K1305">
        <v>24041</v>
      </c>
      <c r="L1305" t="s">
        <v>283</v>
      </c>
      <c r="M1305" t="s">
        <v>46</v>
      </c>
      <c r="N1305" t="s">
        <v>47</v>
      </c>
      <c r="O1305">
        <v>4</v>
      </c>
      <c r="P1305">
        <v>1</v>
      </c>
      <c r="Q1305">
        <v>4</v>
      </c>
      <c r="R1305" t="s">
        <v>48</v>
      </c>
      <c r="S1305" t="s">
        <v>49</v>
      </c>
      <c r="T1305" s="3">
        <v>0.84</v>
      </c>
      <c r="U1305" s="3">
        <v>0.23</v>
      </c>
      <c r="V1305" s="3">
        <v>3.55</v>
      </c>
      <c r="W1305">
        <v>2.06</v>
      </c>
      <c r="X1305" t="s">
        <v>50</v>
      </c>
      <c r="Y1305" s="3">
        <v>14.98</v>
      </c>
      <c r="Z1305" t="s">
        <v>73</v>
      </c>
      <c r="AA1305" t="s">
        <v>327</v>
      </c>
      <c r="AB1305" t="s">
        <v>53</v>
      </c>
      <c r="AC1305" s="3">
        <v>1.29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f t="shared" si="40"/>
        <v>20.89</v>
      </c>
      <c r="AK1305" s="3">
        <f t="shared" si="41"/>
        <v>5.91</v>
      </c>
    </row>
    <row r="1306" spans="1:37">
      <c r="A1306">
        <v>10348005</v>
      </c>
      <c r="B1306" t="s">
        <v>37</v>
      </c>
      <c r="C1306" t="s">
        <v>8781</v>
      </c>
      <c r="E1306" t="s">
        <v>8782</v>
      </c>
      <c r="F1306" t="s">
        <v>8783</v>
      </c>
      <c r="G1306" t="s">
        <v>8784</v>
      </c>
      <c r="H1306" t="s">
        <v>42</v>
      </c>
      <c r="I1306" t="s">
        <v>8785</v>
      </c>
      <c r="J1306" t="s">
        <v>8786</v>
      </c>
      <c r="K1306">
        <v>88085</v>
      </c>
      <c r="L1306" t="s">
        <v>71</v>
      </c>
      <c r="M1306" t="s">
        <v>46</v>
      </c>
      <c r="N1306" t="s">
        <v>47</v>
      </c>
      <c r="O1306">
        <v>1</v>
      </c>
      <c r="P1306">
        <v>1</v>
      </c>
      <c r="Q1306">
        <v>1</v>
      </c>
      <c r="R1306" t="s">
        <v>48</v>
      </c>
      <c r="S1306" t="s">
        <v>49</v>
      </c>
      <c r="T1306" s="3">
        <v>0.84</v>
      </c>
      <c r="U1306" s="3">
        <v>0.23</v>
      </c>
      <c r="V1306" s="3">
        <v>0.94</v>
      </c>
      <c r="W1306">
        <v>0.6</v>
      </c>
      <c r="X1306" t="s">
        <v>72</v>
      </c>
      <c r="Y1306" s="3">
        <v>5.44</v>
      </c>
      <c r="Z1306" t="s">
        <v>73</v>
      </c>
      <c r="AA1306" t="s">
        <v>8787</v>
      </c>
      <c r="AB1306" t="s">
        <v>53</v>
      </c>
      <c r="AC1306" s="3">
        <v>1.29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f t="shared" si="40"/>
        <v>8.74</v>
      </c>
      <c r="AK1306" s="3">
        <f t="shared" si="41"/>
        <v>3.3</v>
      </c>
    </row>
    <row r="1307" spans="1:37">
      <c r="A1307">
        <v>10347317</v>
      </c>
      <c r="B1307" t="s">
        <v>37</v>
      </c>
      <c r="C1307" t="s">
        <v>8788</v>
      </c>
      <c r="E1307" t="s">
        <v>445</v>
      </c>
      <c r="F1307" t="s">
        <v>8789</v>
      </c>
      <c r="G1307" t="s">
        <v>8790</v>
      </c>
      <c r="H1307" t="s">
        <v>42</v>
      </c>
      <c r="I1307" t="s">
        <v>8791</v>
      </c>
      <c r="J1307" t="s">
        <v>8792</v>
      </c>
      <c r="K1307">
        <v>63069</v>
      </c>
      <c r="L1307" t="s">
        <v>71</v>
      </c>
      <c r="M1307" t="s">
        <v>46</v>
      </c>
      <c r="N1307" t="s">
        <v>47</v>
      </c>
      <c r="O1307">
        <v>5</v>
      </c>
      <c r="P1307">
        <v>1</v>
      </c>
      <c r="Q1307">
        <v>5</v>
      </c>
      <c r="R1307" t="s">
        <v>48</v>
      </c>
      <c r="S1307" t="s">
        <v>49</v>
      </c>
      <c r="T1307" s="3">
        <v>0.84</v>
      </c>
      <c r="U1307" s="3">
        <v>0.23</v>
      </c>
      <c r="V1307" s="3">
        <v>4.42</v>
      </c>
      <c r="W1307">
        <v>2.2000000000000002</v>
      </c>
      <c r="X1307" t="s">
        <v>72</v>
      </c>
      <c r="Y1307" s="3">
        <v>5.44</v>
      </c>
      <c r="Z1307" t="s">
        <v>73</v>
      </c>
      <c r="AA1307" t="s">
        <v>8793</v>
      </c>
      <c r="AB1307" t="s">
        <v>53</v>
      </c>
      <c r="AC1307" s="3">
        <v>1.29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f t="shared" si="40"/>
        <v>12.22</v>
      </c>
      <c r="AK1307" s="3">
        <f t="shared" si="41"/>
        <v>6.78</v>
      </c>
    </row>
    <row r="1308" spans="1:37">
      <c r="A1308">
        <v>10348317</v>
      </c>
      <c r="B1308" t="s">
        <v>37</v>
      </c>
      <c r="C1308" t="s">
        <v>8794</v>
      </c>
      <c r="E1308" t="s">
        <v>8795</v>
      </c>
      <c r="F1308" t="s">
        <v>8796</v>
      </c>
      <c r="G1308" t="s">
        <v>8797</v>
      </c>
      <c r="H1308" t="s">
        <v>42</v>
      </c>
      <c r="I1308" t="s">
        <v>8798</v>
      </c>
      <c r="J1308" t="s">
        <v>8799</v>
      </c>
      <c r="K1308">
        <v>69115</v>
      </c>
      <c r="L1308" t="s">
        <v>71</v>
      </c>
      <c r="M1308" t="s">
        <v>46</v>
      </c>
      <c r="N1308" t="s">
        <v>47</v>
      </c>
      <c r="O1308">
        <v>1</v>
      </c>
      <c r="P1308">
        <v>1</v>
      </c>
      <c r="Q1308">
        <v>1</v>
      </c>
      <c r="R1308" t="s">
        <v>48</v>
      </c>
      <c r="S1308" t="s">
        <v>49</v>
      </c>
      <c r="T1308" s="3">
        <v>0.84</v>
      </c>
      <c r="U1308" s="3">
        <v>0.23</v>
      </c>
      <c r="V1308" s="3">
        <v>0.94</v>
      </c>
      <c r="W1308">
        <v>0.59</v>
      </c>
      <c r="X1308" t="s">
        <v>72</v>
      </c>
      <c r="Y1308" s="3">
        <v>5.44</v>
      </c>
      <c r="Z1308" t="s">
        <v>73</v>
      </c>
      <c r="AA1308" t="s">
        <v>1776</v>
      </c>
      <c r="AB1308" t="s">
        <v>53</v>
      </c>
      <c r="AC1308" s="3">
        <v>1.29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f t="shared" si="40"/>
        <v>8.74</v>
      </c>
      <c r="AK1308" s="3">
        <f t="shared" si="41"/>
        <v>3.3</v>
      </c>
    </row>
    <row r="1309" spans="1:37">
      <c r="A1309">
        <v>10348322</v>
      </c>
      <c r="B1309" t="s">
        <v>37</v>
      </c>
      <c r="C1309" t="s">
        <v>8800</v>
      </c>
      <c r="E1309" t="s">
        <v>8801</v>
      </c>
      <c r="F1309" t="s">
        <v>8802</v>
      </c>
      <c r="G1309" t="s">
        <v>8803</v>
      </c>
      <c r="H1309" t="s">
        <v>42</v>
      </c>
      <c r="I1309" t="s">
        <v>8804</v>
      </c>
      <c r="J1309" t="s">
        <v>8805</v>
      </c>
      <c r="K1309" t="s">
        <v>8806</v>
      </c>
      <c r="L1309" t="s">
        <v>82</v>
      </c>
      <c r="M1309" t="s">
        <v>46</v>
      </c>
      <c r="N1309" t="s">
        <v>47</v>
      </c>
      <c r="O1309">
        <v>4</v>
      </c>
      <c r="P1309">
        <v>1</v>
      </c>
      <c r="Q1309">
        <v>4</v>
      </c>
      <c r="R1309" t="s">
        <v>48</v>
      </c>
      <c r="S1309" t="s">
        <v>49</v>
      </c>
      <c r="T1309" s="3">
        <v>0.84</v>
      </c>
      <c r="U1309" s="3">
        <v>0.23</v>
      </c>
      <c r="V1309" s="3">
        <v>3.55</v>
      </c>
      <c r="W1309">
        <v>1.02</v>
      </c>
      <c r="X1309" t="s">
        <v>50</v>
      </c>
      <c r="Y1309" s="3">
        <v>9.19</v>
      </c>
      <c r="Z1309" t="s">
        <v>73</v>
      </c>
      <c r="AA1309" t="s">
        <v>8807</v>
      </c>
      <c r="AB1309" t="s">
        <v>53</v>
      </c>
      <c r="AC1309" s="3">
        <v>1.29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f t="shared" si="40"/>
        <v>15.100000000000001</v>
      </c>
      <c r="AK1309" s="3">
        <f t="shared" si="41"/>
        <v>5.9100000000000019</v>
      </c>
    </row>
    <row r="1310" spans="1:37">
      <c r="A1310">
        <v>10347995</v>
      </c>
      <c r="B1310" t="s">
        <v>37</v>
      </c>
      <c r="C1310" t="s">
        <v>8808</v>
      </c>
      <c r="E1310" t="s">
        <v>2955</v>
      </c>
      <c r="F1310" t="s">
        <v>8809</v>
      </c>
      <c r="G1310" t="s">
        <v>8810</v>
      </c>
      <c r="H1310" t="s">
        <v>42</v>
      </c>
      <c r="I1310" t="s">
        <v>8811</v>
      </c>
      <c r="J1310" t="s">
        <v>8812</v>
      </c>
      <c r="K1310">
        <v>81667</v>
      </c>
      <c r="L1310" t="s">
        <v>71</v>
      </c>
      <c r="M1310" t="s">
        <v>46</v>
      </c>
      <c r="N1310" t="s">
        <v>47</v>
      </c>
      <c r="O1310">
        <v>1</v>
      </c>
      <c r="P1310">
        <v>1</v>
      </c>
      <c r="Q1310">
        <v>1</v>
      </c>
      <c r="R1310" t="s">
        <v>48</v>
      </c>
      <c r="S1310" t="s">
        <v>49</v>
      </c>
      <c r="T1310" s="3">
        <v>0.84</v>
      </c>
      <c r="U1310" s="3">
        <v>0.23</v>
      </c>
      <c r="V1310" s="3">
        <v>0.94</v>
      </c>
      <c r="W1310">
        <v>1.1200000000000001</v>
      </c>
      <c r="X1310" t="s">
        <v>72</v>
      </c>
      <c r="Y1310" s="3">
        <v>6.83</v>
      </c>
      <c r="Z1310" t="s">
        <v>73</v>
      </c>
      <c r="AA1310" t="s">
        <v>1754</v>
      </c>
      <c r="AB1310" t="s">
        <v>53</v>
      </c>
      <c r="AC1310" s="3">
        <v>1.29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f t="shared" si="40"/>
        <v>10.130000000000001</v>
      </c>
      <c r="AK1310" s="3">
        <f t="shared" si="41"/>
        <v>3.3000000000000007</v>
      </c>
    </row>
    <row r="1311" spans="1:37">
      <c r="A1311">
        <v>10347743</v>
      </c>
      <c r="B1311" t="s">
        <v>37</v>
      </c>
      <c r="C1311" t="s">
        <v>8813</v>
      </c>
      <c r="E1311" t="s">
        <v>7270</v>
      </c>
      <c r="F1311" t="s">
        <v>8814</v>
      </c>
      <c r="G1311" t="s">
        <v>8815</v>
      </c>
      <c r="H1311" t="s">
        <v>42</v>
      </c>
      <c r="I1311" t="s">
        <v>8816</v>
      </c>
      <c r="J1311" t="s">
        <v>8817</v>
      </c>
      <c r="K1311">
        <v>8710</v>
      </c>
      <c r="L1311" t="s">
        <v>505</v>
      </c>
      <c r="M1311" t="s">
        <v>46</v>
      </c>
      <c r="N1311" t="s">
        <v>47</v>
      </c>
      <c r="O1311">
        <v>1</v>
      </c>
      <c r="P1311">
        <v>1</v>
      </c>
      <c r="Q1311">
        <v>1</v>
      </c>
      <c r="R1311" t="s">
        <v>48</v>
      </c>
      <c r="S1311" t="s">
        <v>49</v>
      </c>
      <c r="T1311" s="3">
        <v>0.84</v>
      </c>
      <c r="U1311" s="3">
        <v>0.23</v>
      </c>
      <c r="V1311" s="3">
        <v>0.94</v>
      </c>
      <c r="W1311">
        <v>0.49</v>
      </c>
      <c r="X1311" t="s">
        <v>50</v>
      </c>
      <c r="Y1311" s="3">
        <v>9.19</v>
      </c>
      <c r="Z1311" t="s">
        <v>109</v>
      </c>
      <c r="AA1311" t="s">
        <v>714</v>
      </c>
      <c r="AB1311" t="s">
        <v>53</v>
      </c>
      <c r="AC1311" s="3">
        <v>1.06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f t="shared" si="40"/>
        <v>12.26</v>
      </c>
      <c r="AK1311" s="3">
        <f t="shared" si="41"/>
        <v>3.0700000000000003</v>
      </c>
    </row>
    <row r="1312" spans="1:37">
      <c r="A1312">
        <v>10335418</v>
      </c>
      <c r="B1312" t="s">
        <v>111</v>
      </c>
      <c r="C1312" t="s">
        <v>8818</v>
      </c>
      <c r="D1312" t="s">
        <v>8819</v>
      </c>
      <c r="E1312" t="s">
        <v>1149</v>
      </c>
      <c r="F1312" t="s">
        <v>1150</v>
      </c>
      <c r="G1312" t="s">
        <v>8820</v>
      </c>
      <c r="H1312" t="s">
        <v>117</v>
      </c>
      <c r="I1312" t="s">
        <v>8821</v>
      </c>
      <c r="J1312" t="s">
        <v>8822</v>
      </c>
      <c r="K1312">
        <v>75016</v>
      </c>
      <c r="L1312" t="s">
        <v>130</v>
      </c>
      <c r="M1312" t="s">
        <v>46</v>
      </c>
      <c r="N1312" t="s">
        <v>47</v>
      </c>
      <c r="O1312">
        <v>48</v>
      </c>
      <c r="P1312">
        <v>2</v>
      </c>
      <c r="Q1312">
        <v>48</v>
      </c>
      <c r="R1312" t="s">
        <v>48</v>
      </c>
      <c r="S1312" t="s">
        <v>49</v>
      </c>
      <c r="T1312" s="3">
        <v>7</v>
      </c>
      <c r="U1312" s="3">
        <v>0.23</v>
      </c>
      <c r="V1312" s="3">
        <v>48.13</v>
      </c>
      <c r="W1312">
        <v>27</v>
      </c>
      <c r="X1312" t="s">
        <v>50</v>
      </c>
      <c r="Y1312" s="3">
        <v>32.69</v>
      </c>
      <c r="Z1312" t="s">
        <v>744</v>
      </c>
      <c r="AA1312" t="s">
        <v>8823</v>
      </c>
      <c r="AB1312" t="s">
        <v>53</v>
      </c>
      <c r="AC1312" s="3">
        <v>3.74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f t="shared" si="40"/>
        <v>91.79</v>
      </c>
      <c r="AK1312" s="3">
        <f t="shared" si="41"/>
        <v>59.100000000000009</v>
      </c>
    </row>
    <row r="1313" spans="1:37">
      <c r="A1313">
        <v>10346484</v>
      </c>
      <c r="B1313" t="s">
        <v>37</v>
      </c>
      <c r="C1313" t="s">
        <v>8824</v>
      </c>
      <c r="E1313" t="s">
        <v>8825</v>
      </c>
      <c r="F1313" t="s">
        <v>8826</v>
      </c>
      <c r="G1313" t="s">
        <v>8827</v>
      </c>
      <c r="H1313" t="s">
        <v>42</v>
      </c>
      <c r="I1313" t="s">
        <v>8828</v>
      </c>
      <c r="J1313" t="s">
        <v>8829</v>
      </c>
      <c r="K1313">
        <v>5020</v>
      </c>
      <c r="L1313" t="s">
        <v>618</v>
      </c>
      <c r="M1313" t="s">
        <v>46</v>
      </c>
      <c r="N1313" t="s">
        <v>47</v>
      </c>
      <c r="O1313">
        <v>6</v>
      </c>
      <c r="P1313">
        <v>1</v>
      </c>
      <c r="Q1313">
        <v>6</v>
      </c>
      <c r="R1313" t="s">
        <v>48</v>
      </c>
      <c r="S1313" t="s">
        <v>49</v>
      </c>
      <c r="T1313" s="3">
        <v>0.84</v>
      </c>
      <c r="U1313" s="3">
        <v>0.23</v>
      </c>
      <c r="V1313" s="3">
        <v>5.29</v>
      </c>
      <c r="W1313">
        <v>2.6</v>
      </c>
      <c r="X1313" t="s">
        <v>50</v>
      </c>
      <c r="Y1313" s="3">
        <v>9.19</v>
      </c>
      <c r="Z1313" t="s">
        <v>73</v>
      </c>
      <c r="AA1313" t="s">
        <v>8830</v>
      </c>
      <c r="AB1313" t="s">
        <v>53</v>
      </c>
      <c r="AC1313" s="3">
        <v>1.29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f t="shared" si="40"/>
        <v>16.84</v>
      </c>
      <c r="AK1313" s="3">
        <f t="shared" si="41"/>
        <v>7.65</v>
      </c>
    </row>
    <row r="1314" spans="1:37">
      <c r="A1314">
        <v>10346479</v>
      </c>
      <c r="B1314" t="s">
        <v>37</v>
      </c>
      <c r="C1314" t="s">
        <v>8831</v>
      </c>
      <c r="E1314" t="s">
        <v>8832</v>
      </c>
      <c r="F1314" t="s">
        <v>8833</v>
      </c>
      <c r="G1314" t="s">
        <v>8834</v>
      </c>
      <c r="H1314" t="s">
        <v>42</v>
      </c>
      <c r="I1314" t="s">
        <v>8835</v>
      </c>
      <c r="J1314" t="s">
        <v>8836</v>
      </c>
      <c r="K1314" t="s">
        <v>8837</v>
      </c>
      <c r="L1314" t="s">
        <v>82</v>
      </c>
      <c r="M1314" t="s">
        <v>46</v>
      </c>
      <c r="N1314" t="s">
        <v>47</v>
      </c>
      <c r="O1314">
        <v>5</v>
      </c>
      <c r="P1314">
        <v>1</v>
      </c>
      <c r="Q1314">
        <v>5</v>
      </c>
      <c r="R1314" t="s">
        <v>48</v>
      </c>
      <c r="S1314" t="s">
        <v>49</v>
      </c>
      <c r="T1314" s="3">
        <v>0.84</v>
      </c>
      <c r="U1314" s="3">
        <v>0.23</v>
      </c>
      <c r="V1314" s="3">
        <v>4.42</v>
      </c>
      <c r="W1314">
        <v>2.25</v>
      </c>
      <c r="X1314" t="s">
        <v>50</v>
      </c>
      <c r="Y1314" s="3">
        <v>9.19</v>
      </c>
      <c r="Z1314" t="s">
        <v>73</v>
      </c>
      <c r="AA1314" t="s">
        <v>8838</v>
      </c>
      <c r="AB1314" t="s">
        <v>53</v>
      </c>
      <c r="AC1314" s="3">
        <v>1.29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f t="shared" si="40"/>
        <v>15.97</v>
      </c>
      <c r="AK1314" s="3">
        <f t="shared" si="41"/>
        <v>6.7800000000000011</v>
      </c>
    </row>
    <row r="1315" spans="1:37">
      <c r="A1315">
        <v>10347042</v>
      </c>
      <c r="B1315" t="s">
        <v>111</v>
      </c>
      <c r="C1315" t="s">
        <v>8839</v>
      </c>
      <c r="E1315" t="s">
        <v>2071</v>
      </c>
      <c r="F1315" t="s">
        <v>3053</v>
      </c>
      <c r="G1315" t="s">
        <v>8840</v>
      </c>
      <c r="H1315" t="s">
        <v>117</v>
      </c>
      <c r="I1315" t="s">
        <v>8841</v>
      </c>
      <c r="J1315" t="s">
        <v>3056</v>
      </c>
      <c r="K1315">
        <v>90451</v>
      </c>
      <c r="L1315" t="s">
        <v>71</v>
      </c>
      <c r="M1315" t="s">
        <v>46</v>
      </c>
      <c r="N1315" t="s">
        <v>47</v>
      </c>
      <c r="O1315">
        <v>29</v>
      </c>
      <c r="P1315">
        <v>2</v>
      </c>
      <c r="Q1315">
        <v>29</v>
      </c>
      <c r="R1315" t="s">
        <v>48</v>
      </c>
      <c r="S1315" t="s">
        <v>49</v>
      </c>
      <c r="T1315" s="3">
        <v>7</v>
      </c>
      <c r="U1315" s="3">
        <v>0.23</v>
      </c>
      <c r="V1315" s="3">
        <v>31.79</v>
      </c>
      <c r="W1315">
        <v>15</v>
      </c>
      <c r="X1315" t="s">
        <v>72</v>
      </c>
      <c r="Y1315" s="3">
        <v>19.760000000000002</v>
      </c>
      <c r="Z1315" t="s">
        <v>8842</v>
      </c>
      <c r="AA1315" t="s">
        <v>8843</v>
      </c>
      <c r="AB1315" t="s">
        <v>53</v>
      </c>
      <c r="AC1315" s="3">
        <v>5.48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f t="shared" si="40"/>
        <v>64.259999999999991</v>
      </c>
      <c r="AK1315" s="3">
        <f t="shared" si="41"/>
        <v>44.499999999999986</v>
      </c>
    </row>
    <row r="1316" spans="1:37">
      <c r="A1316">
        <v>10346473</v>
      </c>
      <c r="B1316" t="s">
        <v>37</v>
      </c>
      <c r="C1316" t="s">
        <v>8844</v>
      </c>
      <c r="E1316" t="s">
        <v>8845</v>
      </c>
      <c r="F1316" t="s">
        <v>8846</v>
      </c>
      <c r="G1316" t="s">
        <v>8847</v>
      </c>
      <c r="H1316" t="s">
        <v>42</v>
      </c>
      <c r="I1316" t="s">
        <v>8848</v>
      </c>
      <c r="J1316" t="s">
        <v>8849</v>
      </c>
      <c r="K1316">
        <v>2440</v>
      </c>
      <c r="L1316" t="s">
        <v>7717</v>
      </c>
      <c r="M1316" t="s">
        <v>46</v>
      </c>
      <c r="N1316" t="s">
        <v>47</v>
      </c>
      <c r="O1316">
        <v>5</v>
      </c>
      <c r="P1316">
        <v>1</v>
      </c>
      <c r="Q1316">
        <v>5</v>
      </c>
      <c r="R1316" t="s">
        <v>48</v>
      </c>
      <c r="S1316" t="s">
        <v>49</v>
      </c>
      <c r="T1316" s="3">
        <v>0.84</v>
      </c>
      <c r="U1316" s="3">
        <v>0.23</v>
      </c>
      <c r="V1316" s="3">
        <v>4.42</v>
      </c>
      <c r="W1316">
        <v>1.8</v>
      </c>
      <c r="X1316" t="s">
        <v>50</v>
      </c>
      <c r="Y1316" s="3">
        <v>14.98</v>
      </c>
      <c r="Z1316" t="s">
        <v>73</v>
      </c>
      <c r="AA1316" t="s">
        <v>8850</v>
      </c>
      <c r="AB1316" t="s">
        <v>53</v>
      </c>
      <c r="AC1316" s="3">
        <v>1.29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f t="shared" si="40"/>
        <v>21.759999999999998</v>
      </c>
      <c r="AK1316" s="3">
        <f t="shared" si="41"/>
        <v>6.7799999999999976</v>
      </c>
    </row>
    <row r="1317" spans="1:37">
      <c r="A1317">
        <v>10345921</v>
      </c>
      <c r="B1317" t="s">
        <v>37</v>
      </c>
      <c r="C1317" t="s">
        <v>8851</v>
      </c>
      <c r="E1317" t="s">
        <v>8852</v>
      </c>
      <c r="F1317" t="s">
        <v>8853</v>
      </c>
      <c r="G1317" t="s">
        <v>8854</v>
      </c>
      <c r="H1317" t="s">
        <v>42</v>
      </c>
      <c r="I1317" t="s">
        <v>8855</v>
      </c>
      <c r="J1317" t="s">
        <v>8856</v>
      </c>
      <c r="K1317">
        <v>60325</v>
      </c>
      <c r="L1317" t="s">
        <v>71</v>
      </c>
      <c r="M1317" t="s">
        <v>46</v>
      </c>
      <c r="N1317" t="s">
        <v>47</v>
      </c>
      <c r="O1317">
        <v>4</v>
      </c>
      <c r="P1317">
        <v>1</v>
      </c>
      <c r="Q1317">
        <v>4</v>
      </c>
      <c r="R1317" t="s">
        <v>48</v>
      </c>
      <c r="S1317" t="s">
        <v>49</v>
      </c>
      <c r="T1317" s="3">
        <v>0.84</v>
      </c>
      <c r="U1317" s="3">
        <v>0.23</v>
      </c>
      <c r="V1317" s="3">
        <v>3.55</v>
      </c>
      <c r="W1317">
        <v>1.66</v>
      </c>
      <c r="X1317" t="s">
        <v>72</v>
      </c>
      <c r="Y1317" s="3">
        <v>6.83</v>
      </c>
      <c r="Z1317" t="s">
        <v>73</v>
      </c>
      <c r="AA1317" t="s">
        <v>8857</v>
      </c>
      <c r="AB1317" t="s">
        <v>53</v>
      </c>
      <c r="AC1317" s="3">
        <v>1.29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f t="shared" si="40"/>
        <v>12.740000000000002</v>
      </c>
      <c r="AK1317" s="3">
        <f t="shared" si="41"/>
        <v>5.9100000000000019</v>
      </c>
    </row>
    <row r="1318" spans="1:37">
      <c r="A1318">
        <v>10347040</v>
      </c>
      <c r="B1318" t="s">
        <v>37</v>
      </c>
      <c r="C1318" t="s">
        <v>8858</v>
      </c>
      <c r="E1318" t="s">
        <v>39</v>
      </c>
      <c r="F1318" t="s">
        <v>40</v>
      </c>
      <c r="G1318" t="s">
        <v>8859</v>
      </c>
      <c r="H1318" t="s">
        <v>42</v>
      </c>
      <c r="I1318" t="s">
        <v>8860</v>
      </c>
      <c r="J1318" t="s">
        <v>8861</v>
      </c>
      <c r="K1318">
        <v>1197</v>
      </c>
      <c r="L1318" t="s">
        <v>45</v>
      </c>
      <c r="M1318" t="s">
        <v>46</v>
      </c>
      <c r="N1318" t="s">
        <v>47</v>
      </c>
      <c r="O1318">
        <v>7</v>
      </c>
      <c r="P1318">
        <v>1</v>
      </c>
      <c r="Q1318">
        <v>7</v>
      </c>
      <c r="R1318" t="s">
        <v>48</v>
      </c>
      <c r="S1318" t="s">
        <v>49</v>
      </c>
      <c r="T1318" s="3">
        <v>0.84</v>
      </c>
      <c r="U1318" s="3">
        <v>0.23</v>
      </c>
      <c r="V1318" s="3">
        <v>6.16</v>
      </c>
      <c r="W1318">
        <v>5.44</v>
      </c>
      <c r="X1318" t="s">
        <v>50</v>
      </c>
      <c r="Y1318" s="3">
        <v>93.5</v>
      </c>
      <c r="Z1318" t="s">
        <v>51</v>
      </c>
      <c r="AA1318" t="s">
        <v>8862</v>
      </c>
      <c r="AB1318" t="s">
        <v>53</v>
      </c>
      <c r="AC1318" s="3">
        <v>1.87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f t="shared" si="40"/>
        <v>102.60000000000001</v>
      </c>
      <c r="AK1318" s="3">
        <f t="shared" si="41"/>
        <v>9.1000000000000085</v>
      </c>
    </row>
    <row r="1319" spans="1:37">
      <c r="A1319">
        <v>10345634</v>
      </c>
      <c r="B1319" t="s">
        <v>37</v>
      </c>
      <c r="C1319" t="s">
        <v>8863</v>
      </c>
      <c r="E1319" t="s">
        <v>8864</v>
      </c>
      <c r="F1319" t="s">
        <v>8865</v>
      </c>
      <c r="G1319" t="s">
        <v>8866</v>
      </c>
      <c r="H1319" t="s">
        <v>42</v>
      </c>
      <c r="I1319" t="s">
        <v>8867</v>
      </c>
      <c r="J1319" t="s">
        <v>8868</v>
      </c>
      <c r="K1319" t="s">
        <v>8869</v>
      </c>
      <c r="L1319" t="s">
        <v>152</v>
      </c>
      <c r="M1319" t="s">
        <v>46</v>
      </c>
      <c r="N1319" t="s">
        <v>47</v>
      </c>
      <c r="O1319">
        <v>6</v>
      </c>
      <c r="P1319">
        <v>1</v>
      </c>
      <c r="Q1319">
        <v>6</v>
      </c>
      <c r="R1319" t="s">
        <v>48</v>
      </c>
      <c r="S1319" t="s">
        <v>49</v>
      </c>
      <c r="T1319" s="3">
        <v>0.84</v>
      </c>
      <c r="U1319" s="3">
        <v>0.23</v>
      </c>
      <c r="V1319" s="3">
        <v>5.29</v>
      </c>
      <c r="W1319">
        <v>1.88</v>
      </c>
      <c r="X1319" t="s">
        <v>1702</v>
      </c>
      <c r="Y1319" s="3">
        <v>57.61</v>
      </c>
      <c r="Z1319" t="s">
        <v>83</v>
      </c>
      <c r="AA1319" t="s">
        <v>8870</v>
      </c>
      <c r="AB1319" t="s">
        <v>53</v>
      </c>
      <c r="AC1319" s="3">
        <v>1.27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f t="shared" si="40"/>
        <v>65.240000000000009</v>
      </c>
      <c r="AK1319" s="3">
        <f t="shared" si="41"/>
        <v>7.6300000000000097</v>
      </c>
    </row>
    <row r="1320" spans="1:37">
      <c r="A1320">
        <v>10340714</v>
      </c>
      <c r="B1320" t="s">
        <v>37</v>
      </c>
      <c r="C1320" t="s">
        <v>8871</v>
      </c>
      <c r="D1320" t="s">
        <v>8872</v>
      </c>
      <c r="E1320" t="s">
        <v>8873</v>
      </c>
      <c r="F1320" t="s">
        <v>8874</v>
      </c>
      <c r="G1320" t="s">
        <v>8875</v>
      </c>
      <c r="H1320" t="s">
        <v>42</v>
      </c>
      <c r="I1320" t="s">
        <v>8876</v>
      </c>
      <c r="J1320" t="s">
        <v>8877</v>
      </c>
      <c r="K1320">
        <v>8490</v>
      </c>
      <c r="L1320" t="s">
        <v>505</v>
      </c>
      <c r="M1320" t="s">
        <v>46</v>
      </c>
      <c r="N1320" t="s">
        <v>47</v>
      </c>
      <c r="O1320">
        <v>5</v>
      </c>
      <c r="P1320">
        <v>1</v>
      </c>
      <c r="Q1320">
        <v>5</v>
      </c>
      <c r="R1320" t="s">
        <v>48</v>
      </c>
      <c r="S1320" t="s">
        <v>49</v>
      </c>
      <c r="T1320" s="3">
        <v>0.84</v>
      </c>
      <c r="U1320" s="3">
        <v>0.23</v>
      </c>
      <c r="V1320" s="3">
        <v>4.42</v>
      </c>
      <c r="W1320">
        <v>1.77</v>
      </c>
      <c r="X1320" t="s">
        <v>50</v>
      </c>
      <c r="Y1320" s="3">
        <v>9.19</v>
      </c>
      <c r="Z1320" t="s">
        <v>73</v>
      </c>
      <c r="AA1320" t="s">
        <v>8878</v>
      </c>
      <c r="AB1320" t="s">
        <v>53</v>
      </c>
      <c r="AC1320" s="3">
        <v>1.29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f t="shared" si="40"/>
        <v>15.97</v>
      </c>
      <c r="AK1320" s="3">
        <f t="shared" si="41"/>
        <v>6.7800000000000011</v>
      </c>
    </row>
    <row r="1321" spans="1:37">
      <c r="A1321">
        <v>10345632</v>
      </c>
      <c r="B1321" t="s">
        <v>37</v>
      </c>
      <c r="C1321" t="s">
        <v>8879</v>
      </c>
      <c r="E1321" t="s">
        <v>8880</v>
      </c>
      <c r="F1321" t="s">
        <v>8881</v>
      </c>
      <c r="G1321" t="s">
        <v>8882</v>
      </c>
      <c r="H1321" t="s">
        <v>42</v>
      </c>
      <c r="I1321" t="s">
        <v>8883</v>
      </c>
      <c r="J1321" t="s">
        <v>8884</v>
      </c>
      <c r="K1321">
        <v>22159</v>
      </c>
      <c r="L1321" t="s">
        <v>71</v>
      </c>
      <c r="M1321" t="s">
        <v>46</v>
      </c>
      <c r="N1321" t="s">
        <v>47</v>
      </c>
      <c r="O1321">
        <v>3</v>
      </c>
      <c r="P1321">
        <v>1</v>
      </c>
      <c r="Q1321">
        <v>3</v>
      </c>
      <c r="R1321" t="s">
        <v>48</v>
      </c>
      <c r="S1321" t="s">
        <v>49</v>
      </c>
      <c r="T1321" s="3">
        <v>0.84</v>
      </c>
      <c r="U1321" s="3">
        <v>0.23</v>
      </c>
      <c r="V1321" s="3">
        <v>2.68</v>
      </c>
      <c r="W1321">
        <v>1.02</v>
      </c>
      <c r="X1321" t="s">
        <v>72</v>
      </c>
      <c r="Y1321" s="3">
        <v>5.44</v>
      </c>
      <c r="Z1321" t="s">
        <v>73</v>
      </c>
      <c r="AA1321" t="s">
        <v>8885</v>
      </c>
      <c r="AB1321" t="s">
        <v>53</v>
      </c>
      <c r="AC1321" s="3">
        <v>1.29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f t="shared" si="40"/>
        <v>10.48</v>
      </c>
      <c r="AK1321" s="3">
        <f t="shared" si="41"/>
        <v>5.04</v>
      </c>
    </row>
    <row r="1322" spans="1:37">
      <c r="A1322">
        <v>10347738</v>
      </c>
      <c r="B1322" t="s">
        <v>37</v>
      </c>
      <c r="C1322" t="s">
        <v>8886</v>
      </c>
      <c r="E1322" t="s">
        <v>8887</v>
      </c>
      <c r="F1322" t="s">
        <v>8888</v>
      </c>
      <c r="G1322" t="s">
        <v>8889</v>
      </c>
      <c r="H1322" t="s">
        <v>42</v>
      </c>
      <c r="I1322" t="s">
        <v>8890</v>
      </c>
      <c r="J1322" t="s">
        <v>8891</v>
      </c>
      <c r="K1322">
        <v>9031</v>
      </c>
      <c r="L1322" t="s">
        <v>505</v>
      </c>
      <c r="M1322" t="s">
        <v>46</v>
      </c>
      <c r="N1322" t="s">
        <v>47</v>
      </c>
      <c r="O1322">
        <v>4</v>
      </c>
      <c r="P1322">
        <v>1</v>
      </c>
      <c r="Q1322">
        <v>4</v>
      </c>
      <c r="R1322" t="s">
        <v>48</v>
      </c>
      <c r="S1322" t="s">
        <v>49</v>
      </c>
      <c r="T1322" s="3">
        <v>0.84</v>
      </c>
      <c r="U1322" s="3">
        <v>0.23</v>
      </c>
      <c r="V1322" s="3">
        <v>3.55</v>
      </c>
      <c r="W1322">
        <v>1.86</v>
      </c>
      <c r="X1322" t="s">
        <v>50</v>
      </c>
      <c r="Y1322" s="3">
        <v>9.19</v>
      </c>
      <c r="Z1322" t="s">
        <v>73</v>
      </c>
      <c r="AA1322" t="s">
        <v>8892</v>
      </c>
      <c r="AB1322" t="s">
        <v>53</v>
      </c>
      <c r="AC1322" s="3">
        <v>1.29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f t="shared" si="40"/>
        <v>15.100000000000001</v>
      </c>
      <c r="AK1322" s="3">
        <f t="shared" si="41"/>
        <v>5.9100000000000019</v>
      </c>
    </row>
    <row r="1323" spans="1:37">
      <c r="A1323">
        <v>10345304</v>
      </c>
      <c r="B1323" t="s">
        <v>37</v>
      </c>
      <c r="C1323" t="s">
        <v>8893</v>
      </c>
      <c r="E1323" t="s">
        <v>4715</v>
      </c>
      <c r="F1323" t="s">
        <v>4716</v>
      </c>
      <c r="G1323" t="s">
        <v>8894</v>
      </c>
      <c r="H1323" t="s">
        <v>42</v>
      </c>
      <c r="I1323" t="s">
        <v>8895</v>
      </c>
      <c r="J1323" t="s">
        <v>8896</v>
      </c>
      <c r="K1323" t="s">
        <v>4720</v>
      </c>
      <c r="L1323" t="s">
        <v>82</v>
      </c>
      <c r="M1323" t="s">
        <v>46</v>
      </c>
      <c r="N1323" t="s">
        <v>47</v>
      </c>
      <c r="O1323">
        <v>1</v>
      </c>
      <c r="P1323">
        <v>1</v>
      </c>
      <c r="Q1323">
        <v>1</v>
      </c>
      <c r="R1323" t="s">
        <v>48</v>
      </c>
      <c r="S1323" t="s">
        <v>49</v>
      </c>
      <c r="T1323" s="3">
        <v>0.84</v>
      </c>
      <c r="U1323" s="3">
        <v>0.23</v>
      </c>
      <c r="V1323" s="3">
        <v>0.94</v>
      </c>
      <c r="W1323">
        <v>2.1</v>
      </c>
      <c r="X1323" t="s">
        <v>50</v>
      </c>
      <c r="Y1323" s="3">
        <v>9.19</v>
      </c>
      <c r="Z1323" t="s">
        <v>83</v>
      </c>
      <c r="AA1323" t="s">
        <v>4162</v>
      </c>
      <c r="AB1323" t="s">
        <v>53</v>
      </c>
      <c r="AC1323" s="3">
        <v>1.27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f t="shared" si="40"/>
        <v>12.469999999999999</v>
      </c>
      <c r="AK1323" s="3">
        <f t="shared" si="41"/>
        <v>3.2799999999999994</v>
      </c>
    </row>
    <row r="1324" spans="1:37">
      <c r="A1324">
        <v>10345919</v>
      </c>
      <c r="B1324" t="s">
        <v>37</v>
      </c>
      <c r="C1324" t="s">
        <v>8897</v>
      </c>
      <c r="E1324" t="s">
        <v>532</v>
      </c>
      <c r="F1324" t="s">
        <v>6818</v>
      </c>
      <c r="G1324" t="s">
        <v>8898</v>
      </c>
      <c r="H1324" t="s">
        <v>42</v>
      </c>
      <c r="I1324" t="s">
        <v>8899</v>
      </c>
      <c r="J1324" t="s">
        <v>8900</v>
      </c>
      <c r="K1324" t="s">
        <v>8901</v>
      </c>
      <c r="L1324" t="s">
        <v>142</v>
      </c>
      <c r="M1324" t="s">
        <v>46</v>
      </c>
      <c r="N1324" t="s">
        <v>47</v>
      </c>
      <c r="O1324">
        <v>1</v>
      </c>
      <c r="P1324">
        <v>1</v>
      </c>
      <c r="Q1324">
        <v>1</v>
      </c>
      <c r="R1324" t="s">
        <v>48</v>
      </c>
      <c r="S1324" t="s">
        <v>49</v>
      </c>
      <c r="T1324" s="3">
        <v>0.84</v>
      </c>
      <c r="U1324" s="3">
        <v>0.23</v>
      </c>
      <c r="V1324" s="3">
        <v>0.94</v>
      </c>
      <c r="W1324">
        <v>2.1</v>
      </c>
      <c r="X1324" t="s">
        <v>50</v>
      </c>
      <c r="Y1324" s="3">
        <v>16.43</v>
      </c>
      <c r="Z1324" t="s">
        <v>83</v>
      </c>
      <c r="AA1324" t="s">
        <v>1079</v>
      </c>
      <c r="AB1324" t="s">
        <v>53</v>
      </c>
      <c r="AC1324" s="3">
        <v>1.27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f t="shared" si="40"/>
        <v>19.71</v>
      </c>
      <c r="AK1324" s="3">
        <f t="shared" si="41"/>
        <v>3.2800000000000011</v>
      </c>
    </row>
    <row r="1325" spans="1:37">
      <c r="A1325">
        <v>10348001</v>
      </c>
      <c r="B1325" t="s">
        <v>37</v>
      </c>
      <c r="C1325" t="s">
        <v>8902</v>
      </c>
      <c r="E1325" t="s">
        <v>1578</v>
      </c>
      <c r="F1325" t="s">
        <v>8903</v>
      </c>
      <c r="G1325" t="s">
        <v>8904</v>
      </c>
      <c r="H1325" t="s">
        <v>42</v>
      </c>
      <c r="I1325" t="s">
        <v>8905</v>
      </c>
      <c r="J1325" t="s">
        <v>8906</v>
      </c>
      <c r="K1325">
        <v>86356</v>
      </c>
      <c r="L1325" t="s">
        <v>71</v>
      </c>
      <c r="M1325" t="s">
        <v>46</v>
      </c>
      <c r="N1325" t="s">
        <v>47</v>
      </c>
      <c r="O1325">
        <v>1</v>
      </c>
      <c r="P1325">
        <v>1</v>
      </c>
      <c r="Q1325">
        <v>1</v>
      </c>
      <c r="R1325" t="s">
        <v>48</v>
      </c>
      <c r="S1325" t="s">
        <v>49</v>
      </c>
      <c r="T1325" s="3">
        <v>0.84</v>
      </c>
      <c r="U1325" s="3">
        <v>0.23</v>
      </c>
      <c r="V1325" s="3">
        <v>0.94</v>
      </c>
      <c r="W1325">
        <v>0.59</v>
      </c>
      <c r="X1325" t="s">
        <v>108</v>
      </c>
      <c r="Y1325" s="3">
        <v>6.53</v>
      </c>
      <c r="Z1325" t="s">
        <v>109</v>
      </c>
      <c r="AA1325" t="s">
        <v>184</v>
      </c>
      <c r="AB1325" t="s">
        <v>53</v>
      </c>
      <c r="AC1325" s="3">
        <v>1.06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f t="shared" si="40"/>
        <v>9.6</v>
      </c>
      <c r="AK1325" s="3">
        <f t="shared" si="41"/>
        <v>3.0699999999999994</v>
      </c>
    </row>
    <row r="1326" spans="1:37">
      <c r="A1326">
        <v>10348596</v>
      </c>
      <c r="B1326" t="s">
        <v>37</v>
      </c>
      <c r="C1326" t="s">
        <v>8907</v>
      </c>
      <c r="E1326" t="s">
        <v>2366</v>
      </c>
      <c r="F1326" t="s">
        <v>8908</v>
      </c>
      <c r="G1326" t="s">
        <v>8909</v>
      </c>
      <c r="H1326" t="s">
        <v>42</v>
      </c>
      <c r="I1326" t="s">
        <v>8910</v>
      </c>
      <c r="J1326" t="s">
        <v>8911</v>
      </c>
      <c r="K1326" t="s">
        <v>8912</v>
      </c>
      <c r="L1326" t="s">
        <v>82</v>
      </c>
      <c r="M1326" t="s">
        <v>46</v>
      </c>
      <c r="N1326" t="s">
        <v>47</v>
      </c>
      <c r="O1326">
        <v>1</v>
      </c>
      <c r="P1326">
        <v>1</v>
      </c>
      <c r="Q1326">
        <v>1</v>
      </c>
      <c r="R1326" t="s">
        <v>48</v>
      </c>
      <c r="S1326" t="s">
        <v>49</v>
      </c>
      <c r="T1326" s="3">
        <v>0.84</v>
      </c>
      <c r="U1326" s="3">
        <v>0.23</v>
      </c>
      <c r="V1326" s="3">
        <v>0.94</v>
      </c>
      <c r="W1326">
        <v>0.59</v>
      </c>
      <c r="X1326" t="s">
        <v>50</v>
      </c>
      <c r="Y1326" s="3">
        <v>9.19</v>
      </c>
      <c r="Z1326" t="s">
        <v>109</v>
      </c>
      <c r="AA1326" t="s">
        <v>184</v>
      </c>
      <c r="AB1326" t="s">
        <v>53</v>
      </c>
      <c r="AC1326" s="3">
        <v>1.06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f t="shared" si="40"/>
        <v>12.26</v>
      </c>
      <c r="AK1326" s="3">
        <f t="shared" si="41"/>
        <v>3.0700000000000003</v>
      </c>
    </row>
    <row r="1327" spans="1:37">
      <c r="A1327">
        <v>10347314</v>
      </c>
      <c r="B1327" t="s">
        <v>37</v>
      </c>
      <c r="C1327" t="s">
        <v>8913</v>
      </c>
      <c r="E1327" t="s">
        <v>8914</v>
      </c>
      <c r="F1327" t="s">
        <v>6270</v>
      </c>
      <c r="G1327" t="s">
        <v>8915</v>
      </c>
      <c r="H1327" t="s">
        <v>42</v>
      </c>
      <c r="I1327" t="s">
        <v>8916</v>
      </c>
      <c r="J1327" t="s">
        <v>8917</v>
      </c>
      <c r="K1327" t="s">
        <v>8918</v>
      </c>
      <c r="L1327" t="s">
        <v>142</v>
      </c>
      <c r="M1327" t="s">
        <v>46</v>
      </c>
      <c r="N1327" t="s">
        <v>47</v>
      </c>
      <c r="O1327">
        <v>2</v>
      </c>
      <c r="P1327">
        <v>1</v>
      </c>
      <c r="Q1327">
        <v>2</v>
      </c>
      <c r="R1327" t="s">
        <v>48</v>
      </c>
      <c r="S1327" t="s">
        <v>49</v>
      </c>
      <c r="T1327" s="3">
        <v>0.84</v>
      </c>
      <c r="U1327" s="3">
        <v>0.23</v>
      </c>
      <c r="V1327" s="3">
        <v>1.81</v>
      </c>
      <c r="W1327">
        <v>0.73</v>
      </c>
      <c r="X1327" t="s">
        <v>50</v>
      </c>
      <c r="Y1327" s="3">
        <v>16.43</v>
      </c>
      <c r="Z1327" t="s">
        <v>109</v>
      </c>
      <c r="AA1327" t="s">
        <v>8919</v>
      </c>
      <c r="AB1327" t="s">
        <v>53</v>
      </c>
      <c r="AC1327" s="3">
        <v>1.06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f t="shared" si="40"/>
        <v>20.369999999999997</v>
      </c>
      <c r="AK1327" s="3">
        <f t="shared" si="41"/>
        <v>3.9399999999999977</v>
      </c>
    </row>
    <row r="1328" spans="1:37">
      <c r="A1328">
        <v>10347315</v>
      </c>
      <c r="B1328" t="s">
        <v>37</v>
      </c>
      <c r="C1328" t="s">
        <v>8920</v>
      </c>
      <c r="E1328" t="s">
        <v>2860</v>
      </c>
      <c r="F1328" t="s">
        <v>8921</v>
      </c>
      <c r="G1328" t="s">
        <v>8922</v>
      </c>
      <c r="H1328" t="s">
        <v>42</v>
      </c>
      <c r="I1328" t="s">
        <v>8923</v>
      </c>
      <c r="J1328" t="s">
        <v>8924</v>
      </c>
      <c r="K1328">
        <v>42853</v>
      </c>
      <c r="L1328" t="s">
        <v>71</v>
      </c>
      <c r="M1328" t="s">
        <v>46</v>
      </c>
      <c r="N1328" t="s">
        <v>47</v>
      </c>
      <c r="O1328">
        <v>2</v>
      </c>
      <c r="P1328">
        <v>1</v>
      </c>
      <c r="Q1328">
        <v>2</v>
      </c>
      <c r="R1328" t="s">
        <v>48</v>
      </c>
      <c r="S1328" t="s">
        <v>49</v>
      </c>
      <c r="T1328" s="3">
        <v>0.84</v>
      </c>
      <c r="U1328" s="3">
        <v>0.23</v>
      </c>
      <c r="V1328" s="3">
        <v>1.81</v>
      </c>
      <c r="W1328">
        <v>1.08</v>
      </c>
      <c r="X1328" t="s">
        <v>108</v>
      </c>
      <c r="Y1328" s="3">
        <v>5.14</v>
      </c>
      <c r="Z1328" t="s">
        <v>109</v>
      </c>
      <c r="AA1328" t="s">
        <v>8925</v>
      </c>
      <c r="AB1328" t="s">
        <v>53</v>
      </c>
      <c r="AC1328" s="3">
        <v>1.06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f t="shared" si="40"/>
        <v>9.08</v>
      </c>
      <c r="AK1328" s="3">
        <f t="shared" si="41"/>
        <v>3.9400000000000004</v>
      </c>
    </row>
    <row r="1329" spans="1:37">
      <c r="A1329">
        <v>10348597</v>
      </c>
      <c r="B1329" t="s">
        <v>37</v>
      </c>
      <c r="C1329" t="s">
        <v>8926</v>
      </c>
      <c r="E1329" t="s">
        <v>4938</v>
      </c>
      <c r="F1329" t="s">
        <v>8927</v>
      </c>
      <c r="G1329" t="s">
        <v>8928</v>
      </c>
      <c r="H1329" t="s">
        <v>42</v>
      </c>
      <c r="I1329" t="s">
        <v>8929</v>
      </c>
      <c r="J1329" t="s">
        <v>8930</v>
      </c>
      <c r="K1329" t="s">
        <v>8931</v>
      </c>
      <c r="L1329" t="s">
        <v>142</v>
      </c>
      <c r="M1329" t="s">
        <v>46</v>
      </c>
      <c r="N1329" t="s">
        <v>47</v>
      </c>
      <c r="O1329">
        <v>6</v>
      </c>
      <c r="P1329">
        <v>1</v>
      </c>
      <c r="Q1329">
        <v>6</v>
      </c>
      <c r="R1329" t="s">
        <v>48</v>
      </c>
      <c r="S1329" t="s">
        <v>49</v>
      </c>
      <c r="T1329" s="3">
        <v>0.84</v>
      </c>
      <c r="U1329" s="3">
        <v>0.23</v>
      </c>
      <c r="V1329" s="3">
        <v>5.29</v>
      </c>
      <c r="W1329">
        <v>2.16</v>
      </c>
      <c r="X1329" t="s">
        <v>50</v>
      </c>
      <c r="Y1329" s="3">
        <v>16.43</v>
      </c>
      <c r="Z1329" t="s">
        <v>73</v>
      </c>
      <c r="AA1329" t="s">
        <v>8932</v>
      </c>
      <c r="AB1329" t="s">
        <v>53</v>
      </c>
      <c r="AC1329" s="3">
        <v>1.29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f t="shared" si="40"/>
        <v>24.08</v>
      </c>
      <c r="AK1329" s="3">
        <f t="shared" si="41"/>
        <v>7.6499999999999986</v>
      </c>
    </row>
    <row r="1330" spans="1:37">
      <c r="A1330">
        <v>10348318</v>
      </c>
      <c r="B1330" t="s">
        <v>37</v>
      </c>
      <c r="C1330" t="s">
        <v>8933</v>
      </c>
      <c r="E1330" t="s">
        <v>8934</v>
      </c>
      <c r="F1330" t="s">
        <v>8935</v>
      </c>
      <c r="G1330" t="s">
        <v>8936</v>
      </c>
      <c r="H1330" t="s">
        <v>42</v>
      </c>
      <c r="I1330" t="s">
        <v>8937</v>
      </c>
      <c r="J1330" t="s">
        <v>8938</v>
      </c>
      <c r="K1330">
        <v>7324</v>
      </c>
      <c r="L1330" t="s">
        <v>369</v>
      </c>
      <c r="M1330" t="s">
        <v>46</v>
      </c>
      <c r="N1330" t="s">
        <v>47</v>
      </c>
      <c r="O1330">
        <v>7</v>
      </c>
      <c r="P1330">
        <v>1</v>
      </c>
      <c r="Q1330">
        <v>7</v>
      </c>
      <c r="R1330" t="s">
        <v>48</v>
      </c>
      <c r="S1330" t="s">
        <v>49</v>
      </c>
      <c r="T1330" s="3">
        <v>0.84</v>
      </c>
      <c r="U1330" s="3">
        <v>0.23</v>
      </c>
      <c r="V1330" s="3">
        <v>6.16</v>
      </c>
      <c r="W1330">
        <v>2.48</v>
      </c>
      <c r="X1330" t="s">
        <v>50</v>
      </c>
      <c r="Y1330" s="3">
        <v>9.19</v>
      </c>
      <c r="Z1330" t="s">
        <v>83</v>
      </c>
      <c r="AA1330" t="s">
        <v>8939</v>
      </c>
      <c r="AB1330" t="s">
        <v>53</v>
      </c>
      <c r="AC1330" s="3">
        <v>1.27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f t="shared" si="40"/>
        <v>17.689999999999998</v>
      </c>
      <c r="AK1330" s="3">
        <f t="shared" si="41"/>
        <v>8.4999999999999982</v>
      </c>
    </row>
    <row r="1331" spans="1:37">
      <c r="A1331">
        <v>10348003</v>
      </c>
      <c r="B1331" t="s">
        <v>37</v>
      </c>
      <c r="C1331" t="s">
        <v>8940</v>
      </c>
      <c r="E1331" t="s">
        <v>8941</v>
      </c>
      <c r="F1331" t="s">
        <v>8942</v>
      </c>
      <c r="G1331" t="s">
        <v>8943</v>
      </c>
      <c r="H1331" t="s">
        <v>42</v>
      </c>
      <c r="I1331" t="s">
        <v>8944</v>
      </c>
      <c r="J1331" t="s">
        <v>8945</v>
      </c>
      <c r="K1331" t="s">
        <v>8946</v>
      </c>
      <c r="L1331" t="s">
        <v>82</v>
      </c>
      <c r="M1331" t="s">
        <v>46</v>
      </c>
      <c r="N1331" t="s">
        <v>47</v>
      </c>
      <c r="O1331">
        <v>3</v>
      </c>
      <c r="P1331">
        <v>1</v>
      </c>
      <c r="Q1331">
        <v>3</v>
      </c>
      <c r="R1331" t="s">
        <v>48</v>
      </c>
      <c r="S1331" t="s">
        <v>49</v>
      </c>
      <c r="T1331" s="3">
        <v>0.84</v>
      </c>
      <c r="U1331" s="3">
        <v>0.23</v>
      </c>
      <c r="V1331" s="3">
        <v>2.68</v>
      </c>
      <c r="W1331">
        <v>2.13</v>
      </c>
      <c r="X1331" t="s">
        <v>50</v>
      </c>
      <c r="Y1331" s="3">
        <v>9.19</v>
      </c>
      <c r="Z1331" t="s">
        <v>73</v>
      </c>
      <c r="AA1331" t="s">
        <v>8947</v>
      </c>
      <c r="AB1331" t="s">
        <v>53</v>
      </c>
      <c r="AC1331" s="3">
        <v>1.29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f t="shared" si="40"/>
        <v>14.23</v>
      </c>
      <c r="AK1331" s="3">
        <f t="shared" si="41"/>
        <v>5.0400000000000009</v>
      </c>
    </row>
    <row r="1332" spans="1:37">
      <c r="A1332">
        <v>10348321</v>
      </c>
      <c r="B1332" t="s">
        <v>37</v>
      </c>
      <c r="C1332" t="s">
        <v>8948</v>
      </c>
      <c r="E1332" t="s">
        <v>1953</v>
      </c>
      <c r="F1332" t="s">
        <v>8949</v>
      </c>
      <c r="G1332" t="s">
        <v>8950</v>
      </c>
      <c r="H1332" t="s">
        <v>42</v>
      </c>
      <c r="I1332" t="s">
        <v>8951</v>
      </c>
      <c r="J1332" t="s">
        <v>8952</v>
      </c>
      <c r="K1332" t="s">
        <v>8953</v>
      </c>
      <c r="L1332" t="s">
        <v>82</v>
      </c>
      <c r="M1332" t="s">
        <v>46</v>
      </c>
      <c r="N1332" t="s">
        <v>47</v>
      </c>
      <c r="O1332">
        <v>9</v>
      </c>
      <c r="P1332">
        <v>1</v>
      </c>
      <c r="Q1332">
        <v>9</v>
      </c>
      <c r="R1332" t="s">
        <v>48</v>
      </c>
      <c r="S1332" t="s">
        <v>49</v>
      </c>
      <c r="T1332" s="3">
        <v>0.84</v>
      </c>
      <c r="U1332" s="3">
        <v>0.23</v>
      </c>
      <c r="V1332" s="3">
        <v>7.9</v>
      </c>
      <c r="W1332">
        <v>4.0199999999999996</v>
      </c>
      <c r="X1332" t="s">
        <v>50</v>
      </c>
      <c r="Y1332" s="3">
        <v>9.19</v>
      </c>
      <c r="Z1332" t="s">
        <v>83</v>
      </c>
      <c r="AA1332" t="s">
        <v>8954</v>
      </c>
      <c r="AB1332" t="s">
        <v>53</v>
      </c>
      <c r="AC1332" s="3">
        <v>1.27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f t="shared" si="40"/>
        <v>19.43</v>
      </c>
      <c r="AK1332" s="3">
        <f t="shared" si="41"/>
        <v>10.24</v>
      </c>
    </row>
    <row r="1333" spans="1:37">
      <c r="A1333">
        <v>10348595</v>
      </c>
      <c r="B1333" t="s">
        <v>37</v>
      </c>
      <c r="C1333" t="s">
        <v>8955</v>
      </c>
      <c r="E1333" t="s">
        <v>8956</v>
      </c>
      <c r="F1333" t="s">
        <v>8957</v>
      </c>
      <c r="G1333" t="s">
        <v>8958</v>
      </c>
      <c r="H1333" t="s">
        <v>42</v>
      </c>
      <c r="I1333" t="s">
        <v>8959</v>
      </c>
      <c r="J1333" t="s">
        <v>8960</v>
      </c>
      <c r="K1333">
        <v>1950</v>
      </c>
      <c r="L1333" t="s">
        <v>505</v>
      </c>
      <c r="M1333" t="s">
        <v>46</v>
      </c>
      <c r="N1333" t="s">
        <v>47</v>
      </c>
      <c r="O1333">
        <v>3</v>
      </c>
      <c r="P1333">
        <v>1</v>
      </c>
      <c r="Q1333">
        <v>3</v>
      </c>
      <c r="R1333" t="s">
        <v>48</v>
      </c>
      <c r="S1333" t="s">
        <v>49</v>
      </c>
      <c r="T1333" s="3">
        <v>0.84</v>
      </c>
      <c r="U1333" s="3">
        <v>0.23</v>
      </c>
      <c r="V1333" s="3">
        <v>2.68</v>
      </c>
      <c r="W1333">
        <v>1.1200000000000001</v>
      </c>
      <c r="X1333" t="s">
        <v>50</v>
      </c>
      <c r="Y1333" s="3">
        <v>9.19</v>
      </c>
      <c r="Z1333" t="s">
        <v>73</v>
      </c>
      <c r="AA1333" t="s">
        <v>8961</v>
      </c>
      <c r="AB1333" t="s">
        <v>53</v>
      </c>
      <c r="AC1333" s="3">
        <v>1.29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f t="shared" si="40"/>
        <v>14.23</v>
      </c>
      <c r="AK1333" s="3">
        <f t="shared" si="41"/>
        <v>5.0400000000000009</v>
      </c>
    </row>
    <row r="1334" spans="1:37">
      <c r="A1334">
        <v>10347043</v>
      </c>
      <c r="B1334" t="s">
        <v>111</v>
      </c>
      <c r="C1334" t="s">
        <v>8962</v>
      </c>
      <c r="E1334" t="s">
        <v>2071</v>
      </c>
      <c r="F1334" t="s">
        <v>3053</v>
      </c>
      <c r="G1334" t="s">
        <v>8963</v>
      </c>
      <c r="H1334" t="s">
        <v>117</v>
      </c>
      <c r="I1334" t="s">
        <v>8964</v>
      </c>
      <c r="J1334" t="s">
        <v>3056</v>
      </c>
      <c r="K1334">
        <v>90451</v>
      </c>
      <c r="L1334" t="s">
        <v>71</v>
      </c>
      <c r="M1334" t="s">
        <v>46</v>
      </c>
      <c r="N1334" t="s">
        <v>47</v>
      </c>
      <c r="O1334">
        <v>140</v>
      </c>
      <c r="P1334">
        <v>4</v>
      </c>
      <c r="Q1334">
        <v>4</v>
      </c>
      <c r="R1334" t="s">
        <v>48</v>
      </c>
      <c r="S1334" t="s">
        <v>49</v>
      </c>
      <c r="T1334" s="3">
        <v>7</v>
      </c>
      <c r="U1334" s="3">
        <v>0.23</v>
      </c>
      <c r="V1334" s="3">
        <v>5.34</v>
      </c>
      <c r="W1334">
        <v>65</v>
      </c>
      <c r="X1334" t="s">
        <v>72</v>
      </c>
      <c r="Y1334" s="3">
        <v>41.16</v>
      </c>
      <c r="Z1334" t="s">
        <v>8965</v>
      </c>
      <c r="AA1334" t="s">
        <v>8966</v>
      </c>
      <c r="AB1334" t="s">
        <v>53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f t="shared" si="40"/>
        <v>53.73</v>
      </c>
      <c r="AK1334" s="3">
        <f t="shared" si="41"/>
        <v>12.57</v>
      </c>
    </row>
    <row r="1335" spans="1:37">
      <c r="A1335">
        <v>10349195</v>
      </c>
      <c r="B1335" t="s">
        <v>37</v>
      </c>
      <c r="C1335" t="s">
        <v>8967</v>
      </c>
      <c r="E1335" t="s">
        <v>3869</v>
      </c>
      <c r="F1335" t="s">
        <v>8968</v>
      </c>
      <c r="G1335" t="s">
        <v>8969</v>
      </c>
      <c r="H1335" t="s">
        <v>42</v>
      </c>
      <c r="I1335" t="s">
        <v>8970</v>
      </c>
      <c r="J1335" t="s">
        <v>8971</v>
      </c>
      <c r="K1335">
        <v>3620</v>
      </c>
      <c r="L1335" t="s">
        <v>505</v>
      </c>
      <c r="M1335" t="s">
        <v>46</v>
      </c>
      <c r="N1335" t="s">
        <v>47</v>
      </c>
      <c r="O1335">
        <v>7</v>
      </c>
      <c r="P1335">
        <v>1</v>
      </c>
      <c r="Q1335">
        <v>7</v>
      </c>
      <c r="R1335" t="s">
        <v>48</v>
      </c>
      <c r="S1335" t="s">
        <v>49</v>
      </c>
      <c r="T1335" s="3">
        <v>0.84</v>
      </c>
      <c r="U1335" s="3">
        <v>0.23</v>
      </c>
      <c r="V1335" s="3">
        <v>6.16</v>
      </c>
      <c r="W1335">
        <v>2.64</v>
      </c>
      <c r="X1335" t="s">
        <v>50</v>
      </c>
      <c r="Y1335" s="3">
        <v>10.58</v>
      </c>
      <c r="Z1335" t="s">
        <v>83</v>
      </c>
      <c r="AA1335" t="s">
        <v>8972</v>
      </c>
      <c r="AB1335" t="s">
        <v>53</v>
      </c>
      <c r="AC1335" s="3">
        <v>1.27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f t="shared" si="40"/>
        <v>19.079999999999998</v>
      </c>
      <c r="AK1335" s="3">
        <f t="shared" si="41"/>
        <v>8.4999999999999982</v>
      </c>
    </row>
    <row r="1336" spans="1:37">
      <c r="A1336">
        <v>10347041</v>
      </c>
      <c r="B1336" t="s">
        <v>37</v>
      </c>
      <c r="C1336" t="s">
        <v>8973</v>
      </c>
      <c r="E1336" t="s">
        <v>8974</v>
      </c>
      <c r="F1336" t="s">
        <v>8975</v>
      </c>
      <c r="G1336" t="s">
        <v>8976</v>
      </c>
      <c r="H1336" t="s">
        <v>42</v>
      </c>
      <c r="I1336" t="s">
        <v>8977</v>
      </c>
      <c r="J1336" t="s">
        <v>8978</v>
      </c>
      <c r="K1336" t="s">
        <v>8979</v>
      </c>
      <c r="L1336" t="s">
        <v>91</v>
      </c>
      <c r="M1336" t="s">
        <v>46</v>
      </c>
      <c r="N1336" t="s">
        <v>47</v>
      </c>
      <c r="O1336">
        <v>2</v>
      </c>
      <c r="P1336">
        <v>1</v>
      </c>
      <c r="Q1336">
        <v>2</v>
      </c>
      <c r="R1336" t="s">
        <v>48</v>
      </c>
      <c r="S1336" t="s">
        <v>49</v>
      </c>
      <c r="T1336" s="3">
        <v>0.84</v>
      </c>
      <c r="U1336" s="3">
        <v>0.23</v>
      </c>
      <c r="V1336" s="3">
        <v>1.81</v>
      </c>
      <c r="W1336">
        <v>1.99</v>
      </c>
      <c r="X1336" t="s">
        <v>50</v>
      </c>
      <c r="Y1336" s="3">
        <v>16.43</v>
      </c>
      <c r="Z1336" t="s">
        <v>73</v>
      </c>
      <c r="AA1336" t="s">
        <v>8980</v>
      </c>
      <c r="AB1336" t="s">
        <v>53</v>
      </c>
      <c r="AC1336" s="3">
        <v>1.29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f t="shared" si="40"/>
        <v>20.599999999999998</v>
      </c>
      <c r="AK1336" s="3">
        <f t="shared" si="41"/>
        <v>4.1699999999999982</v>
      </c>
    </row>
    <row r="1337" spans="1:37">
      <c r="A1337">
        <v>10345916</v>
      </c>
      <c r="B1337" t="s">
        <v>37</v>
      </c>
      <c r="C1337" t="s">
        <v>8981</v>
      </c>
      <c r="E1337" t="s">
        <v>408</v>
      </c>
      <c r="F1337" t="s">
        <v>8982</v>
      </c>
      <c r="G1337" t="s">
        <v>8983</v>
      </c>
      <c r="H1337" t="s">
        <v>42</v>
      </c>
      <c r="I1337" t="s">
        <v>8984</v>
      </c>
      <c r="J1337" t="s">
        <v>8985</v>
      </c>
      <c r="K1337">
        <v>9041</v>
      </c>
      <c r="L1337" t="s">
        <v>505</v>
      </c>
      <c r="M1337" t="s">
        <v>46</v>
      </c>
      <c r="N1337" t="s">
        <v>47</v>
      </c>
      <c r="O1337">
        <v>2</v>
      </c>
      <c r="P1337">
        <v>1</v>
      </c>
      <c r="Q1337">
        <v>2</v>
      </c>
      <c r="R1337" t="s">
        <v>48</v>
      </c>
      <c r="S1337" t="s">
        <v>49</v>
      </c>
      <c r="T1337" s="3">
        <v>0.84</v>
      </c>
      <c r="U1337" s="3">
        <v>0.23</v>
      </c>
      <c r="V1337" s="3">
        <v>1.81</v>
      </c>
      <c r="W1337">
        <v>1.08</v>
      </c>
      <c r="X1337" t="s">
        <v>50</v>
      </c>
      <c r="Y1337" s="3">
        <v>9.19</v>
      </c>
      <c r="Z1337" t="s">
        <v>73</v>
      </c>
      <c r="AA1337" t="s">
        <v>1822</v>
      </c>
      <c r="AB1337" t="s">
        <v>53</v>
      </c>
      <c r="AC1337" s="3">
        <v>1.29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f t="shared" si="40"/>
        <v>13.360000000000001</v>
      </c>
      <c r="AK1337" s="3">
        <f t="shared" si="41"/>
        <v>4.1700000000000017</v>
      </c>
    </row>
    <row r="1338" spans="1:37">
      <c r="A1338">
        <v>10349643</v>
      </c>
      <c r="B1338" t="s">
        <v>37</v>
      </c>
      <c r="C1338" t="s">
        <v>8986</v>
      </c>
      <c r="E1338" t="s">
        <v>4729</v>
      </c>
      <c r="F1338" t="s">
        <v>8987</v>
      </c>
      <c r="G1338" t="s">
        <v>8988</v>
      </c>
      <c r="H1338" t="s">
        <v>42</v>
      </c>
      <c r="I1338" t="s">
        <v>8989</v>
      </c>
      <c r="J1338" t="s">
        <v>8990</v>
      </c>
      <c r="K1338">
        <v>10243</v>
      </c>
      <c r="L1338" t="s">
        <v>71</v>
      </c>
      <c r="M1338" t="s">
        <v>46</v>
      </c>
      <c r="N1338" t="s">
        <v>47</v>
      </c>
      <c r="O1338">
        <v>1</v>
      </c>
      <c r="P1338">
        <v>1</v>
      </c>
      <c r="Q1338">
        <v>1</v>
      </c>
      <c r="R1338" t="s">
        <v>48</v>
      </c>
      <c r="S1338" t="s">
        <v>49</v>
      </c>
      <c r="T1338" s="3">
        <v>0.84</v>
      </c>
      <c r="U1338" s="3">
        <v>0.23</v>
      </c>
      <c r="V1338" s="3">
        <v>0.94</v>
      </c>
      <c r="W1338">
        <v>0.49</v>
      </c>
      <c r="X1338" t="s">
        <v>108</v>
      </c>
      <c r="Y1338" s="3">
        <v>6.53</v>
      </c>
      <c r="Z1338" t="s">
        <v>109</v>
      </c>
      <c r="AA1338" t="s">
        <v>7122</v>
      </c>
      <c r="AB1338" t="s">
        <v>53</v>
      </c>
      <c r="AC1338" s="3">
        <v>1.06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f t="shared" si="40"/>
        <v>9.6</v>
      </c>
      <c r="AK1338" s="3">
        <f t="shared" si="41"/>
        <v>3.0699999999999994</v>
      </c>
    </row>
    <row r="1339" spans="1:37">
      <c r="A1339">
        <v>10349642</v>
      </c>
      <c r="B1339" t="s">
        <v>37</v>
      </c>
      <c r="C1339" t="s">
        <v>8991</v>
      </c>
      <c r="E1339" t="s">
        <v>731</v>
      </c>
      <c r="F1339" t="s">
        <v>8992</v>
      </c>
      <c r="G1339" t="s">
        <v>8993</v>
      </c>
      <c r="H1339" t="s">
        <v>42</v>
      </c>
      <c r="I1339" t="s">
        <v>8994</v>
      </c>
      <c r="J1339" t="s">
        <v>8995</v>
      </c>
      <c r="K1339">
        <v>84419</v>
      </c>
      <c r="L1339" t="s">
        <v>71</v>
      </c>
      <c r="M1339" t="s">
        <v>46</v>
      </c>
      <c r="N1339" t="s">
        <v>47</v>
      </c>
      <c r="O1339">
        <v>4</v>
      </c>
      <c r="P1339">
        <v>1</v>
      </c>
      <c r="Q1339">
        <v>4</v>
      </c>
      <c r="R1339" t="s">
        <v>48</v>
      </c>
      <c r="S1339" t="s">
        <v>49</v>
      </c>
      <c r="T1339" s="3">
        <v>0.84</v>
      </c>
      <c r="U1339" s="3">
        <v>0.23</v>
      </c>
      <c r="V1339" s="3">
        <v>3.55</v>
      </c>
      <c r="W1339">
        <v>2.06</v>
      </c>
      <c r="X1339" t="s">
        <v>72</v>
      </c>
      <c r="Y1339" s="3">
        <v>5.44</v>
      </c>
      <c r="Z1339" t="s">
        <v>73</v>
      </c>
      <c r="AA1339" t="s">
        <v>327</v>
      </c>
      <c r="AB1339" t="s">
        <v>53</v>
      </c>
      <c r="AC1339" s="3">
        <v>1.29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f t="shared" si="40"/>
        <v>11.350000000000001</v>
      </c>
      <c r="AK1339" s="3">
        <f t="shared" si="41"/>
        <v>5.910000000000001</v>
      </c>
    </row>
    <row r="1340" spans="1:37">
      <c r="A1340">
        <v>10347316</v>
      </c>
      <c r="B1340" t="s">
        <v>37</v>
      </c>
      <c r="C1340" t="s">
        <v>8996</v>
      </c>
      <c r="D1340" t="s">
        <v>8997</v>
      </c>
      <c r="E1340" t="s">
        <v>4780</v>
      </c>
      <c r="F1340" t="s">
        <v>8998</v>
      </c>
      <c r="G1340" t="s">
        <v>8999</v>
      </c>
      <c r="H1340" t="s">
        <v>42</v>
      </c>
      <c r="I1340" t="s">
        <v>9000</v>
      </c>
      <c r="J1340" t="s">
        <v>9001</v>
      </c>
      <c r="K1340" t="s">
        <v>9002</v>
      </c>
      <c r="L1340" t="s">
        <v>91</v>
      </c>
      <c r="M1340" t="s">
        <v>46</v>
      </c>
      <c r="N1340" t="s">
        <v>47</v>
      </c>
      <c r="O1340">
        <v>2</v>
      </c>
      <c r="P1340">
        <v>1</v>
      </c>
      <c r="Q1340">
        <v>2</v>
      </c>
      <c r="R1340" t="s">
        <v>48</v>
      </c>
      <c r="S1340" t="s">
        <v>49</v>
      </c>
      <c r="T1340" s="3">
        <v>0.84</v>
      </c>
      <c r="U1340" s="3">
        <v>0.23</v>
      </c>
      <c r="V1340" s="3">
        <v>1.81</v>
      </c>
      <c r="W1340">
        <v>6.1</v>
      </c>
      <c r="X1340" t="s">
        <v>50</v>
      </c>
      <c r="Y1340" s="3">
        <v>44.27</v>
      </c>
      <c r="Z1340" t="s">
        <v>51</v>
      </c>
      <c r="AA1340" t="s">
        <v>4031</v>
      </c>
      <c r="AB1340" t="s">
        <v>53</v>
      </c>
      <c r="AC1340" s="3">
        <v>1.87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f t="shared" si="40"/>
        <v>49.02</v>
      </c>
      <c r="AK1340" s="3">
        <f t="shared" si="41"/>
        <v>4.75</v>
      </c>
    </row>
    <row r="1341" spans="1:37">
      <c r="A1341">
        <v>10348319</v>
      </c>
      <c r="B1341" t="s">
        <v>37</v>
      </c>
      <c r="C1341" t="s">
        <v>9003</v>
      </c>
      <c r="E1341" t="s">
        <v>3705</v>
      </c>
      <c r="F1341" t="s">
        <v>9004</v>
      </c>
      <c r="G1341" t="s">
        <v>9005</v>
      </c>
      <c r="H1341" t="s">
        <v>42</v>
      </c>
      <c r="I1341" t="s">
        <v>9006</v>
      </c>
      <c r="J1341" t="s">
        <v>9007</v>
      </c>
      <c r="K1341">
        <v>93158</v>
      </c>
      <c r="L1341" t="s">
        <v>71</v>
      </c>
      <c r="M1341" t="s">
        <v>46</v>
      </c>
      <c r="N1341" t="s">
        <v>47</v>
      </c>
      <c r="O1341">
        <v>2</v>
      </c>
      <c r="P1341">
        <v>1</v>
      </c>
      <c r="Q1341">
        <v>2</v>
      </c>
      <c r="R1341" t="s">
        <v>48</v>
      </c>
      <c r="S1341" t="s">
        <v>49</v>
      </c>
      <c r="T1341" s="3">
        <v>0.84</v>
      </c>
      <c r="U1341" s="3">
        <v>0.23</v>
      </c>
      <c r="V1341" s="3">
        <v>1.81</v>
      </c>
      <c r="W1341">
        <v>0.98</v>
      </c>
      <c r="X1341" t="s">
        <v>72</v>
      </c>
      <c r="Y1341" s="3">
        <v>5.44</v>
      </c>
      <c r="Z1341" t="s">
        <v>73</v>
      </c>
      <c r="AA1341" t="s">
        <v>9008</v>
      </c>
      <c r="AB1341" t="s">
        <v>53</v>
      </c>
      <c r="AC1341" s="3">
        <v>1.29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f t="shared" si="40"/>
        <v>9.6100000000000012</v>
      </c>
      <c r="AK1341" s="3">
        <f t="shared" si="41"/>
        <v>4.1700000000000008</v>
      </c>
    </row>
    <row r="1342" spans="1:37">
      <c r="A1342">
        <v>10348593</v>
      </c>
      <c r="B1342" t="s">
        <v>37</v>
      </c>
      <c r="C1342" t="s">
        <v>9009</v>
      </c>
      <c r="E1342" t="s">
        <v>9010</v>
      </c>
      <c r="F1342" t="s">
        <v>9011</v>
      </c>
      <c r="G1342" t="s">
        <v>9012</v>
      </c>
      <c r="H1342" t="s">
        <v>42</v>
      </c>
      <c r="I1342" t="s">
        <v>9013</v>
      </c>
      <c r="J1342" t="s">
        <v>9014</v>
      </c>
      <c r="K1342">
        <v>3220</v>
      </c>
      <c r="L1342" t="s">
        <v>369</v>
      </c>
      <c r="M1342" t="s">
        <v>46</v>
      </c>
      <c r="N1342" t="s">
        <v>47</v>
      </c>
      <c r="O1342">
        <v>2</v>
      </c>
      <c r="P1342">
        <v>1</v>
      </c>
      <c r="Q1342">
        <v>2</v>
      </c>
      <c r="R1342" t="s">
        <v>48</v>
      </c>
      <c r="S1342" t="s">
        <v>49</v>
      </c>
      <c r="T1342" s="3">
        <v>0.84</v>
      </c>
      <c r="U1342" s="3">
        <v>0.23</v>
      </c>
      <c r="V1342" s="3">
        <v>1.81</v>
      </c>
      <c r="W1342">
        <v>0.88</v>
      </c>
      <c r="X1342" t="s">
        <v>50</v>
      </c>
      <c r="Y1342" s="3">
        <v>9.19</v>
      </c>
      <c r="Z1342" t="s">
        <v>73</v>
      </c>
      <c r="AA1342" t="s">
        <v>9015</v>
      </c>
      <c r="AB1342" t="s">
        <v>53</v>
      </c>
      <c r="AC1342" s="3">
        <v>1.29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f t="shared" si="40"/>
        <v>13.360000000000001</v>
      </c>
      <c r="AK1342" s="3">
        <f t="shared" si="41"/>
        <v>4.1700000000000017</v>
      </c>
    </row>
    <row r="1343" spans="1:37">
      <c r="A1343">
        <v>10347742</v>
      </c>
      <c r="B1343" t="s">
        <v>37</v>
      </c>
      <c r="C1343" t="s">
        <v>9016</v>
      </c>
      <c r="E1343" t="s">
        <v>2999</v>
      </c>
      <c r="F1343" t="s">
        <v>9017</v>
      </c>
      <c r="G1343" t="s">
        <v>9018</v>
      </c>
      <c r="H1343" t="s">
        <v>42</v>
      </c>
      <c r="I1343" t="s">
        <v>9019</v>
      </c>
      <c r="J1343" t="s">
        <v>9020</v>
      </c>
      <c r="K1343">
        <v>92334</v>
      </c>
      <c r="L1343" t="s">
        <v>71</v>
      </c>
      <c r="M1343" t="s">
        <v>46</v>
      </c>
      <c r="N1343" t="s">
        <v>47</v>
      </c>
      <c r="O1343">
        <v>2</v>
      </c>
      <c r="P1343">
        <v>1</v>
      </c>
      <c r="Q1343">
        <v>2</v>
      </c>
      <c r="R1343" t="s">
        <v>48</v>
      </c>
      <c r="S1343" t="s">
        <v>49</v>
      </c>
      <c r="T1343" s="3">
        <v>0.84</v>
      </c>
      <c r="U1343" s="3">
        <v>0.23</v>
      </c>
      <c r="V1343" s="3">
        <v>1.81</v>
      </c>
      <c r="W1343">
        <v>0.63</v>
      </c>
      <c r="X1343" t="s">
        <v>72</v>
      </c>
      <c r="Y1343" s="3">
        <v>5.44</v>
      </c>
      <c r="Z1343" t="s">
        <v>73</v>
      </c>
      <c r="AA1343" t="s">
        <v>9021</v>
      </c>
      <c r="AB1343" t="s">
        <v>53</v>
      </c>
      <c r="AC1343" s="3">
        <v>1.29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f t="shared" si="40"/>
        <v>9.6100000000000012</v>
      </c>
      <c r="AK1343" s="3">
        <f t="shared" si="41"/>
        <v>4.1700000000000008</v>
      </c>
    </row>
    <row r="1344" spans="1:37">
      <c r="A1344">
        <v>10346470</v>
      </c>
      <c r="B1344" t="s">
        <v>37</v>
      </c>
      <c r="C1344" t="s">
        <v>9022</v>
      </c>
      <c r="E1344" t="s">
        <v>9023</v>
      </c>
      <c r="F1344" t="s">
        <v>9024</v>
      </c>
      <c r="G1344" t="s">
        <v>9025</v>
      </c>
      <c r="H1344" t="s">
        <v>42</v>
      </c>
      <c r="I1344" t="s">
        <v>9026</v>
      </c>
      <c r="J1344" t="s">
        <v>9027</v>
      </c>
      <c r="K1344">
        <v>18055</v>
      </c>
      <c r="L1344" t="s">
        <v>71</v>
      </c>
      <c r="M1344" t="s">
        <v>46</v>
      </c>
      <c r="N1344" t="s">
        <v>47</v>
      </c>
      <c r="O1344">
        <v>2</v>
      </c>
      <c r="P1344">
        <v>1</v>
      </c>
      <c r="Q1344">
        <v>2</v>
      </c>
      <c r="R1344" t="s">
        <v>48</v>
      </c>
      <c r="S1344" t="s">
        <v>49</v>
      </c>
      <c r="T1344" s="3">
        <v>0.84</v>
      </c>
      <c r="U1344" s="3">
        <v>0.23</v>
      </c>
      <c r="V1344" s="3">
        <v>1.81</v>
      </c>
      <c r="W1344">
        <v>0.88</v>
      </c>
      <c r="X1344" t="s">
        <v>72</v>
      </c>
      <c r="Y1344" s="3">
        <v>5.44</v>
      </c>
      <c r="Z1344" t="s">
        <v>73</v>
      </c>
      <c r="AA1344" t="s">
        <v>9028</v>
      </c>
      <c r="AB1344" t="s">
        <v>53</v>
      </c>
      <c r="AC1344" s="3">
        <v>1.29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f t="shared" si="40"/>
        <v>9.6100000000000012</v>
      </c>
      <c r="AK1344" s="3">
        <f t="shared" si="41"/>
        <v>4.1700000000000008</v>
      </c>
    </row>
    <row r="1345" spans="1:37">
      <c r="A1345">
        <v>10348594</v>
      </c>
      <c r="B1345" t="s">
        <v>37</v>
      </c>
      <c r="C1345" t="s">
        <v>9029</v>
      </c>
      <c r="E1345" t="s">
        <v>9030</v>
      </c>
      <c r="F1345" t="s">
        <v>9031</v>
      </c>
      <c r="G1345" t="s">
        <v>9032</v>
      </c>
      <c r="H1345" t="s">
        <v>42</v>
      </c>
      <c r="I1345" t="s">
        <v>9033</v>
      </c>
      <c r="J1345" t="s">
        <v>9034</v>
      </c>
      <c r="K1345" t="s">
        <v>9035</v>
      </c>
      <c r="L1345" t="s">
        <v>71</v>
      </c>
      <c r="M1345" t="s">
        <v>46</v>
      </c>
      <c r="N1345" t="s">
        <v>47</v>
      </c>
      <c r="O1345">
        <v>2</v>
      </c>
      <c r="P1345">
        <v>1</v>
      </c>
      <c r="Q1345">
        <v>2</v>
      </c>
      <c r="R1345" t="s">
        <v>48</v>
      </c>
      <c r="S1345" t="s">
        <v>49</v>
      </c>
      <c r="T1345" s="3">
        <v>0.84</v>
      </c>
      <c r="U1345" s="3">
        <v>0.23</v>
      </c>
      <c r="V1345" s="3">
        <v>1.81</v>
      </c>
      <c r="W1345">
        <v>1.08</v>
      </c>
      <c r="X1345" t="s">
        <v>72</v>
      </c>
      <c r="Y1345" s="3">
        <v>5.44</v>
      </c>
      <c r="Z1345" t="s">
        <v>73</v>
      </c>
      <c r="AA1345" t="s">
        <v>3517</v>
      </c>
      <c r="AB1345" t="s">
        <v>53</v>
      </c>
      <c r="AC1345" s="3">
        <v>1.29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f t="shared" si="40"/>
        <v>9.6100000000000012</v>
      </c>
      <c r="AK1345" s="3">
        <f t="shared" si="41"/>
        <v>4.1700000000000008</v>
      </c>
    </row>
    <row r="1346" spans="1:37">
      <c r="A1346">
        <v>10345927</v>
      </c>
      <c r="B1346" t="s">
        <v>37</v>
      </c>
      <c r="C1346" t="s">
        <v>9036</v>
      </c>
      <c r="D1346" t="s">
        <v>9037</v>
      </c>
      <c r="E1346" t="s">
        <v>9038</v>
      </c>
      <c r="F1346" t="s">
        <v>9039</v>
      </c>
      <c r="G1346" t="s">
        <v>9040</v>
      </c>
      <c r="H1346" t="s">
        <v>42</v>
      </c>
      <c r="I1346" t="s">
        <v>9041</v>
      </c>
      <c r="J1346" t="s">
        <v>9042</v>
      </c>
      <c r="K1346">
        <v>48018</v>
      </c>
      <c r="L1346" t="s">
        <v>283</v>
      </c>
      <c r="M1346" t="s">
        <v>46</v>
      </c>
      <c r="N1346" t="s">
        <v>47</v>
      </c>
      <c r="O1346">
        <v>2</v>
      </c>
      <c r="P1346">
        <v>1</v>
      </c>
      <c r="Q1346">
        <v>2</v>
      </c>
      <c r="R1346" t="s">
        <v>48</v>
      </c>
      <c r="S1346" t="s">
        <v>49</v>
      </c>
      <c r="T1346" s="3">
        <v>0.84</v>
      </c>
      <c r="U1346" s="3">
        <v>0.23</v>
      </c>
      <c r="V1346" s="3">
        <v>1.81</v>
      </c>
      <c r="W1346">
        <v>0.35</v>
      </c>
      <c r="X1346" t="s">
        <v>50</v>
      </c>
      <c r="Y1346" s="3">
        <v>14.98</v>
      </c>
      <c r="Z1346" t="s">
        <v>109</v>
      </c>
      <c r="AA1346" t="s">
        <v>9043</v>
      </c>
      <c r="AB1346" t="s">
        <v>53</v>
      </c>
      <c r="AC1346" s="3">
        <v>1.06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f t="shared" ref="AJ1346:AJ1409" si="42">AI1346+AH1346+AG1346+AF1346+AE1346+AD1346+AC1346+Y1346+V1346+U1346+T1346</f>
        <v>18.919999999999998</v>
      </c>
      <c r="AK1346" s="3">
        <f t="shared" ref="AK1346:AK1409" si="43">AJ1346-Y1346</f>
        <v>3.9399999999999977</v>
      </c>
    </row>
    <row r="1347" spans="1:37">
      <c r="A1347">
        <v>10349806</v>
      </c>
      <c r="B1347" t="s">
        <v>37</v>
      </c>
      <c r="C1347" t="s">
        <v>9044</v>
      </c>
      <c r="E1347" t="s">
        <v>9045</v>
      </c>
      <c r="F1347" t="s">
        <v>9046</v>
      </c>
      <c r="G1347" t="s">
        <v>9047</v>
      </c>
      <c r="H1347" t="s">
        <v>42</v>
      </c>
      <c r="I1347" t="s">
        <v>9048</v>
      </c>
      <c r="J1347" t="s">
        <v>9049</v>
      </c>
      <c r="K1347">
        <v>82418</v>
      </c>
      <c r="L1347" t="s">
        <v>71</v>
      </c>
      <c r="M1347" t="s">
        <v>46</v>
      </c>
      <c r="N1347" t="s">
        <v>47</v>
      </c>
      <c r="O1347">
        <v>6</v>
      </c>
      <c r="P1347">
        <v>1</v>
      </c>
      <c r="Q1347">
        <v>6</v>
      </c>
      <c r="R1347" t="s">
        <v>48</v>
      </c>
      <c r="S1347" t="s">
        <v>49</v>
      </c>
      <c r="T1347" s="3">
        <v>0.84</v>
      </c>
      <c r="U1347" s="3">
        <v>0.23</v>
      </c>
      <c r="V1347" s="3">
        <v>5.29</v>
      </c>
      <c r="W1347">
        <v>3.49</v>
      </c>
      <c r="X1347" t="s">
        <v>72</v>
      </c>
      <c r="Y1347" s="3">
        <v>6.61</v>
      </c>
      <c r="Z1347" t="s">
        <v>83</v>
      </c>
      <c r="AA1347" t="s">
        <v>9050</v>
      </c>
      <c r="AB1347" t="s">
        <v>53</v>
      </c>
      <c r="AC1347" s="3">
        <v>1.27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f t="shared" si="42"/>
        <v>14.240000000000002</v>
      </c>
      <c r="AK1347" s="3">
        <f t="shared" si="43"/>
        <v>7.6300000000000017</v>
      </c>
    </row>
    <row r="1348" spans="1:37">
      <c r="A1348">
        <v>10345924</v>
      </c>
      <c r="B1348" t="s">
        <v>37</v>
      </c>
      <c r="C1348" t="s">
        <v>9051</v>
      </c>
      <c r="D1348" t="s">
        <v>9052</v>
      </c>
      <c r="E1348" t="s">
        <v>9053</v>
      </c>
      <c r="F1348" t="s">
        <v>9054</v>
      </c>
      <c r="G1348" t="s">
        <v>9055</v>
      </c>
      <c r="H1348" t="s">
        <v>42</v>
      </c>
      <c r="I1348" t="s">
        <v>9056</v>
      </c>
      <c r="J1348" t="s">
        <v>9057</v>
      </c>
      <c r="K1348" t="s">
        <v>9058</v>
      </c>
      <c r="L1348" t="s">
        <v>91</v>
      </c>
      <c r="M1348" t="s">
        <v>46</v>
      </c>
      <c r="N1348" t="s">
        <v>47</v>
      </c>
      <c r="O1348">
        <v>3</v>
      </c>
      <c r="P1348">
        <v>1</v>
      </c>
      <c r="Q1348">
        <v>3</v>
      </c>
      <c r="R1348" t="s">
        <v>48</v>
      </c>
      <c r="S1348" t="s">
        <v>49</v>
      </c>
      <c r="T1348" s="3">
        <v>0.84</v>
      </c>
      <c r="U1348" s="3">
        <v>0.23</v>
      </c>
      <c r="V1348" s="3">
        <v>2.68</v>
      </c>
      <c r="W1348">
        <v>1.45</v>
      </c>
      <c r="X1348" t="s">
        <v>50</v>
      </c>
      <c r="Y1348" s="3">
        <v>16.43</v>
      </c>
      <c r="Z1348" t="s">
        <v>73</v>
      </c>
      <c r="AA1348" t="s">
        <v>9059</v>
      </c>
      <c r="AB1348" t="s">
        <v>53</v>
      </c>
      <c r="AC1348" s="3">
        <v>1.29</v>
      </c>
      <c r="AD1348" s="3">
        <v>0</v>
      </c>
      <c r="AE1348" s="3">
        <v>0</v>
      </c>
      <c r="AF1348" s="3">
        <v>0</v>
      </c>
      <c r="AG1348" s="3">
        <v>0</v>
      </c>
      <c r="AH1348" s="3">
        <v>5</v>
      </c>
      <c r="AI1348" s="3">
        <v>0</v>
      </c>
      <c r="AJ1348" s="3">
        <f t="shared" si="42"/>
        <v>26.47</v>
      </c>
      <c r="AK1348" s="3">
        <f t="shared" si="43"/>
        <v>10.039999999999999</v>
      </c>
    </row>
    <row r="1349" spans="1:37">
      <c r="A1349">
        <v>10349969</v>
      </c>
      <c r="B1349" t="s">
        <v>37</v>
      </c>
      <c r="C1349" t="s">
        <v>9060</v>
      </c>
      <c r="E1349" t="s">
        <v>9061</v>
      </c>
      <c r="F1349" t="s">
        <v>9062</v>
      </c>
      <c r="G1349" t="s">
        <v>9063</v>
      </c>
      <c r="H1349" t="s">
        <v>42</v>
      </c>
      <c r="I1349" t="s">
        <v>9064</v>
      </c>
      <c r="J1349" t="s">
        <v>9065</v>
      </c>
      <c r="K1349">
        <v>90513</v>
      </c>
      <c r="L1349" t="s">
        <v>71</v>
      </c>
      <c r="M1349" t="s">
        <v>46</v>
      </c>
      <c r="N1349" t="s">
        <v>47</v>
      </c>
      <c r="O1349">
        <v>1</v>
      </c>
      <c r="P1349">
        <v>1</v>
      </c>
      <c r="Q1349">
        <v>1</v>
      </c>
      <c r="R1349" t="s">
        <v>48</v>
      </c>
      <c r="S1349" t="s">
        <v>49</v>
      </c>
      <c r="T1349" s="3">
        <v>0.84</v>
      </c>
      <c r="U1349" s="3">
        <v>0.23</v>
      </c>
      <c r="V1349" s="3">
        <v>0.94</v>
      </c>
      <c r="W1349">
        <v>0.49</v>
      </c>
      <c r="X1349" t="s">
        <v>108</v>
      </c>
      <c r="Y1349" s="3">
        <v>5.14</v>
      </c>
      <c r="Z1349" t="s">
        <v>109</v>
      </c>
      <c r="AA1349" t="s">
        <v>3348</v>
      </c>
      <c r="AB1349" t="s">
        <v>53</v>
      </c>
      <c r="AC1349" s="3">
        <v>1.06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f t="shared" si="42"/>
        <v>8.2099999999999991</v>
      </c>
      <c r="AK1349" s="3">
        <f t="shared" si="43"/>
        <v>3.0699999999999994</v>
      </c>
    </row>
    <row r="1350" spans="1:37">
      <c r="A1350">
        <v>10349971</v>
      </c>
      <c r="B1350" t="s">
        <v>37</v>
      </c>
      <c r="C1350" t="s">
        <v>9066</v>
      </c>
      <c r="E1350" t="s">
        <v>9067</v>
      </c>
      <c r="F1350" t="s">
        <v>9068</v>
      </c>
      <c r="G1350" t="s">
        <v>9069</v>
      </c>
      <c r="H1350" t="s">
        <v>42</v>
      </c>
      <c r="I1350" t="s">
        <v>9070</v>
      </c>
      <c r="J1350" t="s">
        <v>9071</v>
      </c>
      <c r="K1350">
        <v>50997</v>
      </c>
      <c r="L1350" t="s">
        <v>71</v>
      </c>
      <c r="M1350" t="s">
        <v>46</v>
      </c>
      <c r="N1350" t="s">
        <v>47</v>
      </c>
      <c r="O1350">
        <v>4</v>
      </c>
      <c r="P1350">
        <v>1</v>
      </c>
      <c r="Q1350">
        <v>4</v>
      </c>
      <c r="R1350" t="s">
        <v>48</v>
      </c>
      <c r="S1350" t="s">
        <v>49</v>
      </c>
      <c r="T1350" s="3">
        <v>0.84</v>
      </c>
      <c r="U1350" s="3">
        <v>0.23</v>
      </c>
      <c r="V1350" s="3">
        <v>3.55</v>
      </c>
      <c r="W1350">
        <v>2.67</v>
      </c>
      <c r="X1350" t="s">
        <v>72</v>
      </c>
      <c r="Y1350" s="3">
        <v>6.61</v>
      </c>
      <c r="Z1350" t="s">
        <v>83</v>
      </c>
      <c r="AA1350" t="s">
        <v>9072</v>
      </c>
      <c r="AB1350" t="s">
        <v>53</v>
      </c>
      <c r="AC1350" s="3">
        <v>1.27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f t="shared" si="42"/>
        <v>12.5</v>
      </c>
      <c r="AK1350" s="3">
        <f t="shared" si="43"/>
        <v>5.89</v>
      </c>
    </row>
    <row r="1351" spans="1:37">
      <c r="A1351">
        <v>10349967</v>
      </c>
      <c r="B1351" t="s">
        <v>37</v>
      </c>
      <c r="C1351" t="s">
        <v>9073</v>
      </c>
      <c r="E1351" t="s">
        <v>9074</v>
      </c>
      <c r="F1351" t="s">
        <v>637</v>
      </c>
      <c r="G1351" t="s">
        <v>9075</v>
      </c>
      <c r="H1351" t="s">
        <v>42</v>
      </c>
      <c r="I1351" t="s">
        <v>9076</v>
      </c>
      <c r="J1351" t="s">
        <v>9077</v>
      </c>
      <c r="K1351" t="s">
        <v>9078</v>
      </c>
      <c r="L1351" t="s">
        <v>142</v>
      </c>
      <c r="M1351" t="s">
        <v>46</v>
      </c>
      <c r="N1351" t="s">
        <v>47</v>
      </c>
      <c r="O1351">
        <v>1</v>
      </c>
      <c r="P1351">
        <v>1</v>
      </c>
      <c r="Q1351">
        <v>1</v>
      </c>
      <c r="R1351" t="s">
        <v>48</v>
      </c>
      <c r="S1351" t="s">
        <v>49</v>
      </c>
      <c r="T1351" s="3">
        <v>0.84</v>
      </c>
      <c r="U1351" s="3">
        <v>0.23</v>
      </c>
      <c r="V1351" s="3">
        <v>0.94</v>
      </c>
      <c r="W1351">
        <v>0.59</v>
      </c>
      <c r="X1351" t="s">
        <v>50</v>
      </c>
      <c r="Y1351" s="3">
        <v>16.43</v>
      </c>
      <c r="Z1351" t="s">
        <v>109</v>
      </c>
      <c r="AA1351" t="s">
        <v>2623</v>
      </c>
      <c r="AB1351" t="s">
        <v>53</v>
      </c>
      <c r="AC1351" s="3">
        <v>1.06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f t="shared" si="42"/>
        <v>19.5</v>
      </c>
      <c r="AK1351" s="3">
        <f t="shared" si="43"/>
        <v>3.0700000000000003</v>
      </c>
    </row>
    <row r="1352" spans="1:37">
      <c r="A1352">
        <v>10349970</v>
      </c>
      <c r="B1352" t="s">
        <v>37</v>
      </c>
      <c r="C1352" t="s">
        <v>9079</v>
      </c>
      <c r="D1352" t="s">
        <v>9080</v>
      </c>
      <c r="E1352" t="s">
        <v>9081</v>
      </c>
      <c r="F1352" t="s">
        <v>9082</v>
      </c>
      <c r="G1352" t="s">
        <v>9083</v>
      </c>
      <c r="H1352" t="s">
        <v>42</v>
      </c>
      <c r="I1352" t="s">
        <v>9084</v>
      </c>
      <c r="J1352" t="s">
        <v>9085</v>
      </c>
      <c r="K1352" t="s">
        <v>9086</v>
      </c>
      <c r="L1352" t="s">
        <v>82</v>
      </c>
      <c r="M1352" t="s">
        <v>46</v>
      </c>
      <c r="N1352" t="s">
        <v>47</v>
      </c>
      <c r="O1352">
        <v>1</v>
      </c>
      <c r="P1352">
        <v>1</v>
      </c>
      <c r="Q1352">
        <v>1</v>
      </c>
      <c r="R1352" t="s">
        <v>48</v>
      </c>
      <c r="S1352" t="s">
        <v>49</v>
      </c>
      <c r="T1352" s="3">
        <v>0.84</v>
      </c>
      <c r="U1352" s="3">
        <v>0.23</v>
      </c>
      <c r="V1352" s="3">
        <v>0.94</v>
      </c>
      <c r="W1352">
        <v>2.1</v>
      </c>
      <c r="X1352" t="s">
        <v>50</v>
      </c>
      <c r="Y1352" s="3">
        <v>9.19</v>
      </c>
      <c r="Z1352" t="s">
        <v>83</v>
      </c>
      <c r="AA1352" t="s">
        <v>4162</v>
      </c>
      <c r="AB1352" t="s">
        <v>53</v>
      </c>
      <c r="AC1352" s="3">
        <v>1.27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f t="shared" si="42"/>
        <v>12.469999999999999</v>
      </c>
      <c r="AK1352" s="3">
        <f t="shared" si="43"/>
        <v>3.2799999999999994</v>
      </c>
    </row>
    <row r="1353" spans="1:37">
      <c r="A1353">
        <v>10346248</v>
      </c>
      <c r="B1353" t="s">
        <v>111</v>
      </c>
      <c r="C1353" t="s">
        <v>9087</v>
      </c>
      <c r="D1353" t="s">
        <v>3495</v>
      </c>
      <c r="E1353" t="s">
        <v>3496</v>
      </c>
      <c r="F1353" t="s">
        <v>3497</v>
      </c>
      <c r="G1353" t="s">
        <v>9088</v>
      </c>
      <c r="H1353" t="s">
        <v>117</v>
      </c>
      <c r="I1353" t="s">
        <v>9089</v>
      </c>
      <c r="J1353" t="s">
        <v>3500</v>
      </c>
      <c r="K1353" t="s">
        <v>3501</v>
      </c>
      <c r="L1353" t="s">
        <v>229</v>
      </c>
      <c r="M1353" t="s">
        <v>46</v>
      </c>
      <c r="N1353" t="s">
        <v>47</v>
      </c>
      <c r="O1353">
        <v>70</v>
      </c>
      <c r="P1353">
        <v>2</v>
      </c>
      <c r="Q1353">
        <v>70</v>
      </c>
      <c r="R1353" t="s">
        <v>48</v>
      </c>
      <c r="S1353" t="s">
        <v>49</v>
      </c>
      <c r="T1353" s="3">
        <v>7</v>
      </c>
      <c r="U1353" s="3">
        <v>0.23</v>
      </c>
      <c r="V1353" s="3">
        <v>61.65</v>
      </c>
      <c r="W1353">
        <v>10.5</v>
      </c>
      <c r="X1353" t="s">
        <v>50</v>
      </c>
      <c r="Y1353" s="3">
        <v>24.17</v>
      </c>
      <c r="Z1353" t="s">
        <v>1113</v>
      </c>
      <c r="AA1353" t="s">
        <v>9090</v>
      </c>
      <c r="AB1353" t="s">
        <v>53</v>
      </c>
      <c r="AC1353" s="3">
        <v>3.14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f t="shared" si="42"/>
        <v>96.190000000000012</v>
      </c>
      <c r="AK1353" s="3">
        <f t="shared" si="43"/>
        <v>72.02000000000001</v>
      </c>
    </row>
    <row r="1354" spans="1:37">
      <c r="A1354">
        <v>10346483</v>
      </c>
      <c r="B1354" t="s">
        <v>111</v>
      </c>
      <c r="C1354" t="s">
        <v>9091</v>
      </c>
      <c r="D1354" t="s">
        <v>9092</v>
      </c>
      <c r="E1354" t="s">
        <v>9093</v>
      </c>
      <c r="F1354" t="s">
        <v>9094</v>
      </c>
      <c r="G1354" t="s">
        <v>9095</v>
      </c>
      <c r="H1354" t="s">
        <v>117</v>
      </c>
      <c r="I1354" t="s">
        <v>9096</v>
      </c>
      <c r="J1354" t="s">
        <v>9097</v>
      </c>
      <c r="K1354">
        <v>56340</v>
      </c>
      <c r="L1354" t="s">
        <v>130</v>
      </c>
      <c r="M1354" t="s">
        <v>46</v>
      </c>
      <c r="N1354" t="s">
        <v>47</v>
      </c>
      <c r="O1354">
        <v>60</v>
      </c>
      <c r="P1354">
        <v>2</v>
      </c>
      <c r="Q1354">
        <v>60</v>
      </c>
      <c r="R1354" t="s">
        <v>48</v>
      </c>
      <c r="S1354" t="s">
        <v>49</v>
      </c>
      <c r="T1354" s="3">
        <v>7</v>
      </c>
      <c r="U1354" s="3">
        <v>0.23</v>
      </c>
      <c r="V1354" s="3">
        <v>55.75</v>
      </c>
      <c r="W1354">
        <v>21</v>
      </c>
      <c r="X1354" t="s">
        <v>50</v>
      </c>
      <c r="Y1354" s="3">
        <v>34.08</v>
      </c>
      <c r="Z1354" t="s">
        <v>1113</v>
      </c>
      <c r="AA1354" t="s">
        <v>9098</v>
      </c>
      <c r="AB1354" t="s">
        <v>53</v>
      </c>
      <c r="AC1354" s="3">
        <v>3.14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f t="shared" si="42"/>
        <v>100.2</v>
      </c>
      <c r="AK1354" s="3">
        <f t="shared" si="43"/>
        <v>66.12</v>
      </c>
    </row>
    <row r="1355" spans="1:37">
      <c r="A1355">
        <v>10341477</v>
      </c>
      <c r="B1355" t="s">
        <v>37</v>
      </c>
      <c r="C1355" t="s">
        <v>9099</v>
      </c>
      <c r="E1355" t="s">
        <v>9100</v>
      </c>
      <c r="F1355" t="s">
        <v>9101</v>
      </c>
      <c r="G1355" t="s">
        <v>9102</v>
      </c>
      <c r="H1355" t="s">
        <v>42</v>
      </c>
      <c r="I1355" t="s">
        <v>9103</v>
      </c>
      <c r="J1355" t="s">
        <v>9104</v>
      </c>
      <c r="K1355">
        <v>88436</v>
      </c>
      <c r="L1355" t="s">
        <v>71</v>
      </c>
      <c r="M1355" t="s">
        <v>46</v>
      </c>
      <c r="N1355" t="s">
        <v>47</v>
      </c>
      <c r="O1355">
        <v>7</v>
      </c>
      <c r="P1355">
        <v>1</v>
      </c>
      <c r="Q1355">
        <v>7</v>
      </c>
      <c r="R1355" t="s">
        <v>48</v>
      </c>
      <c r="S1355" t="s">
        <v>49</v>
      </c>
      <c r="T1355" s="3">
        <v>0.84</v>
      </c>
      <c r="U1355" s="3">
        <v>0.23</v>
      </c>
      <c r="V1355" s="3">
        <v>6.16</v>
      </c>
      <c r="W1355">
        <v>2.4969999999999999</v>
      </c>
      <c r="X1355" t="s">
        <v>72</v>
      </c>
      <c r="Y1355" s="3">
        <v>5.44</v>
      </c>
      <c r="Z1355" t="s">
        <v>83</v>
      </c>
      <c r="AA1355" t="s">
        <v>9105</v>
      </c>
      <c r="AB1355" t="s">
        <v>53</v>
      </c>
      <c r="AC1355" s="3">
        <v>1.27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f t="shared" si="42"/>
        <v>13.940000000000001</v>
      </c>
      <c r="AK1355" s="3">
        <f t="shared" si="43"/>
        <v>8.5</v>
      </c>
    </row>
    <row r="1356" spans="1:37">
      <c r="A1356">
        <v>10350247</v>
      </c>
      <c r="B1356" t="s">
        <v>37</v>
      </c>
      <c r="C1356" t="s">
        <v>9106</v>
      </c>
      <c r="E1356" t="s">
        <v>3574</v>
      </c>
      <c r="F1356" t="s">
        <v>9107</v>
      </c>
      <c r="G1356" t="s">
        <v>9108</v>
      </c>
      <c r="H1356" t="s">
        <v>42</v>
      </c>
      <c r="I1356" t="s">
        <v>9109</v>
      </c>
      <c r="J1356" t="s">
        <v>9110</v>
      </c>
      <c r="K1356" t="s">
        <v>9111</v>
      </c>
      <c r="L1356" t="s">
        <v>229</v>
      </c>
      <c r="M1356" t="s">
        <v>46</v>
      </c>
      <c r="N1356" t="s">
        <v>47</v>
      </c>
      <c r="O1356">
        <v>4</v>
      </c>
      <c r="P1356">
        <v>1</v>
      </c>
      <c r="Q1356">
        <v>4</v>
      </c>
      <c r="R1356" t="s">
        <v>48</v>
      </c>
      <c r="S1356" t="s">
        <v>49</v>
      </c>
      <c r="T1356" s="3">
        <v>0.84</v>
      </c>
      <c r="U1356" s="3">
        <v>0.23</v>
      </c>
      <c r="V1356" s="3">
        <v>3.55</v>
      </c>
      <c r="W1356">
        <v>2.06</v>
      </c>
      <c r="X1356" t="s">
        <v>50</v>
      </c>
      <c r="Y1356" s="3">
        <v>12.09</v>
      </c>
      <c r="Z1356" t="s">
        <v>73</v>
      </c>
      <c r="AA1356" t="s">
        <v>9112</v>
      </c>
      <c r="AB1356" t="s">
        <v>53</v>
      </c>
      <c r="AC1356" s="3">
        <v>1.29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f t="shared" si="42"/>
        <v>18</v>
      </c>
      <c r="AK1356" s="3">
        <f t="shared" si="43"/>
        <v>5.91</v>
      </c>
    </row>
    <row r="1357" spans="1:37">
      <c r="A1357">
        <v>10350250</v>
      </c>
      <c r="B1357" t="s">
        <v>37</v>
      </c>
      <c r="C1357" t="s">
        <v>9113</v>
      </c>
      <c r="E1357" t="s">
        <v>3933</v>
      </c>
      <c r="F1357" t="s">
        <v>9114</v>
      </c>
      <c r="G1357" t="s">
        <v>9115</v>
      </c>
      <c r="H1357" t="s">
        <v>42</v>
      </c>
      <c r="I1357" t="s">
        <v>9116</v>
      </c>
      <c r="J1357" t="s">
        <v>9117</v>
      </c>
      <c r="K1357">
        <v>90120</v>
      </c>
      <c r="L1357" t="s">
        <v>4233</v>
      </c>
      <c r="M1357" t="s">
        <v>46</v>
      </c>
      <c r="N1357" t="s">
        <v>47</v>
      </c>
      <c r="O1357">
        <v>4</v>
      </c>
      <c r="P1357">
        <v>1</v>
      </c>
      <c r="Q1357">
        <v>4</v>
      </c>
      <c r="R1357" t="s">
        <v>48</v>
      </c>
      <c r="S1357" t="s">
        <v>49</v>
      </c>
      <c r="T1357" s="3">
        <v>0.84</v>
      </c>
      <c r="U1357" s="3">
        <v>0.23</v>
      </c>
      <c r="V1357" s="3">
        <v>3.55</v>
      </c>
      <c r="W1357">
        <v>1.66</v>
      </c>
      <c r="X1357" t="s">
        <v>50</v>
      </c>
      <c r="Y1357" s="3">
        <v>22.22</v>
      </c>
      <c r="Z1357" t="s">
        <v>73</v>
      </c>
      <c r="AA1357" t="s">
        <v>5567</v>
      </c>
      <c r="AB1357" t="s">
        <v>53</v>
      </c>
      <c r="AC1357" s="3">
        <v>1.29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f t="shared" si="42"/>
        <v>28.13</v>
      </c>
      <c r="AK1357" s="3">
        <f t="shared" si="43"/>
        <v>5.91</v>
      </c>
    </row>
    <row r="1358" spans="1:37">
      <c r="A1358">
        <v>10350255</v>
      </c>
      <c r="B1358" t="s">
        <v>37</v>
      </c>
      <c r="C1358" t="s">
        <v>9118</v>
      </c>
      <c r="E1358" t="s">
        <v>484</v>
      </c>
      <c r="F1358" t="s">
        <v>9119</v>
      </c>
      <c r="G1358" t="s">
        <v>9120</v>
      </c>
      <c r="H1358" t="s">
        <v>42</v>
      </c>
      <c r="I1358" t="s">
        <v>9121</v>
      </c>
      <c r="J1358" t="s">
        <v>9122</v>
      </c>
      <c r="K1358">
        <v>40510</v>
      </c>
      <c r="L1358" t="s">
        <v>130</v>
      </c>
      <c r="M1358" t="s">
        <v>46</v>
      </c>
      <c r="N1358" t="s">
        <v>47</v>
      </c>
      <c r="O1358">
        <v>3</v>
      </c>
      <c r="P1358">
        <v>1</v>
      </c>
      <c r="Q1358">
        <v>3</v>
      </c>
      <c r="R1358" t="s">
        <v>48</v>
      </c>
      <c r="S1358" t="s">
        <v>49</v>
      </c>
      <c r="T1358" s="3">
        <v>0.84</v>
      </c>
      <c r="U1358" s="3">
        <v>0.23</v>
      </c>
      <c r="V1358" s="3">
        <v>2.68</v>
      </c>
      <c r="W1358">
        <v>1.22</v>
      </c>
      <c r="X1358" t="s">
        <v>50</v>
      </c>
      <c r="Y1358" s="3">
        <v>14.26</v>
      </c>
      <c r="Z1358" t="s">
        <v>73</v>
      </c>
      <c r="AA1358" t="s">
        <v>9123</v>
      </c>
      <c r="AB1358" t="s">
        <v>53</v>
      </c>
      <c r="AC1358" s="3">
        <v>1.29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f t="shared" si="42"/>
        <v>19.3</v>
      </c>
      <c r="AK1358" s="3">
        <f t="shared" si="43"/>
        <v>5.0400000000000009</v>
      </c>
    </row>
    <row r="1359" spans="1:37">
      <c r="A1359">
        <v>10350252</v>
      </c>
      <c r="B1359" t="s">
        <v>37</v>
      </c>
      <c r="C1359" t="s">
        <v>9124</v>
      </c>
      <c r="E1359" t="s">
        <v>857</v>
      </c>
      <c r="F1359" t="s">
        <v>9125</v>
      </c>
      <c r="G1359" t="s">
        <v>9126</v>
      </c>
      <c r="H1359" t="s">
        <v>42</v>
      </c>
      <c r="I1359" t="s">
        <v>9127</v>
      </c>
      <c r="J1359" t="s">
        <v>9128</v>
      </c>
      <c r="K1359">
        <v>21255</v>
      </c>
      <c r="L1359" t="s">
        <v>71</v>
      </c>
      <c r="M1359" t="s">
        <v>46</v>
      </c>
      <c r="N1359" t="s">
        <v>47</v>
      </c>
      <c r="O1359">
        <v>5</v>
      </c>
      <c r="P1359">
        <v>1</v>
      </c>
      <c r="Q1359">
        <v>5</v>
      </c>
      <c r="R1359" t="s">
        <v>48</v>
      </c>
      <c r="S1359" t="s">
        <v>49</v>
      </c>
      <c r="T1359" s="3">
        <v>0.84</v>
      </c>
      <c r="U1359" s="3">
        <v>0.23</v>
      </c>
      <c r="V1359" s="3">
        <v>4.42</v>
      </c>
      <c r="W1359">
        <v>0.95</v>
      </c>
      <c r="X1359" t="s">
        <v>72</v>
      </c>
      <c r="Y1359" s="3">
        <v>5.44</v>
      </c>
      <c r="Z1359" t="s">
        <v>73</v>
      </c>
      <c r="AA1359" t="s">
        <v>9129</v>
      </c>
      <c r="AB1359" t="s">
        <v>53</v>
      </c>
      <c r="AC1359" s="3">
        <v>1.29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f t="shared" si="42"/>
        <v>12.22</v>
      </c>
      <c r="AK1359" s="3">
        <f t="shared" si="43"/>
        <v>6.78</v>
      </c>
    </row>
    <row r="1360" spans="1:37">
      <c r="A1360">
        <v>10350253</v>
      </c>
      <c r="B1360" t="s">
        <v>37</v>
      </c>
      <c r="C1360" t="s">
        <v>9130</v>
      </c>
      <c r="E1360" t="s">
        <v>9131</v>
      </c>
      <c r="F1360" t="s">
        <v>9132</v>
      </c>
      <c r="G1360" t="s">
        <v>9133</v>
      </c>
      <c r="H1360" t="s">
        <v>42</v>
      </c>
      <c r="I1360" t="s">
        <v>9134</v>
      </c>
      <c r="J1360" t="s">
        <v>9135</v>
      </c>
      <c r="K1360">
        <v>45128</v>
      </c>
      <c r="L1360" t="s">
        <v>71</v>
      </c>
      <c r="M1360" t="s">
        <v>46</v>
      </c>
      <c r="N1360" t="s">
        <v>47</v>
      </c>
      <c r="O1360">
        <v>2</v>
      </c>
      <c r="P1360">
        <v>1</v>
      </c>
      <c r="Q1360">
        <v>2</v>
      </c>
      <c r="R1360" t="s">
        <v>48</v>
      </c>
      <c r="S1360" t="s">
        <v>49</v>
      </c>
      <c r="T1360" s="3">
        <v>0.84</v>
      </c>
      <c r="U1360" s="3">
        <v>0.23</v>
      </c>
      <c r="V1360" s="3">
        <v>1.81</v>
      </c>
      <c r="W1360">
        <v>0.88</v>
      </c>
      <c r="X1360" t="s">
        <v>72</v>
      </c>
      <c r="Y1360" s="3">
        <v>10.99</v>
      </c>
      <c r="Z1360" t="s">
        <v>73</v>
      </c>
      <c r="AA1360" t="s">
        <v>3438</v>
      </c>
      <c r="AB1360" t="s">
        <v>53</v>
      </c>
      <c r="AC1360" s="3">
        <v>1.29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f t="shared" si="42"/>
        <v>15.160000000000002</v>
      </c>
      <c r="AK1360" s="3">
        <f t="shared" si="43"/>
        <v>4.1700000000000017</v>
      </c>
    </row>
    <row r="1361" spans="1:37">
      <c r="A1361">
        <v>10350470</v>
      </c>
      <c r="B1361" t="s">
        <v>37</v>
      </c>
      <c r="C1361" t="s">
        <v>9136</v>
      </c>
      <c r="E1361" t="s">
        <v>9137</v>
      </c>
      <c r="F1361" t="s">
        <v>9138</v>
      </c>
      <c r="G1361" t="s">
        <v>9139</v>
      </c>
      <c r="H1361" t="s">
        <v>42</v>
      </c>
      <c r="I1361" t="s">
        <v>9140</v>
      </c>
      <c r="J1361" t="s">
        <v>9141</v>
      </c>
      <c r="K1361" t="s">
        <v>9142</v>
      </c>
      <c r="L1361" t="s">
        <v>142</v>
      </c>
      <c r="M1361" t="s">
        <v>46</v>
      </c>
      <c r="N1361" t="s">
        <v>47</v>
      </c>
      <c r="O1361">
        <v>2</v>
      </c>
      <c r="P1361">
        <v>1</v>
      </c>
      <c r="Q1361">
        <v>2</v>
      </c>
      <c r="R1361" t="s">
        <v>48</v>
      </c>
      <c r="S1361" t="s">
        <v>49</v>
      </c>
      <c r="T1361" s="3">
        <v>0.84</v>
      </c>
      <c r="U1361" s="3">
        <v>0.23</v>
      </c>
      <c r="V1361" s="3">
        <v>1.81</v>
      </c>
      <c r="W1361">
        <v>1.0900000000000001</v>
      </c>
      <c r="X1361" t="s">
        <v>50</v>
      </c>
      <c r="Y1361" s="3">
        <v>17.82</v>
      </c>
      <c r="Z1361" t="s">
        <v>83</v>
      </c>
      <c r="AA1361" t="s">
        <v>9143</v>
      </c>
      <c r="AB1361" t="s">
        <v>53</v>
      </c>
      <c r="AC1361" s="3">
        <v>1.27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f t="shared" si="42"/>
        <v>21.97</v>
      </c>
      <c r="AK1361" s="3">
        <f t="shared" si="43"/>
        <v>4.1499999999999986</v>
      </c>
    </row>
    <row r="1362" spans="1:37">
      <c r="A1362">
        <v>10350692</v>
      </c>
      <c r="B1362" t="s">
        <v>111</v>
      </c>
      <c r="C1362" t="s">
        <v>9144</v>
      </c>
      <c r="D1362" t="s">
        <v>9145</v>
      </c>
      <c r="E1362" t="s">
        <v>664</v>
      </c>
      <c r="F1362" t="s">
        <v>9146</v>
      </c>
      <c r="G1362" t="s">
        <v>9147</v>
      </c>
      <c r="H1362" t="s">
        <v>117</v>
      </c>
      <c r="I1362" t="s">
        <v>9148</v>
      </c>
      <c r="J1362" t="s">
        <v>9149</v>
      </c>
      <c r="K1362">
        <v>2640</v>
      </c>
      <c r="L1362" t="s">
        <v>505</v>
      </c>
      <c r="M1362" t="s">
        <v>46</v>
      </c>
      <c r="N1362" t="s">
        <v>47</v>
      </c>
      <c r="O1362">
        <v>30</v>
      </c>
      <c r="P1362">
        <v>1</v>
      </c>
      <c r="Q1362">
        <v>30</v>
      </c>
      <c r="R1362" t="s">
        <v>48</v>
      </c>
      <c r="S1362" t="s">
        <v>49</v>
      </c>
      <c r="T1362" s="3">
        <v>7</v>
      </c>
      <c r="U1362" s="3">
        <v>0.23</v>
      </c>
      <c r="V1362" s="3">
        <v>32.65</v>
      </c>
      <c r="W1362">
        <v>14</v>
      </c>
      <c r="X1362" t="s">
        <v>50</v>
      </c>
      <c r="Y1362" s="3">
        <v>14.76</v>
      </c>
      <c r="Z1362" t="s">
        <v>51</v>
      </c>
      <c r="AA1362" t="s">
        <v>9150</v>
      </c>
      <c r="AB1362" t="s">
        <v>53</v>
      </c>
      <c r="AC1362" s="3">
        <v>1.87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f t="shared" si="42"/>
        <v>56.51</v>
      </c>
      <c r="AK1362" s="3">
        <f t="shared" si="43"/>
        <v>41.75</v>
      </c>
    </row>
    <row r="1363" spans="1:37">
      <c r="A1363">
        <v>10350696</v>
      </c>
      <c r="B1363" t="s">
        <v>37</v>
      </c>
      <c r="C1363" t="s">
        <v>9151</v>
      </c>
      <c r="E1363" t="s">
        <v>173</v>
      </c>
      <c r="F1363" t="s">
        <v>9152</v>
      </c>
      <c r="G1363" t="s">
        <v>9153</v>
      </c>
      <c r="H1363" t="s">
        <v>42</v>
      </c>
      <c r="I1363" t="s">
        <v>9154</v>
      </c>
      <c r="J1363" t="s">
        <v>9155</v>
      </c>
      <c r="K1363">
        <v>22587</v>
      </c>
      <c r="L1363" t="s">
        <v>71</v>
      </c>
      <c r="M1363" t="s">
        <v>46</v>
      </c>
      <c r="N1363" t="s">
        <v>47</v>
      </c>
      <c r="O1363">
        <v>2</v>
      </c>
      <c r="P1363">
        <v>1</v>
      </c>
      <c r="Q1363">
        <v>2</v>
      </c>
      <c r="R1363" t="s">
        <v>48</v>
      </c>
      <c r="S1363" t="s">
        <v>49</v>
      </c>
      <c r="T1363" s="3">
        <v>0.84</v>
      </c>
      <c r="U1363" s="3">
        <v>0.23</v>
      </c>
      <c r="V1363" s="3">
        <v>1.81</v>
      </c>
      <c r="W1363">
        <v>1.08</v>
      </c>
      <c r="X1363" t="s">
        <v>72</v>
      </c>
      <c r="Y1363" s="3">
        <v>6.83</v>
      </c>
      <c r="Z1363" t="s">
        <v>73</v>
      </c>
      <c r="AA1363" t="s">
        <v>9156</v>
      </c>
      <c r="AB1363" t="s">
        <v>53</v>
      </c>
      <c r="AC1363" s="3">
        <v>1.29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f t="shared" si="42"/>
        <v>11.000000000000002</v>
      </c>
      <c r="AK1363" s="3">
        <f t="shared" si="43"/>
        <v>4.1700000000000017</v>
      </c>
    </row>
    <row r="1364" spans="1:37">
      <c r="A1364">
        <v>10346481</v>
      </c>
      <c r="B1364" t="s">
        <v>37</v>
      </c>
      <c r="C1364" t="s">
        <v>9157</v>
      </c>
      <c r="D1364" t="s">
        <v>9158</v>
      </c>
      <c r="E1364" t="s">
        <v>9159</v>
      </c>
      <c r="F1364" t="s">
        <v>9160</v>
      </c>
      <c r="G1364" t="s">
        <v>9161</v>
      </c>
      <c r="H1364" t="s">
        <v>42</v>
      </c>
      <c r="I1364" t="s">
        <v>9162</v>
      </c>
      <c r="J1364" t="s">
        <v>9163</v>
      </c>
      <c r="K1364" t="s">
        <v>9164</v>
      </c>
      <c r="L1364" t="s">
        <v>229</v>
      </c>
      <c r="M1364" t="s">
        <v>46</v>
      </c>
      <c r="N1364" t="s">
        <v>47</v>
      </c>
      <c r="O1364">
        <v>2</v>
      </c>
      <c r="P1364">
        <v>1</v>
      </c>
      <c r="Q1364">
        <v>2</v>
      </c>
      <c r="R1364" t="s">
        <v>48</v>
      </c>
      <c r="S1364" t="s">
        <v>49</v>
      </c>
      <c r="T1364" s="3">
        <v>0.84</v>
      </c>
      <c r="U1364" s="3">
        <v>0.23</v>
      </c>
      <c r="V1364" s="3">
        <v>1.81</v>
      </c>
      <c r="W1364">
        <v>0.73</v>
      </c>
      <c r="X1364" t="s">
        <v>50</v>
      </c>
      <c r="Y1364" s="3">
        <v>13.48</v>
      </c>
      <c r="Z1364" t="s">
        <v>73</v>
      </c>
      <c r="AA1364" t="s">
        <v>9165</v>
      </c>
      <c r="AB1364" t="s">
        <v>53</v>
      </c>
      <c r="AC1364" s="3">
        <v>1.29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f t="shared" si="42"/>
        <v>17.649999999999999</v>
      </c>
      <c r="AK1364" s="3">
        <f t="shared" si="43"/>
        <v>4.1699999999999982</v>
      </c>
    </row>
    <row r="1365" spans="1:37">
      <c r="A1365">
        <v>10350469</v>
      </c>
      <c r="B1365" t="s">
        <v>37</v>
      </c>
      <c r="C1365" t="s">
        <v>9166</v>
      </c>
      <c r="E1365" t="s">
        <v>9167</v>
      </c>
      <c r="F1365" t="s">
        <v>9168</v>
      </c>
      <c r="G1365" t="s">
        <v>9169</v>
      </c>
      <c r="H1365" t="s">
        <v>42</v>
      </c>
      <c r="I1365" t="s">
        <v>9170</v>
      </c>
      <c r="J1365" t="s">
        <v>9171</v>
      </c>
      <c r="K1365">
        <v>10587</v>
      </c>
      <c r="L1365" t="s">
        <v>71</v>
      </c>
      <c r="M1365" t="s">
        <v>46</v>
      </c>
      <c r="N1365" t="s">
        <v>47</v>
      </c>
      <c r="O1365">
        <v>5</v>
      </c>
      <c r="P1365">
        <v>1</v>
      </c>
      <c r="Q1365">
        <v>5</v>
      </c>
      <c r="R1365" t="s">
        <v>48</v>
      </c>
      <c r="S1365" t="s">
        <v>49</v>
      </c>
      <c r="T1365" s="3">
        <v>0.84</v>
      </c>
      <c r="U1365" s="3">
        <v>0.23</v>
      </c>
      <c r="V1365" s="3">
        <v>4.42</v>
      </c>
      <c r="W1365">
        <v>2.2599999999999998</v>
      </c>
      <c r="X1365" t="s">
        <v>72</v>
      </c>
      <c r="Y1365" s="3">
        <v>5.44</v>
      </c>
      <c r="Z1365" t="s">
        <v>73</v>
      </c>
      <c r="AA1365" t="s">
        <v>9172</v>
      </c>
      <c r="AB1365" t="s">
        <v>53</v>
      </c>
      <c r="AC1365" s="3">
        <v>1.29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f t="shared" si="42"/>
        <v>12.22</v>
      </c>
      <c r="AK1365" s="3">
        <f t="shared" si="43"/>
        <v>6.78</v>
      </c>
    </row>
    <row r="1366" spans="1:37">
      <c r="A1366">
        <v>10350695</v>
      </c>
      <c r="B1366" t="s">
        <v>37</v>
      </c>
      <c r="C1366" t="s">
        <v>9173</v>
      </c>
      <c r="E1366" t="s">
        <v>9174</v>
      </c>
      <c r="F1366" t="s">
        <v>9175</v>
      </c>
      <c r="G1366" t="s">
        <v>9176</v>
      </c>
      <c r="H1366" t="s">
        <v>42</v>
      </c>
      <c r="I1366" t="s">
        <v>9177</v>
      </c>
      <c r="J1366" t="s">
        <v>9178</v>
      </c>
      <c r="K1366">
        <v>21365</v>
      </c>
      <c r="L1366" t="s">
        <v>71</v>
      </c>
      <c r="M1366" t="s">
        <v>46</v>
      </c>
      <c r="N1366" t="s">
        <v>47</v>
      </c>
      <c r="O1366">
        <v>4</v>
      </c>
      <c r="P1366">
        <v>1</v>
      </c>
      <c r="Q1366">
        <v>4</v>
      </c>
      <c r="R1366" t="s">
        <v>48</v>
      </c>
      <c r="S1366" t="s">
        <v>49</v>
      </c>
      <c r="T1366" s="3">
        <v>0.84</v>
      </c>
      <c r="U1366" s="3">
        <v>0.23</v>
      </c>
      <c r="V1366" s="3">
        <v>3.55</v>
      </c>
      <c r="W1366">
        <v>1.86</v>
      </c>
      <c r="X1366" t="s">
        <v>72</v>
      </c>
      <c r="Y1366" s="3">
        <v>5.44</v>
      </c>
      <c r="Z1366" t="s">
        <v>73</v>
      </c>
      <c r="AA1366" t="s">
        <v>9179</v>
      </c>
      <c r="AB1366" t="s">
        <v>53</v>
      </c>
      <c r="AC1366" s="3">
        <v>1.29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f t="shared" si="42"/>
        <v>11.350000000000001</v>
      </c>
      <c r="AK1366" s="3">
        <f t="shared" si="43"/>
        <v>5.910000000000001</v>
      </c>
    </row>
    <row r="1367" spans="1:37">
      <c r="A1367">
        <v>10351641</v>
      </c>
      <c r="B1367" t="s">
        <v>37</v>
      </c>
      <c r="C1367" t="s">
        <v>9180</v>
      </c>
      <c r="E1367" t="s">
        <v>9181</v>
      </c>
      <c r="F1367" t="s">
        <v>9182</v>
      </c>
      <c r="G1367" t="s">
        <v>9183</v>
      </c>
      <c r="H1367" t="s">
        <v>42</v>
      </c>
      <c r="I1367" t="s">
        <v>9184</v>
      </c>
      <c r="J1367" t="s">
        <v>9185</v>
      </c>
      <c r="K1367">
        <v>70563</v>
      </c>
      <c r="L1367" t="s">
        <v>71</v>
      </c>
      <c r="M1367" t="s">
        <v>46</v>
      </c>
      <c r="N1367" t="s">
        <v>47</v>
      </c>
      <c r="O1367">
        <v>1</v>
      </c>
      <c r="P1367">
        <v>1</v>
      </c>
      <c r="Q1367">
        <v>1</v>
      </c>
      <c r="R1367" t="s">
        <v>48</v>
      </c>
      <c r="S1367" t="s">
        <v>49</v>
      </c>
      <c r="T1367" s="3">
        <v>0.84</v>
      </c>
      <c r="U1367" s="3">
        <v>0.23</v>
      </c>
      <c r="V1367" s="3">
        <v>0.94</v>
      </c>
      <c r="W1367">
        <v>0.55000000000000004</v>
      </c>
      <c r="X1367" t="s">
        <v>72</v>
      </c>
      <c r="Y1367" s="3">
        <v>5.44</v>
      </c>
      <c r="Z1367" t="s">
        <v>73</v>
      </c>
      <c r="AA1367" t="s">
        <v>3859</v>
      </c>
      <c r="AB1367" t="s">
        <v>53</v>
      </c>
      <c r="AC1367" s="3">
        <v>1.29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f t="shared" si="42"/>
        <v>8.74</v>
      </c>
      <c r="AK1367" s="3">
        <f t="shared" si="43"/>
        <v>3.3</v>
      </c>
    </row>
    <row r="1368" spans="1:37">
      <c r="A1368">
        <v>10350693</v>
      </c>
      <c r="B1368" t="s">
        <v>37</v>
      </c>
      <c r="C1368" t="s">
        <v>9186</v>
      </c>
      <c r="E1368" t="s">
        <v>232</v>
      </c>
      <c r="F1368" t="s">
        <v>9187</v>
      </c>
      <c r="G1368" t="s">
        <v>9188</v>
      </c>
      <c r="H1368" t="s">
        <v>42</v>
      </c>
      <c r="I1368" t="s">
        <v>9189</v>
      </c>
      <c r="J1368" t="s">
        <v>9190</v>
      </c>
      <c r="K1368" t="s">
        <v>9191</v>
      </c>
      <c r="L1368" t="s">
        <v>142</v>
      </c>
      <c r="M1368" t="s">
        <v>46</v>
      </c>
      <c r="N1368" t="s">
        <v>47</v>
      </c>
      <c r="O1368">
        <v>1</v>
      </c>
      <c r="P1368">
        <v>1</v>
      </c>
      <c r="Q1368">
        <v>1</v>
      </c>
      <c r="R1368" t="s">
        <v>48</v>
      </c>
      <c r="S1368" t="s">
        <v>49</v>
      </c>
      <c r="T1368" s="3">
        <v>0.84</v>
      </c>
      <c r="U1368" s="3">
        <v>0.23</v>
      </c>
      <c r="V1368" s="3">
        <v>0.94</v>
      </c>
      <c r="W1368">
        <v>0.49</v>
      </c>
      <c r="X1368" t="s">
        <v>50</v>
      </c>
      <c r="Y1368" s="3">
        <v>16.43</v>
      </c>
      <c r="Z1368" t="s">
        <v>109</v>
      </c>
      <c r="AA1368" t="s">
        <v>9192</v>
      </c>
      <c r="AB1368" t="s">
        <v>53</v>
      </c>
      <c r="AC1368" s="3">
        <v>1.06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f t="shared" si="42"/>
        <v>19.5</v>
      </c>
      <c r="AK1368" s="3">
        <f t="shared" si="43"/>
        <v>3.0700000000000003</v>
      </c>
    </row>
    <row r="1369" spans="1:37">
      <c r="A1369">
        <v>10350468</v>
      </c>
      <c r="B1369" t="s">
        <v>37</v>
      </c>
      <c r="C1369" t="s">
        <v>9193</v>
      </c>
      <c r="E1369" t="s">
        <v>9194</v>
      </c>
      <c r="F1369" t="s">
        <v>39</v>
      </c>
      <c r="G1369" t="s">
        <v>9195</v>
      </c>
      <c r="H1369" t="s">
        <v>42</v>
      </c>
      <c r="I1369" t="s">
        <v>9196</v>
      </c>
      <c r="J1369" t="s">
        <v>9197</v>
      </c>
      <c r="K1369">
        <v>61440</v>
      </c>
      <c r="L1369" t="s">
        <v>71</v>
      </c>
      <c r="M1369" t="s">
        <v>46</v>
      </c>
      <c r="N1369" t="s">
        <v>47</v>
      </c>
      <c r="O1369">
        <v>1</v>
      </c>
      <c r="P1369">
        <v>1</v>
      </c>
      <c r="Q1369">
        <v>1</v>
      </c>
      <c r="R1369" t="s">
        <v>48</v>
      </c>
      <c r="S1369" t="s">
        <v>49</v>
      </c>
      <c r="T1369" s="3">
        <v>0.84</v>
      </c>
      <c r="U1369" s="3">
        <v>0.23</v>
      </c>
      <c r="V1369" s="3">
        <v>0.94</v>
      </c>
      <c r="W1369">
        <v>1.7</v>
      </c>
      <c r="X1369" t="s">
        <v>72</v>
      </c>
      <c r="Y1369" s="3">
        <v>5.44</v>
      </c>
      <c r="Z1369" t="s">
        <v>83</v>
      </c>
      <c r="AA1369" t="s">
        <v>8731</v>
      </c>
      <c r="AB1369" t="s">
        <v>53</v>
      </c>
      <c r="AC1369" s="3">
        <v>1.27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f t="shared" si="42"/>
        <v>8.7200000000000006</v>
      </c>
      <c r="AK1369" s="3">
        <f t="shared" si="43"/>
        <v>3.2800000000000002</v>
      </c>
    </row>
    <row r="1370" spans="1:37">
      <c r="A1370">
        <v>10334800</v>
      </c>
      <c r="B1370" t="s">
        <v>37</v>
      </c>
      <c r="C1370" t="s">
        <v>9198</v>
      </c>
      <c r="E1370" t="s">
        <v>9199</v>
      </c>
      <c r="F1370" t="s">
        <v>9200</v>
      </c>
      <c r="G1370" t="s">
        <v>9201</v>
      </c>
      <c r="H1370" t="s">
        <v>42</v>
      </c>
      <c r="I1370" t="s">
        <v>9202</v>
      </c>
      <c r="J1370" t="s">
        <v>9203</v>
      </c>
      <c r="K1370">
        <v>55130</v>
      </c>
      <c r="L1370" t="s">
        <v>71</v>
      </c>
      <c r="M1370" t="s">
        <v>46</v>
      </c>
      <c r="N1370" t="s">
        <v>47</v>
      </c>
      <c r="O1370">
        <v>1</v>
      </c>
      <c r="P1370">
        <v>1</v>
      </c>
      <c r="Q1370">
        <v>1</v>
      </c>
      <c r="R1370" t="s">
        <v>48</v>
      </c>
      <c r="S1370" t="s">
        <v>49</v>
      </c>
      <c r="T1370" s="3">
        <v>0.84</v>
      </c>
      <c r="U1370" s="3">
        <v>0.23</v>
      </c>
      <c r="V1370" s="3">
        <v>0.94</v>
      </c>
      <c r="W1370">
        <v>0.59</v>
      </c>
      <c r="X1370" t="s">
        <v>108</v>
      </c>
      <c r="Y1370" s="3">
        <v>6.53</v>
      </c>
      <c r="Z1370" t="s">
        <v>109</v>
      </c>
      <c r="AA1370" t="s">
        <v>996</v>
      </c>
      <c r="AB1370" t="s">
        <v>53</v>
      </c>
      <c r="AC1370" s="3">
        <v>1.06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f t="shared" si="42"/>
        <v>9.6</v>
      </c>
      <c r="AK1370" s="3">
        <f t="shared" si="43"/>
        <v>3.0699999999999994</v>
      </c>
    </row>
    <row r="1371" spans="1:37">
      <c r="A1371">
        <v>10352919</v>
      </c>
      <c r="B1371" t="s">
        <v>37</v>
      </c>
      <c r="C1371" t="s">
        <v>9204</v>
      </c>
      <c r="E1371" t="s">
        <v>1527</v>
      </c>
      <c r="F1371" t="s">
        <v>9205</v>
      </c>
      <c r="G1371" t="s">
        <v>9206</v>
      </c>
      <c r="H1371" t="s">
        <v>42</v>
      </c>
      <c r="I1371" t="s">
        <v>9207</v>
      </c>
      <c r="J1371" t="s">
        <v>9208</v>
      </c>
      <c r="K1371" t="s">
        <v>9209</v>
      </c>
      <c r="L1371" t="s">
        <v>142</v>
      </c>
      <c r="M1371" t="s">
        <v>46</v>
      </c>
      <c r="N1371" t="s">
        <v>47</v>
      </c>
      <c r="O1371">
        <v>1</v>
      </c>
      <c r="P1371">
        <v>1</v>
      </c>
      <c r="Q1371">
        <v>1</v>
      </c>
      <c r="R1371" t="s">
        <v>48</v>
      </c>
      <c r="S1371" t="s">
        <v>49</v>
      </c>
      <c r="T1371" s="3">
        <v>0.84</v>
      </c>
      <c r="U1371" s="3">
        <v>0.23</v>
      </c>
      <c r="V1371" s="3">
        <v>0.94</v>
      </c>
      <c r="W1371">
        <v>0.49</v>
      </c>
      <c r="X1371" t="s">
        <v>50</v>
      </c>
      <c r="Y1371" s="3">
        <v>16.43</v>
      </c>
      <c r="Z1371" t="s">
        <v>109</v>
      </c>
      <c r="AA1371" t="s">
        <v>785</v>
      </c>
      <c r="AB1371" t="s">
        <v>53</v>
      </c>
      <c r="AC1371" s="3">
        <v>1.06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f t="shared" si="42"/>
        <v>19.5</v>
      </c>
      <c r="AK1371" s="3">
        <f t="shared" si="43"/>
        <v>3.0700000000000003</v>
      </c>
    </row>
    <row r="1372" spans="1:37">
      <c r="A1372">
        <v>10351368</v>
      </c>
      <c r="B1372" t="s">
        <v>37</v>
      </c>
      <c r="C1372" t="s">
        <v>9210</v>
      </c>
      <c r="E1372" t="s">
        <v>398</v>
      </c>
      <c r="F1372" t="s">
        <v>7754</v>
      </c>
      <c r="G1372" t="s">
        <v>9211</v>
      </c>
      <c r="H1372" t="s">
        <v>42</v>
      </c>
      <c r="I1372" t="s">
        <v>9212</v>
      </c>
      <c r="J1372" t="s">
        <v>9213</v>
      </c>
      <c r="K1372">
        <v>14167</v>
      </c>
      <c r="L1372" t="s">
        <v>71</v>
      </c>
      <c r="M1372" t="s">
        <v>46</v>
      </c>
      <c r="N1372" t="s">
        <v>47</v>
      </c>
      <c r="O1372">
        <v>1</v>
      </c>
      <c r="P1372">
        <v>1</v>
      </c>
      <c r="Q1372">
        <v>1</v>
      </c>
      <c r="R1372" t="s">
        <v>48</v>
      </c>
      <c r="S1372" t="s">
        <v>49</v>
      </c>
      <c r="T1372" s="3">
        <v>0.84</v>
      </c>
      <c r="U1372" s="3">
        <v>0.23</v>
      </c>
      <c r="V1372" s="3">
        <v>0.94</v>
      </c>
      <c r="W1372">
        <v>0.59</v>
      </c>
      <c r="X1372" t="s">
        <v>72</v>
      </c>
      <c r="Y1372" s="3">
        <v>5.44</v>
      </c>
      <c r="Z1372" t="s">
        <v>73</v>
      </c>
      <c r="AA1372" t="s">
        <v>2623</v>
      </c>
      <c r="AB1372" t="s">
        <v>53</v>
      </c>
      <c r="AC1372" s="3">
        <v>1.29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f t="shared" si="42"/>
        <v>8.74</v>
      </c>
      <c r="AK1372" s="3">
        <f t="shared" si="43"/>
        <v>3.3</v>
      </c>
    </row>
    <row r="1373" spans="1:37">
      <c r="A1373">
        <v>10350467</v>
      </c>
      <c r="B1373" t="s">
        <v>37</v>
      </c>
      <c r="C1373" t="s">
        <v>9214</v>
      </c>
      <c r="E1373" t="s">
        <v>2484</v>
      </c>
      <c r="F1373" t="s">
        <v>9215</v>
      </c>
      <c r="G1373" t="s">
        <v>9216</v>
      </c>
      <c r="H1373" t="s">
        <v>42</v>
      </c>
      <c r="I1373" t="s">
        <v>9217</v>
      </c>
      <c r="J1373" t="s">
        <v>9218</v>
      </c>
      <c r="K1373" t="s">
        <v>9219</v>
      </c>
      <c r="L1373" t="s">
        <v>142</v>
      </c>
      <c r="M1373" t="s">
        <v>46</v>
      </c>
      <c r="N1373" t="s">
        <v>47</v>
      </c>
      <c r="O1373">
        <v>1</v>
      </c>
      <c r="P1373">
        <v>1</v>
      </c>
      <c r="Q1373">
        <v>1</v>
      </c>
      <c r="R1373" t="s">
        <v>48</v>
      </c>
      <c r="S1373" t="s">
        <v>49</v>
      </c>
      <c r="T1373" s="3">
        <v>0.84</v>
      </c>
      <c r="U1373" s="3">
        <v>0.23</v>
      </c>
      <c r="V1373" s="3">
        <v>0.94</v>
      </c>
      <c r="W1373">
        <v>0.6</v>
      </c>
      <c r="X1373" t="s">
        <v>50</v>
      </c>
      <c r="Y1373" s="3">
        <v>16.43</v>
      </c>
      <c r="Z1373" t="s">
        <v>73</v>
      </c>
      <c r="AA1373" t="s">
        <v>8787</v>
      </c>
      <c r="AB1373" t="s">
        <v>53</v>
      </c>
      <c r="AC1373" s="3">
        <v>1.29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f t="shared" si="42"/>
        <v>19.73</v>
      </c>
      <c r="AK1373" s="3">
        <f t="shared" si="43"/>
        <v>3.3000000000000007</v>
      </c>
    </row>
    <row r="1374" spans="1:37">
      <c r="A1374">
        <v>10352696</v>
      </c>
      <c r="B1374" t="s">
        <v>37</v>
      </c>
      <c r="C1374" t="s">
        <v>9220</v>
      </c>
      <c r="E1374" t="s">
        <v>5091</v>
      </c>
      <c r="F1374" t="s">
        <v>3298</v>
      </c>
      <c r="G1374" t="s">
        <v>9221</v>
      </c>
      <c r="H1374" t="s">
        <v>42</v>
      </c>
      <c r="I1374" t="s">
        <v>9222</v>
      </c>
      <c r="J1374" t="s">
        <v>5094</v>
      </c>
      <c r="K1374">
        <v>85445</v>
      </c>
      <c r="L1374" t="s">
        <v>71</v>
      </c>
      <c r="M1374" t="s">
        <v>46</v>
      </c>
      <c r="N1374" t="s">
        <v>47</v>
      </c>
      <c r="O1374">
        <v>1</v>
      </c>
      <c r="P1374">
        <v>1</v>
      </c>
      <c r="Q1374">
        <v>1</v>
      </c>
      <c r="R1374" t="s">
        <v>48</v>
      </c>
      <c r="S1374" t="s">
        <v>49</v>
      </c>
      <c r="T1374" s="3">
        <v>0.84</v>
      </c>
      <c r="U1374" s="3">
        <v>0.23</v>
      </c>
      <c r="V1374" s="3">
        <v>0.94</v>
      </c>
      <c r="W1374">
        <v>0.49</v>
      </c>
      <c r="X1374" t="s">
        <v>72</v>
      </c>
      <c r="Y1374" s="3">
        <v>5.44</v>
      </c>
      <c r="Z1374" t="s">
        <v>73</v>
      </c>
      <c r="AA1374" t="s">
        <v>9223</v>
      </c>
      <c r="AB1374" t="s">
        <v>53</v>
      </c>
      <c r="AC1374" s="3">
        <v>1.29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f t="shared" si="42"/>
        <v>8.74</v>
      </c>
      <c r="AK1374" s="3">
        <f t="shared" si="43"/>
        <v>3.3</v>
      </c>
    </row>
    <row r="1375" spans="1:37">
      <c r="A1375">
        <v>10351377</v>
      </c>
      <c r="B1375" t="s">
        <v>37</v>
      </c>
      <c r="C1375" t="s">
        <v>9224</v>
      </c>
      <c r="E1375" t="s">
        <v>4364</v>
      </c>
      <c r="F1375" t="s">
        <v>9225</v>
      </c>
      <c r="G1375" t="s">
        <v>9226</v>
      </c>
      <c r="H1375" t="s">
        <v>42</v>
      </c>
      <c r="I1375" t="s">
        <v>9227</v>
      </c>
      <c r="J1375" t="s">
        <v>9228</v>
      </c>
      <c r="K1375" t="s">
        <v>9229</v>
      </c>
      <c r="L1375" t="s">
        <v>82</v>
      </c>
      <c r="M1375" t="s">
        <v>46</v>
      </c>
      <c r="N1375" t="s">
        <v>47</v>
      </c>
      <c r="O1375">
        <v>1</v>
      </c>
      <c r="P1375">
        <v>1</v>
      </c>
      <c r="Q1375">
        <v>1</v>
      </c>
      <c r="R1375" t="s">
        <v>48</v>
      </c>
      <c r="S1375" t="s">
        <v>49</v>
      </c>
      <c r="T1375" s="3">
        <v>0.84</v>
      </c>
      <c r="U1375" s="3">
        <v>0.23</v>
      </c>
      <c r="V1375" s="3">
        <v>0.94</v>
      </c>
      <c r="W1375">
        <v>2.1</v>
      </c>
      <c r="X1375" t="s">
        <v>50</v>
      </c>
      <c r="Y1375" s="3">
        <v>9.19</v>
      </c>
      <c r="Z1375" t="s">
        <v>83</v>
      </c>
      <c r="AA1375" t="s">
        <v>5063</v>
      </c>
      <c r="AB1375" t="s">
        <v>53</v>
      </c>
      <c r="AC1375" s="3">
        <v>1.27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f t="shared" si="42"/>
        <v>12.469999999999999</v>
      </c>
      <c r="AK1375" s="3">
        <f t="shared" si="43"/>
        <v>3.2799999999999994</v>
      </c>
    </row>
    <row r="1376" spans="1:37">
      <c r="A1376">
        <v>10335217</v>
      </c>
      <c r="B1376" t="s">
        <v>37</v>
      </c>
      <c r="C1376" t="s">
        <v>9230</v>
      </c>
      <c r="E1376" t="s">
        <v>9231</v>
      </c>
      <c r="F1376" t="s">
        <v>9232</v>
      </c>
      <c r="G1376" t="s">
        <v>9233</v>
      </c>
      <c r="H1376" t="s">
        <v>42</v>
      </c>
      <c r="I1376" t="s">
        <v>9234</v>
      </c>
      <c r="J1376" t="s">
        <v>9235</v>
      </c>
      <c r="K1376">
        <v>21033</v>
      </c>
      <c r="L1376" t="s">
        <v>71</v>
      </c>
      <c r="M1376" t="s">
        <v>46</v>
      </c>
      <c r="N1376" t="s">
        <v>47</v>
      </c>
      <c r="O1376">
        <v>1</v>
      </c>
      <c r="P1376">
        <v>1</v>
      </c>
      <c r="Q1376">
        <v>1</v>
      </c>
      <c r="R1376" t="s">
        <v>48</v>
      </c>
      <c r="S1376" t="s">
        <v>49</v>
      </c>
      <c r="T1376" s="3">
        <v>0.84</v>
      </c>
      <c r="U1376" s="3">
        <v>0.23</v>
      </c>
      <c r="V1376" s="3">
        <v>0.94</v>
      </c>
      <c r="W1376">
        <v>0.59</v>
      </c>
      <c r="X1376" t="s">
        <v>108</v>
      </c>
      <c r="Y1376" s="3">
        <v>5.14</v>
      </c>
      <c r="Z1376" t="s">
        <v>109</v>
      </c>
      <c r="AA1376" t="s">
        <v>996</v>
      </c>
      <c r="AB1376" t="s">
        <v>53</v>
      </c>
      <c r="AC1376" s="3">
        <v>1.06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f t="shared" si="42"/>
        <v>8.2099999999999991</v>
      </c>
      <c r="AK1376" s="3">
        <f t="shared" si="43"/>
        <v>3.0699999999999994</v>
      </c>
    </row>
    <row r="1377" spans="1:37">
      <c r="A1377">
        <v>10347319</v>
      </c>
      <c r="B1377" t="s">
        <v>37</v>
      </c>
      <c r="C1377" t="s">
        <v>9236</v>
      </c>
      <c r="E1377" t="s">
        <v>9237</v>
      </c>
      <c r="F1377" t="s">
        <v>9238</v>
      </c>
      <c r="G1377" t="s">
        <v>9239</v>
      </c>
      <c r="H1377" t="s">
        <v>42</v>
      </c>
      <c r="I1377" t="s">
        <v>9240</v>
      </c>
      <c r="J1377" t="s">
        <v>9241</v>
      </c>
      <c r="K1377">
        <v>72070</v>
      </c>
      <c r="L1377" t="s">
        <v>71</v>
      </c>
      <c r="M1377" t="s">
        <v>46</v>
      </c>
      <c r="N1377" t="s">
        <v>47</v>
      </c>
      <c r="O1377">
        <v>1</v>
      </c>
      <c r="P1377">
        <v>1</v>
      </c>
      <c r="Q1377">
        <v>1</v>
      </c>
      <c r="R1377" t="s">
        <v>48</v>
      </c>
      <c r="S1377" t="s">
        <v>49</v>
      </c>
      <c r="T1377" s="3">
        <v>0.84</v>
      </c>
      <c r="U1377" s="3">
        <v>0.23</v>
      </c>
      <c r="V1377" s="3">
        <v>0.94</v>
      </c>
      <c r="W1377">
        <v>0.59</v>
      </c>
      <c r="X1377" t="s">
        <v>72</v>
      </c>
      <c r="Y1377" s="3">
        <v>5.44</v>
      </c>
      <c r="Z1377" t="s">
        <v>73</v>
      </c>
      <c r="AA1377" t="s">
        <v>996</v>
      </c>
      <c r="AB1377" t="s">
        <v>53</v>
      </c>
      <c r="AC1377" s="3">
        <v>1.29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f t="shared" si="42"/>
        <v>8.74</v>
      </c>
      <c r="AK1377" s="3">
        <f t="shared" si="43"/>
        <v>3.3</v>
      </c>
    </row>
    <row r="1378" spans="1:37">
      <c r="A1378">
        <v>10351643</v>
      </c>
      <c r="B1378" t="s">
        <v>37</v>
      </c>
      <c r="C1378" t="s">
        <v>9242</v>
      </c>
      <c r="E1378" t="s">
        <v>9243</v>
      </c>
      <c r="F1378" t="s">
        <v>9244</v>
      </c>
      <c r="G1378" t="s">
        <v>9245</v>
      </c>
      <c r="H1378" t="s">
        <v>42</v>
      </c>
      <c r="I1378" t="s">
        <v>9246</v>
      </c>
      <c r="J1378" t="s">
        <v>9247</v>
      </c>
      <c r="K1378">
        <v>91120</v>
      </c>
      <c r="L1378" t="s">
        <v>130</v>
      </c>
      <c r="M1378" t="s">
        <v>46</v>
      </c>
      <c r="N1378" t="s">
        <v>47</v>
      </c>
      <c r="O1378">
        <v>1</v>
      </c>
      <c r="P1378">
        <v>1</v>
      </c>
      <c r="Q1378">
        <v>1</v>
      </c>
      <c r="R1378" t="s">
        <v>48</v>
      </c>
      <c r="S1378" t="s">
        <v>49</v>
      </c>
      <c r="T1378" s="3">
        <v>0.84</v>
      </c>
      <c r="U1378" s="3">
        <v>0.23</v>
      </c>
      <c r="V1378" s="3">
        <v>0.94</v>
      </c>
      <c r="W1378">
        <v>1.7</v>
      </c>
      <c r="X1378" t="s">
        <v>50</v>
      </c>
      <c r="Y1378" s="3">
        <v>14.26</v>
      </c>
      <c r="Z1378" t="s">
        <v>83</v>
      </c>
      <c r="AA1378" t="s">
        <v>3025</v>
      </c>
      <c r="AB1378" t="s">
        <v>53</v>
      </c>
      <c r="AC1378" s="3">
        <v>1.27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f t="shared" si="42"/>
        <v>17.54</v>
      </c>
      <c r="AK1378" s="3">
        <f t="shared" si="43"/>
        <v>3.2799999999999994</v>
      </c>
    </row>
    <row r="1379" spans="1:37">
      <c r="A1379">
        <v>10352395</v>
      </c>
      <c r="B1379" t="s">
        <v>37</v>
      </c>
      <c r="C1379" t="s">
        <v>9248</v>
      </c>
      <c r="E1379" t="s">
        <v>1007</v>
      </c>
      <c r="F1379" t="s">
        <v>9249</v>
      </c>
      <c r="G1379" t="s">
        <v>9250</v>
      </c>
      <c r="H1379" t="s">
        <v>42</v>
      </c>
      <c r="I1379" t="s">
        <v>9251</v>
      </c>
      <c r="J1379" t="s">
        <v>9252</v>
      </c>
      <c r="K1379">
        <v>46325</v>
      </c>
      <c r="L1379" t="s">
        <v>71</v>
      </c>
      <c r="M1379" t="s">
        <v>46</v>
      </c>
      <c r="N1379" t="s">
        <v>47</v>
      </c>
      <c r="O1379">
        <v>1</v>
      </c>
      <c r="P1379">
        <v>1</v>
      </c>
      <c r="Q1379">
        <v>1</v>
      </c>
      <c r="R1379" t="s">
        <v>48</v>
      </c>
      <c r="S1379" t="s">
        <v>49</v>
      </c>
      <c r="T1379" s="3">
        <v>0.84</v>
      </c>
      <c r="U1379" s="3">
        <v>0.23</v>
      </c>
      <c r="V1379" s="3">
        <v>0.94</v>
      </c>
      <c r="W1379">
        <v>0.59</v>
      </c>
      <c r="X1379" t="s">
        <v>72</v>
      </c>
      <c r="Y1379" s="3">
        <v>5.44</v>
      </c>
      <c r="Z1379" t="s">
        <v>73</v>
      </c>
      <c r="AA1379" t="s">
        <v>4668</v>
      </c>
      <c r="AB1379" t="s">
        <v>53</v>
      </c>
      <c r="AC1379" s="3">
        <v>1.29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f t="shared" si="42"/>
        <v>8.74</v>
      </c>
      <c r="AK1379" s="3">
        <f t="shared" si="43"/>
        <v>3.3</v>
      </c>
    </row>
    <row r="1380" spans="1:37">
      <c r="A1380">
        <v>10352923</v>
      </c>
      <c r="B1380" t="s">
        <v>37</v>
      </c>
      <c r="C1380" t="s">
        <v>9253</v>
      </c>
      <c r="E1380" t="s">
        <v>3825</v>
      </c>
      <c r="F1380" t="s">
        <v>9254</v>
      </c>
      <c r="G1380" t="s">
        <v>9255</v>
      </c>
      <c r="H1380" t="s">
        <v>42</v>
      </c>
      <c r="I1380" t="s">
        <v>9256</v>
      </c>
      <c r="J1380" t="s">
        <v>9257</v>
      </c>
      <c r="K1380">
        <v>3740</v>
      </c>
      <c r="L1380" t="s">
        <v>505</v>
      </c>
      <c r="M1380" t="s">
        <v>46</v>
      </c>
      <c r="N1380" t="s">
        <v>47</v>
      </c>
      <c r="O1380">
        <v>1</v>
      </c>
      <c r="P1380">
        <v>1</v>
      </c>
      <c r="Q1380">
        <v>1</v>
      </c>
      <c r="R1380" t="s">
        <v>48</v>
      </c>
      <c r="S1380" t="s">
        <v>49</v>
      </c>
      <c r="T1380" s="3">
        <v>0.84</v>
      </c>
      <c r="U1380" s="3">
        <v>0.23</v>
      </c>
      <c r="V1380" s="3">
        <v>0.94</v>
      </c>
      <c r="W1380">
        <v>0.2</v>
      </c>
      <c r="X1380" t="s">
        <v>50</v>
      </c>
      <c r="Y1380" s="3">
        <v>9.19</v>
      </c>
      <c r="Z1380" t="s">
        <v>109</v>
      </c>
      <c r="AA1380" t="s">
        <v>9258</v>
      </c>
      <c r="AB1380" t="s">
        <v>53</v>
      </c>
      <c r="AC1380" s="3">
        <v>1.06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f t="shared" si="42"/>
        <v>12.26</v>
      </c>
      <c r="AK1380" s="3">
        <f t="shared" si="43"/>
        <v>3.0700000000000003</v>
      </c>
    </row>
    <row r="1381" spans="1:37">
      <c r="A1381">
        <v>10350694</v>
      </c>
      <c r="B1381" t="s">
        <v>37</v>
      </c>
      <c r="C1381" t="s">
        <v>9259</v>
      </c>
      <c r="E1381" t="s">
        <v>9260</v>
      </c>
      <c r="F1381" t="s">
        <v>1743</v>
      </c>
      <c r="G1381" t="s">
        <v>9261</v>
      </c>
      <c r="H1381" t="s">
        <v>42</v>
      </c>
      <c r="I1381" t="s">
        <v>9262</v>
      </c>
      <c r="J1381" t="s">
        <v>9263</v>
      </c>
      <c r="K1381" t="s">
        <v>9264</v>
      </c>
      <c r="L1381" t="s">
        <v>142</v>
      </c>
      <c r="M1381" t="s">
        <v>46</v>
      </c>
      <c r="N1381" t="s">
        <v>47</v>
      </c>
      <c r="O1381">
        <v>1</v>
      </c>
      <c r="P1381">
        <v>1</v>
      </c>
      <c r="Q1381">
        <v>1</v>
      </c>
      <c r="R1381" t="s">
        <v>48</v>
      </c>
      <c r="S1381" t="s">
        <v>49</v>
      </c>
      <c r="T1381" s="3">
        <v>0.84</v>
      </c>
      <c r="U1381" s="3">
        <v>0.23</v>
      </c>
      <c r="V1381" s="3">
        <v>0.94</v>
      </c>
      <c r="W1381">
        <v>0.2</v>
      </c>
      <c r="X1381" t="s">
        <v>50</v>
      </c>
      <c r="Y1381" s="3">
        <v>16.43</v>
      </c>
      <c r="Z1381" t="s">
        <v>109</v>
      </c>
      <c r="AA1381" t="s">
        <v>8316</v>
      </c>
      <c r="AB1381" t="s">
        <v>53</v>
      </c>
      <c r="AC1381" s="3">
        <v>1.06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f t="shared" si="42"/>
        <v>19.5</v>
      </c>
      <c r="AK1381" s="3">
        <f t="shared" si="43"/>
        <v>3.0700000000000003</v>
      </c>
    </row>
    <row r="1382" spans="1:37">
      <c r="A1382">
        <v>10350697</v>
      </c>
      <c r="B1382" t="s">
        <v>37</v>
      </c>
      <c r="C1382" t="s">
        <v>9265</v>
      </c>
      <c r="E1382" t="s">
        <v>9266</v>
      </c>
      <c r="F1382" t="s">
        <v>2520</v>
      </c>
      <c r="G1382" t="s">
        <v>9267</v>
      </c>
      <c r="H1382" t="s">
        <v>42</v>
      </c>
      <c r="I1382" t="s">
        <v>9268</v>
      </c>
      <c r="J1382" t="s">
        <v>9269</v>
      </c>
      <c r="K1382" t="s">
        <v>9270</v>
      </c>
      <c r="L1382" t="s">
        <v>142</v>
      </c>
      <c r="M1382" t="s">
        <v>46</v>
      </c>
      <c r="N1382" t="s">
        <v>47</v>
      </c>
      <c r="O1382">
        <v>1</v>
      </c>
      <c r="P1382">
        <v>1</v>
      </c>
      <c r="Q1382">
        <v>1</v>
      </c>
      <c r="R1382" t="s">
        <v>48</v>
      </c>
      <c r="S1382" t="s">
        <v>49</v>
      </c>
      <c r="T1382" s="3">
        <v>0.84</v>
      </c>
      <c r="U1382" s="3">
        <v>0.23</v>
      </c>
      <c r="V1382" s="3">
        <v>0.94</v>
      </c>
      <c r="W1382">
        <v>0.25</v>
      </c>
      <c r="X1382" t="s">
        <v>50</v>
      </c>
      <c r="Y1382" s="3">
        <v>16.43</v>
      </c>
      <c r="Z1382" t="s">
        <v>109</v>
      </c>
      <c r="AA1382" t="s">
        <v>9271</v>
      </c>
      <c r="AB1382" t="s">
        <v>53</v>
      </c>
      <c r="AC1382" s="3">
        <v>1.06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f t="shared" si="42"/>
        <v>19.5</v>
      </c>
      <c r="AK1382" s="3">
        <f t="shared" si="43"/>
        <v>3.0700000000000003</v>
      </c>
    </row>
    <row r="1383" spans="1:37">
      <c r="A1383">
        <v>10350881</v>
      </c>
      <c r="B1383" t="s">
        <v>37</v>
      </c>
      <c r="C1383" t="s">
        <v>9272</v>
      </c>
      <c r="E1383" t="s">
        <v>9273</v>
      </c>
      <c r="F1383" t="s">
        <v>9274</v>
      </c>
      <c r="G1383" t="s">
        <v>9275</v>
      </c>
      <c r="H1383" t="s">
        <v>42</v>
      </c>
      <c r="I1383" t="s">
        <v>9276</v>
      </c>
      <c r="J1383" t="s">
        <v>9277</v>
      </c>
      <c r="K1383">
        <v>2625</v>
      </c>
      <c r="L1383" t="s">
        <v>369</v>
      </c>
      <c r="M1383" t="s">
        <v>46</v>
      </c>
      <c r="N1383" t="s">
        <v>47</v>
      </c>
      <c r="O1383">
        <v>9</v>
      </c>
      <c r="P1383">
        <v>1</v>
      </c>
      <c r="Q1383">
        <v>9</v>
      </c>
      <c r="R1383" t="s">
        <v>48</v>
      </c>
      <c r="S1383" t="s">
        <v>49</v>
      </c>
      <c r="T1383" s="3">
        <v>0.84</v>
      </c>
      <c r="U1383" s="3">
        <v>0.23</v>
      </c>
      <c r="V1383" s="3">
        <v>7.9</v>
      </c>
      <c r="W1383">
        <v>4.08</v>
      </c>
      <c r="X1383" t="s">
        <v>50</v>
      </c>
      <c r="Y1383" s="3">
        <v>9.19</v>
      </c>
      <c r="Z1383" t="s">
        <v>83</v>
      </c>
      <c r="AA1383" t="s">
        <v>9278</v>
      </c>
      <c r="AB1383" t="s">
        <v>53</v>
      </c>
      <c r="AC1383" s="3">
        <v>1.27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f t="shared" si="42"/>
        <v>19.43</v>
      </c>
      <c r="AK1383" s="3">
        <f t="shared" si="43"/>
        <v>10.24</v>
      </c>
    </row>
    <row r="1384" spans="1:37">
      <c r="A1384">
        <v>10352384</v>
      </c>
      <c r="B1384" t="s">
        <v>37</v>
      </c>
      <c r="C1384" t="s">
        <v>9279</v>
      </c>
      <c r="E1384" t="s">
        <v>3574</v>
      </c>
      <c r="F1384" t="s">
        <v>9280</v>
      </c>
      <c r="G1384" t="s">
        <v>9281</v>
      </c>
      <c r="H1384" t="s">
        <v>42</v>
      </c>
      <c r="I1384" t="s">
        <v>9282</v>
      </c>
      <c r="J1384" t="s">
        <v>9283</v>
      </c>
      <c r="K1384" t="s">
        <v>9284</v>
      </c>
      <c r="L1384" t="s">
        <v>82</v>
      </c>
      <c r="M1384" t="s">
        <v>46</v>
      </c>
      <c r="N1384" t="s">
        <v>47</v>
      </c>
      <c r="O1384">
        <v>1</v>
      </c>
      <c r="P1384">
        <v>1</v>
      </c>
      <c r="Q1384">
        <v>1</v>
      </c>
      <c r="R1384" t="s">
        <v>48</v>
      </c>
      <c r="S1384" t="s">
        <v>49</v>
      </c>
      <c r="T1384" s="3">
        <v>0.84</v>
      </c>
      <c r="U1384" s="3">
        <v>0.23</v>
      </c>
      <c r="V1384" s="3">
        <v>0.94</v>
      </c>
      <c r="W1384">
        <v>0.24</v>
      </c>
      <c r="X1384" t="s">
        <v>50</v>
      </c>
      <c r="Y1384" s="3">
        <v>9.19</v>
      </c>
      <c r="Z1384" t="s">
        <v>109</v>
      </c>
      <c r="AA1384" t="s">
        <v>9285</v>
      </c>
      <c r="AB1384" t="s">
        <v>53</v>
      </c>
      <c r="AC1384" s="3">
        <v>1.06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f t="shared" si="42"/>
        <v>12.26</v>
      </c>
      <c r="AK1384" s="3">
        <f t="shared" si="43"/>
        <v>3.0700000000000003</v>
      </c>
    </row>
    <row r="1385" spans="1:37">
      <c r="A1385">
        <v>10350882</v>
      </c>
      <c r="B1385" t="s">
        <v>37</v>
      </c>
      <c r="C1385" t="s">
        <v>9286</v>
      </c>
      <c r="E1385" t="s">
        <v>9287</v>
      </c>
      <c r="F1385" t="s">
        <v>9288</v>
      </c>
      <c r="G1385" t="s">
        <v>9289</v>
      </c>
      <c r="H1385" t="s">
        <v>42</v>
      </c>
      <c r="I1385" t="s">
        <v>9290</v>
      </c>
      <c r="J1385" t="s">
        <v>9291</v>
      </c>
      <c r="K1385">
        <v>80335</v>
      </c>
      <c r="L1385" t="s">
        <v>71</v>
      </c>
      <c r="M1385" t="s">
        <v>46</v>
      </c>
      <c r="N1385" t="s">
        <v>47</v>
      </c>
      <c r="O1385">
        <v>3</v>
      </c>
      <c r="P1385">
        <v>1</v>
      </c>
      <c r="Q1385">
        <v>3</v>
      </c>
      <c r="R1385" t="s">
        <v>48</v>
      </c>
      <c r="S1385" t="s">
        <v>49</v>
      </c>
      <c r="T1385" s="3">
        <v>0.84</v>
      </c>
      <c r="U1385" s="3">
        <v>0.23</v>
      </c>
      <c r="V1385" s="3">
        <v>2.68</v>
      </c>
      <c r="W1385">
        <v>1.19</v>
      </c>
      <c r="X1385" t="s">
        <v>72</v>
      </c>
      <c r="Y1385" s="3">
        <v>5.44</v>
      </c>
      <c r="Z1385" t="s">
        <v>73</v>
      </c>
      <c r="AA1385" t="s">
        <v>9292</v>
      </c>
      <c r="AB1385" t="s">
        <v>53</v>
      </c>
      <c r="AC1385" s="3">
        <v>1.29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f t="shared" si="42"/>
        <v>10.48</v>
      </c>
      <c r="AK1385" s="3">
        <f t="shared" si="43"/>
        <v>5.04</v>
      </c>
    </row>
    <row r="1386" spans="1:37">
      <c r="A1386">
        <v>10352386</v>
      </c>
      <c r="B1386" t="s">
        <v>37</v>
      </c>
      <c r="C1386" t="s">
        <v>9293</v>
      </c>
      <c r="E1386" t="s">
        <v>240</v>
      </c>
      <c r="F1386" t="s">
        <v>9294</v>
      </c>
      <c r="G1386" t="s">
        <v>9295</v>
      </c>
      <c r="H1386" t="s">
        <v>42</v>
      </c>
      <c r="I1386" t="s">
        <v>9296</v>
      </c>
      <c r="J1386" t="s">
        <v>9297</v>
      </c>
      <c r="K1386">
        <v>22767</v>
      </c>
      <c r="L1386" t="s">
        <v>71</v>
      </c>
      <c r="M1386" t="s">
        <v>46</v>
      </c>
      <c r="N1386" t="s">
        <v>47</v>
      </c>
      <c r="O1386">
        <v>2</v>
      </c>
      <c r="P1386">
        <v>1</v>
      </c>
      <c r="Q1386">
        <v>2</v>
      </c>
      <c r="R1386" t="s">
        <v>48</v>
      </c>
      <c r="S1386" t="s">
        <v>49</v>
      </c>
      <c r="T1386" s="3">
        <v>0.84</v>
      </c>
      <c r="U1386" s="3">
        <v>0.23</v>
      </c>
      <c r="V1386" s="3">
        <v>1.81</v>
      </c>
      <c r="W1386">
        <v>1.08</v>
      </c>
      <c r="X1386" t="s">
        <v>72</v>
      </c>
      <c r="Y1386" s="3">
        <v>5.44</v>
      </c>
      <c r="Z1386" t="s">
        <v>73</v>
      </c>
      <c r="AA1386" t="s">
        <v>662</v>
      </c>
      <c r="AB1386" t="s">
        <v>53</v>
      </c>
      <c r="AC1386" s="3">
        <v>1.29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f t="shared" si="42"/>
        <v>9.6100000000000012</v>
      </c>
      <c r="AK1386" s="3">
        <f t="shared" si="43"/>
        <v>4.1700000000000008</v>
      </c>
    </row>
    <row r="1387" spans="1:37">
      <c r="A1387">
        <v>10341065</v>
      </c>
      <c r="B1387" t="s">
        <v>37</v>
      </c>
      <c r="C1387" t="s">
        <v>9298</v>
      </c>
      <c r="E1387" t="s">
        <v>6229</v>
      </c>
      <c r="F1387" t="s">
        <v>9299</v>
      </c>
      <c r="G1387" t="s">
        <v>9300</v>
      </c>
      <c r="H1387" t="s">
        <v>42</v>
      </c>
      <c r="I1387" t="s">
        <v>9301</v>
      </c>
      <c r="J1387" t="s">
        <v>9302</v>
      </c>
      <c r="K1387">
        <v>1724</v>
      </c>
      <c r="L1387" t="s">
        <v>369</v>
      </c>
      <c r="M1387" t="s">
        <v>46</v>
      </c>
      <c r="N1387" t="s">
        <v>47</v>
      </c>
      <c r="O1387">
        <v>3</v>
      </c>
      <c r="P1387">
        <v>1</v>
      </c>
      <c r="Q1387">
        <v>3</v>
      </c>
      <c r="R1387" t="s">
        <v>48</v>
      </c>
      <c r="S1387" t="s">
        <v>49</v>
      </c>
      <c r="T1387" s="3">
        <v>0.84</v>
      </c>
      <c r="U1387" s="3">
        <v>0.23</v>
      </c>
      <c r="V1387" s="3">
        <v>2.68</v>
      </c>
      <c r="W1387">
        <v>1.1200000000000001</v>
      </c>
      <c r="X1387" t="s">
        <v>50</v>
      </c>
      <c r="Y1387" s="3">
        <v>9.19</v>
      </c>
      <c r="Z1387" t="s">
        <v>73</v>
      </c>
      <c r="AA1387" t="s">
        <v>9303</v>
      </c>
      <c r="AB1387" t="s">
        <v>53</v>
      </c>
      <c r="AC1387" s="3">
        <v>1.29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f t="shared" si="42"/>
        <v>14.23</v>
      </c>
      <c r="AK1387" s="3">
        <f t="shared" si="43"/>
        <v>5.0400000000000009</v>
      </c>
    </row>
    <row r="1388" spans="1:37">
      <c r="A1388">
        <v>10351371</v>
      </c>
      <c r="B1388" t="s">
        <v>37</v>
      </c>
      <c r="C1388" t="s">
        <v>9304</v>
      </c>
      <c r="D1388" t="s">
        <v>9305</v>
      </c>
      <c r="E1388" t="s">
        <v>321</v>
      </c>
      <c r="F1388" t="s">
        <v>9306</v>
      </c>
      <c r="G1388" t="s">
        <v>9307</v>
      </c>
      <c r="H1388" t="s">
        <v>42</v>
      </c>
      <c r="I1388" t="s">
        <v>9308</v>
      </c>
      <c r="J1388" t="s">
        <v>9309</v>
      </c>
      <c r="K1388" t="s">
        <v>9310</v>
      </c>
      <c r="L1388" t="s">
        <v>142</v>
      </c>
      <c r="M1388" t="s">
        <v>46</v>
      </c>
      <c r="N1388" t="s">
        <v>47</v>
      </c>
      <c r="O1388">
        <v>4</v>
      </c>
      <c r="P1388">
        <v>1</v>
      </c>
      <c r="Q1388">
        <v>4</v>
      </c>
      <c r="R1388" t="s">
        <v>48</v>
      </c>
      <c r="S1388" t="s">
        <v>49</v>
      </c>
      <c r="T1388" s="3">
        <v>0.84</v>
      </c>
      <c r="U1388" s="3">
        <v>0.23</v>
      </c>
      <c r="V1388" s="3">
        <v>3.55</v>
      </c>
      <c r="W1388">
        <v>1.66</v>
      </c>
      <c r="X1388" t="s">
        <v>50</v>
      </c>
      <c r="Y1388" s="3">
        <v>16.43</v>
      </c>
      <c r="Z1388" t="s">
        <v>73</v>
      </c>
      <c r="AA1388" t="s">
        <v>2255</v>
      </c>
      <c r="AB1388" t="s">
        <v>53</v>
      </c>
      <c r="AC1388" s="3">
        <v>1.29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f t="shared" si="42"/>
        <v>22.34</v>
      </c>
      <c r="AK1388" s="3">
        <f t="shared" si="43"/>
        <v>5.91</v>
      </c>
    </row>
    <row r="1389" spans="1:37">
      <c r="A1389">
        <v>10352697</v>
      </c>
      <c r="B1389" t="s">
        <v>37</v>
      </c>
      <c r="C1389" t="s">
        <v>9311</v>
      </c>
      <c r="E1389" t="s">
        <v>9312</v>
      </c>
      <c r="F1389" t="s">
        <v>9313</v>
      </c>
      <c r="G1389" t="s">
        <v>9314</v>
      </c>
      <c r="H1389" t="s">
        <v>42</v>
      </c>
      <c r="I1389" t="s">
        <v>9315</v>
      </c>
      <c r="J1389" t="s">
        <v>9316</v>
      </c>
      <c r="K1389">
        <v>12157</v>
      </c>
      <c r="L1389" t="s">
        <v>71</v>
      </c>
      <c r="M1389" t="s">
        <v>46</v>
      </c>
      <c r="N1389" t="s">
        <v>47</v>
      </c>
      <c r="O1389">
        <v>2</v>
      </c>
      <c r="P1389">
        <v>1</v>
      </c>
      <c r="Q1389">
        <v>2</v>
      </c>
      <c r="R1389" t="s">
        <v>48</v>
      </c>
      <c r="S1389" t="s">
        <v>49</v>
      </c>
      <c r="T1389" s="3">
        <v>0.84</v>
      </c>
      <c r="U1389" s="3">
        <v>0.23</v>
      </c>
      <c r="V1389" s="3">
        <v>1.81</v>
      </c>
      <c r="W1389">
        <v>1.84</v>
      </c>
      <c r="X1389" t="s">
        <v>72</v>
      </c>
      <c r="Y1389" s="3">
        <v>5.44</v>
      </c>
      <c r="Z1389" t="s">
        <v>83</v>
      </c>
      <c r="AA1389" t="s">
        <v>9317</v>
      </c>
      <c r="AB1389" t="s">
        <v>53</v>
      </c>
      <c r="AC1389" s="3">
        <v>1.27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f t="shared" si="42"/>
        <v>9.5900000000000016</v>
      </c>
      <c r="AK1389" s="3">
        <f t="shared" si="43"/>
        <v>4.1500000000000012</v>
      </c>
    </row>
    <row r="1390" spans="1:37">
      <c r="A1390">
        <v>10350880</v>
      </c>
      <c r="B1390" t="s">
        <v>37</v>
      </c>
      <c r="C1390" t="s">
        <v>9318</v>
      </c>
      <c r="E1390" t="s">
        <v>9319</v>
      </c>
      <c r="F1390" t="s">
        <v>9320</v>
      </c>
      <c r="G1390" t="s">
        <v>9321</v>
      </c>
      <c r="H1390" t="s">
        <v>42</v>
      </c>
      <c r="I1390" t="s">
        <v>9322</v>
      </c>
      <c r="J1390" t="s">
        <v>9323</v>
      </c>
      <c r="K1390">
        <v>88045</v>
      </c>
      <c r="L1390" t="s">
        <v>71</v>
      </c>
      <c r="M1390" t="s">
        <v>46</v>
      </c>
      <c r="N1390" t="s">
        <v>47</v>
      </c>
      <c r="O1390">
        <v>4</v>
      </c>
      <c r="P1390">
        <v>1</v>
      </c>
      <c r="Q1390">
        <v>4</v>
      </c>
      <c r="R1390" t="s">
        <v>48</v>
      </c>
      <c r="S1390" t="s">
        <v>49</v>
      </c>
      <c r="T1390" s="3">
        <v>0.84</v>
      </c>
      <c r="U1390" s="3">
        <v>0.23</v>
      </c>
      <c r="V1390" s="3">
        <v>3.55</v>
      </c>
      <c r="W1390">
        <v>1.66</v>
      </c>
      <c r="X1390" t="s">
        <v>72</v>
      </c>
      <c r="Y1390" s="3">
        <v>5.44</v>
      </c>
      <c r="Z1390" t="s">
        <v>73</v>
      </c>
      <c r="AA1390" t="s">
        <v>538</v>
      </c>
      <c r="AB1390" t="s">
        <v>53</v>
      </c>
      <c r="AC1390" s="3">
        <v>1.29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f t="shared" si="42"/>
        <v>11.350000000000001</v>
      </c>
      <c r="AK1390" s="3">
        <f t="shared" si="43"/>
        <v>5.910000000000001</v>
      </c>
    </row>
    <row r="1391" spans="1:37">
      <c r="A1391">
        <v>10351642</v>
      </c>
      <c r="B1391" t="s">
        <v>37</v>
      </c>
      <c r="C1391" t="s">
        <v>9324</v>
      </c>
      <c r="E1391" t="s">
        <v>9325</v>
      </c>
      <c r="F1391" t="s">
        <v>9326</v>
      </c>
      <c r="G1391" t="s">
        <v>9327</v>
      </c>
      <c r="H1391" t="s">
        <v>42</v>
      </c>
      <c r="I1391" t="s">
        <v>9328</v>
      </c>
      <c r="J1391" t="s">
        <v>9329</v>
      </c>
      <c r="K1391" t="s">
        <v>9330</v>
      </c>
      <c r="L1391" t="s">
        <v>142</v>
      </c>
      <c r="M1391" t="s">
        <v>46</v>
      </c>
      <c r="N1391" t="s">
        <v>47</v>
      </c>
      <c r="O1391">
        <v>2</v>
      </c>
      <c r="P1391">
        <v>1</v>
      </c>
      <c r="Q1391">
        <v>2</v>
      </c>
      <c r="R1391" t="s">
        <v>48</v>
      </c>
      <c r="S1391" t="s">
        <v>49</v>
      </c>
      <c r="T1391" s="3">
        <v>0.84</v>
      </c>
      <c r="U1391" s="3">
        <v>0.23</v>
      </c>
      <c r="V1391" s="3">
        <v>1.81</v>
      </c>
      <c r="W1391">
        <v>1.08</v>
      </c>
      <c r="X1391" t="s">
        <v>50</v>
      </c>
      <c r="Y1391" s="3">
        <v>16.43</v>
      </c>
      <c r="Z1391" t="s">
        <v>73</v>
      </c>
      <c r="AA1391" t="s">
        <v>6082</v>
      </c>
      <c r="AB1391" t="s">
        <v>53</v>
      </c>
      <c r="AC1391" s="3">
        <v>1.29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f t="shared" si="42"/>
        <v>20.599999999999998</v>
      </c>
      <c r="AK1391" s="3">
        <f t="shared" si="43"/>
        <v>4.1699999999999982</v>
      </c>
    </row>
    <row r="1392" spans="1:37">
      <c r="A1392">
        <v>10352921</v>
      </c>
      <c r="B1392" t="s">
        <v>37</v>
      </c>
      <c r="C1392" t="s">
        <v>9331</v>
      </c>
      <c r="E1392" t="s">
        <v>9332</v>
      </c>
      <c r="F1392" t="s">
        <v>9333</v>
      </c>
      <c r="G1392" t="s">
        <v>9334</v>
      </c>
      <c r="H1392" t="s">
        <v>42</v>
      </c>
      <c r="I1392" t="s">
        <v>9335</v>
      </c>
      <c r="J1392" t="s">
        <v>9336</v>
      </c>
      <c r="K1392">
        <v>86540</v>
      </c>
      <c r="L1392" t="s">
        <v>130</v>
      </c>
      <c r="M1392" t="s">
        <v>46</v>
      </c>
      <c r="N1392" t="s">
        <v>47</v>
      </c>
      <c r="O1392">
        <v>2</v>
      </c>
      <c r="P1392">
        <v>1</v>
      </c>
      <c r="Q1392">
        <v>2</v>
      </c>
      <c r="R1392" t="s">
        <v>48</v>
      </c>
      <c r="S1392" t="s">
        <v>49</v>
      </c>
      <c r="T1392" s="3">
        <v>0.84</v>
      </c>
      <c r="U1392" s="3">
        <v>0.23</v>
      </c>
      <c r="V1392" s="3">
        <v>1.81</v>
      </c>
      <c r="W1392">
        <v>1.08</v>
      </c>
      <c r="X1392" t="s">
        <v>50</v>
      </c>
      <c r="Y1392" s="3">
        <v>14.26</v>
      </c>
      <c r="Z1392" t="s">
        <v>73</v>
      </c>
      <c r="AA1392" t="s">
        <v>7640</v>
      </c>
      <c r="AB1392" t="s">
        <v>53</v>
      </c>
      <c r="AC1392" s="3">
        <v>1.29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f t="shared" si="42"/>
        <v>18.43</v>
      </c>
      <c r="AK1392" s="3">
        <f t="shared" si="43"/>
        <v>4.17</v>
      </c>
    </row>
    <row r="1393" spans="1:37">
      <c r="A1393">
        <v>10352381</v>
      </c>
      <c r="B1393" t="s">
        <v>37</v>
      </c>
      <c r="C1393" t="s">
        <v>9337</v>
      </c>
      <c r="E1393" t="s">
        <v>9338</v>
      </c>
      <c r="F1393" t="s">
        <v>9339</v>
      </c>
      <c r="G1393" t="s">
        <v>9340</v>
      </c>
      <c r="H1393" t="s">
        <v>42</v>
      </c>
      <c r="I1393" t="s">
        <v>9341</v>
      </c>
      <c r="J1393" t="s">
        <v>9342</v>
      </c>
      <c r="K1393" t="s">
        <v>9343</v>
      </c>
      <c r="L1393" t="s">
        <v>82</v>
      </c>
      <c r="M1393" t="s">
        <v>46</v>
      </c>
      <c r="N1393" t="s">
        <v>47</v>
      </c>
      <c r="O1393">
        <v>2</v>
      </c>
      <c r="P1393">
        <v>1</v>
      </c>
      <c r="Q1393">
        <v>2</v>
      </c>
      <c r="R1393" t="s">
        <v>48</v>
      </c>
      <c r="S1393" t="s">
        <v>49</v>
      </c>
      <c r="T1393" s="3">
        <v>0.84</v>
      </c>
      <c r="U1393" s="3">
        <v>0.23</v>
      </c>
      <c r="V1393" s="3">
        <v>1.81</v>
      </c>
      <c r="W1393">
        <v>1.08</v>
      </c>
      <c r="X1393" t="s">
        <v>50</v>
      </c>
      <c r="Y1393" s="3">
        <v>9.19</v>
      </c>
      <c r="Z1393" t="s">
        <v>73</v>
      </c>
      <c r="AA1393" t="s">
        <v>4396</v>
      </c>
      <c r="AB1393" t="s">
        <v>53</v>
      </c>
      <c r="AC1393" s="3">
        <v>1.29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f t="shared" si="42"/>
        <v>13.360000000000001</v>
      </c>
      <c r="AK1393" s="3">
        <f t="shared" si="43"/>
        <v>4.1700000000000017</v>
      </c>
    </row>
    <row r="1394" spans="1:37">
      <c r="A1394">
        <v>10352390</v>
      </c>
      <c r="B1394" t="s">
        <v>37</v>
      </c>
      <c r="C1394" t="s">
        <v>9344</v>
      </c>
      <c r="E1394" t="s">
        <v>606</v>
      </c>
      <c r="F1394" t="s">
        <v>9345</v>
      </c>
      <c r="G1394" t="s">
        <v>9346</v>
      </c>
      <c r="H1394" t="s">
        <v>42</v>
      </c>
      <c r="I1394" t="s">
        <v>9347</v>
      </c>
      <c r="J1394" t="s">
        <v>9348</v>
      </c>
      <c r="K1394" t="s">
        <v>9349</v>
      </c>
      <c r="L1394" t="s">
        <v>142</v>
      </c>
      <c r="M1394" t="s">
        <v>46</v>
      </c>
      <c r="N1394" t="s">
        <v>47</v>
      </c>
      <c r="O1394">
        <v>3</v>
      </c>
      <c r="P1394">
        <v>1</v>
      </c>
      <c r="Q1394">
        <v>3</v>
      </c>
      <c r="R1394" t="s">
        <v>48</v>
      </c>
      <c r="S1394" t="s">
        <v>49</v>
      </c>
      <c r="T1394" s="3">
        <v>0.84</v>
      </c>
      <c r="U1394" s="3">
        <v>0.23</v>
      </c>
      <c r="V1394" s="3">
        <v>2.68</v>
      </c>
      <c r="W1394">
        <v>1.57</v>
      </c>
      <c r="X1394" t="s">
        <v>50</v>
      </c>
      <c r="Y1394" s="3">
        <v>16.43</v>
      </c>
      <c r="Z1394" t="s">
        <v>73</v>
      </c>
      <c r="AA1394" t="s">
        <v>9350</v>
      </c>
      <c r="AB1394" t="s">
        <v>53</v>
      </c>
      <c r="AC1394" s="3">
        <v>1.29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f t="shared" si="42"/>
        <v>21.47</v>
      </c>
      <c r="AK1394" s="3">
        <f t="shared" si="43"/>
        <v>5.0399999999999991</v>
      </c>
    </row>
    <row r="1395" spans="1:37">
      <c r="A1395">
        <v>10351122</v>
      </c>
      <c r="B1395" t="s">
        <v>37</v>
      </c>
      <c r="C1395" t="s">
        <v>9351</v>
      </c>
      <c r="E1395" t="s">
        <v>398</v>
      </c>
      <c r="F1395" t="s">
        <v>7754</v>
      </c>
      <c r="G1395" t="s">
        <v>9352</v>
      </c>
      <c r="H1395" t="s">
        <v>42</v>
      </c>
      <c r="I1395" t="s">
        <v>9353</v>
      </c>
      <c r="J1395" t="s">
        <v>9213</v>
      </c>
      <c r="K1395">
        <v>14167</v>
      </c>
      <c r="L1395" t="s">
        <v>71</v>
      </c>
      <c r="M1395" t="s">
        <v>46</v>
      </c>
      <c r="N1395" t="s">
        <v>47</v>
      </c>
      <c r="O1395">
        <v>2</v>
      </c>
      <c r="P1395">
        <v>1</v>
      </c>
      <c r="Q1395">
        <v>2</v>
      </c>
      <c r="R1395" t="s">
        <v>48</v>
      </c>
      <c r="S1395" t="s">
        <v>49</v>
      </c>
      <c r="T1395" s="3">
        <v>0.84</v>
      </c>
      <c r="U1395" s="3">
        <v>0.23</v>
      </c>
      <c r="V1395" s="3">
        <v>1.81</v>
      </c>
      <c r="W1395">
        <v>0.98</v>
      </c>
      <c r="X1395" t="s">
        <v>72</v>
      </c>
      <c r="Y1395" s="3">
        <v>5.44</v>
      </c>
      <c r="Z1395" t="s">
        <v>73</v>
      </c>
      <c r="AA1395" t="s">
        <v>9354</v>
      </c>
      <c r="AB1395" t="s">
        <v>53</v>
      </c>
      <c r="AC1395" s="3">
        <v>1.29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f t="shared" si="42"/>
        <v>9.6100000000000012</v>
      </c>
      <c r="AK1395" s="3">
        <f t="shared" si="43"/>
        <v>4.1700000000000008</v>
      </c>
    </row>
    <row r="1396" spans="1:37">
      <c r="A1396">
        <v>10351374</v>
      </c>
      <c r="B1396" t="s">
        <v>37</v>
      </c>
      <c r="C1396" t="s">
        <v>9355</v>
      </c>
      <c r="E1396" t="s">
        <v>3977</v>
      </c>
      <c r="F1396" t="s">
        <v>9356</v>
      </c>
      <c r="G1396" t="s">
        <v>9357</v>
      </c>
      <c r="H1396" t="s">
        <v>42</v>
      </c>
      <c r="I1396" t="s">
        <v>9358</v>
      </c>
      <c r="J1396" t="s">
        <v>9359</v>
      </c>
      <c r="K1396">
        <v>9051</v>
      </c>
      <c r="L1396" t="s">
        <v>505</v>
      </c>
      <c r="M1396" t="s">
        <v>46</v>
      </c>
      <c r="N1396" t="s">
        <v>47</v>
      </c>
      <c r="O1396">
        <v>4</v>
      </c>
      <c r="P1396">
        <v>1</v>
      </c>
      <c r="Q1396">
        <v>4</v>
      </c>
      <c r="R1396" t="s">
        <v>48</v>
      </c>
      <c r="S1396" t="s">
        <v>49</v>
      </c>
      <c r="T1396" s="3">
        <v>0.84</v>
      </c>
      <c r="U1396" s="3">
        <v>0.23</v>
      </c>
      <c r="V1396" s="3">
        <v>3.55</v>
      </c>
      <c r="W1396">
        <v>2</v>
      </c>
      <c r="X1396" t="s">
        <v>50</v>
      </c>
      <c r="Y1396" s="3">
        <v>9.19</v>
      </c>
      <c r="Z1396" t="s">
        <v>73</v>
      </c>
      <c r="AA1396" t="s">
        <v>9360</v>
      </c>
      <c r="AB1396" t="s">
        <v>53</v>
      </c>
      <c r="AC1396" s="3">
        <v>1.29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f t="shared" si="42"/>
        <v>15.100000000000001</v>
      </c>
      <c r="AK1396" s="3">
        <f t="shared" si="43"/>
        <v>5.9100000000000019</v>
      </c>
    </row>
    <row r="1397" spans="1:37">
      <c r="A1397">
        <v>10351817</v>
      </c>
      <c r="B1397" t="s">
        <v>37</v>
      </c>
      <c r="C1397" t="s">
        <v>9361</v>
      </c>
      <c r="E1397" t="s">
        <v>173</v>
      </c>
      <c r="F1397" t="s">
        <v>9362</v>
      </c>
      <c r="G1397" t="s">
        <v>9363</v>
      </c>
      <c r="H1397" t="s">
        <v>42</v>
      </c>
      <c r="I1397" t="s">
        <v>9364</v>
      </c>
      <c r="J1397" t="s">
        <v>9365</v>
      </c>
      <c r="K1397">
        <v>2610</v>
      </c>
      <c r="L1397" t="s">
        <v>505</v>
      </c>
      <c r="M1397" t="s">
        <v>46</v>
      </c>
      <c r="N1397" t="s">
        <v>47</v>
      </c>
      <c r="O1397">
        <v>2</v>
      </c>
      <c r="P1397">
        <v>1</v>
      </c>
      <c r="Q1397">
        <v>2</v>
      </c>
      <c r="R1397" t="s">
        <v>48</v>
      </c>
      <c r="S1397" t="s">
        <v>49</v>
      </c>
      <c r="T1397" s="3">
        <v>0.84</v>
      </c>
      <c r="U1397" s="3">
        <v>0.23</v>
      </c>
      <c r="V1397" s="3">
        <v>1.81</v>
      </c>
      <c r="W1397">
        <v>0.88</v>
      </c>
      <c r="X1397" t="s">
        <v>50</v>
      </c>
      <c r="Y1397" s="3">
        <v>9.19</v>
      </c>
      <c r="Z1397" t="s">
        <v>73</v>
      </c>
      <c r="AA1397" t="s">
        <v>3438</v>
      </c>
      <c r="AB1397" t="s">
        <v>53</v>
      </c>
      <c r="AC1397" s="3">
        <v>1.29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f t="shared" si="42"/>
        <v>13.360000000000001</v>
      </c>
      <c r="AK1397" s="3">
        <f t="shared" si="43"/>
        <v>4.1700000000000017</v>
      </c>
    </row>
    <row r="1398" spans="1:37">
      <c r="A1398">
        <v>10352144</v>
      </c>
      <c r="B1398" t="s">
        <v>37</v>
      </c>
      <c r="C1398" t="s">
        <v>9366</v>
      </c>
      <c r="E1398" t="s">
        <v>1658</v>
      </c>
      <c r="F1398" t="s">
        <v>9367</v>
      </c>
      <c r="G1398" t="s">
        <v>9368</v>
      </c>
      <c r="H1398" t="s">
        <v>42</v>
      </c>
      <c r="I1398" t="s">
        <v>9369</v>
      </c>
      <c r="J1398" t="s">
        <v>9370</v>
      </c>
      <c r="K1398">
        <v>94100</v>
      </c>
      <c r="L1398" t="s">
        <v>130</v>
      </c>
      <c r="M1398" t="s">
        <v>46</v>
      </c>
      <c r="N1398" t="s">
        <v>47</v>
      </c>
      <c r="O1398">
        <v>4</v>
      </c>
      <c r="P1398">
        <v>1</v>
      </c>
      <c r="Q1398">
        <v>4</v>
      </c>
      <c r="R1398" t="s">
        <v>48</v>
      </c>
      <c r="S1398" t="s">
        <v>49</v>
      </c>
      <c r="T1398" s="3">
        <v>0.84</v>
      </c>
      <c r="U1398" s="3">
        <v>0.23</v>
      </c>
      <c r="V1398" s="3">
        <v>3.55</v>
      </c>
      <c r="W1398">
        <v>1.66</v>
      </c>
      <c r="X1398" t="s">
        <v>50</v>
      </c>
      <c r="Y1398" s="3">
        <v>14.26</v>
      </c>
      <c r="Z1398" t="s">
        <v>73</v>
      </c>
      <c r="AA1398" t="s">
        <v>9371</v>
      </c>
      <c r="AB1398" t="s">
        <v>53</v>
      </c>
      <c r="AC1398" s="3">
        <v>1.29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f t="shared" si="42"/>
        <v>20.170000000000002</v>
      </c>
      <c r="AK1398" s="3">
        <f t="shared" si="43"/>
        <v>5.9100000000000019</v>
      </c>
    </row>
    <row r="1399" spans="1:37">
      <c r="A1399">
        <v>10352388</v>
      </c>
      <c r="B1399" t="s">
        <v>37</v>
      </c>
      <c r="C1399" t="s">
        <v>9372</v>
      </c>
      <c r="E1399" t="s">
        <v>9373</v>
      </c>
      <c r="F1399" t="s">
        <v>9374</v>
      </c>
      <c r="G1399" t="s">
        <v>9375</v>
      </c>
      <c r="H1399" t="s">
        <v>42</v>
      </c>
      <c r="I1399" t="s">
        <v>9376</v>
      </c>
      <c r="J1399" t="s">
        <v>9377</v>
      </c>
      <c r="K1399">
        <v>8012</v>
      </c>
      <c r="L1399" t="s">
        <v>3924</v>
      </c>
      <c r="M1399" t="s">
        <v>46</v>
      </c>
      <c r="N1399" t="s">
        <v>47</v>
      </c>
      <c r="O1399">
        <v>4</v>
      </c>
      <c r="P1399">
        <v>1</v>
      </c>
      <c r="Q1399">
        <v>4</v>
      </c>
      <c r="R1399" t="s">
        <v>48</v>
      </c>
      <c r="S1399" t="s">
        <v>49</v>
      </c>
      <c r="T1399" s="3">
        <v>0.84</v>
      </c>
      <c r="U1399" s="3">
        <v>0.23</v>
      </c>
      <c r="V1399" s="3">
        <v>3.55</v>
      </c>
      <c r="W1399">
        <v>2.06</v>
      </c>
      <c r="X1399" t="s">
        <v>100</v>
      </c>
      <c r="Y1399" s="3">
        <v>32.520000000000003</v>
      </c>
      <c r="Z1399" t="s">
        <v>73</v>
      </c>
      <c r="AA1399" t="s">
        <v>990</v>
      </c>
      <c r="AB1399" t="s">
        <v>53</v>
      </c>
      <c r="AC1399" s="3">
        <v>1.29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f t="shared" si="42"/>
        <v>38.43</v>
      </c>
      <c r="AK1399" s="3">
        <f t="shared" si="43"/>
        <v>5.9099999999999966</v>
      </c>
    </row>
    <row r="1400" spans="1:37">
      <c r="A1400">
        <v>10352393</v>
      </c>
      <c r="B1400" t="s">
        <v>37</v>
      </c>
      <c r="C1400" t="s">
        <v>9378</v>
      </c>
      <c r="E1400" t="s">
        <v>5479</v>
      </c>
      <c r="F1400" t="s">
        <v>9379</v>
      </c>
      <c r="G1400" t="s">
        <v>9380</v>
      </c>
      <c r="H1400" t="s">
        <v>42</v>
      </c>
      <c r="I1400" t="s">
        <v>9381</v>
      </c>
      <c r="J1400" t="s">
        <v>9382</v>
      </c>
      <c r="K1400">
        <v>2930</v>
      </c>
      <c r="L1400" t="s">
        <v>505</v>
      </c>
      <c r="M1400" t="s">
        <v>46</v>
      </c>
      <c r="N1400" t="s">
        <v>47</v>
      </c>
      <c r="O1400">
        <v>3</v>
      </c>
      <c r="P1400">
        <v>1</v>
      </c>
      <c r="Q1400">
        <v>3</v>
      </c>
      <c r="R1400" t="s">
        <v>48</v>
      </c>
      <c r="S1400" t="s">
        <v>49</v>
      </c>
      <c r="T1400" s="3">
        <v>0.84</v>
      </c>
      <c r="U1400" s="3">
        <v>0.23</v>
      </c>
      <c r="V1400" s="3">
        <v>2.68</v>
      </c>
      <c r="W1400">
        <v>1.02</v>
      </c>
      <c r="X1400" t="s">
        <v>50</v>
      </c>
      <c r="Y1400" s="3">
        <v>9.19</v>
      </c>
      <c r="Z1400" t="s">
        <v>73</v>
      </c>
      <c r="AA1400" t="s">
        <v>9383</v>
      </c>
      <c r="AB1400" t="s">
        <v>53</v>
      </c>
      <c r="AC1400" s="3">
        <v>1.29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f t="shared" si="42"/>
        <v>14.23</v>
      </c>
      <c r="AK1400" s="3">
        <f t="shared" si="43"/>
        <v>5.0400000000000009</v>
      </c>
    </row>
    <row r="1401" spans="1:37">
      <c r="A1401">
        <v>10353117</v>
      </c>
      <c r="B1401" t="s">
        <v>37</v>
      </c>
      <c r="C1401" t="s">
        <v>9384</v>
      </c>
      <c r="E1401" t="s">
        <v>9385</v>
      </c>
      <c r="F1401" t="s">
        <v>9386</v>
      </c>
      <c r="G1401" t="s">
        <v>9387</v>
      </c>
      <c r="H1401" t="s">
        <v>42</v>
      </c>
      <c r="I1401" t="s">
        <v>9388</v>
      </c>
      <c r="J1401" t="s">
        <v>9389</v>
      </c>
      <c r="K1401">
        <v>86845</v>
      </c>
      <c r="L1401" t="s">
        <v>71</v>
      </c>
      <c r="M1401" t="s">
        <v>46</v>
      </c>
      <c r="N1401" t="s">
        <v>47</v>
      </c>
      <c r="O1401">
        <v>2</v>
      </c>
      <c r="P1401">
        <v>1</v>
      </c>
      <c r="Q1401">
        <v>2</v>
      </c>
      <c r="R1401" t="s">
        <v>48</v>
      </c>
      <c r="S1401" t="s">
        <v>49</v>
      </c>
      <c r="T1401" s="3">
        <v>0.84</v>
      </c>
      <c r="U1401" s="3">
        <v>0.23</v>
      </c>
      <c r="V1401" s="3">
        <v>1.81</v>
      </c>
      <c r="W1401">
        <v>1.08</v>
      </c>
      <c r="X1401" t="s">
        <v>72</v>
      </c>
      <c r="Y1401" s="3">
        <v>5.44</v>
      </c>
      <c r="Z1401" t="s">
        <v>73</v>
      </c>
      <c r="AA1401" t="s">
        <v>4396</v>
      </c>
      <c r="AB1401" t="s">
        <v>53</v>
      </c>
      <c r="AC1401" s="3">
        <v>1.29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f t="shared" si="42"/>
        <v>9.6100000000000012</v>
      </c>
      <c r="AK1401" s="3">
        <f t="shared" si="43"/>
        <v>4.1700000000000008</v>
      </c>
    </row>
    <row r="1402" spans="1:37">
      <c r="A1402">
        <v>10352702</v>
      </c>
      <c r="B1402" t="s">
        <v>37</v>
      </c>
      <c r="C1402" t="s">
        <v>9390</v>
      </c>
      <c r="E1402" t="s">
        <v>4843</v>
      </c>
      <c r="F1402" t="s">
        <v>1919</v>
      </c>
      <c r="G1402" t="s">
        <v>9391</v>
      </c>
      <c r="H1402" t="s">
        <v>42</v>
      </c>
      <c r="I1402" t="s">
        <v>9392</v>
      </c>
      <c r="J1402" t="s">
        <v>9393</v>
      </c>
      <c r="K1402" t="s">
        <v>9394</v>
      </c>
      <c r="L1402" t="s">
        <v>142</v>
      </c>
      <c r="M1402" t="s">
        <v>46</v>
      </c>
      <c r="N1402" t="s">
        <v>47</v>
      </c>
      <c r="O1402">
        <v>2</v>
      </c>
      <c r="P1402">
        <v>1</v>
      </c>
      <c r="Q1402">
        <v>2</v>
      </c>
      <c r="R1402" t="s">
        <v>48</v>
      </c>
      <c r="S1402" t="s">
        <v>49</v>
      </c>
      <c r="T1402" s="3">
        <v>0.84</v>
      </c>
      <c r="U1402" s="3">
        <v>0.23</v>
      </c>
      <c r="V1402" s="3">
        <v>1.81</v>
      </c>
      <c r="W1402">
        <v>1.08</v>
      </c>
      <c r="X1402" t="s">
        <v>50</v>
      </c>
      <c r="Y1402" s="3">
        <v>16.43</v>
      </c>
      <c r="Z1402" t="s">
        <v>83</v>
      </c>
      <c r="AA1402" t="s">
        <v>9395</v>
      </c>
      <c r="AB1402" t="s">
        <v>53</v>
      </c>
      <c r="AC1402" s="3">
        <v>1.27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f t="shared" si="42"/>
        <v>20.58</v>
      </c>
      <c r="AK1402" s="3">
        <f t="shared" si="43"/>
        <v>4.1499999999999986</v>
      </c>
    </row>
    <row r="1403" spans="1:37">
      <c r="A1403">
        <v>10353116</v>
      </c>
      <c r="B1403" t="s">
        <v>37</v>
      </c>
      <c r="C1403" t="s">
        <v>9396</v>
      </c>
      <c r="E1403" t="s">
        <v>1307</v>
      </c>
      <c r="F1403" t="s">
        <v>9397</v>
      </c>
      <c r="G1403" t="s">
        <v>9398</v>
      </c>
      <c r="H1403" t="s">
        <v>42</v>
      </c>
      <c r="I1403" t="s">
        <v>9399</v>
      </c>
      <c r="J1403" t="s">
        <v>9400</v>
      </c>
      <c r="K1403" t="s">
        <v>9401</v>
      </c>
      <c r="L1403" t="s">
        <v>142</v>
      </c>
      <c r="M1403" t="s">
        <v>46</v>
      </c>
      <c r="N1403" t="s">
        <v>47</v>
      </c>
      <c r="O1403">
        <v>4</v>
      </c>
      <c r="P1403">
        <v>1</v>
      </c>
      <c r="Q1403">
        <v>4</v>
      </c>
      <c r="R1403" t="s">
        <v>48</v>
      </c>
      <c r="S1403" t="s">
        <v>49</v>
      </c>
      <c r="T1403" s="3">
        <v>0.84</v>
      </c>
      <c r="U1403" s="3">
        <v>0.23</v>
      </c>
      <c r="V1403" s="3">
        <v>3.55</v>
      </c>
      <c r="W1403">
        <v>1.66</v>
      </c>
      <c r="X1403" t="s">
        <v>50</v>
      </c>
      <c r="Y1403" s="3">
        <v>16.43</v>
      </c>
      <c r="Z1403" t="s">
        <v>73</v>
      </c>
      <c r="AA1403" t="s">
        <v>538</v>
      </c>
      <c r="AB1403" t="s">
        <v>53</v>
      </c>
      <c r="AC1403" s="3">
        <v>1.29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f t="shared" si="42"/>
        <v>22.34</v>
      </c>
      <c r="AK1403" s="3">
        <f t="shared" si="43"/>
        <v>5.91</v>
      </c>
    </row>
    <row r="1404" spans="1:37">
      <c r="A1404">
        <v>10353420</v>
      </c>
      <c r="B1404" t="s">
        <v>37</v>
      </c>
      <c r="C1404" t="s">
        <v>9402</v>
      </c>
      <c r="E1404" t="s">
        <v>9403</v>
      </c>
      <c r="F1404" t="s">
        <v>4385</v>
      </c>
      <c r="G1404" t="s">
        <v>9404</v>
      </c>
      <c r="H1404" t="s">
        <v>42</v>
      </c>
      <c r="I1404" t="s">
        <v>9405</v>
      </c>
      <c r="J1404" t="s">
        <v>9406</v>
      </c>
      <c r="K1404" t="s">
        <v>9407</v>
      </c>
      <c r="L1404" t="s">
        <v>142</v>
      </c>
      <c r="M1404" t="s">
        <v>46</v>
      </c>
      <c r="N1404" t="s">
        <v>47</v>
      </c>
      <c r="O1404">
        <v>2</v>
      </c>
      <c r="P1404">
        <v>1</v>
      </c>
      <c r="Q1404">
        <v>2</v>
      </c>
      <c r="R1404" t="s">
        <v>48</v>
      </c>
      <c r="S1404" t="s">
        <v>49</v>
      </c>
      <c r="T1404" s="3">
        <v>0.84</v>
      </c>
      <c r="U1404" s="3">
        <v>0.23</v>
      </c>
      <c r="V1404" s="3">
        <v>1.81</v>
      </c>
      <c r="W1404">
        <v>1.08</v>
      </c>
      <c r="X1404" t="s">
        <v>50</v>
      </c>
      <c r="Y1404" s="3">
        <v>16.43</v>
      </c>
      <c r="Z1404" t="s">
        <v>73</v>
      </c>
      <c r="AA1404" t="s">
        <v>2851</v>
      </c>
      <c r="AB1404" t="s">
        <v>53</v>
      </c>
      <c r="AC1404" s="3">
        <v>1.29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f t="shared" si="42"/>
        <v>20.599999999999998</v>
      </c>
      <c r="AK1404" s="3">
        <f t="shared" si="43"/>
        <v>4.1699999999999982</v>
      </c>
    </row>
    <row r="1405" spans="1:37">
      <c r="A1405">
        <v>10352698</v>
      </c>
      <c r="B1405" t="s">
        <v>37</v>
      </c>
      <c r="C1405" t="s">
        <v>9408</v>
      </c>
      <c r="E1405" t="s">
        <v>2235</v>
      </c>
      <c r="F1405" t="s">
        <v>9409</v>
      </c>
      <c r="G1405" t="s">
        <v>9410</v>
      </c>
      <c r="H1405" t="s">
        <v>42</v>
      </c>
      <c r="I1405" t="s">
        <v>9411</v>
      </c>
      <c r="J1405" t="s">
        <v>9412</v>
      </c>
      <c r="K1405" t="s">
        <v>9413</v>
      </c>
      <c r="L1405" t="s">
        <v>82</v>
      </c>
      <c r="M1405" t="s">
        <v>46</v>
      </c>
      <c r="N1405" t="s">
        <v>47</v>
      </c>
      <c r="O1405">
        <v>3</v>
      </c>
      <c r="P1405">
        <v>1</v>
      </c>
      <c r="Q1405">
        <v>3</v>
      </c>
      <c r="R1405" t="s">
        <v>48</v>
      </c>
      <c r="S1405" t="s">
        <v>49</v>
      </c>
      <c r="T1405" s="3">
        <v>0.84</v>
      </c>
      <c r="U1405" s="3">
        <v>0.23</v>
      </c>
      <c r="V1405" s="3">
        <v>2.68</v>
      </c>
      <c r="W1405">
        <v>1.27</v>
      </c>
      <c r="X1405" t="s">
        <v>50</v>
      </c>
      <c r="Y1405" s="3">
        <v>9.19</v>
      </c>
      <c r="Z1405" t="s">
        <v>73</v>
      </c>
      <c r="AA1405" t="s">
        <v>9414</v>
      </c>
      <c r="AB1405" t="s">
        <v>53</v>
      </c>
      <c r="AC1405" s="3">
        <v>1.29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f t="shared" si="42"/>
        <v>14.23</v>
      </c>
      <c r="AK1405" s="3">
        <f t="shared" si="43"/>
        <v>5.0400000000000009</v>
      </c>
    </row>
    <row r="1406" spans="1:37">
      <c r="A1406">
        <v>10352701</v>
      </c>
      <c r="B1406" t="s">
        <v>37</v>
      </c>
      <c r="C1406" t="s">
        <v>9415</v>
      </c>
      <c r="E1406" t="s">
        <v>1736</v>
      </c>
      <c r="F1406" t="s">
        <v>8242</v>
      </c>
      <c r="G1406" t="s">
        <v>9416</v>
      </c>
      <c r="H1406" t="s">
        <v>42</v>
      </c>
      <c r="I1406" t="s">
        <v>9417</v>
      </c>
      <c r="J1406" t="s">
        <v>8245</v>
      </c>
      <c r="K1406">
        <v>35085</v>
      </c>
      <c r="L1406" t="s">
        <v>71</v>
      </c>
      <c r="M1406" t="s">
        <v>46</v>
      </c>
      <c r="N1406" t="s">
        <v>47</v>
      </c>
      <c r="O1406">
        <v>5</v>
      </c>
      <c r="P1406">
        <v>1</v>
      </c>
      <c r="Q1406">
        <v>5</v>
      </c>
      <c r="R1406" t="s">
        <v>48</v>
      </c>
      <c r="S1406" t="s">
        <v>49</v>
      </c>
      <c r="T1406" s="3">
        <v>0.84</v>
      </c>
      <c r="U1406" s="3">
        <v>0.23</v>
      </c>
      <c r="V1406" s="3">
        <v>4.42</v>
      </c>
      <c r="W1406">
        <v>1.66</v>
      </c>
      <c r="X1406" t="s">
        <v>72</v>
      </c>
      <c r="Y1406" s="3">
        <v>5.44</v>
      </c>
      <c r="Z1406" t="s">
        <v>83</v>
      </c>
      <c r="AA1406" t="s">
        <v>9418</v>
      </c>
      <c r="AB1406" t="s">
        <v>53</v>
      </c>
      <c r="AC1406" s="3">
        <v>1.27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f t="shared" si="42"/>
        <v>12.200000000000001</v>
      </c>
      <c r="AK1406" s="3">
        <f t="shared" si="43"/>
        <v>6.7600000000000007</v>
      </c>
    </row>
    <row r="1407" spans="1:37">
      <c r="A1407">
        <v>10352920</v>
      </c>
      <c r="B1407" t="s">
        <v>37</v>
      </c>
      <c r="C1407" t="s">
        <v>9419</v>
      </c>
      <c r="E1407" t="s">
        <v>933</v>
      </c>
      <c r="F1407" t="s">
        <v>9420</v>
      </c>
      <c r="G1407" t="s">
        <v>9421</v>
      </c>
      <c r="H1407" t="s">
        <v>42</v>
      </c>
      <c r="I1407" t="s">
        <v>9422</v>
      </c>
      <c r="J1407" t="s">
        <v>9423</v>
      </c>
      <c r="K1407">
        <v>20249</v>
      </c>
      <c r="L1407" t="s">
        <v>71</v>
      </c>
      <c r="M1407" t="s">
        <v>46</v>
      </c>
      <c r="N1407" t="s">
        <v>47</v>
      </c>
      <c r="O1407">
        <v>7</v>
      </c>
      <c r="P1407">
        <v>1</v>
      </c>
      <c r="Q1407">
        <v>7</v>
      </c>
      <c r="R1407" t="s">
        <v>48</v>
      </c>
      <c r="S1407" t="s">
        <v>49</v>
      </c>
      <c r="T1407" s="3">
        <v>0.84</v>
      </c>
      <c r="U1407" s="3">
        <v>0.23</v>
      </c>
      <c r="V1407" s="3">
        <v>6.16</v>
      </c>
      <c r="W1407">
        <v>2.59</v>
      </c>
      <c r="X1407" t="s">
        <v>72</v>
      </c>
      <c r="Y1407" s="3">
        <v>8</v>
      </c>
      <c r="Z1407" t="s">
        <v>83</v>
      </c>
      <c r="AA1407" t="s">
        <v>9424</v>
      </c>
      <c r="AB1407" t="s">
        <v>53</v>
      </c>
      <c r="AC1407" s="3">
        <v>1.27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f t="shared" si="42"/>
        <v>16.5</v>
      </c>
      <c r="AK1407" s="3">
        <f t="shared" si="43"/>
        <v>8.5</v>
      </c>
    </row>
    <row r="1408" spans="1:37">
      <c r="A1408">
        <v>10352922</v>
      </c>
      <c r="B1408" t="s">
        <v>37</v>
      </c>
      <c r="C1408" t="s">
        <v>9425</v>
      </c>
      <c r="E1408" t="s">
        <v>2638</v>
      </c>
      <c r="F1408" t="s">
        <v>9426</v>
      </c>
      <c r="G1408" t="s">
        <v>9427</v>
      </c>
      <c r="H1408" t="s">
        <v>42</v>
      </c>
      <c r="I1408" t="s">
        <v>9428</v>
      </c>
      <c r="J1408" t="s">
        <v>9429</v>
      </c>
      <c r="K1408" t="s">
        <v>9430</v>
      </c>
      <c r="L1408" t="s">
        <v>142</v>
      </c>
      <c r="M1408" t="s">
        <v>46</v>
      </c>
      <c r="N1408" t="s">
        <v>47</v>
      </c>
      <c r="O1408">
        <v>1</v>
      </c>
      <c r="P1408">
        <v>1</v>
      </c>
      <c r="Q1408">
        <v>1</v>
      </c>
      <c r="R1408" t="s">
        <v>48</v>
      </c>
      <c r="S1408" t="s">
        <v>49</v>
      </c>
      <c r="T1408" s="3">
        <v>0.84</v>
      </c>
      <c r="U1408" s="3">
        <v>0.23</v>
      </c>
      <c r="V1408" s="3">
        <v>0.94</v>
      </c>
      <c r="W1408">
        <v>1.7</v>
      </c>
      <c r="X1408" t="s">
        <v>50</v>
      </c>
      <c r="Y1408" s="3">
        <v>16.43</v>
      </c>
      <c r="Z1408" t="s">
        <v>83</v>
      </c>
      <c r="AA1408" t="s">
        <v>490</v>
      </c>
      <c r="AB1408" t="s">
        <v>53</v>
      </c>
      <c r="AC1408" s="3">
        <v>1.27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f t="shared" si="42"/>
        <v>19.71</v>
      </c>
      <c r="AK1408" s="3">
        <f t="shared" si="43"/>
        <v>3.2800000000000011</v>
      </c>
    </row>
    <row r="1409" spans="1:37">
      <c r="A1409">
        <v>10352695</v>
      </c>
      <c r="B1409" t="s">
        <v>37</v>
      </c>
      <c r="C1409" t="s">
        <v>9431</v>
      </c>
      <c r="E1409" t="s">
        <v>9432</v>
      </c>
      <c r="F1409" t="s">
        <v>9433</v>
      </c>
      <c r="G1409" t="s">
        <v>9434</v>
      </c>
      <c r="H1409" t="s">
        <v>42</v>
      </c>
      <c r="I1409" t="s">
        <v>9435</v>
      </c>
      <c r="J1409" t="s">
        <v>9436</v>
      </c>
      <c r="K1409" t="s">
        <v>9437</v>
      </c>
      <c r="L1409" t="s">
        <v>142</v>
      </c>
      <c r="M1409" t="s">
        <v>46</v>
      </c>
      <c r="N1409" t="s">
        <v>47</v>
      </c>
      <c r="O1409">
        <v>4</v>
      </c>
      <c r="P1409">
        <v>1</v>
      </c>
      <c r="Q1409">
        <v>4</v>
      </c>
      <c r="R1409" t="s">
        <v>48</v>
      </c>
      <c r="S1409" t="s">
        <v>49</v>
      </c>
      <c r="T1409" s="3">
        <v>0.84</v>
      </c>
      <c r="U1409" s="3">
        <v>0.23</v>
      </c>
      <c r="V1409" s="3">
        <v>3.55</v>
      </c>
      <c r="W1409">
        <v>2.06</v>
      </c>
      <c r="X1409" t="s">
        <v>50</v>
      </c>
      <c r="Y1409" s="3">
        <v>16.43</v>
      </c>
      <c r="Z1409" t="s">
        <v>73</v>
      </c>
      <c r="AA1409" t="s">
        <v>327</v>
      </c>
      <c r="AB1409" t="s">
        <v>53</v>
      </c>
      <c r="AC1409" s="3">
        <v>1.29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f t="shared" si="42"/>
        <v>22.34</v>
      </c>
      <c r="AK1409" s="3">
        <f t="shared" si="43"/>
        <v>5.91</v>
      </c>
    </row>
    <row r="1410" spans="1:37">
      <c r="A1410">
        <v>10352700</v>
      </c>
      <c r="B1410" t="s">
        <v>37</v>
      </c>
      <c r="C1410" t="s">
        <v>9438</v>
      </c>
      <c r="E1410" t="s">
        <v>4735</v>
      </c>
      <c r="F1410" t="s">
        <v>9439</v>
      </c>
      <c r="G1410" t="s">
        <v>9440</v>
      </c>
      <c r="H1410" t="s">
        <v>42</v>
      </c>
      <c r="I1410" t="s">
        <v>9441</v>
      </c>
      <c r="J1410" t="s">
        <v>9442</v>
      </c>
      <c r="K1410">
        <v>88299</v>
      </c>
      <c r="L1410" t="s">
        <v>71</v>
      </c>
      <c r="M1410" t="s">
        <v>46</v>
      </c>
      <c r="N1410" t="s">
        <v>47</v>
      </c>
      <c r="O1410">
        <v>1</v>
      </c>
      <c r="P1410">
        <v>1</v>
      </c>
      <c r="Q1410">
        <v>1</v>
      </c>
      <c r="R1410" t="s">
        <v>48</v>
      </c>
      <c r="S1410" t="s">
        <v>49</v>
      </c>
      <c r="T1410" s="3">
        <v>0.84</v>
      </c>
      <c r="U1410" s="3">
        <v>0.23</v>
      </c>
      <c r="V1410" s="3">
        <v>0.94</v>
      </c>
      <c r="W1410">
        <v>0.49</v>
      </c>
      <c r="X1410" t="s">
        <v>108</v>
      </c>
      <c r="Y1410" s="3">
        <v>5.14</v>
      </c>
      <c r="Z1410" t="s">
        <v>109</v>
      </c>
      <c r="AA1410" t="s">
        <v>1802</v>
      </c>
      <c r="AB1410" t="s">
        <v>53</v>
      </c>
      <c r="AC1410" s="3">
        <v>1.06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f t="shared" ref="AJ1410:AJ1473" si="44">AI1410+AH1410+AG1410+AF1410+AE1410+AD1410+AC1410+Y1410+V1410+U1410+T1410</f>
        <v>8.2099999999999991</v>
      </c>
      <c r="AK1410" s="3">
        <f t="shared" ref="AK1410:AK1473" si="45">AJ1410-Y1410</f>
        <v>3.0699999999999994</v>
      </c>
    </row>
    <row r="1411" spans="1:37">
      <c r="A1411">
        <v>10352143</v>
      </c>
      <c r="B1411" t="s">
        <v>37</v>
      </c>
      <c r="C1411" t="s">
        <v>9443</v>
      </c>
      <c r="E1411" t="s">
        <v>9444</v>
      </c>
      <c r="F1411" t="s">
        <v>9445</v>
      </c>
      <c r="G1411" t="s">
        <v>9446</v>
      </c>
      <c r="H1411" t="s">
        <v>42</v>
      </c>
      <c r="I1411" t="s">
        <v>9447</v>
      </c>
      <c r="J1411" t="s">
        <v>9448</v>
      </c>
      <c r="K1411">
        <v>80337</v>
      </c>
      <c r="L1411" t="s">
        <v>71</v>
      </c>
      <c r="M1411" t="s">
        <v>46</v>
      </c>
      <c r="N1411" t="s">
        <v>47</v>
      </c>
      <c r="O1411">
        <v>1</v>
      </c>
      <c r="P1411">
        <v>1</v>
      </c>
      <c r="Q1411">
        <v>1</v>
      </c>
      <c r="R1411" t="s">
        <v>48</v>
      </c>
      <c r="S1411" t="s">
        <v>49</v>
      </c>
      <c r="T1411" s="3">
        <v>0.84</v>
      </c>
      <c r="U1411" s="3">
        <v>0.23</v>
      </c>
      <c r="V1411" s="3">
        <v>0.94</v>
      </c>
      <c r="W1411">
        <v>0.49</v>
      </c>
      <c r="X1411" t="s">
        <v>108</v>
      </c>
      <c r="Y1411" s="3">
        <v>5.14</v>
      </c>
      <c r="Z1411" t="s">
        <v>109</v>
      </c>
      <c r="AA1411" t="s">
        <v>714</v>
      </c>
      <c r="AB1411" t="s">
        <v>53</v>
      </c>
      <c r="AC1411" s="3">
        <v>1.06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f t="shared" si="44"/>
        <v>8.2099999999999991</v>
      </c>
      <c r="AK1411" s="3">
        <f t="shared" si="45"/>
        <v>3.0699999999999994</v>
      </c>
    </row>
    <row r="1412" spans="1:37">
      <c r="A1412">
        <v>10353808</v>
      </c>
      <c r="B1412" t="s">
        <v>37</v>
      </c>
      <c r="C1412" t="s">
        <v>9449</v>
      </c>
      <c r="E1412" t="s">
        <v>4897</v>
      </c>
      <c r="F1412" t="s">
        <v>9450</v>
      </c>
      <c r="G1412" t="s">
        <v>9451</v>
      </c>
      <c r="H1412" t="s">
        <v>42</v>
      </c>
      <c r="I1412" t="s">
        <v>9452</v>
      </c>
      <c r="J1412" t="s">
        <v>9453</v>
      </c>
      <c r="K1412">
        <v>54558</v>
      </c>
      <c r="L1412" t="s">
        <v>71</v>
      </c>
      <c r="M1412" t="s">
        <v>46</v>
      </c>
      <c r="N1412" t="s">
        <v>47</v>
      </c>
      <c r="O1412">
        <v>3</v>
      </c>
      <c r="P1412">
        <v>1</v>
      </c>
      <c r="Q1412">
        <v>3</v>
      </c>
      <c r="R1412" t="s">
        <v>48</v>
      </c>
      <c r="S1412" t="s">
        <v>49</v>
      </c>
      <c r="T1412" s="3">
        <v>0.84</v>
      </c>
      <c r="U1412" s="3">
        <v>0.23</v>
      </c>
      <c r="V1412" s="3">
        <v>2.68</v>
      </c>
      <c r="W1412">
        <v>1.43</v>
      </c>
      <c r="X1412" t="s">
        <v>72</v>
      </c>
      <c r="Y1412" s="3">
        <v>6.83</v>
      </c>
      <c r="Z1412" t="s">
        <v>73</v>
      </c>
      <c r="AA1412" t="s">
        <v>9454</v>
      </c>
      <c r="AB1412" t="s">
        <v>53</v>
      </c>
      <c r="AC1412" s="3">
        <v>1.29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f t="shared" si="44"/>
        <v>11.870000000000001</v>
      </c>
      <c r="AK1412" s="3">
        <f t="shared" si="45"/>
        <v>5.0400000000000009</v>
      </c>
    </row>
    <row r="1413" spans="1:37">
      <c r="A1413">
        <v>10351639</v>
      </c>
      <c r="B1413" t="s">
        <v>111</v>
      </c>
      <c r="C1413" t="s">
        <v>9455</v>
      </c>
      <c r="D1413" t="s">
        <v>9456</v>
      </c>
      <c r="E1413" t="s">
        <v>9457</v>
      </c>
      <c r="F1413" t="s">
        <v>9458</v>
      </c>
      <c r="G1413" t="s">
        <v>9459</v>
      </c>
      <c r="H1413" t="s">
        <v>117</v>
      </c>
      <c r="I1413" t="s">
        <v>9460</v>
      </c>
      <c r="J1413" t="s">
        <v>9461</v>
      </c>
      <c r="K1413">
        <v>92421</v>
      </c>
      <c r="L1413" t="s">
        <v>71</v>
      </c>
      <c r="M1413" t="s">
        <v>46</v>
      </c>
      <c r="N1413" t="s">
        <v>47</v>
      </c>
      <c r="O1413">
        <v>28</v>
      </c>
      <c r="P1413">
        <v>1</v>
      </c>
      <c r="Q1413">
        <v>28</v>
      </c>
      <c r="R1413" t="s">
        <v>48</v>
      </c>
      <c r="S1413" t="s">
        <v>49</v>
      </c>
      <c r="T1413" s="3">
        <v>7</v>
      </c>
      <c r="U1413" s="3">
        <v>0.23</v>
      </c>
      <c r="V1413" s="3">
        <v>30.93</v>
      </c>
      <c r="W1413">
        <v>10</v>
      </c>
      <c r="X1413" t="s">
        <v>72</v>
      </c>
      <c r="Y1413" s="3">
        <v>7.46</v>
      </c>
      <c r="Z1413" t="s">
        <v>51</v>
      </c>
      <c r="AA1413" t="s">
        <v>9462</v>
      </c>
      <c r="AB1413" t="s">
        <v>53</v>
      </c>
      <c r="AC1413" s="3">
        <v>1.87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f t="shared" si="44"/>
        <v>47.489999999999995</v>
      </c>
      <c r="AK1413" s="3">
        <f t="shared" si="45"/>
        <v>40.029999999999994</v>
      </c>
    </row>
    <row r="1414" spans="1:37">
      <c r="A1414">
        <v>10340872</v>
      </c>
      <c r="B1414" t="s">
        <v>37</v>
      </c>
      <c r="C1414" t="s">
        <v>9463</v>
      </c>
      <c r="E1414" t="s">
        <v>9464</v>
      </c>
      <c r="F1414" t="s">
        <v>9465</v>
      </c>
      <c r="G1414" t="s">
        <v>9466</v>
      </c>
      <c r="H1414" t="s">
        <v>42</v>
      </c>
      <c r="I1414" t="s">
        <v>9467</v>
      </c>
      <c r="J1414" t="s">
        <v>9468</v>
      </c>
      <c r="K1414">
        <v>92190</v>
      </c>
      <c r="L1414" t="s">
        <v>130</v>
      </c>
      <c r="M1414" t="s">
        <v>46</v>
      </c>
      <c r="N1414" t="s">
        <v>47</v>
      </c>
      <c r="O1414">
        <v>3</v>
      </c>
      <c r="P1414">
        <v>1</v>
      </c>
      <c r="Q1414">
        <v>3</v>
      </c>
      <c r="R1414" t="s">
        <v>48</v>
      </c>
      <c r="S1414" t="s">
        <v>49</v>
      </c>
      <c r="T1414" s="3">
        <v>0.84</v>
      </c>
      <c r="U1414" s="3">
        <v>0.23</v>
      </c>
      <c r="V1414" s="3">
        <v>2.68</v>
      </c>
      <c r="W1414">
        <v>1.5</v>
      </c>
      <c r="X1414" t="s">
        <v>50</v>
      </c>
      <c r="Y1414" s="3">
        <v>14.26</v>
      </c>
      <c r="Z1414" t="s">
        <v>73</v>
      </c>
      <c r="AA1414" t="s">
        <v>9469</v>
      </c>
      <c r="AB1414" t="s">
        <v>53</v>
      </c>
      <c r="AC1414" s="3">
        <v>1.29</v>
      </c>
      <c r="AD1414" s="3">
        <v>0</v>
      </c>
      <c r="AE1414" s="3">
        <v>0</v>
      </c>
      <c r="AF1414" s="3">
        <v>0</v>
      </c>
      <c r="AG1414" s="3">
        <v>0</v>
      </c>
      <c r="AH1414" s="3">
        <v>5</v>
      </c>
      <c r="AI1414" s="3">
        <v>0</v>
      </c>
      <c r="AJ1414" s="3">
        <f t="shared" si="44"/>
        <v>24.3</v>
      </c>
      <c r="AK1414" s="3">
        <f t="shared" si="45"/>
        <v>10.040000000000001</v>
      </c>
    </row>
    <row r="1415" spans="1:37">
      <c r="A1415">
        <v>10353954</v>
      </c>
      <c r="B1415" t="s">
        <v>37</v>
      </c>
      <c r="C1415" t="s">
        <v>9470</v>
      </c>
      <c r="E1415" t="s">
        <v>3946</v>
      </c>
      <c r="F1415" t="s">
        <v>9471</v>
      </c>
      <c r="G1415" t="s">
        <v>9472</v>
      </c>
      <c r="H1415" t="s">
        <v>42</v>
      </c>
      <c r="I1415" t="s">
        <v>9473</v>
      </c>
      <c r="J1415" t="s">
        <v>9474</v>
      </c>
      <c r="K1415">
        <v>82065</v>
      </c>
      <c r="L1415" t="s">
        <v>71</v>
      </c>
      <c r="M1415" t="s">
        <v>46</v>
      </c>
      <c r="N1415" t="s">
        <v>47</v>
      </c>
      <c r="O1415">
        <v>7</v>
      </c>
      <c r="P1415">
        <v>1</v>
      </c>
      <c r="Q1415">
        <v>7</v>
      </c>
      <c r="R1415" t="s">
        <v>48</v>
      </c>
      <c r="S1415" t="s">
        <v>49</v>
      </c>
      <c r="T1415" s="3">
        <v>0.84</v>
      </c>
      <c r="U1415" s="3">
        <v>0.23</v>
      </c>
      <c r="V1415" s="3">
        <v>6.16</v>
      </c>
      <c r="W1415">
        <v>2.42</v>
      </c>
      <c r="X1415" t="s">
        <v>72</v>
      </c>
      <c r="Y1415" s="3">
        <v>5.44</v>
      </c>
      <c r="Z1415" t="s">
        <v>73</v>
      </c>
      <c r="AA1415" t="s">
        <v>9475</v>
      </c>
      <c r="AB1415" t="s">
        <v>53</v>
      </c>
      <c r="AC1415" s="3">
        <v>1.29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f t="shared" si="44"/>
        <v>13.96</v>
      </c>
      <c r="AK1415" s="3">
        <f t="shared" si="45"/>
        <v>8.52</v>
      </c>
    </row>
    <row r="1416" spans="1:37">
      <c r="A1416">
        <v>10349968</v>
      </c>
      <c r="B1416" t="s">
        <v>37</v>
      </c>
      <c r="C1416" t="s">
        <v>9476</v>
      </c>
      <c r="E1416" t="s">
        <v>1817</v>
      </c>
      <c r="F1416" t="s">
        <v>9477</v>
      </c>
      <c r="G1416" t="s">
        <v>9478</v>
      </c>
      <c r="H1416" t="s">
        <v>42</v>
      </c>
      <c r="I1416" t="s">
        <v>9479</v>
      </c>
      <c r="J1416" t="s">
        <v>9480</v>
      </c>
      <c r="K1416" t="s">
        <v>9481</v>
      </c>
      <c r="L1416" t="s">
        <v>142</v>
      </c>
      <c r="M1416" t="s">
        <v>46</v>
      </c>
      <c r="N1416" t="s">
        <v>47</v>
      </c>
      <c r="O1416">
        <v>4</v>
      </c>
      <c r="P1416">
        <v>1</v>
      </c>
      <c r="Q1416">
        <v>4</v>
      </c>
      <c r="R1416" t="s">
        <v>48</v>
      </c>
      <c r="S1416" t="s">
        <v>49</v>
      </c>
      <c r="T1416" s="3">
        <v>0.84</v>
      </c>
      <c r="U1416" s="3">
        <v>0.23</v>
      </c>
      <c r="V1416" s="3">
        <v>3.55</v>
      </c>
      <c r="W1416">
        <v>2</v>
      </c>
      <c r="X1416" t="s">
        <v>50</v>
      </c>
      <c r="Y1416" s="3">
        <v>16.43</v>
      </c>
      <c r="Z1416" t="s">
        <v>83</v>
      </c>
      <c r="AA1416" t="s">
        <v>9482</v>
      </c>
      <c r="AB1416" t="s">
        <v>53</v>
      </c>
      <c r="AC1416" s="3">
        <v>1.27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f t="shared" si="44"/>
        <v>22.32</v>
      </c>
      <c r="AK1416" s="3">
        <f t="shared" si="45"/>
        <v>5.8900000000000006</v>
      </c>
    </row>
    <row r="1417" spans="1:37">
      <c r="A1417">
        <v>10350254</v>
      </c>
      <c r="B1417" t="s">
        <v>111</v>
      </c>
      <c r="C1417" t="s">
        <v>9483</v>
      </c>
      <c r="D1417" t="s">
        <v>9484</v>
      </c>
      <c r="E1417" t="s">
        <v>9485</v>
      </c>
      <c r="F1417" t="s">
        <v>9486</v>
      </c>
      <c r="G1417" t="s">
        <v>9487</v>
      </c>
      <c r="H1417" t="s">
        <v>117</v>
      </c>
      <c r="I1417" t="s">
        <v>9488</v>
      </c>
      <c r="J1417" t="s">
        <v>9489</v>
      </c>
      <c r="K1417">
        <v>78661</v>
      </c>
      <c r="L1417" t="s">
        <v>71</v>
      </c>
      <c r="M1417" t="s">
        <v>46</v>
      </c>
      <c r="N1417" t="s">
        <v>47</v>
      </c>
      <c r="O1417">
        <v>18</v>
      </c>
      <c r="P1417">
        <v>2</v>
      </c>
      <c r="Q1417">
        <v>18</v>
      </c>
      <c r="R1417" t="s">
        <v>48</v>
      </c>
      <c r="S1417" t="s">
        <v>49</v>
      </c>
      <c r="T1417" s="3">
        <v>7</v>
      </c>
      <c r="U1417" s="3">
        <v>0.23</v>
      </c>
      <c r="V1417" s="3">
        <v>22.33</v>
      </c>
      <c r="W1417">
        <v>5</v>
      </c>
      <c r="X1417" t="s">
        <v>72</v>
      </c>
      <c r="Y1417" s="3">
        <v>13.21</v>
      </c>
      <c r="Z1417" t="s">
        <v>9490</v>
      </c>
      <c r="AA1417" t="s">
        <v>9491</v>
      </c>
      <c r="AB1417" t="s">
        <v>53</v>
      </c>
      <c r="AC1417" s="3">
        <v>2.54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f t="shared" si="44"/>
        <v>45.309999999999995</v>
      </c>
      <c r="AK1417" s="3">
        <f t="shared" si="45"/>
        <v>32.099999999999994</v>
      </c>
    </row>
    <row r="1418" spans="1:37">
      <c r="A1418">
        <v>10354150</v>
      </c>
      <c r="B1418" t="s">
        <v>37</v>
      </c>
      <c r="C1418" t="s">
        <v>9492</v>
      </c>
      <c r="E1418" t="s">
        <v>3020</v>
      </c>
      <c r="F1418" t="s">
        <v>9493</v>
      </c>
      <c r="G1418" t="s">
        <v>9494</v>
      </c>
      <c r="H1418" t="s">
        <v>42</v>
      </c>
      <c r="I1418" t="s">
        <v>9495</v>
      </c>
      <c r="J1418" t="s">
        <v>9496</v>
      </c>
      <c r="K1418">
        <v>89185</v>
      </c>
      <c r="L1418" t="s">
        <v>71</v>
      </c>
      <c r="M1418" t="s">
        <v>46</v>
      </c>
      <c r="N1418" t="s">
        <v>47</v>
      </c>
      <c r="O1418">
        <v>5</v>
      </c>
      <c r="P1418">
        <v>1</v>
      </c>
      <c r="Q1418">
        <v>5</v>
      </c>
      <c r="R1418" t="s">
        <v>48</v>
      </c>
      <c r="S1418" t="s">
        <v>49</v>
      </c>
      <c r="T1418" s="3">
        <v>0.84</v>
      </c>
      <c r="U1418" s="3">
        <v>0.23</v>
      </c>
      <c r="V1418" s="3">
        <v>4.42</v>
      </c>
      <c r="W1418">
        <v>2.2000000000000002</v>
      </c>
      <c r="X1418" t="s">
        <v>108</v>
      </c>
      <c r="Y1418" s="3">
        <v>5.44</v>
      </c>
      <c r="Z1418" t="s">
        <v>109</v>
      </c>
      <c r="AA1418" t="s">
        <v>9497</v>
      </c>
      <c r="AB1418" t="s">
        <v>53</v>
      </c>
      <c r="AC1418" s="3">
        <v>1.06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f t="shared" si="44"/>
        <v>11.99</v>
      </c>
      <c r="AK1418" s="3">
        <f t="shared" si="45"/>
        <v>6.55</v>
      </c>
    </row>
    <row r="1419" spans="1:37">
      <c r="A1419">
        <v>10354156</v>
      </c>
      <c r="B1419" t="s">
        <v>37</v>
      </c>
      <c r="C1419" t="s">
        <v>9498</v>
      </c>
      <c r="E1419" t="s">
        <v>4485</v>
      </c>
      <c r="F1419" t="s">
        <v>9499</v>
      </c>
      <c r="G1419" t="s">
        <v>9500</v>
      </c>
      <c r="H1419" t="s">
        <v>42</v>
      </c>
      <c r="I1419" t="s">
        <v>9501</v>
      </c>
      <c r="J1419" t="s">
        <v>9502</v>
      </c>
      <c r="K1419" t="s">
        <v>9503</v>
      </c>
      <c r="L1419" t="s">
        <v>142</v>
      </c>
      <c r="M1419" t="s">
        <v>46</v>
      </c>
      <c r="N1419" t="s">
        <v>47</v>
      </c>
      <c r="O1419">
        <v>3</v>
      </c>
      <c r="P1419">
        <v>1</v>
      </c>
      <c r="Q1419">
        <v>3</v>
      </c>
      <c r="R1419" t="s">
        <v>48</v>
      </c>
      <c r="S1419" t="s">
        <v>49</v>
      </c>
      <c r="T1419" s="3">
        <v>0.84</v>
      </c>
      <c r="U1419" s="3">
        <v>0.23</v>
      </c>
      <c r="V1419" s="3">
        <v>2.68</v>
      </c>
      <c r="W1419">
        <v>0.88</v>
      </c>
      <c r="X1419" t="s">
        <v>50</v>
      </c>
      <c r="Y1419" s="3">
        <v>16.43</v>
      </c>
      <c r="Z1419" t="s">
        <v>73</v>
      </c>
      <c r="AA1419" t="s">
        <v>9504</v>
      </c>
      <c r="AB1419" t="s">
        <v>53</v>
      </c>
      <c r="AC1419" s="3">
        <v>1.29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f t="shared" si="44"/>
        <v>21.47</v>
      </c>
      <c r="AK1419" s="3">
        <f t="shared" si="45"/>
        <v>5.0399999999999991</v>
      </c>
    </row>
    <row r="1420" spans="1:37">
      <c r="A1420">
        <v>10352699</v>
      </c>
      <c r="B1420" t="s">
        <v>37</v>
      </c>
      <c r="C1420" t="s">
        <v>9505</v>
      </c>
      <c r="E1420" t="s">
        <v>9506</v>
      </c>
      <c r="F1420" t="s">
        <v>9507</v>
      </c>
      <c r="G1420" t="s">
        <v>9508</v>
      </c>
      <c r="H1420" t="s">
        <v>42</v>
      </c>
      <c r="I1420" t="s">
        <v>9509</v>
      </c>
      <c r="J1420" t="s">
        <v>9510</v>
      </c>
      <c r="K1420">
        <v>12122</v>
      </c>
      <c r="L1420" t="s">
        <v>9511</v>
      </c>
      <c r="M1420" t="s">
        <v>46</v>
      </c>
      <c r="N1420" t="s">
        <v>47</v>
      </c>
      <c r="O1420">
        <v>8</v>
      </c>
      <c r="P1420">
        <v>1</v>
      </c>
      <c r="Q1420">
        <v>8</v>
      </c>
      <c r="R1420" t="s">
        <v>48</v>
      </c>
      <c r="S1420" t="s">
        <v>49</v>
      </c>
      <c r="T1420" s="3">
        <v>0.84</v>
      </c>
      <c r="U1420" s="3">
        <v>0.23</v>
      </c>
      <c r="V1420" s="3">
        <v>7.03</v>
      </c>
      <c r="W1420">
        <v>2.89</v>
      </c>
      <c r="X1420" t="s">
        <v>50</v>
      </c>
      <c r="Y1420" s="3">
        <v>22.22</v>
      </c>
      <c r="Z1420" t="s">
        <v>83</v>
      </c>
      <c r="AA1420" t="s">
        <v>9512</v>
      </c>
      <c r="AB1420" t="s">
        <v>53</v>
      </c>
      <c r="AC1420" s="3">
        <v>1.27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f t="shared" si="44"/>
        <v>31.59</v>
      </c>
      <c r="AK1420" s="3">
        <f t="shared" si="45"/>
        <v>9.370000000000001</v>
      </c>
    </row>
    <row r="1421" spans="1:37">
      <c r="A1421">
        <v>10354158</v>
      </c>
      <c r="B1421" t="s">
        <v>37</v>
      </c>
      <c r="C1421" t="s">
        <v>9513</v>
      </c>
      <c r="D1421" t="s">
        <v>66</v>
      </c>
      <c r="E1421" t="s">
        <v>66</v>
      </c>
      <c r="F1421" t="s">
        <v>9514</v>
      </c>
      <c r="G1421" t="s">
        <v>9515</v>
      </c>
      <c r="H1421" t="s">
        <v>42</v>
      </c>
      <c r="I1421" t="s">
        <v>9516</v>
      </c>
      <c r="J1421" t="s">
        <v>9517</v>
      </c>
      <c r="K1421">
        <v>8313</v>
      </c>
      <c r="L1421" t="s">
        <v>369</v>
      </c>
      <c r="M1421" t="s">
        <v>46</v>
      </c>
      <c r="N1421" t="s">
        <v>47</v>
      </c>
      <c r="O1421">
        <v>3</v>
      </c>
      <c r="P1421">
        <v>1</v>
      </c>
      <c r="Q1421">
        <v>3</v>
      </c>
      <c r="R1421" t="s">
        <v>48</v>
      </c>
      <c r="S1421" t="s">
        <v>49</v>
      </c>
      <c r="T1421" s="3">
        <v>0.84</v>
      </c>
      <c r="U1421" s="3">
        <v>0.23</v>
      </c>
      <c r="V1421" s="3">
        <v>2.68</v>
      </c>
      <c r="W1421">
        <v>1.27</v>
      </c>
      <c r="X1421" t="s">
        <v>50</v>
      </c>
      <c r="Y1421" s="3">
        <v>9.19</v>
      </c>
      <c r="Z1421" t="s">
        <v>73</v>
      </c>
      <c r="AA1421" t="s">
        <v>9518</v>
      </c>
      <c r="AB1421" t="s">
        <v>53</v>
      </c>
      <c r="AC1421" s="3">
        <v>1.29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f t="shared" si="44"/>
        <v>14.23</v>
      </c>
      <c r="AK1421" s="3">
        <f t="shared" si="45"/>
        <v>5.0400000000000009</v>
      </c>
    </row>
    <row r="1422" spans="1:37">
      <c r="A1422">
        <v>10354151</v>
      </c>
      <c r="B1422" t="s">
        <v>37</v>
      </c>
      <c r="C1422" t="s">
        <v>9519</v>
      </c>
      <c r="E1422" t="s">
        <v>9520</v>
      </c>
      <c r="F1422" t="s">
        <v>9521</v>
      </c>
      <c r="G1422" t="s">
        <v>9522</v>
      </c>
      <c r="H1422" t="s">
        <v>42</v>
      </c>
      <c r="I1422" t="s">
        <v>9523</v>
      </c>
      <c r="J1422" t="s">
        <v>9524</v>
      </c>
      <c r="K1422">
        <v>91080</v>
      </c>
      <c r="L1422" t="s">
        <v>71</v>
      </c>
      <c r="M1422" t="s">
        <v>46</v>
      </c>
      <c r="N1422" t="s">
        <v>47</v>
      </c>
      <c r="O1422">
        <v>2</v>
      </c>
      <c r="P1422">
        <v>1</v>
      </c>
      <c r="Q1422">
        <v>2</v>
      </c>
      <c r="R1422" t="s">
        <v>48</v>
      </c>
      <c r="S1422" t="s">
        <v>49</v>
      </c>
      <c r="T1422" s="3">
        <v>0.84</v>
      </c>
      <c r="U1422" s="3">
        <v>0.23</v>
      </c>
      <c r="V1422" s="3">
        <v>1.81</v>
      </c>
      <c r="W1422">
        <v>1</v>
      </c>
      <c r="X1422" t="s">
        <v>72</v>
      </c>
      <c r="Y1422" s="3">
        <v>5.44</v>
      </c>
      <c r="Z1422" t="s">
        <v>73</v>
      </c>
      <c r="AA1422" t="s">
        <v>9525</v>
      </c>
      <c r="AB1422" t="s">
        <v>53</v>
      </c>
      <c r="AC1422" s="3">
        <v>1.29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f t="shared" si="44"/>
        <v>9.6100000000000012</v>
      </c>
      <c r="AK1422" s="3">
        <f t="shared" si="45"/>
        <v>4.1700000000000008</v>
      </c>
    </row>
    <row r="1423" spans="1:37">
      <c r="A1423">
        <v>10354152</v>
      </c>
      <c r="B1423" t="s">
        <v>37</v>
      </c>
      <c r="C1423" t="s">
        <v>9526</v>
      </c>
      <c r="E1423" t="s">
        <v>7397</v>
      </c>
      <c r="F1423" t="s">
        <v>1818</v>
      </c>
      <c r="G1423" t="s">
        <v>9527</v>
      </c>
      <c r="H1423" t="s">
        <v>42</v>
      </c>
      <c r="I1423" t="s">
        <v>9528</v>
      </c>
      <c r="J1423" t="s">
        <v>9529</v>
      </c>
      <c r="K1423">
        <v>7769</v>
      </c>
      <c r="L1423" t="s">
        <v>369</v>
      </c>
      <c r="M1423" t="s">
        <v>46</v>
      </c>
      <c r="N1423" t="s">
        <v>47</v>
      </c>
      <c r="O1423">
        <v>1</v>
      </c>
      <c r="P1423">
        <v>1</v>
      </c>
      <c r="Q1423">
        <v>1</v>
      </c>
      <c r="R1423" t="s">
        <v>48</v>
      </c>
      <c r="S1423" t="s">
        <v>49</v>
      </c>
      <c r="T1423" s="3">
        <v>0.84</v>
      </c>
      <c r="U1423" s="3">
        <v>0.23</v>
      </c>
      <c r="V1423" s="3">
        <v>0.94</v>
      </c>
      <c r="W1423">
        <v>0.49</v>
      </c>
      <c r="X1423" t="s">
        <v>50</v>
      </c>
      <c r="Y1423" s="3">
        <v>9.19</v>
      </c>
      <c r="Z1423" t="s">
        <v>109</v>
      </c>
      <c r="AA1423" t="s">
        <v>3510</v>
      </c>
      <c r="AB1423" t="s">
        <v>53</v>
      </c>
      <c r="AC1423" s="3">
        <v>1.06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f t="shared" si="44"/>
        <v>12.26</v>
      </c>
      <c r="AK1423" s="3">
        <f t="shared" si="45"/>
        <v>3.0700000000000003</v>
      </c>
    </row>
    <row r="1424" spans="1:37">
      <c r="A1424">
        <v>10354155</v>
      </c>
      <c r="B1424" t="s">
        <v>37</v>
      </c>
      <c r="C1424" t="s">
        <v>9530</v>
      </c>
      <c r="E1424" t="s">
        <v>2122</v>
      </c>
      <c r="F1424" t="s">
        <v>4592</v>
      </c>
      <c r="G1424" t="s">
        <v>9531</v>
      </c>
      <c r="H1424" t="s">
        <v>42</v>
      </c>
      <c r="I1424" t="s">
        <v>9532</v>
      </c>
      <c r="J1424" t="s">
        <v>9533</v>
      </c>
      <c r="K1424" t="s">
        <v>9534</v>
      </c>
      <c r="L1424" t="s">
        <v>142</v>
      </c>
      <c r="M1424" t="s">
        <v>46</v>
      </c>
      <c r="N1424" t="s">
        <v>47</v>
      </c>
      <c r="O1424">
        <v>1</v>
      </c>
      <c r="P1424">
        <v>1</v>
      </c>
      <c r="Q1424">
        <v>1</v>
      </c>
      <c r="R1424" t="s">
        <v>48</v>
      </c>
      <c r="S1424" t="s">
        <v>49</v>
      </c>
      <c r="T1424" s="3">
        <v>0.84</v>
      </c>
      <c r="U1424" s="3">
        <v>0.23</v>
      </c>
      <c r="V1424" s="3">
        <v>0.94</v>
      </c>
      <c r="W1424">
        <v>0.6</v>
      </c>
      <c r="X1424" t="s">
        <v>50</v>
      </c>
      <c r="Y1424" s="3">
        <v>16.43</v>
      </c>
      <c r="Z1424" t="s">
        <v>73</v>
      </c>
      <c r="AA1424" t="s">
        <v>9535</v>
      </c>
      <c r="AB1424" t="s">
        <v>53</v>
      </c>
      <c r="AC1424" s="3">
        <v>1.29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f t="shared" si="44"/>
        <v>19.73</v>
      </c>
      <c r="AK1424" s="3">
        <f t="shared" si="45"/>
        <v>3.3000000000000007</v>
      </c>
    </row>
    <row r="1425" spans="1:37">
      <c r="A1425">
        <v>10354153</v>
      </c>
      <c r="B1425" t="s">
        <v>37</v>
      </c>
      <c r="C1425" t="s">
        <v>9536</v>
      </c>
      <c r="E1425" t="s">
        <v>9537</v>
      </c>
      <c r="F1425" t="s">
        <v>9538</v>
      </c>
      <c r="G1425" t="s">
        <v>9539</v>
      </c>
      <c r="H1425" t="s">
        <v>42</v>
      </c>
      <c r="I1425" t="s">
        <v>9540</v>
      </c>
      <c r="J1425" t="s">
        <v>9541</v>
      </c>
      <c r="K1425" t="s">
        <v>9542</v>
      </c>
      <c r="L1425" t="s">
        <v>82</v>
      </c>
      <c r="M1425" t="s">
        <v>46</v>
      </c>
      <c r="N1425" t="s">
        <v>47</v>
      </c>
      <c r="O1425">
        <v>1</v>
      </c>
      <c r="P1425">
        <v>1</v>
      </c>
      <c r="Q1425">
        <v>1</v>
      </c>
      <c r="R1425" t="s">
        <v>48</v>
      </c>
      <c r="S1425" t="s">
        <v>49</v>
      </c>
      <c r="T1425" s="3">
        <v>0.84</v>
      </c>
      <c r="U1425" s="3">
        <v>0.23</v>
      </c>
      <c r="V1425" s="3">
        <v>0.94</v>
      </c>
      <c r="W1425">
        <v>0.59</v>
      </c>
      <c r="X1425" t="s">
        <v>50</v>
      </c>
      <c r="Y1425" s="3">
        <v>9.19</v>
      </c>
      <c r="Z1425" t="s">
        <v>73</v>
      </c>
      <c r="AA1425" t="s">
        <v>184</v>
      </c>
      <c r="AB1425" t="s">
        <v>53</v>
      </c>
      <c r="AC1425" s="3">
        <v>1.29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f t="shared" si="44"/>
        <v>12.49</v>
      </c>
      <c r="AK1425" s="3">
        <f t="shared" si="45"/>
        <v>3.3000000000000007</v>
      </c>
    </row>
    <row r="1426" spans="1:37">
      <c r="A1426">
        <v>10354149</v>
      </c>
      <c r="B1426" t="s">
        <v>37</v>
      </c>
      <c r="C1426" t="s">
        <v>9543</v>
      </c>
      <c r="E1426" t="s">
        <v>6295</v>
      </c>
      <c r="F1426" t="s">
        <v>9544</v>
      </c>
      <c r="G1426" t="s">
        <v>9545</v>
      </c>
      <c r="H1426" t="s">
        <v>42</v>
      </c>
      <c r="I1426" t="s">
        <v>9546</v>
      </c>
      <c r="J1426" t="s">
        <v>9547</v>
      </c>
      <c r="K1426">
        <v>87463</v>
      </c>
      <c r="L1426" t="s">
        <v>71</v>
      </c>
      <c r="M1426" t="s">
        <v>46</v>
      </c>
      <c r="N1426" t="s">
        <v>47</v>
      </c>
      <c r="O1426">
        <v>1</v>
      </c>
      <c r="P1426">
        <v>1</v>
      </c>
      <c r="Q1426">
        <v>1</v>
      </c>
      <c r="R1426" t="s">
        <v>48</v>
      </c>
      <c r="S1426" t="s">
        <v>49</v>
      </c>
      <c r="T1426" s="3">
        <v>0.84</v>
      </c>
      <c r="U1426" s="3">
        <v>0.23</v>
      </c>
      <c r="V1426" s="3">
        <v>0.94</v>
      </c>
      <c r="W1426">
        <v>0.49</v>
      </c>
      <c r="X1426" t="s">
        <v>108</v>
      </c>
      <c r="Y1426" s="3">
        <v>5.14</v>
      </c>
      <c r="Z1426" t="s">
        <v>109</v>
      </c>
      <c r="AA1426" t="s">
        <v>1802</v>
      </c>
      <c r="AB1426" t="s">
        <v>53</v>
      </c>
      <c r="AC1426" s="3">
        <v>1.06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f t="shared" si="44"/>
        <v>8.2099999999999991</v>
      </c>
      <c r="AK1426" s="3">
        <f t="shared" si="45"/>
        <v>3.0699999999999994</v>
      </c>
    </row>
    <row r="1427" spans="1:37">
      <c r="A1427">
        <v>10351640</v>
      </c>
      <c r="B1427" t="s">
        <v>111</v>
      </c>
      <c r="C1427" t="s">
        <v>9548</v>
      </c>
      <c r="D1427" t="s">
        <v>9549</v>
      </c>
      <c r="E1427" t="s">
        <v>9550</v>
      </c>
      <c r="F1427" t="s">
        <v>9551</v>
      </c>
      <c r="G1427" t="s">
        <v>9552</v>
      </c>
      <c r="H1427" t="s">
        <v>117</v>
      </c>
      <c r="I1427" t="s">
        <v>9553</v>
      </c>
      <c r="J1427" t="s">
        <v>9554</v>
      </c>
      <c r="K1427">
        <v>85748</v>
      </c>
      <c r="L1427" t="s">
        <v>71</v>
      </c>
      <c r="M1427" t="s">
        <v>46</v>
      </c>
      <c r="N1427" t="s">
        <v>47</v>
      </c>
      <c r="O1427">
        <v>47</v>
      </c>
      <c r="P1427">
        <v>2</v>
      </c>
      <c r="Q1427">
        <v>47</v>
      </c>
      <c r="R1427" t="s">
        <v>48</v>
      </c>
      <c r="S1427" t="s">
        <v>49</v>
      </c>
      <c r="T1427" s="3">
        <v>7</v>
      </c>
      <c r="U1427" s="3">
        <v>0.23</v>
      </c>
      <c r="V1427" s="3">
        <v>47.27</v>
      </c>
      <c r="W1427">
        <v>30</v>
      </c>
      <c r="X1427" t="s">
        <v>72</v>
      </c>
      <c r="Y1427" s="3">
        <v>19.57</v>
      </c>
      <c r="Z1427" t="s">
        <v>744</v>
      </c>
      <c r="AA1427" t="s">
        <v>9555</v>
      </c>
      <c r="AB1427" t="s">
        <v>53</v>
      </c>
      <c r="AC1427" s="3">
        <v>3.74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f t="shared" si="44"/>
        <v>77.810000000000016</v>
      </c>
      <c r="AK1427" s="3">
        <f t="shared" si="45"/>
        <v>58.240000000000016</v>
      </c>
    </row>
    <row r="1428" spans="1:37">
      <c r="A1428">
        <v>10354377</v>
      </c>
      <c r="B1428" t="s">
        <v>37</v>
      </c>
      <c r="C1428" t="s">
        <v>9556</v>
      </c>
      <c r="E1428" t="s">
        <v>9557</v>
      </c>
      <c r="F1428" t="s">
        <v>9558</v>
      </c>
      <c r="G1428" t="s">
        <v>9559</v>
      </c>
      <c r="H1428" t="s">
        <v>42</v>
      </c>
      <c r="I1428" t="s">
        <v>9560</v>
      </c>
      <c r="J1428" t="s">
        <v>9561</v>
      </c>
      <c r="K1428">
        <v>53332</v>
      </c>
      <c r="L1428" t="s">
        <v>71</v>
      </c>
      <c r="M1428" t="s">
        <v>46</v>
      </c>
      <c r="N1428" t="s">
        <v>47</v>
      </c>
      <c r="O1428">
        <v>1</v>
      </c>
      <c r="P1428">
        <v>1</v>
      </c>
      <c r="Q1428">
        <v>1</v>
      </c>
      <c r="R1428" t="s">
        <v>48</v>
      </c>
      <c r="S1428" t="s">
        <v>49</v>
      </c>
      <c r="T1428" s="3">
        <v>0.84</v>
      </c>
      <c r="U1428" s="3">
        <v>0.23</v>
      </c>
      <c r="V1428" s="3">
        <v>0.94</v>
      </c>
      <c r="W1428">
        <v>0.59</v>
      </c>
      <c r="X1428" t="s">
        <v>72</v>
      </c>
      <c r="Y1428" s="3">
        <v>5.43</v>
      </c>
      <c r="Z1428" t="s">
        <v>73</v>
      </c>
      <c r="AA1428" t="s">
        <v>966</v>
      </c>
      <c r="AB1428" t="s">
        <v>53</v>
      </c>
      <c r="AC1428" s="3">
        <v>1.29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f t="shared" si="44"/>
        <v>8.73</v>
      </c>
      <c r="AK1428" s="3">
        <f t="shared" si="45"/>
        <v>3.3000000000000007</v>
      </c>
    </row>
    <row r="1429" spans="1:37">
      <c r="A1429">
        <v>10354383</v>
      </c>
      <c r="B1429" t="s">
        <v>37</v>
      </c>
      <c r="C1429" t="s">
        <v>9562</v>
      </c>
      <c r="E1429" t="s">
        <v>1851</v>
      </c>
      <c r="F1429" t="s">
        <v>9563</v>
      </c>
      <c r="G1429" t="s">
        <v>9564</v>
      </c>
      <c r="H1429" t="s">
        <v>42</v>
      </c>
      <c r="I1429" t="s">
        <v>9565</v>
      </c>
      <c r="J1429" t="s">
        <v>9566</v>
      </c>
      <c r="K1429" t="s">
        <v>9567</v>
      </c>
      <c r="L1429" t="s">
        <v>142</v>
      </c>
      <c r="M1429" t="s">
        <v>46</v>
      </c>
      <c r="N1429" t="s">
        <v>47</v>
      </c>
      <c r="O1429">
        <v>1</v>
      </c>
      <c r="P1429">
        <v>1</v>
      </c>
      <c r="Q1429">
        <v>1</v>
      </c>
      <c r="R1429" t="s">
        <v>48</v>
      </c>
      <c r="S1429" t="s">
        <v>49</v>
      </c>
      <c r="T1429" s="3">
        <v>0.84</v>
      </c>
      <c r="U1429" s="3">
        <v>0.23</v>
      </c>
      <c r="V1429" s="3">
        <v>0.94</v>
      </c>
      <c r="W1429">
        <v>0.49</v>
      </c>
      <c r="X1429" t="s">
        <v>50</v>
      </c>
      <c r="Y1429" s="3">
        <v>16.43</v>
      </c>
      <c r="Z1429" t="s">
        <v>109</v>
      </c>
      <c r="AA1429" t="s">
        <v>714</v>
      </c>
      <c r="AB1429" t="s">
        <v>53</v>
      </c>
      <c r="AC1429" s="3">
        <v>1.06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f t="shared" si="44"/>
        <v>19.5</v>
      </c>
      <c r="AK1429" s="3">
        <f t="shared" si="45"/>
        <v>3.0700000000000003</v>
      </c>
    </row>
    <row r="1430" spans="1:37">
      <c r="A1430">
        <v>10354382</v>
      </c>
      <c r="B1430" t="s">
        <v>37</v>
      </c>
      <c r="C1430" t="s">
        <v>9568</v>
      </c>
      <c r="E1430" t="s">
        <v>9569</v>
      </c>
      <c r="F1430" t="s">
        <v>7259</v>
      </c>
      <c r="G1430" t="s">
        <v>9570</v>
      </c>
      <c r="H1430" t="s">
        <v>42</v>
      </c>
      <c r="I1430" t="s">
        <v>9571</v>
      </c>
      <c r="J1430" t="s">
        <v>9572</v>
      </c>
      <c r="K1430">
        <v>21031</v>
      </c>
      <c r="L1430" t="s">
        <v>71</v>
      </c>
      <c r="M1430" t="s">
        <v>46</v>
      </c>
      <c r="N1430" t="s">
        <v>47</v>
      </c>
      <c r="O1430">
        <v>1</v>
      </c>
      <c r="P1430">
        <v>1</v>
      </c>
      <c r="Q1430">
        <v>1</v>
      </c>
      <c r="R1430" t="s">
        <v>48</v>
      </c>
      <c r="S1430" t="s">
        <v>49</v>
      </c>
      <c r="T1430" s="3">
        <v>0.84</v>
      </c>
      <c r="U1430" s="3">
        <v>0.23</v>
      </c>
      <c r="V1430" s="3">
        <v>0.94</v>
      </c>
      <c r="W1430">
        <v>0.36</v>
      </c>
      <c r="X1430" t="s">
        <v>108</v>
      </c>
      <c r="Y1430" s="3">
        <v>5.14</v>
      </c>
      <c r="Z1430" t="s">
        <v>109</v>
      </c>
      <c r="AA1430" t="s">
        <v>9573</v>
      </c>
      <c r="AB1430" t="s">
        <v>53</v>
      </c>
      <c r="AC1430" s="3">
        <v>1.06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f t="shared" si="44"/>
        <v>8.2099999999999991</v>
      </c>
      <c r="AK1430" s="3">
        <f t="shared" si="45"/>
        <v>3.0699999999999994</v>
      </c>
    </row>
    <row r="1431" spans="1:37">
      <c r="A1431">
        <v>10354379</v>
      </c>
      <c r="B1431" t="s">
        <v>37</v>
      </c>
      <c r="C1431" t="s">
        <v>9574</v>
      </c>
      <c r="E1431" t="s">
        <v>9575</v>
      </c>
      <c r="F1431" t="s">
        <v>9576</v>
      </c>
      <c r="G1431" t="s">
        <v>9577</v>
      </c>
      <c r="H1431" t="s">
        <v>42</v>
      </c>
      <c r="I1431" t="s">
        <v>9578</v>
      </c>
      <c r="J1431" t="s">
        <v>9579</v>
      </c>
      <c r="K1431">
        <v>3128</v>
      </c>
      <c r="L1431" t="s">
        <v>505</v>
      </c>
      <c r="M1431" t="s">
        <v>46</v>
      </c>
      <c r="N1431" t="s">
        <v>47</v>
      </c>
      <c r="O1431">
        <v>1</v>
      </c>
      <c r="P1431">
        <v>1</v>
      </c>
      <c r="Q1431">
        <v>1</v>
      </c>
      <c r="R1431" t="s">
        <v>48</v>
      </c>
      <c r="S1431" t="s">
        <v>49</v>
      </c>
      <c r="T1431" s="3">
        <v>0.84</v>
      </c>
      <c r="U1431" s="3">
        <v>0.23</v>
      </c>
      <c r="V1431" s="3">
        <v>0.94</v>
      </c>
      <c r="W1431">
        <v>3.1</v>
      </c>
      <c r="X1431" t="s">
        <v>50</v>
      </c>
      <c r="Y1431" s="3">
        <v>9.19</v>
      </c>
      <c r="Z1431" t="s">
        <v>83</v>
      </c>
      <c r="AA1431" t="s">
        <v>4031</v>
      </c>
      <c r="AB1431" t="s">
        <v>53</v>
      </c>
      <c r="AC1431" s="3">
        <v>1.27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f t="shared" si="44"/>
        <v>12.469999999999999</v>
      </c>
      <c r="AK1431" s="3">
        <f t="shared" si="45"/>
        <v>3.2799999999999994</v>
      </c>
    </row>
    <row r="1432" spans="1:37">
      <c r="A1432">
        <v>10354380</v>
      </c>
      <c r="B1432" t="s">
        <v>37</v>
      </c>
      <c r="C1432" t="s">
        <v>9580</v>
      </c>
      <c r="E1432" t="s">
        <v>9581</v>
      </c>
      <c r="F1432" t="s">
        <v>9582</v>
      </c>
      <c r="G1432" t="s">
        <v>9583</v>
      </c>
      <c r="H1432" t="s">
        <v>42</v>
      </c>
      <c r="I1432" t="s">
        <v>9584</v>
      </c>
      <c r="J1432" t="s">
        <v>9585</v>
      </c>
      <c r="K1432" t="s">
        <v>9586</v>
      </c>
      <c r="L1432" t="s">
        <v>142</v>
      </c>
      <c r="M1432" t="s">
        <v>46</v>
      </c>
      <c r="N1432" t="s">
        <v>47</v>
      </c>
      <c r="O1432">
        <v>1</v>
      </c>
      <c r="P1432">
        <v>1</v>
      </c>
      <c r="Q1432">
        <v>1</v>
      </c>
      <c r="R1432" t="s">
        <v>48</v>
      </c>
      <c r="S1432" t="s">
        <v>49</v>
      </c>
      <c r="T1432" s="3">
        <v>0.84</v>
      </c>
      <c r="U1432" s="3">
        <v>0.23</v>
      </c>
      <c r="V1432" s="3">
        <v>0.94</v>
      </c>
      <c r="W1432">
        <v>3.1</v>
      </c>
      <c r="X1432" t="s">
        <v>50</v>
      </c>
      <c r="Y1432" s="3">
        <v>16.43</v>
      </c>
      <c r="Z1432" t="s">
        <v>83</v>
      </c>
      <c r="AA1432" t="s">
        <v>4031</v>
      </c>
      <c r="AB1432" t="s">
        <v>53</v>
      </c>
      <c r="AC1432" s="3">
        <v>1.27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f t="shared" si="44"/>
        <v>19.71</v>
      </c>
      <c r="AK1432" s="3">
        <f t="shared" si="45"/>
        <v>3.2800000000000011</v>
      </c>
    </row>
    <row r="1433" spans="1:37">
      <c r="A1433">
        <v>10345303</v>
      </c>
      <c r="B1433" t="s">
        <v>37</v>
      </c>
      <c r="C1433" t="s">
        <v>9587</v>
      </c>
      <c r="E1433" t="s">
        <v>4506</v>
      </c>
      <c r="F1433" t="s">
        <v>9588</v>
      </c>
      <c r="G1433" t="s">
        <v>9589</v>
      </c>
      <c r="H1433" t="s">
        <v>42</v>
      </c>
      <c r="I1433" t="s">
        <v>9590</v>
      </c>
      <c r="J1433" t="s">
        <v>9591</v>
      </c>
      <c r="K1433">
        <v>1210</v>
      </c>
      <c r="L1433" t="s">
        <v>505</v>
      </c>
      <c r="M1433" t="s">
        <v>46</v>
      </c>
      <c r="N1433" t="s">
        <v>47</v>
      </c>
      <c r="O1433">
        <v>3</v>
      </c>
      <c r="P1433">
        <v>1</v>
      </c>
      <c r="Q1433">
        <v>3</v>
      </c>
      <c r="R1433" t="s">
        <v>48</v>
      </c>
      <c r="S1433" t="s">
        <v>49</v>
      </c>
      <c r="T1433" s="3">
        <v>0.84</v>
      </c>
      <c r="U1433" s="3">
        <v>0.23</v>
      </c>
      <c r="V1433" s="3">
        <v>2.68</v>
      </c>
      <c r="W1433">
        <v>1.59</v>
      </c>
      <c r="X1433" t="s">
        <v>50</v>
      </c>
      <c r="Y1433" s="3">
        <v>9.19</v>
      </c>
      <c r="Z1433" t="s">
        <v>73</v>
      </c>
      <c r="AA1433" t="s">
        <v>9592</v>
      </c>
      <c r="AB1433" t="s">
        <v>53</v>
      </c>
      <c r="AC1433" s="3">
        <v>1.29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f t="shared" si="44"/>
        <v>14.23</v>
      </c>
      <c r="AK1433" s="3">
        <f t="shared" si="45"/>
        <v>5.0400000000000009</v>
      </c>
    </row>
    <row r="1434" spans="1:37">
      <c r="A1434">
        <v>10354629</v>
      </c>
      <c r="B1434" t="s">
        <v>37</v>
      </c>
      <c r="C1434" t="s">
        <v>9593</v>
      </c>
      <c r="E1434" t="s">
        <v>9594</v>
      </c>
      <c r="F1434" t="s">
        <v>9595</v>
      </c>
      <c r="G1434" t="s">
        <v>9596</v>
      </c>
      <c r="H1434" t="s">
        <v>42</v>
      </c>
      <c r="I1434" t="s">
        <v>9597</v>
      </c>
      <c r="J1434" t="s">
        <v>9598</v>
      </c>
      <c r="K1434" t="s">
        <v>9599</v>
      </c>
      <c r="L1434" t="s">
        <v>142</v>
      </c>
      <c r="M1434" t="s">
        <v>46</v>
      </c>
      <c r="N1434" t="s">
        <v>47</v>
      </c>
      <c r="O1434">
        <v>2</v>
      </c>
      <c r="P1434">
        <v>1</v>
      </c>
      <c r="Q1434">
        <v>2</v>
      </c>
      <c r="R1434" t="s">
        <v>48</v>
      </c>
      <c r="S1434" t="s">
        <v>49</v>
      </c>
      <c r="T1434" s="3">
        <v>0.84</v>
      </c>
      <c r="U1434" s="3">
        <v>0.23</v>
      </c>
      <c r="V1434" s="3">
        <v>1.81</v>
      </c>
      <c r="W1434">
        <v>0.98</v>
      </c>
      <c r="X1434" t="s">
        <v>50</v>
      </c>
      <c r="Y1434" s="3">
        <v>16.43</v>
      </c>
      <c r="Z1434" t="s">
        <v>109</v>
      </c>
      <c r="AA1434" t="s">
        <v>9600</v>
      </c>
      <c r="AB1434" t="s">
        <v>53</v>
      </c>
      <c r="AC1434" s="3">
        <v>1.06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f t="shared" si="44"/>
        <v>20.369999999999997</v>
      </c>
      <c r="AK1434" s="3">
        <f t="shared" si="45"/>
        <v>3.9399999999999977</v>
      </c>
    </row>
    <row r="1435" spans="1:37">
      <c r="A1435">
        <v>10354378</v>
      </c>
      <c r="B1435" t="s">
        <v>37</v>
      </c>
      <c r="C1435" t="s">
        <v>9601</v>
      </c>
      <c r="E1435" t="s">
        <v>7145</v>
      </c>
      <c r="F1435" t="s">
        <v>1743</v>
      </c>
      <c r="G1435" t="s">
        <v>9602</v>
      </c>
      <c r="H1435" t="s">
        <v>42</v>
      </c>
      <c r="I1435" t="s">
        <v>9603</v>
      </c>
      <c r="J1435" t="s">
        <v>9604</v>
      </c>
      <c r="K1435" t="s">
        <v>9605</v>
      </c>
      <c r="L1435" t="s">
        <v>142</v>
      </c>
      <c r="M1435" t="s">
        <v>46</v>
      </c>
      <c r="N1435" t="s">
        <v>47</v>
      </c>
      <c r="O1435">
        <v>4</v>
      </c>
      <c r="P1435">
        <v>1</v>
      </c>
      <c r="Q1435">
        <v>4</v>
      </c>
      <c r="R1435" t="s">
        <v>48</v>
      </c>
      <c r="S1435" t="s">
        <v>49</v>
      </c>
      <c r="T1435" s="3">
        <v>0.84</v>
      </c>
      <c r="U1435" s="3">
        <v>0.23</v>
      </c>
      <c r="V1435" s="3">
        <v>3.55</v>
      </c>
      <c r="W1435">
        <v>1.53</v>
      </c>
      <c r="X1435" t="s">
        <v>50</v>
      </c>
      <c r="Y1435" s="3">
        <v>16.43</v>
      </c>
      <c r="Z1435" t="s">
        <v>73</v>
      </c>
      <c r="AA1435" t="s">
        <v>9606</v>
      </c>
      <c r="AB1435" t="s">
        <v>53</v>
      </c>
      <c r="AC1435" s="3">
        <v>1.29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f t="shared" si="44"/>
        <v>22.34</v>
      </c>
      <c r="AK1435" s="3">
        <f t="shared" si="45"/>
        <v>5.91</v>
      </c>
    </row>
    <row r="1436" spans="1:37">
      <c r="A1436">
        <v>10354381</v>
      </c>
      <c r="B1436" t="s">
        <v>37</v>
      </c>
      <c r="C1436" t="s">
        <v>9607</v>
      </c>
      <c r="E1436" t="s">
        <v>657</v>
      </c>
      <c r="F1436" t="s">
        <v>3242</v>
      </c>
      <c r="G1436" t="s">
        <v>9608</v>
      </c>
      <c r="H1436" t="s">
        <v>42</v>
      </c>
      <c r="I1436" t="s">
        <v>9609</v>
      </c>
      <c r="J1436" t="s">
        <v>9610</v>
      </c>
      <c r="K1436" t="s">
        <v>9611</v>
      </c>
      <c r="L1436" t="s">
        <v>142</v>
      </c>
      <c r="M1436" t="s">
        <v>46</v>
      </c>
      <c r="N1436" t="s">
        <v>47</v>
      </c>
      <c r="O1436">
        <v>2</v>
      </c>
      <c r="P1436">
        <v>1</v>
      </c>
      <c r="Q1436">
        <v>2</v>
      </c>
      <c r="R1436" t="s">
        <v>48</v>
      </c>
      <c r="S1436" t="s">
        <v>49</v>
      </c>
      <c r="T1436" s="3">
        <v>0.84</v>
      </c>
      <c r="U1436" s="3">
        <v>0.23</v>
      </c>
      <c r="V1436" s="3">
        <v>1.81</v>
      </c>
      <c r="W1436">
        <v>0.73</v>
      </c>
      <c r="X1436" t="s">
        <v>50</v>
      </c>
      <c r="Y1436" s="3">
        <v>16.43</v>
      </c>
      <c r="Z1436" t="s">
        <v>109</v>
      </c>
      <c r="AA1436" t="s">
        <v>9612</v>
      </c>
      <c r="AB1436" t="s">
        <v>53</v>
      </c>
      <c r="AC1436" s="3">
        <v>1.06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f t="shared" si="44"/>
        <v>20.369999999999997</v>
      </c>
      <c r="AK1436" s="3">
        <f t="shared" si="45"/>
        <v>3.9399999999999977</v>
      </c>
    </row>
    <row r="1437" spans="1:37">
      <c r="A1437">
        <v>10354870</v>
      </c>
      <c r="B1437" t="s">
        <v>37</v>
      </c>
      <c r="C1437" t="s">
        <v>9613</v>
      </c>
      <c r="D1437" t="s">
        <v>9614</v>
      </c>
      <c r="E1437" t="s">
        <v>9615</v>
      </c>
      <c r="F1437" t="s">
        <v>9616</v>
      </c>
      <c r="G1437" t="s">
        <v>9617</v>
      </c>
      <c r="H1437" t="s">
        <v>42</v>
      </c>
      <c r="I1437" t="s">
        <v>9618</v>
      </c>
      <c r="J1437" t="s">
        <v>9619</v>
      </c>
      <c r="K1437">
        <v>10000</v>
      </c>
      <c r="L1437" t="s">
        <v>9620</v>
      </c>
      <c r="M1437" t="s">
        <v>46</v>
      </c>
      <c r="N1437" t="s">
        <v>47</v>
      </c>
      <c r="O1437">
        <v>1</v>
      </c>
      <c r="P1437">
        <v>1</v>
      </c>
      <c r="Q1437">
        <v>1</v>
      </c>
      <c r="R1437" t="s">
        <v>48</v>
      </c>
      <c r="S1437" t="s">
        <v>49</v>
      </c>
      <c r="T1437" s="3">
        <v>0.84</v>
      </c>
      <c r="U1437" s="3">
        <v>0.23</v>
      </c>
      <c r="V1437" s="3">
        <v>0.94</v>
      </c>
      <c r="W1437">
        <v>2.5</v>
      </c>
      <c r="X1437" t="s">
        <v>50</v>
      </c>
      <c r="Y1437" s="3">
        <v>22.22</v>
      </c>
      <c r="Z1437" t="s">
        <v>83</v>
      </c>
      <c r="AA1437" t="s">
        <v>821</v>
      </c>
      <c r="AB1437" t="s">
        <v>53</v>
      </c>
      <c r="AC1437" s="3">
        <v>1.27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f t="shared" si="44"/>
        <v>25.5</v>
      </c>
      <c r="AK1437" s="3">
        <f t="shared" si="45"/>
        <v>3.2800000000000011</v>
      </c>
    </row>
    <row r="1438" spans="1:37">
      <c r="A1438">
        <v>10355079</v>
      </c>
      <c r="B1438" t="s">
        <v>37</v>
      </c>
      <c r="C1438" t="s">
        <v>9621</v>
      </c>
      <c r="E1438" t="s">
        <v>8192</v>
      </c>
      <c r="F1438" t="s">
        <v>9622</v>
      </c>
      <c r="G1438" t="s">
        <v>9623</v>
      </c>
      <c r="H1438" t="s">
        <v>42</v>
      </c>
      <c r="I1438" t="s">
        <v>9624</v>
      </c>
      <c r="J1438" t="s">
        <v>9625</v>
      </c>
      <c r="K1438">
        <v>9831</v>
      </c>
      <c r="L1438" t="s">
        <v>505</v>
      </c>
      <c r="M1438" t="s">
        <v>46</v>
      </c>
      <c r="N1438" t="s">
        <v>47</v>
      </c>
      <c r="O1438">
        <v>1</v>
      </c>
      <c r="P1438">
        <v>1</v>
      </c>
      <c r="Q1438">
        <v>1</v>
      </c>
      <c r="R1438" t="s">
        <v>48</v>
      </c>
      <c r="S1438" t="s">
        <v>49</v>
      </c>
      <c r="T1438" s="3">
        <v>0.84</v>
      </c>
      <c r="U1438" s="3">
        <v>0.23</v>
      </c>
      <c r="V1438" s="3">
        <v>0.94</v>
      </c>
      <c r="W1438">
        <v>0.59</v>
      </c>
      <c r="X1438" t="s">
        <v>50</v>
      </c>
      <c r="Y1438" s="3">
        <v>9.19</v>
      </c>
      <c r="Z1438" t="s">
        <v>109</v>
      </c>
      <c r="AA1438" t="s">
        <v>2240</v>
      </c>
      <c r="AB1438" t="s">
        <v>53</v>
      </c>
      <c r="AC1438" s="3">
        <v>1.06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f t="shared" si="44"/>
        <v>12.26</v>
      </c>
      <c r="AK1438" s="3">
        <f t="shared" si="45"/>
        <v>3.0700000000000003</v>
      </c>
    </row>
    <row r="1439" spans="1:37">
      <c r="A1439">
        <v>10355078</v>
      </c>
      <c r="B1439" t="s">
        <v>37</v>
      </c>
      <c r="C1439" t="s">
        <v>9626</v>
      </c>
      <c r="E1439" t="s">
        <v>3946</v>
      </c>
      <c r="F1439" t="s">
        <v>9627</v>
      </c>
      <c r="G1439" t="s">
        <v>9628</v>
      </c>
      <c r="H1439" t="s">
        <v>42</v>
      </c>
      <c r="I1439" t="s">
        <v>9629</v>
      </c>
      <c r="J1439" t="s">
        <v>9630</v>
      </c>
      <c r="K1439">
        <v>63456</v>
      </c>
      <c r="L1439" t="s">
        <v>71</v>
      </c>
      <c r="M1439" t="s">
        <v>46</v>
      </c>
      <c r="N1439" t="s">
        <v>47</v>
      </c>
      <c r="O1439">
        <v>1</v>
      </c>
      <c r="P1439">
        <v>1</v>
      </c>
      <c r="Q1439">
        <v>1</v>
      </c>
      <c r="R1439" t="s">
        <v>48</v>
      </c>
      <c r="S1439" t="s">
        <v>49</v>
      </c>
      <c r="T1439" s="3">
        <v>0.84</v>
      </c>
      <c r="U1439" s="3">
        <v>0.23</v>
      </c>
      <c r="V1439" s="3">
        <v>0.94</v>
      </c>
      <c r="W1439">
        <v>0.49</v>
      </c>
      <c r="X1439" t="s">
        <v>108</v>
      </c>
      <c r="Y1439" s="3">
        <v>5.14</v>
      </c>
      <c r="Z1439" t="s">
        <v>109</v>
      </c>
      <c r="AA1439" t="s">
        <v>1364</v>
      </c>
      <c r="AB1439" t="s">
        <v>53</v>
      </c>
      <c r="AC1439" s="3">
        <v>1.06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f t="shared" si="44"/>
        <v>8.2099999999999991</v>
      </c>
      <c r="AK1439" s="3">
        <f t="shared" si="45"/>
        <v>3.0699999999999994</v>
      </c>
    </row>
    <row r="1440" spans="1:37">
      <c r="A1440">
        <v>10355082</v>
      </c>
      <c r="B1440" t="s">
        <v>37</v>
      </c>
      <c r="C1440" t="s">
        <v>9631</v>
      </c>
      <c r="E1440" t="s">
        <v>215</v>
      </c>
      <c r="F1440" t="s">
        <v>9632</v>
      </c>
      <c r="G1440" t="s">
        <v>9633</v>
      </c>
      <c r="H1440" t="s">
        <v>42</v>
      </c>
      <c r="I1440" t="s">
        <v>9634</v>
      </c>
      <c r="J1440" t="s">
        <v>9635</v>
      </c>
      <c r="K1440">
        <v>21442</v>
      </c>
      <c r="L1440" t="s">
        <v>71</v>
      </c>
      <c r="M1440" t="s">
        <v>46</v>
      </c>
      <c r="N1440" t="s">
        <v>47</v>
      </c>
      <c r="O1440">
        <v>2</v>
      </c>
      <c r="P1440">
        <v>1</v>
      </c>
      <c r="Q1440">
        <v>2</v>
      </c>
      <c r="R1440" t="s">
        <v>48</v>
      </c>
      <c r="S1440" t="s">
        <v>49</v>
      </c>
      <c r="T1440" s="3">
        <v>0.84</v>
      </c>
      <c r="U1440" s="3">
        <v>0.23</v>
      </c>
      <c r="V1440" s="3">
        <v>1.81</v>
      </c>
      <c r="W1440">
        <v>0.65</v>
      </c>
      <c r="X1440" t="s">
        <v>108</v>
      </c>
      <c r="Y1440" s="3">
        <v>5.14</v>
      </c>
      <c r="Z1440" t="s">
        <v>109</v>
      </c>
      <c r="AA1440" t="s">
        <v>9636</v>
      </c>
      <c r="AB1440" t="s">
        <v>53</v>
      </c>
      <c r="AC1440" s="3">
        <v>1.06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f t="shared" si="44"/>
        <v>9.08</v>
      </c>
      <c r="AK1440" s="3">
        <f t="shared" si="45"/>
        <v>3.9400000000000004</v>
      </c>
    </row>
    <row r="1441" spans="1:37">
      <c r="A1441">
        <v>10356957</v>
      </c>
      <c r="B1441" t="s">
        <v>37</v>
      </c>
      <c r="C1441" t="s">
        <v>9637</v>
      </c>
      <c r="E1441" t="s">
        <v>5819</v>
      </c>
      <c r="F1441" t="s">
        <v>9638</v>
      </c>
      <c r="G1441" t="s">
        <v>9639</v>
      </c>
      <c r="H1441" t="s">
        <v>42</v>
      </c>
      <c r="I1441" t="s">
        <v>9640</v>
      </c>
      <c r="J1441" t="s">
        <v>9641</v>
      </c>
      <c r="K1441">
        <v>29223</v>
      </c>
      <c r="L1441" t="s">
        <v>71</v>
      </c>
      <c r="M1441" t="s">
        <v>46</v>
      </c>
      <c r="N1441" t="s">
        <v>47</v>
      </c>
      <c r="O1441">
        <v>1</v>
      </c>
      <c r="P1441">
        <v>1</v>
      </c>
      <c r="Q1441">
        <v>1</v>
      </c>
      <c r="R1441" t="s">
        <v>48</v>
      </c>
      <c r="S1441" t="s">
        <v>49</v>
      </c>
      <c r="T1441" s="3">
        <v>0.84</v>
      </c>
      <c r="U1441" s="3">
        <v>0.23</v>
      </c>
      <c r="V1441" s="3">
        <v>0.94</v>
      </c>
      <c r="W1441">
        <v>0.59</v>
      </c>
      <c r="X1441" t="s">
        <v>72</v>
      </c>
      <c r="Y1441" s="3">
        <v>5.44</v>
      </c>
      <c r="Z1441" t="s">
        <v>73</v>
      </c>
      <c r="AA1441" t="s">
        <v>2718</v>
      </c>
      <c r="AB1441" t="s">
        <v>53</v>
      </c>
      <c r="AC1441" s="3">
        <v>1.29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f t="shared" si="44"/>
        <v>8.74</v>
      </c>
      <c r="AK1441" s="3">
        <f t="shared" si="45"/>
        <v>3.3</v>
      </c>
    </row>
    <row r="1442" spans="1:37">
      <c r="A1442">
        <v>10355740</v>
      </c>
      <c r="B1442" t="s">
        <v>37</v>
      </c>
      <c r="C1442" t="s">
        <v>9642</v>
      </c>
      <c r="D1442" t="s">
        <v>9643</v>
      </c>
      <c r="E1442" t="s">
        <v>9644</v>
      </c>
      <c r="F1442" t="s">
        <v>9645</v>
      </c>
      <c r="G1442" t="s">
        <v>9646</v>
      </c>
      <c r="H1442" t="s">
        <v>42</v>
      </c>
      <c r="I1442" t="s">
        <v>9647</v>
      </c>
      <c r="J1442" t="s">
        <v>9648</v>
      </c>
      <c r="K1442">
        <v>84110</v>
      </c>
      <c r="L1442" t="s">
        <v>130</v>
      </c>
      <c r="M1442" t="s">
        <v>46</v>
      </c>
      <c r="N1442" t="s">
        <v>47</v>
      </c>
      <c r="O1442">
        <v>1</v>
      </c>
      <c r="P1442">
        <v>1</v>
      </c>
      <c r="Q1442">
        <v>1</v>
      </c>
      <c r="R1442" t="s">
        <v>48</v>
      </c>
      <c r="S1442" t="s">
        <v>49</v>
      </c>
      <c r="T1442" s="3">
        <v>0.84</v>
      </c>
      <c r="U1442" s="3">
        <v>0.23</v>
      </c>
      <c r="V1442" s="3">
        <v>0.94</v>
      </c>
      <c r="W1442">
        <v>1.5</v>
      </c>
      <c r="X1442" t="s">
        <v>50</v>
      </c>
      <c r="Y1442" s="3">
        <v>14.26</v>
      </c>
      <c r="Z1442" t="s">
        <v>73</v>
      </c>
      <c r="AA1442" t="s">
        <v>8500</v>
      </c>
      <c r="AB1442" t="s">
        <v>53</v>
      </c>
      <c r="AC1442" s="3">
        <v>1.29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f t="shared" si="44"/>
        <v>17.560000000000002</v>
      </c>
      <c r="AK1442" s="3">
        <f t="shared" si="45"/>
        <v>3.3000000000000025</v>
      </c>
    </row>
    <row r="1443" spans="1:37">
      <c r="A1443">
        <v>10355741</v>
      </c>
      <c r="B1443" t="s">
        <v>37</v>
      </c>
      <c r="C1443" t="s">
        <v>9649</v>
      </c>
      <c r="E1443" t="s">
        <v>1478</v>
      </c>
      <c r="F1443" t="s">
        <v>9650</v>
      </c>
      <c r="G1443" t="s">
        <v>9651</v>
      </c>
      <c r="H1443" t="s">
        <v>42</v>
      </c>
      <c r="I1443" t="s">
        <v>9652</v>
      </c>
      <c r="J1443" t="s">
        <v>9653</v>
      </c>
      <c r="K1443">
        <v>3910</v>
      </c>
      <c r="L1443" t="s">
        <v>505</v>
      </c>
      <c r="M1443" t="s">
        <v>46</v>
      </c>
      <c r="N1443" t="s">
        <v>47</v>
      </c>
      <c r="O1443">
        <v>1</v>
      </c>
      <c r="P1443">
        <v>1</v>
      </c>
      <c r="Q1443">
        <v>1</v>
      </c>
      <c r="R1443" t="s">
        <v>48</v>
      </c>
      <c r="S1443" t="s">
        <v>49</v>
      </c>
      <c r="T1443" s="3">
        <v>0.84</v>
      </c>
      <c r="U1443" s="3">
        <v>0.23</v>
      </c>
      <c r="V1443" s="3">
        <v>0.94</v>
      </c>
      <c r="W1443">
        <v>2.1</v>
      </c>
      <c r="X1443" t="s">
        <v>50</v>
      </c>
      <c r="Y1443" s="3">
        <v>9.19</v>
      </c>
      <c r="Z1443" t="s">
        <v>83</v>
      </c>
      <c r="AA1443" t="s">
        <v>4162</v>
      </c>
      <c r="AB1443" t="s">
        <v>53</v>
      </c>
      <c r="AC1443" s="3">
        <v>1.27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f t="shared" si="44"/>
        <v>12.469999999999999</v>
      </c>
      <c r="AK1443" s="3">
        <f t="shared" si="45"/>
        <v>3.2799999999999994</v>
      </c>
    </row>
    <row r="1444" spans="1:37">
      <c r="A1444">
        <v>10356955</v>
      </c>
      <c r="B1444" t="s">
        <v>37</v>
      </c>
      <c r="C1444" t="s">
        <v>9654</v>
      </c>
      <c r="E1444" t="s">
        <v>9655</v>
      </c>
      <c r="F1444" t="s">
        <v>9656</v>
      </c>
      <c r="G1444" t="s">
        <v>9657</v>
      </c>
      <c r="H1444" t="s">
        <v>42</v>
      </c>
      <c r="I1444" t="s">
        <v>9658</v>
      </c>
      <c r="J1444" t="s">
        <v>9659</v>
      </c>
      <c r="K1444" t="s">
        <v>9660</v>
      </c>
      <c r="L1444" t="s">
        <v>82</v>
      </c>
      <c r="M1444" t="s">
        <v>46</v>
      </c>
      <c r="N1444" t="s">
        <v>47</v>
      </c>
      <c r="O1444">
        <v>1</v>
      </c>
      <c r="P1444">
        <v>1</v>
      </c>
      <c r="Q1444">
        <v>1</v>
      </c>
      <c r="R1444" t="s">
        <v>48</v>
      </c>
      <c r="S1444" t="s">
        <v>49</v>
      </c>
      <c r="T1444" s="3">
        <v>0.84</v>
      </c>
      <c r="U1444" s="3">
        <v>0.23</v>
      </c>
      <c r="V1444" s="3">
        <v>0.94</v>
      </c>
      <c r="W1444">
        <v>0.55000000000000004</v>
      </c>
      <c r="X1444" t="s">
        <v>50</v>
      </c>
      <c r="Y1444" s="3">
        <v>28.6</v>
      </c>
      <c r="Z1444" t="s">
        <v>73</v>
      </c>
      <c r="AA1444" t="s">
        <v>3859</v>
      </c>
      <c r="AB1444" t="s">
        <v>53</v>
      </c>
      <c r="AC1444" s="3">
        <v>1.29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f t="shared" si="44"/>
        <v>31.900000000000002</v>
      </c>
      <c r="AK1444" s="3">
        <f t="shared" si="45"/>
        <v>3.3000000000000007</v>
      </c>
    </row>
    <row r="1445" spans="1:37">
      <c r="A1445">
        <v>10356757</v>
      </c>
      <c r="B1445" t="s">
        <v>37</v>
      </c>
      <c r="C1445" t="s">
        <v>9661</v>
      </c>
      <c r="E1445" t="s">
        <v>9662</v>
      </c>
      <c r="F1445" t="s">
        <v>454</v>
      </c>
      <c r="G1445" t="s">
        <v>9663</v>
      </c>
      <c r="H1445" t="s">
        <v>42</v>
      </c>
      <c r="I1445" t="s">
        <v>9664</v>
      </c>
      <c r="J1445" t="s">
        <v>9665</v>
      </c>
      <c r="K1445" t="s">
        <v>9666</v>
      </c>
      <c r="L1445" t="s">
        <v>142</v>
      </c>
      <c r="M1445" t="s">
        <v>46</v>
      </c>
      <c r="N1445" t="s">
        <v>47</v>
      </c>
      <c r="O1445">
        <v>1</v>
      </c>
      <c r="P1445">
        <v>1</v>
      </c>
      <c r="Q1445">
        <v>1</v>
      </c>
      <c r="R1445" t="s">
        <v>48</v>
      </c>
      <c r="S1445" t="s">
        <v>49</v>
      </c>
      <c r="T1445" s="3">
        <v>0.84</v>
      </c>
      <c r="U1445" s="3">
        <v>0.23</v>
      </c>
      <c r="V1445" s="3">
        <v>0.94</v>
      </c>
      <c r="W1445">
        <v>2.1</v>
      </c>
      <c r="X1445" t="s">
        <v>50</v>
      </c>
      <c r="Y1445" s="3">
        <v>16.43</v>
      </c>
      <c r="Z1445" t="s">
        <v>83</v>
      </c>
      <c r="AA1445" t="s">
        <v>4162</v>
      </c>
      <c r="AB1445" t="s">
        <v>53</v>
      </c>
      <c r="AC1445" s="3">
        <v>1.27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f t="shared" si="44"/>
        <v>19.71</v>
      </c>
      <c r="AK1445" s="3">
        <f t="shared" si="45"/>
        <v>3.2800000000000011</v>
      </c>
    </row>
    <row r="1446" spans="1:37">
      <c r="A1446">
        <v>10356956</v>
      </c>
      <c r="B1446" t="s">
        <v>37</v>
      </c>
      <c r="C1446" t="s">
        <v>9667</v>
      </c>
      <c r="E1446" t="s">
        <v>1373</v>
      </c>
      <c r="F1446" t="s">
        <v>9668</v>
      </c>
      <c r="G1446" t="s">
        <v>9669</v>
      </c>
      <c r="H1446" t="s">
        <v>42</v>
      </c>
      <c r="I1446" t="s">
        <v>9670</v>
      </c>
      <c r="J1446" t="s">
        <v>9671</v>
      </c>
      <c r="K1446">
        <v>2500</v>
      </c>
      <c r="L1446" t="s">
        <v>403</v>
      </c>
      <c r="M1446" t="s">
        <v>46</v>
      </c>
      <c r="N1446" t="s">
        <v>47</v>
      </c>
      <c r="O1446">
        <v>1</v>
      </c>
      <c r="P1446">
        <v>1</v>
      </c>
      <c r="Q1446">
        <v>1</v>
      </c>
      <c r="R1446" t="s">
        <v>48</v>
      </c>
      <c r="S1446" t="s">
        <v>49</v>
      </c>
      <c r="T1446" s="3">
        <v>0.84</v>
      </c>
      <c r="U1446" s="3">
        <v>0.23</v>
      </c>
      <c r="V1446" s="3">
        <v>0.94</v>
      </c>
      <c r="W1446">
        <v>1.5</v>
      </c>
      <c r="X1446" t="s">
        <v>50</v>
      </c>
      <c r="Y1446" s="3">
        <v>12.09</v>
      </c>
      <c r="Z1446" t="s">
        <v>73</v>
      </c>
      <c r="AA1446" t="s">
        <v>74</v>
      </c>
      <c r="AB1446" t="s">
        <v>53</v>
      </c>
      <c r="AC1446" s="3">
        <v>1.29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f t="shared" si="44"/>
        <v>15.389999999999999</v>
      </c>
      <c r="AK1446" s="3">
        <f t="shared" si="45"/>
        <v>3.2999999999999989</v>
      </c>
    </row>
    <row r="1447" spans="1:37">
      <c r="A1447">
        <v>10356145</v>
      </c>
      <c r="B1447" t="s">
        <v>37</v>
      </c>
      <c r="C1447" t="s">
        <v>9672</v>
      </c>
      <c r="E1447" t="s">
        <v>9673</v>
      </c>
      <c r="F1447" t="s">
        <v>9674</v>
      </c>
      <c r="G1447" t="s">
        <v>9675</v>
      </c>
      <c r="H1447" t="s">
        <v>42</v>
      </c>
      <c r="I1447" t="s">
        <v>9676</v>
      </c>
      <c r="J1447" t="s">
        <v>9677</v>
      </c>
      <c r="K1447" t="s">
        <v>9678</v>
      </c>
      <c r="L1447" t="s">
        <v>886</v>
      </c>
      <c r="M1447" t="s">
        <v>46</v>
      </c>
      <c r="N1447" t="s">
        <v>47</v>
      </c>
      <c r="O1447">
        <v>1</v>
      </c>
      <c r="P1447">
        <v>1</v>
      </c>
      <c r="Q1447">
        <v>1</v>
      </c>
      <c r="R1447" t="s">
        <v>48</v>
      </c>
      <c r="S1447" t="s">
        <v>49</v>
      </c>
      <c r="T1447" s="3">
        <v>0.84</v>
      </c>
      <c r="U1447" s="3">
        <v>0.23</v>
      </c>
      <c r="V1447" s="3">
        <v>0.94</v>
      </c>
      <c r="W1447">
        <v>0.59</v>
      </c>
      <c r="X1447" t="s">
        <v>50</v>
      </c>
      <c r="Y1447" s="3">
        <v>10.64</v>
      </c>
      <c r="Z1447" t="s">
        <v>109</v>
      </c>
      <c r="AA1447" t="s">
        <v>7484</v>
      </c>
      <c r="AB1447" t="s">
        <v>53</v>
      </c>
      <c r="AC1447" s="3">
        <v>1.06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f t="shared" si="44"/>
        <v>13.71</v>
      </c>
      <c r="AK1447" s="3">
        <f t="shared" si="45"/>
        <v>3.0700000000000003</v>
      </c>
    </row>
    <row r="1448" spans="1:37">
      <c r="A1448">
        <v>10356498</v>
      </c>
      <c r="B1448" t="s">
        <v>37</v>
      </c>
      <c r="C1448" t="s">
        <v>9679</v>
      </c>
      <c r="E1448" t="s">
        <v>9680</v>
      </c>
      <c r="F1448" t="s">
        <v>9681</v>
      </c>
      <c r="G1448" t="s">
        <v>9682</v>
      </c>
      <c r="H1448" t="s">
        <v>42</v>
      </c>
      <c r="I1448" t="s">
        <v>9683</v>
      </c>
      <c r="J1448" t="s">
        <v>9684</v>
      </c>
      <c r="K1448" t="s">
        <v>9685</v>
      </c>
      <c r="L1448" t="s">
        <v>142</v>
      </c>
      <c r="M1448" t="s">
        <v>46</v>
      </c>
      <c r="N1448" t="s">
        <v>47</v>
      </c>
      <c r="O1448">
        <v>2</v>
      </c>
      <c r="P1448">
        <v>1</v>
      </c>
      <c r="Q1448">
        <v>2</v>
      </c>
      <c r="R1448" t="s">
        <v>48</v>
      </c>
      <c r="S1448" t="s">
        <v>49</v>
      </c>
      <c r="T1448" s="3">
        <v>0.84</v>
      </c>
      <c r="U1448" s="3">
        <v>0.23</v>
      </c>
      <c r="V1448" s="3">
        <v>1.81</v>
      </c>
      <c r="W1448">
        <v>0.9</v>
      </c>
      <c r="X1448" t="s">
        <v>50</v>
      </c>
      <c r="Y1448" s="3">
        <v>16.43</v>
      </c>
      <c r="Z1448" t="s">
        <v>9686</v>
      </c>
      <c r="AA1448" t="s">
        <v>9687</v>
      </c>
      <c r="AB1448" t="s">
        <v>53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f t="shared" si="44"/>
        <v>19.309999999999999</v>
      </c>
      <c r="AK1448" s="3">
        <f t="shared" si="45"/>
        <v>2.879999999999999</v>
      </c>
    </row>
    <row r="1449" spans="1:37">
      <c r="A1449">
        <v>10355301</v>
      </c>
      <c r="B1449" t="s">
        <v>37</v>
      </c>
      <c r="C1449" t="s">
        <v>9688</v>
      </c>
      <c r="E1449" t="s">
        <v>9689</v>
      </c>
      <c r="F1449" t="s">
        <v>9690</v>
      </c>
      <c r="G1449" t="s">
        <v>9691</v>
      </c>
      <c r="H1449" t="s">
        <v>42</v>
      </c>
      <c r="I1449" t="s">
        <v>9692</v>
      </c>
      <c r="J1449" t="s">
        <v>9693</v>
      </c>
      <c r="K1449" t="s">
        <v>9694</v>
      </c>
      <c r="L1449" t="s">
        <v>82</v>
      </c>
      <c r="M1449" t="s">
        <v>46</v>
      </c>
      <c r="N1449" t="s">
        <v>47</v>
      </c>
      <c r="O1449">
        <v>2</v>
      </c>
      <c r="P1449">
        <v>1</v>
      </c>
      <c r="Q1449">
        <v>2</v>
      </c>
      <c r="R1449" t="s">
        <v>48</v>
      </c>
      <c r="S1449" t="s">
        <v>49</v>
      </c>
      <c r="T1449" s="3">
        <v>0.84</v>
      </c>
      <c r="U1449" s="3">
        <v>0.23</v>
      </c>
      <c r="V1449" s="3">
        <v>1.81</v>
      </c>
      <c r="W1449">
        <v>0.78</v>
      </c>
      <c r="X1449" t="s">
        <v>50</v>
      </c>
      <c r="Y1449" s="3">
        <v>9.19</v>
      </c>
      <c r="Z1449" t="s">
        <v>9686</v>
      </c>
      <c r="AA1449" t="s">
        <v>9695</v>
      </c>
      <c r="AB1449" t="s">
        <v>53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f t="shared" si="44"/>
        <v>12.07</v>
      </c>
      <c r="AK1449" s="3">
        <f t="shared" si="45"/>
        <v>2.8800000000000008</v>
      </c>
    </row>
    <row r="1450" spans="1:37">
      <c r="A1450">
        <v>10355742</v>
      </c>
      <c r="B1450" t="s">
        <v>37</v>
      </c>
      <c r="C1450" t="s">
        <v>9696</v>
      </c>
      <c r="E1450" t="s">
        <v>500</v>
      </c>
      <c r="F1450" t="s">
        <v>9697</v>
      </c>
      <c r="G1450" t="s">
        <v>9698</v>
      </c>
      <c r="H1450" t="s">
        <v>42</v>
      </c>
      <c r="I1450" t="s">
        <v>9699</v>
      </c>
      <c r="J1450" t="s">
        <v>9700</v>
      </c>
      <c r="K1450">
        <v>89278</v>
      </c>
      <c r="L1450" t="s">
        <v>71</v>
      </c>
      <c r="M1450" t="s">
        <v>46</v>
      </c>
      <c r="N1450" t="s">
        <v>47</v>
      </c>
      <c r="O1450">
        <v>4</v>
      </c>
      <c r="P1450">
        <v>1</v>
      </c>
      <c r="Q1450">
        <v>4</v>
      </c>
      <c r="R1450" t="s">
        <v>48</v>
      </c>
      <c r="S1450" t="s">
        <v>49</v>
      </c>
      <c r="T1450" s="3">
        <v>0.84</v>
      </c>
      <c r="U1450" s="3">
        <v>0.23</v>
      </c>
      <c r="V1450" s="3">
        <v>3.55</v>
      </c>
      <c r="W1450">
        <v>1.66</v>
      </c>
      <c r="X1450" t="s">
        <v>72</v>
      </c>
      <c r="Y1450" s="3">
        <v>5.44</v>
      </c>
      <c r="Z1450" t="s">
        <v>73</v>
      </c>
      <c r="AA1450" t="s">
        <v>429</v>
      </c>
      <c r="AB1450" t="s">
        <v>53</v>
      </c>
      <c r="AC1450" s="3">
        <v>1.29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f t="shared" si="44"/>
        <v>11.350000000000001</v>
      </c>
      <c r="AK1450" s="3">
        <f t="shared" si="45"/>
        <v>5.910000000000001</v>
      </c>
    </row>
    <row r="1451" spans="1:37">
      <c r="A1451">
        <v>10355297</v>
      </c>
      <c r="B1451" t="s">
        <v>37</v>
      </c>
      <c r="C1451" t="s">
        <v>9701</v>
      </c>
      <c r="E1451" t="s">
        <v>9702</v>
      </c>
      <c r="F1451" t="s">
        <v>9703</v>
      </c>
      <c r="G1451" t="s">
        <v>9704</v>
      </c>
      <c r="H1451" t="s">
        <v>42</v>
      </c>
      <c r="I1451" t="s">
        <v>9705</v>
      </c>
      <c r="J1451" t="s">
        <v>9706</v>
      </c>
      <c r="K1451">
        <v>40789</v>
      </c>
      <c r="L1451" t="s">
        <v>71</v>
      </c>
      <c r="M1451" t="s">
        <v>46</v>
      </c>
      <c r="N1451" t="s">
        <v>47</v>
      </c>
      <c r="O1451">
        <v>4</v>
      </c>
      <c r="P1451">
        <v>1</v>
      </c>
      <c r="Q1451">
        <v>4</v>
      </c>
      <c r="R1451" t="s">
        <v>48</v>
      </c>
      <c r="S1451" t="s">
        <v>49</v>
      </c>
      <c r="T1451" s="3">
        <v>0.84</v>
      </c>
      <c r="U1451" s="3">
        <v>0.23</v>
      </c>
      <c r="V1451" s="3">
        <v>3.55</v>
      </c>
      <c r="W1451">
        <v>1.86</v>
      </c>
      <c r="X1451" t="s">
        <v>72</v>
      </c>
      <c r="Y1451" s="3">
        <v>5.44</v>
      </c>
      <c r="Z1451" t="s">
        <v>73</v>
      </c>
      <c r="AA1451" t="s">
        <v>9707</v>
      </c>
      <c r="AB1451" t="s">
        <v>53</v>
      </c>
      <c r="AC1451" s="3">
        <v>1.29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f t="shared" si="44"/>
        <v>11.350000000000001</v>
      </c>
      <c r="AK1451" s="3">
        <f t="shared" si="45"/>
        <v>5.910000000000001</v>
      </c>
    </row>
    <row r="1452" spans="1:37">
      <c r="A1452">
        <v>10357244</v>
      </c>
      <c r="B1452" t="s">
        <v>37</v>
      </c>
      <c r="C1452" t="s">
        <v>9708</v>
      </c>
      <c r="E1452" t="s">
        <v>1647</v>
      </c>
      <c r="F1452" t="s">
        <v>9709</v>
      </c>
      <c r="G1452" t="s">
        <v>9710</v>
      </c>
      <c r="H1452" t="s">
        <v>42</v>
      </c>
      <c r="I1452" t="s">
        <v>9711</v>
      </c>
      <c r="J1452" t="s">
        <v>9712</v>
      </c>
      <c r="K1452">
        <v>10117</v>
      </c>
      <c r="L1452" t="s">
        <v>71</v>
      </c>
      <c r="M1452" t="s">
        <v>46</v>
      </c>
      <c r="N1452" t="s">
        <v>47</v>
      </c>
      <c r="O1452">
        <v>2</v>
      </c>
      <c r="P1452">
        <v>1</v>
      </c>
      <c r="Q1452">
        <v>2</v>
      </c>
      <c r="R1452" t="s">
        <v>48</v>
      </c>
      <c r="S1452" t="s">
        <v>49</v>
      </c>
      <c r="T1452" s="3">
        <v>0.84</v>
      </c>
      <c r="U1452" s="3">
        <v>0.23</v>
      </c>
      <c r="V1452" s="3">
        <v>1.81</v>
      </c>
      <c r="W1452">
        <v>0.88</v>
      </c>
      <c r="X1452" t="s">
        <v>108</v>
      </c>
      <c r="Y1452" s="3">
        <v>5.14</v>
      </c>
      <c r="Z1452" t="s">
        <v>9686</v>
      </c>
      <c r="AA1452" t="s">
        <v>9713</v>
      </c>
      <c r="AB1452" t="s">
        <v>53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f t="shared" si="44"/>
        <v>8.02</v>
      </c>
      <c r="AK1452" s="3">
        <f t="shared" si="45"/>
        <v>2.88</v>
      </c>
    </row>
    <row r="1453" spans="1:37">
      <c r="A1453">
        <v>10356306</v>
      </c>
      <c r="B1453" t="s">
        <v>37</v>
      </c>
      <c r="C1453" t="s">
        <v>9714</v>
      </c>
      <c r="E1453" t="s">
        <v>173</v>
      </c>
      <c r="F1453" t="s">
        <v>9715</v>
      </c>
      <c r="G1453" t="s">
        <v>9716</v>
      </c>
      <c r="H1453" t="s">
        <v>42</v>
      </c>
      <c r="I1453" t="s">
        <v>9717</v>
      </c>
      <c r="J1453" t="s">
        <v>9718</v>
      </c>
      <c r="K1453">
        <v>79100</v>
      </c>
      <c r="L1453" t="s">
        <v>71</v>
      </c>
      <c r="M1453" t="s">
        <v>46</v>
      </c>
      <c r="N1453" t="s">
        <v>47</v>
      </c>
      <c r="O1453">
        <v>4</v>
      </c>
      <c r="P1453">
        <v>1</v>
      </c>
      <c r="Q1453">
        <v>4</v>
      </c>
      <c r="R1453" t="s">
        <v>48</v>
      </c>
      <c r="S1453" t="s">
        <v>49</v>
      </c>
      <c r="T1453" s="3">
        <v>0.84</v>
      </c>
      <c r="U1453" s="3">
        <v>0.23</v>
      </c>
      <c r="V1453" s="3">
        <v>3.55</v>
      </c>
      <c r="W1453">
        <v>3.45</v>
      </c>
      <c r="X1453" t="s">
        <v>72</v>
      </c>
      <c r="Y1453" s="3">
        <v>6.61</v>
      </c>
      <c r="Z1453" t="s">
        <v>83</v>
      </c>
      <c r="AA1453" t="s">
        <v>9719</v>
      </c>
      <c r="AB1453" t="s">
        <v>53</v>
      </c>
      <c r="AC1453" s="3">
        <v>1.27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f t="shared" si="44"/>
        <v>12.5</v>
      </c>
      <c r="AK1453" s="3">
        <f t="shared" si="45"/>
        <v>5.89</v>
      </c>
    </row>
    <row r="1454" spans="1:37">
      <c r="A1454">
        <v>10356305</v>
      </c>
      <c r="B1454" t="s">
        <v>37</v>
      </c>
      <c r="C1454" t="s">
        <v>9720</v>
      </c>
      <c r="E1454" t="s">
        <v>9721</v>
      </c>
      <c r="F1454" t="s">
        <v>9722</v>
      </c>
      <c r="G1454" t="s">
        <v>9723</v>
      </c>
      <c r="H1454" t="s">
        <v>42</v>
      </c>
      <c r="I1454" t="s">
        <v>9724</v>
      </c>
      <c r="J1454" t="s">
        <v>9725</v>
      </c>
      <c r="K1454">
        <v>2650</v>
      </c>
      <c r="L1454" t="s">
        <v>505</v>
      </c>
      <c r="M1454" t="s">
        <v>46</v>
      </c>
      <c r="N1454" t="s">
        <v>47</v>
      </c>
      <c r="O1454">
        <v>3</v>
      </c>
      <c r="P1454">
        <v>1</v>
      </c>
      <c r="Q1454">
        <v>3</v>
      </c>
      <c r="R1454" t="s">
        <v>48</v>
      </c>
      <c r="S1454" t="s">
        <v>49</v>
      </c>
      <c r="T1454" s="3">
        <v>0.84</v>
      </c>
      <c r="U1454" s="3">
        <v>0.23</v>
      </c>
      <c r="V1454" s="3">
        <v>2.68</v>
      </c>
      <c r="W1454">
        <v>1.27</v>
      </c>
      <c r="X1454" t="s">
        <v>50</v>
      </c>
      <c r="Y1454" s="3">
        <v>9.19</v>
      </c>
      <c r="Z1454" t="s">
        <v>73</v>
      </c>
      <c r="AA1454" t="s">
        <v>9726</v>
      </c>
      <c r="AB1454" t="s">
        <v>53</v>
      </c>
      <c r="AC1454" s="3">
        <v>1.29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f t="shared" si="44"/>
        <v>14.23</v>
      </c>
      <c r="AK1454" s="3">
        <f t="shared" si="45"/>
        <v>5.0400000000000009</v>
      </c>
    </row>
    <row r="1455" spans="1:37">
      <c r="A1455">
        <v>10355298</v>
      </c>
      <c r="B1455" t="s">
        <v>37</v>
      </c>
      <c r="C1455" t="s">
        <v>9727</v>
      </c>
      <c r="E1455" t="s">
        <v>568</v>
      </c>
      <c r="F1455" t="s">
        <v>9254</v>
      </c>
      <c r="G1455" t="s">
        <v>9728</v>
      </c>
      <c r="H1455" t="s">
        <v>42</v>
      </c>
      <c r="I1455" t="s">
        <v>9729</v>
      </c>
      <c r="J1455" t="s">
        <v>9730</v>
      </c>
      <c r="K1455">
        <v>49824</v>
      </c>
      <c r="L1455" t="s">
        <v>71</v>
      </c>
      <c r="M1455" t="s">
        <v>46</v>
      </c>
      <c r="N1455" t="s">
        <v>47</v>
      </c>
      <c r="O1455">
        <v>2</v>
      </c>
      <c r="P1455">
        <v>1</v>
      </c>
      <c r="Q1455">
        <v>2</v>
      </c>
      <c r="R1455" t="s">
        <v>48</v>
      </c>
      <c r="S1455" t="s">
        <v>49</v>
      </c>
      <c r="T1455" s="3">
        <v>0.84</v>
      </c>
      <c r="U1455" s="3">
        <v>0.23</v>
      </c>
      <c r="V1455" s="3">
        <v>1.81</v>
      </c>
      <c r="W1455">
        <v>0.78</v>
      </c>
      <c r="X1455" t="s">
        <v>108</v>
      </c>
      <c r="Y1455" s="3">
        <v>5.14</v>
      </c>
      <c r="Z1455" t="s">
        <v>9686</v>
      </c>
      <c r="AA1455" t="s">
        <v>9731</v>
      </c>
      <c r="AB1455" t="s">
        <v>53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f t="shared" si="44"/>
        <v>8.02</v>
      </c>
      <c r="AK1455" s="3">
        <f t="shared" si="45"/>
        <v>2.88</v>
      </c>
    </row>
    <row r="1456" spans="1:37">
      <c r="A1456">
        <v>10355300</v>
      </c>
      <c r="B1456" t="s">
        <v>37</v>
      </c>
      <c r="C1456" t="s">
        <v>9732</v>
      </c>
      <c r="E1456" t="s">
        <v>2941</v>
      </c>
      <c r="F1456" t="s">
        <v>9733</v>
      </c>
      <c r="G1456" t="s">
        <v>9734</v>
      </c>
      <c r="H1456" t="s">
        <v>42</v>
      </c>
      <c r="I1456" t="s">
        <v>9735</v>
      </c>
      <c r="J1456" t="s">
        <v>9736</v>
      </c>
      <c r="K1456">
        <v>31515</v>
      </c>
      <c r="L1456" t="s">
        <v>71</v>
      </c>
      <c r="M1456" t="s">
        <v>46</v>
      </c>
      <c r="N1456" t="s">
        <v>47</v>
      </c>
      <c r="O1456">
        <v>2</v>
      </c>
      <c r="P1456">
        <v>1</v>
      </c>
      <c r="Q1456">
        <v>2</v>
      </c>
      <c r="R1456" t="s">
        <v>48</v>
      </c>
      <c r="S1456" t="s">
        <v>49</v>
      </c>
      <c r="T1456" s="3">
        <v>0.84</v>
      </c>
      <c r="U1456" s="3">
        <v>0.23</v>
      </c>
      <c r="V1456" s="3">
        <v>1.81</v>
      </c>
      <c r="W1456">
        <v>0.98</v>
      </c>
      <c r="X1456" t="s">
        <v>108</v>
      </c>
      <c r="Y1456" s="3">
        <v>5.14</v>
      </c>
      <c r="Z1456" t="s">
        <v>9686</v>
      </c>
      <c r="AA1456" t="s">
        <v>9737</v>
      </c>
      <c r="AB1456" t="s">
        <v>53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f t="shared" si="44"/>
        <v>8.02</v>
      </c>
      <c r="AK1456" s="3">
        <f t="shared" si="45"/>
        <v>2.88</v>
      </c>
    </row>
    <row r="1457" spans="1:37">
      <c r="A1457">
        <v>10356756</v>
      </c>
      <c r="B1457" t="s">
        <v>37</v>
      </c>
      <c r="C1457" t="s">
        <v>9738</v>
      </c>
      <c r="E1457" t="s">
        <v>9739</v>
      </c>
      <c r="F1457" t="s">
        <v>9740</v>
      </c>
      <c r="G1457" t="s">
        <v>9741</v>
      </c>
      <c r="H1457" t="s">
        <v>42</v>
      </c>
      <c r="I1457" t="s">
        <v>9742</v>
      </c>
      <c r="J1457" t="s">
        <v>9743</v>
      </c>
      <c r="K1457">
        <v>55120</v>
      </c>
      <c r="L1457" t="s">
        <v>71</v>
      </c>
      <c r="M1457" t="s">
        <v>46</v>
      </c>
      <c r="N1457" t="s">
        <v>47</v>
      </c>
      <c r="O1457">
        <v>2</v>
      </c>
      <c r="P1457">
        <v>1</v>
      </c>
      <c r="Q1457">
        <v>2</v>
      </c>
      <c r="R1457" t="s">
        <v>48</v>
      </c>
      <c r="S1457" t="s">
        <v>49</v>
      </c>
      <c r="T1457" s="3">
        <v>0.84</v>
      </c>
      <c r="U1457" s="3">
        <v>0.23</v>
      </c>
      <c r="V1457" s="3">
        <v>1.81</v>
      </c>
      <c r="W1457">
        <v>0.98</v>
      </c>
      <c r="X1457" t="s">
        <v>108</v>
      </c>
      <c r="Y1457" s="3">
        <v>5.14</v>
      </c>
      <c r="Z1457" t="s">
        <v>9686</v>
      </c>
      <c r="AA1457" t="s">
        <v>1835</v>
      </c>
      <c r="AB1457" t="s">
        <v>53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f t="shared" si="44"/>
        <v>8.02</v>
      </c>
      <c r="AK1457" s="3">
        <f t="shared" si="45"/>
        <v>2.88</v>
      </c>
    </row>
    <row r="1458" spans="1:37">
      <c r="A1458">
        <v>10356146</v>
      </c>
      <c r="B1458" t="s">
        <v>37</v>
      </c>
      <c r="C1458" t="s">
        <v>9744</v>
      </c>
      <c r="E1458" t="s">
        <v>3705</v>
      </c>
      <c r="F1458" t="s">
        <v>9745</v>
      </c>
      <c r="G1458" t="s">
        <v>9746</v>
      </c>
      <c r="H1458" t="s">
        <v>42</v>
      </c>
      <c r="I1458" t="s">
        <v>9747</v>
      </c>
      <c r="J1458" t="s">
        <v>9748</v>
      </c>
      <c r="K1458">
        <v>76476</v>
      </c>
      <c r="L1458" t="s">
        <v>71</v>
      </c>
      <c r="M1458" t="s">
        <v>46</v>
      </c>
      <c r="N1458" t="s">
        <v>47</v>
      </c>
      <c r="O1458">
        <v>2</v>
      </c>
      <c r="P1458">
        <v>1</v>
      </c>
      <c r="Q1458">
        <v>2</v>
      </c>
      <c r="R1458" t="s">
        <v>48</v>
      </c>
      <c r="S1458" t="s">
        <v>49</v>
      </c>
      <c r="T1458" s="3">
        <v>0.84</v>
      </c>
      <c r="U1458" s="3">
        <v>0.23</v>
      </c>
      <c r="V1458" s="3">
        <v>1.81</v>
      </c>
      <c r="W1458">
        <v>0.98</v>
      </c>
      <c r="X1458" t="s">
        <v>108</v>
      </c>
      <c r="Y1458" s="3">
        <v>5.14</v>
      </c>
      <c r="Z1458" t="s">
        <v>9686</v>
      </c>
      <c r="AA1458" t="s">
        <v>7281</v>
      </c>
      <c r="AB1458" t="s">
        <v>53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f t="shared" si="44"/>
        <v>8.02</v>
      </c>
      <c r="AK1458" s="3">
        <f t="shared" si="45"/>
        <v>2.88</v>
      </c>
    </row>
    <row r="1459" spans="1:37">
      <c r="A1459">
        <v>10357756</v>
      </c>
      <c r="B1459" t="s">
        <v>37</v>
      </c>
      <c r="C1459" t="s">
        <v>9749</v>
      </c>
      <c r="E1459" t="s">
        <v>157</v>
      </c>
      <c r="F1459" t="s">
        <v>9750</v>
      </c>
      <c r="G1459" t="s">
        <v>9751</v>
      </c>
      <c r="H1459" t="s">
        <v>42</v>
      </c>
      <c r="I1459" t="s">
        <v>9752</v>
      </c>
      <c r="J1459" t="s">
        <v>9753</v>
      </c>
      <c r="K1459">
        <v>44139</v>
      </c>
      <c r="L1459" t="s">
        <v>71</v>
      </c>
      <c r="M1459" t="s">
        <v>46</v>
      </c>
      <c r="N1459" t="s">
        <v>47</v>
      </c>
      <c r="O1459">
        <v>2</v>
      </c>
      <c r="P1459">
        <v>1</v>
      </c>
      <c r="Q1459">
        <v>2</v>
      </c>
      <c r="R1459" t="s">
        <v>48</v>
      </c>
      <c r="S1459" t="s">
        <v>49</v>
      </c>
      <c r="T1459" s="3">
        <v>0.84</v>
      </c>
      <c r="U1459" s="3">
        <v>0.23</v>
      </c>
      <c r="V1459" s="3">
        <v>1.81</v>
      </c>
      <c r="W1459">
        <v>0.78</v>
      </c>
      <c r="X1459" t="s">
        <v>108</v>
      </c>
      <c r="Y1459" s="3">
        <v>5.14</v>
      </c>
      <c r="Z1459" t="s">
        <v>9686</v>
      </c>
      <c r="AA1459" t="s">
        <v>4531</v>
      </c>
      <c r="AB1459" t="s">
        <v>53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f t="shared" si="44"/>
        <v>8.02</v>
      </c>
      <c r="AK1459" s="3">
        <f t="shared" si="45"/>
        <v>2.88</v>
      </c>
    </row>
    <row r="1460" spans="1:37">
      <c r="A1460">
        <v>10355080</v>
      </c>
      <c r="B1460" t="s">
        <v>37</v>
      </c>
      <c r="C1460" t="s">
        <v>9754</v>
      </c>
      <c r="E1460" t="s">
        <v>6693</v>
      </c>
      <c r="F1460" t="s">
        <v>9755</v>
      </c>
      <c r="G1460" t="s">
        <v>9756</v>
      </c>
      <c r="H1460" t="s">
        <v>42</v>
      </c>
      <c r="I1460" t="s">
        <v>9757</v>
      </c>
      <c r="J1460" t="s">
        <v>9758</v>
      </c>
      <c r="K1460">
        <v>2460</v>
      </c>
      <c r="L1460" t="s">
        <v>505</v>
      </c>
      <c r="M1460" t="s">
        <v>46</v>
      </c>
      <c r="N1460" t="s">
        <v>47</v>
      </c>
      <c r="O1460">
        <v>4</v>
      </c>
      <c r="P1460">
        <v>1</v>
      </c>
      <c r="Q1460">
        <v>4</v>
      </c>
      <c r="R1460" t="s">
        <v>48</v>
      </c>
      <c r="S1460" t="s">
        <v>49</v>
      </c>
      <c r="T1460" s="3">
        <v>0.84</v>
      </c>
      <c r="U1460" s="3">
        <v>0.23</v>
      </c>
      <c r="V1460" s="3">
        <v>3.55</v>
      </c>
      <c r="W1460">
        <v>2.06</v>
      </c>
      <c r="X1460" t="s">
        <v>50</v>
      </c>
      <c r="Y1460" s="3">
        <v>9.19</v>
      </c>
      <c r="Z1460" t="s">
        <v>73</v>
      </c>
      <c r="AA1460" t="s">
        <v>327</v>
      </c>
      <c r="AB1460" t="s">
        <v>53</v>
      </c>
      <c r="AC1460" s="3">
        <v>1.29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f t="shared" si="44"/>
        <v>15.100000000000001</v>
      </c>
      <c r="AK1460" s="3">
        <f t="shared" si="45"/>
        <v>5.9100000000000019</v>
      </c>
    </row>
    <row r="1461" spans="1:37">
      <c r="A1461">
        <v>10355081</v>
      </c>
      <c r="B1461" t="s">
        <v>37</v>
      </c>
      <c r="C1461" t="s">
        <v>9759</v>
      </c>
      <c r="E1461" t="s">
        <v>9760</v>
      </c>
      <c r="F1461" t="s">
        <v>9761</v>
      </c>
      <c r="G1461" t="s">
        <v>9762</v>
      </c>
      <c r="H1461" t="s">
        <v>42</v>
      </c>
      <c r="I1461" t="s">
        <v>9763</v>
      </c>
      <c r="J1461" t="s">
        <v>9764</v>
      </c>
      <c r="K1461" t="s">
        <v>9765</v>
      </c>
      <c r="L1461" t="s">
        <v>275</v>
      </c>
      <c r="M1461" t="s">
        <v>46</v>
      </c>
      <c r="N1461" t="s">
        <v>47</v>
      </c>
      <c r="O1461">
        <v>5</v>
      </c>
      <c r="P1461">
        <v>1</v>
      </c>
      <c r="Q1461">
        <v>5</v>
      </c>
      <c r="R1461" t="s">
        <v>48</v>
      </c>
      <c r="S1461" t="s">
        <v>49</v>
      </c>
      <c r="T1461" s="3">
        <v>0.84</v>
      </c>
      <c r="U1461" s="3">
        <v>0.23</v>
      </c>
      <c r="V1461" s="3">
        <v>4.42</v>
      </c>
      <c r="W1461">
        <v>2.4500000000000002</v>
      </c>
      <c r="X1461" t="s">
        <v>50</v>
      </c>
      <c r="Y1461" s="3">
        <v>17.82</v>
      </c>
      <c r="Z1461" t="s">
        <v>83</v>
      </c>
      <c r="AA1461" t="s">
        <v>9766</v>
      </c>
      <c r="AB1461" t="s">
        <v>53</v>
      </c>
      <c r="AC1461" s="3">
        <v>1.27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f t="shared" si="44"/>
        <v>24.58</v>
      </c>
      <c r="AK1461" s="3">
        <f t="shared" si="45"/>
        <v>6.759999999999998</v>
      </c>
    </row>
    <row r="1462" spans="1:37">
      <c r="A1462">
        <v>10355530</v>
      </c>
      <c r="B1462" t="s">
        <v>111</v>
      </c>
      <c r="C1462" t="s">
        <v>9767</v>
      </c>
      <c r="D1462" t="s">
        <v>6353</v>
      </c>
      <c r="E1462" t="s">
        <v>6354</v>
      </c>
      <c r="F1462" t="s">
        <v>6355</v>
      </c>
      <c r="G1462" t="s">
        <v>9768</v>
      </c>
      <c r="H1462" t="s">
        <v>117</v>
      </c>
      <c r="I1462" t="s">
        <v>9769</v>
      </c>
      <c r="J1462" t="s">
        <v>6358</v>
      </c>
      <c r="K1462">
        <v>20220</v>
      </c>
      <c r="L1462" t="s">
        <v>130</v>
      </c>
      <c r="M1462" t="s">
        <v>46</v>
      </c>
      <c r="N1462" t="s">
        <v>47</v>
      </c>
      <c r="O1462">
        <v>1</v>
      </c>
      <c r="P1462">
        <v>1</v>
      </c>
      <c r="Q1462">
        <v>1</v>
      </c>
      <c r="R1462" t="s">
        <v>48</v>
      </c>
      <c r="S1462" t="s">
        <v>49</v>
      </c>
      <c r="T1462" s="3">
        <v>7</v>
      </c>
      <c r="U1462" s="3">
        <v>0.23</v>
      </c>
      <c r="V1462" s="3">
        <v>0.94</v>
      </c>
      <c r="W1462">
        <v>0.5</v>
      </c>
      <c r="X1462" t="s">
        <v>50</v>
      </c>
      <c r="Y1462" s="3">
        <v>42.1</v>
      </c>
      <c r="Z1462" t="s">
        <v>9770</v>
      </c>
      <c r="AA1462" t="s">
        <v>9771</v>
      </c>
      <c r="AB1462" t="s">
        <v>53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f t="shared" si="44"/>
        <v>50.269999999999996</v>
      </c>
      <c r="AK1462" s="3">
        <f t="shared" si="45"/>
        <v>8.1699999999999946</v>
      </c>
    </row>
    <row r="1463" spans="1:37">
      <c r="A1463">
        <v>10351816</v>
      </c>
      <c r="B1463" t="s">
        <v>111</v>
      </c>
      <c r="C1463" t="s">
        <v>9772</v>
      </c>
      <c r="D1463" t="s">
        <v>9773</v>
      </c>
      <c r="E1463" t="s">
        <v>9774</v>
      </c>
      <c r="F1463" t="s">
        <v>9775</v>
      </c>
      <c r="G1463" t="s">
        <v>9776</v>
      </c>
      <c r="H1463" t="s">
        <v>117</v>
      </c>
      <c r="I1463" t="s">
        <v>9777</v>
      </c>
      <c r="J1463" t="s">
        <v>9778</v>
      </c>
      <c r="K1463" t="s">
        <v>9779</v>
      </c>
      <c r="L1463" t="s">
        <v>91</v>
      </c>
      <c r="M1463" t="s">
        <v>46</v>
      </c>
      <c r="N1463" t="s">
        <v>47</v>
      </c>
      <c r="O1463">
        <v>150</v>
      </c>
      <c r="P1463">
        <v>5</v>
      </c>
      <c r="Q1463">
        <v>5</v>
      </c>
      <c r="R1463" t="s">
        <v>48</v>
      </c>
      <c r="S1463" t="s">
        <v>49</v>
      </c>
      <c r="T1463" s="3">
        <v>7</v>
      </c>
      <c r="U1463" s="3">
        <v>0.23</v>
      </c>
      <c r="V1463" s="3">
        <v>6.65</v>
      </c>
      <c r="W1463">
        <v>78</v>
      </c>
      <c r="X1463" t="s">
        <v>50</v>
      </c>
      <c r="Y1463" s="3">
        <v>225.55</v>
      </c>
      <c r="Z1463" t="s">
        <v>7710</v>
      </c>
      <c r="AA1463" t="s">
        <v>1776</v>
      </c>
      <c r="AB1463" t="s">
        <v>53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f t="shared" si="44"/>
        <v>239.43</v>
      </c>
      <c r="AK1463" s="3">
        <f t="shared" si="45"/>
        <v>13.879999999999995</v>
      </c>
    </row>
    <row r="1464" spans="1:37">
      <c r="A1464">
        <v>10357956</v>
      </c>
      <c r="B1464" t="s">
        <v>37</v>
      </c>
      <c r="C1464" t="s">
        <v>9780</v>
      </c>
      <c r="E1464" t="s">
        <v>9781</v>
      </c>
      <c r="F1464" t="s">
        <v>9782</v>
      </c>
      <c r="G1464" t="s">
        <v>9783</v>
      </c>
      <c r="H1464" t="s">
        <v>42</v>
      </c>
      <c r="I1464" t="s">
        <v>9784</v>
      </c>
      <c r="J1464" t="s">
        <v>9785</v>
      </c>
      <c r="K1464">
        <v>8970</v>
      </c>
      <c r="L1464" t="s">
        <v>505</v>
      </c>
      <c r="M1464" t="s">
        <v>46</v>
      </c>
      <c r="N1464" t="s">
        <v>47</v>
      </c>
      <c r="O1464">
        <v>1</v>
      </c>
      <c r="P1464">
        <v>1</v>
      </c>
      <c r="Q1464">
        <v>1</v>
      </c>
      <c r="R1464" t="s">
        <v>48</v>
      </c>
      <c r="S1464" t="s">
        <v>49</v>
      </c>
      <c r="T1464" s="3">
        <v>0.84</v>
      </c>
      <c r="U1464" s="3">
        <v>0.23</v>
      </c>
      <c r="V1464" s="3">
        <v>0.94</v>
      </c>
      <c r="W1464">
        <v>2</v>
      </c>
      <c r="X1464" t="s">
        <v>50</v>
      </c>
      <c r="Y1464" s="3">
        <v>9.19</v>
      </c>
      <c r="Z1464" t="s">
        <v>9686</v>
      </c>
      <c r="AA1464" t="s">
        <v>6113</v>
      </c>
      <c r="AB1464" t="s">
        <v>53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f t="shared" si="44"/>
        <v>11.2</v>
      </c>
      <c r="AK1464" s="3">
        <f t="shared" si="45"/>
        <v>2.0099999999999998</v>
      </c>
    </row>
    <row r="1465" spans="1:37">
      <c r="A1465">
        <v>10357957</v>
      </c>
      <c r="B1465" t="s">
        <v>37</v>
      </c>
      <c r="C1465" t="s">
        <v>9786</v>
      </c>
      <c r="E1465" t="s">
        <v>809</v>
      </c>
      <c r="F1465" t="s">
        <v>9787</v>
      </c>
      <c r="G1465" t="s">
        <v>9788</v>
      </c>
      <c r="H1465" t="s">
        <v>42</v>
      </c>
      <c r="I1465" t="s">
        <v>9789</v>
      </c>
      <c r="J1465" t="s">
        <v>9790</v>
      </c>
      <c r="K1465">
        <v>9050</v>
      </c>
      <c r="L1465" t="s">
        <v>505</v>
      </c>
      <c r="M1465" t="s">
        <v>46</v>
      </c>
      <c r="N1465" t="s">
        <v>47</v>
      </c>
      <c r="O1465">
        <v>4</v>
      </c>
      <c r="P1465">
        <v>1</v>
      </c>
      <c r="Q1465">
        <v>4</v>
      </c>
      <c r="R1465" t="s">
        <v>48</v>
      </c>
      <c r="S1465" t="s">
        <v>49</v>
      </c>
      <c r="T1465" s="3">
        <v>0.84</v>
      </c>
      <c r="U1465" s="3">
        <v>0.23</v>
      </c>
      <c r="V1465" s="3">
        <v>3.55</v>
      </c>
      <c r="W1465">
        <v>1.56</v>
      </c>
      <c r="X1465" t="s">
        <v>50</v>
      </c>
      <c r="Y1465" s="3">
        <v>9.19</v>
      </c>
      <c r="Z1465" t="s">
        <v>9686</v>
      </c>
      <c r="AA1465" t="s">
        <v>583</v>
      </c>
      <c r="AB1465" t="s">
        <v>53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f t="shared" si="44"/>
        <v>13.809999999999999</v>
      </c>
      <c r="AK1465" s="3">
        <f t="shared" si="45"/>
        <v>4.6199999999999992</v>
      </c>
    </row>
    <row r="1466" spans="1:37">
      <c r="A1466">
        <v>10358096</v>
      </c>
      <c r="B1466" t="s">
        <v>37</v>
      </c>
      <c r="C1466" t="s">
        <v>9791</v>
      </c>
      <c r="E1466" t="s">
        <v>664</v>
      </c>
      <c r="F1466" t="s">
        <v>5016</v>
      </c>
      <c r="G1466" t="s">
        <v>9792</v>
      </c>
      <c r="H1466" t="s">
        <v>42</v>
      </c>
      <c r="I1466" t="s">
        <v>9793</v>
      </c>
      <c r="J1466" t="s">
        <v>9794</v>
      </c>
      <c r="K1466" t="s">
        <v>9795</v>
      </c>
      <c r="L1466" t="s">
        <v>142</v>
      </c>
      <c r="M1466" t="s">
        <v>46</v>
      </c>
      <c r="N1466" t="s">
        <v>47</v>
      </c>
      <c r="O1466">
        <v>2</v>
      </c>
      <c r="P1466">
        <v>1</v>
      </c>
      <c r="Q1466">
        <v>2</v>
      </c>
      <c r="R1466" t="s">
        <v>48</v>
      </c>
      <c r="S1466" t="s">
        <v>49</v>
      </c>
      <c r="T1466" s="3">
        <v>0.84</v>
      </c>
      <c r="U1466" s="3">
        <v>0.23</v>
      </c>
      <c r="V1466" s="3">
        <v>1.81</v>
      </c>
      <c r="W1466">
        <v>0.99</v>
      </c>
      <c r="X1466" t="s">
        <v>50</v>
      </c>
      <c r="Y1466" s="3">
        <v>16.43</v>
      </c>
      <c r="Z1466" t="s">
        <v>9686</v>
      </c>
      <c r="AA1466" t="s">
        <v>9796</v>
      </c>
      <c r="AB1466" t="s">
        <v>53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f t="shared" si="44"/>
        <v>19.309999999999999</v>
      </c>
      <c r="AK1466" s="3">
        <f t="shared" si="45"/>
        <v>2.879999999999999</v>
      </c>
    </row>
    <row r="1467" spans="1:37">
      <c r="A1467">
        <v>10357955</v>
      </c>
      <c r="B1467" t="s">
        <v>37</v>
      </c>
      <c r="C1467" t="s">
        <v>9797</v>
      </c>
      <c r="E1467" t="s">
        <v>2955</v>
      </c>
      <c r="F1467" t="s">
        <v>9798</v>
      </c>
      <c r="G1467" t="s">
        <v>9799</v>
      </c>
      <c r="H1467" t="s">
        <v>42</v>
      </c>
      <c r="I1467" t="s">
        <v>9800</v>
      </c>
      <c r="J1467" t="s">
        <v>9801</v>
      </c>
      <c r="K1467">
        <v>80802</v>
      </c>
      <c r="L1467" t="s">
        <v>71</v>
      </c>
      <c r="M1467" t="s">
        <v>46</v>
      </c>
      <c r="N1467" t="s">
        <v>47</v>
      </c>
      <c r="O1467">
        <v>4</v>
      </c>
      <c r="P1467">
        <v>1</v>
      </c>
      <c r="Q1467">
        <v>4</v>
      </c>
      <c r="R1467" t="s">
        <v>48</v>
      </c>
      <c r="S1467" t="s">
        <v>49</v>
      </c>
      <c r="T1467" s="3">
        <v>0.84</v>
      </c>
      <c r="U1467" s="3">
        <v>0.23</v>
      </c>
      <c r="V1467" s="3">
        <v>3.55</v>
      </c>
      <c r="W1467">
        <v>1.84</v>
      </c>
      <c r="X1467" t="s">
        <v>108</v>
      </c>
      <c r="Y1467" s="3">
        <v>5.14</v>
      </c>
      <c r="Z1467" t="s">
        <v>9686</v>
      </c>
      <c r="AA1467" t="s">
        <v>9802</v>
      </c>
      <c r="AB1467" t="s">
        <v>53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f t="shared" si="44"/>
        <v>9.76</v>
      </c>
      <c r="AK1467" s="3">
        <f t="shared" si="45"/>
        <v>4.62</v>
      </c>
    </row>
    <row r="1468" spans="1:37">
      <c r="A1468">
        <v>10358314</v>
      </c>
      <c r="B1468" t="s">
        <v>37</v>
      </c>
      <c r="C1468" t="s">
        <v>9803</v>
      </c>
      <c r="E1468" t="s">
        <v>657</v>
      </c>
      <c r="F1468" t="s">
        <v>9804</v>
      </c>
      <c r="G1468" t="s">
        <v>9805</v>
      </c>
      <c r="H1468" t="s">
        <v>42</v>
      </c>
      <c r="I1468" t="s">
        <v>9806</v>
      </c>
      <c r="J1468" t="s">
        <v>9807</v>
      </c>
      <c r="K1468">
        <v>51069</v>
      </c>
      <c r="L1468" t="s">
        <v>71</v>
      </c>
      <c r="M1468" t="s">
        <v>46</v>
      </c>
      <c r="N1468" t="s">
        <v>47</v>
      </c>
      <c r="O1468">
        <v>4</v>
      </c>
      <c r="P1468">
        <v>1</v>
      </c>
      <c r="Q1468">
        <v>4</v>
      </c>
      <c r="R1468" t="s">
        <v>48</v>
      </c>
      <c r="S1468" t="s">
        <v>49</v>
      </c>
      <c r="T1468" s="3">
        <v>0.84</v>
      </c>
      <c r="U1468" s="3">
        <v>0.23</v>
      </c>
      <c r="V1468" s="3">
        <v>3.55</v>
      </c>
      <c r="W1468">
        <v>1.96</v>
      </c>
      <c r="X1468" t="s">
        <v>108</v>
      </c>
      <c r="Y1468" s="3">
        <v>6.61</v>
      </c>
      <c r="Z1468" t="s">
        <v>9686</v>
      </c>
      <c r="AA1468" t="s">
        <v>327</v>
      </c>
      <c r="AB1468" t="s">
        <v>53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f t="shared" si="44"/>
        <v>11.23</v>
      </c>
      <c r="AK1468" s="3">
        <f t="shared" si="45"/>
        <v>4.62</v>
      </c>
    </row>
    <row r="1469" spans="1:37">
      <c r="A1469">
        <v>10358315</v>
      </c>
      <c r="B1469" t="s">
        <v>37</v>
      </c>
      <c r="C1469" t="s">
        <v>9808</v>
      </c>
      <c r="E1469" t="s">
        <v>1527</v>
      </c>
      <c r="F1469" t="s">
        <v>9809</v>
      </c>
      <c r="G1469" t="s">
        <v>9810</v>
      </c>
      <c r="H1469" t="s">
        <v>42</v>
      </c>
      <c r="I1469" t="s">
        <v>9811</v>
      </c>
      <c r="J1469" t="s">
        <v>9812</v>
      </c>
      <c r="K1469" t="s">
        <v>9813</v>
      </c>
      <c r="L1469" t="s">
        <v>142</v>
      </c>
      <c r="M1469" t="s">
        <v>46</v>
      </c>
      <c r="N1469" t="s">
        <v>47</v>
      </c>
      <c r="O1469">
        <v>4</v>
      </c>
      <c r="P1469">
        <v>1</v>
      </c>
      <c r="Q1469">
        <v>4</v>
      </c>
      <c r="R1469" t="s">
        <v>48</v>
      </c>
      <c r="S1469" t="s">
        <v>49</v>
      </c>
      <c r="T1469" s="3">
        <v>0.84</v>
      </c>
      <c r="U1469" s="3">
        <v>0.23</v>
      </c>
      <c r="V1469" s="3">
        <v>3.55</v>
      </c>
      <c r="W1469">
        <v>1.56</v>
      </c>
      <c r="X1469" t="s">
        <v>50</v>
      </c>
      <c r="Y1469" s="3">
        <v>16.43</v>
      </c>
      <c r="Z1469" t="s">
        <v>9686</v>
      </c>
      <c r="AA1469" t="s">
        <v>583</v>
      </c>
      <c r="AB1469" t="s">
        <v>53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f t="shared" si="44"/>
        <v>21.05</v>
      </c>
      <c r="AK1469" s="3">
        <f t="shared" si="45"/>
        <v>4.620000000000001</v>
      </c>
    </row>
    <row r="1470" spans="1:37">
      <c r="A1470">
        <v>10358317</v>
      </c>
      <c r="B1470" t="s">
        <v>37</v>
      </c>
      <c r="C1470" t="s">
        <v>9814</v>
      </c>
      <c r="E1470" t="s">
        <v>437</v>
      </c>
      <c r="F1470" t="s">
        <v>9815</v>
      </c>
      <c r="G1470" t="s">
        <v>9816</v>
      </c>
      <c r="H1470" t="s">
        <v>42</v>
      </c>
      <c r="I1470" t="s">
        <v>9817</v>
      </c>
      <c r="J1470" t="s">
        <v>9818</v>
      </c>
      <c r="K1470">
        <v>2048</v>
      </c>
      <c r="L1470" t="s">
        <v>1701</v>
      </c>
      <c r="M1470" t="s">
        <v>46</v>
      </c>
      <c r="N1470" t="s">
        <v>47</v>
      </c>
      <c r="O1470">
        <v>4</v>
      </c>
      <c r="P1470">
        <v>1</v>
      </c>
      <c r="Q1470">
        <v>4</v>
      </c>
      <c r="R1470" t="s">
        <v>48</v>
      </c>
      <c r="S1470" t="s">
        <v>49</v>
      </c>
      <c r="T1470" s="3">
        <v>0.84</v>
      </c>
      <c r="U1470" s="3">
        <v>0.23</v>
      </c>
      <c r="V1470" s="3">
        <v>3.55</v>
      </c>
      <c r="W1470">
        <v>1.96</v>
      </c>
      <c r="X1470" t="s">
        <v>1702</v>
      </c>
      <c r="Y1470" s="3">
        <v>39.1</v>
      </c>
      <c r="Z1470" t="s">
        <v>9686</v>
      </c>
      <c r="AA1470" t="s">
        <v>327</v>
      </c>
      <c r="AB1470" t="s">
        <v>53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f t="shared" si="44"/>
        <v>43.72</v>
      </c>
      <c r="AK1470" s="3">
        <f t="shared" si="45"/>
        <v>4.6199999999999974</v>
      </c>
    </row>
    <row r="1471" spans="1:37">
      <c r="A1471">
        <v>10358312</v>
      </c>
      <c r="B1471" t="s">
        <v>37</v>
      </c>
      <c r="C1471" t="s">
        <v>9819</v>
      </c>
      <c r="E1471" t="s">
        <v>9820</v>
      </c>
      <c r="F1471" t="s">
        <v>9821</v>
      </c>
      <c r="G1471" t="s">
        <v>9822</v>
      </c>
      <c r="H1471" t="s">
        <v>42</v>
      </c>
      <c r="I1471" t="s">
        <v>9823</v>
      </c>
      <c r="J1471" t="s">
        <v>9824</v>
      </c>
      <c r="K1471">
        <v>45279</v>
      </c>
      <c r="L1471" t="s">
        <v>71</v>
      </c>
      <c r="M1471" t="s">
        <v>46</v>
      </c>
      <c r="N1471" t="s">
        <v>47</v>
      </c>
      <c r="O1471">
        <v>2</v>
      </c>
      <c r="P1471">
        <v>1</v>
      </c>
      <c r="Q1471">
        <v>2</v>
      </c>
      <c r="R1471" t="s">
        <v>48</v>
      </c>
      <c r="S1471" t="s">
        <v>49</v>
      </c>
      <c r="T1471" s="3">
        <v>0.84</v>
      </c>
      <c r="U1471" s="3">
        <v>0.23</v>
      </c>
      <c r="V1471" s="3">
        <v>1.81</v>
      </c>
      <c r="W1471">
        <v>0.78</v>
      </c>
      <c r="X1471" t="s">
        <v>108</v>
      </c>
      <c r="Y1471" s="3">
        <v>5.14</v>
      </c>
      <c r="Z1471" t="s">
        <v>9686</v>
      </c>
      <c r="AA1471" t="s">
        <v>9825</v>
      </c>
      <c r="AB1471" t="s">
        <v>53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f t="shared" si="44"/>
        <v>8.02</v>
      </c>
      <c r="AK1471" s="3">
        <f t="shared" si="45"/>
        <v>2.88</v>
      </c>
    </row>
    <row r="1472" spans="1:37">
      <c r="A1472">
        <v>10358319</v>
      </c>
      <c r="B1472" t="s">
        <v>37</v>
      </c>
      <c r="C1472" t="s">
        <v>9826</v>
      </c>
      <c r="E1472" t="s">
        <v>9827</v>
      </c>
      <c r="F1472" t="s">
        <v>9828</v>
      </c>
      <c r="G1472" t="s">
        <v>9829</v>
      </c>
      <c r="H1472" t="s">
        <v>42</v>
      </c>
      <c r="I1472" t="s">
        <v>9830</v>
      </c>
      <c r="J1472" t="s">
        <v>9831</v>
      </c>
      <c r="K1472">
        <v>96047</v>
      </c>
      <c r="L1472" t="s">
        <v>71</v>
      </c>
      <c r="M1472" t="s">
        <v>46</v>
      </c>
      <c r="N1472" t="s">
        <v>47</v>
      </c>
      <c r="O1472">
        <v>1</v>
      </c>
      <c r="P1472">
        <v>1</v>
      </c>
      <c r="Q1472">
        <v>1</v>
      </c>
      <c r="R1472" t="s">
        <v>48</v>
      </c>
      <c r="S1472" t="s">
        <v>49</v>
      </c>
      <c r="T1472" s="3">
        <v>0.84</v>
      </c>
      <c r="U1472" s="3">
        <v>0.23</v>
      </c>
      <c r="V1472" s="3">
        <v>0.94</v>
      </c>
      <c r="W1472">
        <v>1.02</v>
      </c>
      <c r="X1472" t="s">
        <v>108</v>
      </c>
      <c r="Y1472" s="3">
        <v>5.14</v>
      </c>
      <c r="Z1472" t="s">
        <v>9686</v>
      </c>
      <c r="AA1472" t="s">
        <v>1625</v>
      </c>
      <c r="AB1472" t="s">
        <v>53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f t="shared" si="44"/>
        <v>7.15</v>
      </c>
      <c r="AK1472" s="3">
        <f t="shared" si="45"/>
        <v>2.0100000000000007</v>
      </c>
    </row>
    <row r="1473" spans="1:37">
      <c r="A1473">
        <v>10358311</v>
      </c>
      <c r="B1473" t="s">
        <v>37</v>
      </c>
      <c r="C1473" t="s">
        <v>9832</v>
      </c>
      <c r="E1473" t="s">
        <v>8024</v>
      </c>
      <c r="F1473" t="s">
        <v>9833</v>
      </c>
      <c r="G1473" t="s">
        <v>9834</v>
      </c>
      <c r="H1473" t="s">
        <v>42</v>
      </c>
      <c r="I1473" t="s">
        <v>9835</v>
      </c>
      <c r="J1473" t="s">
        <v>9836</v>
      </c>
      <c r="K1473">
        <v>1030</v>
      </c>
      <c r="L1473" t="s">
        <v>505</v>
      </c>
      <c r="M1473" t="s">
        <v>46</v>
      </c>
      <c r="N1473" t="s">
        <v>47</v>
      </c>
      <c r="O1473">
        <v>1</v>
      </c>
      <c r="P1473">
        <v>1</v>
      </c>
      <c r="Q1473">
        <v>1</v>
      </c>
      <c r="R1473" t="s">
        <v>48</v>
      </c>
      <c r="S1473" t="s">
        <v>49</v>
      </c>
      <c r="T1473" s="3">
        <v>0.84</v>
      </c>
      <c r="U1473" s="3">
        <v>0.23</v>
      </c>
      <c r="V1473" s="3">
        <v>0.94</v>
      </c>
      <c r="W1473">
        <v>0.39</v>
      </c>
      <c r="X1473" t="s">
        <v>50</v>
      </c>
      <c r="Y1473" s="3">
        <v>9.19</v>
      </c>
      <c r="Z1473" t="s">
        <v>9686</v>
      </c>
      <c r="AA1473" t="s">
        <v>9837</v>
      </c>
      <c r="AB1473" t="s">
        <v>53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f t="shared" si="44"/>
        <v>11.2</v>
      </c>
      <c r="AK1473" s="3">
        <f t="shared" si="45"/>
        <v>2.0099999999999998</v>
      </c>
    </row>
    <row r="1474" spans="1:37">
      <c r="A1474">
        <v>10358313</v>
      </c>
      <c r="B1474" t="s">
        <v>37</v>
      </c>
      <c r="C1474" t="s">
        <v>9838</v>
      </c>
      <c r="E1474" t="s">
        <v>9839</v>
      </c>
      <c r="F1474" t="s">
        <v>9840</v>
      </c>
      <c r="G1474" t="s">
        <v>9841</v>
      </c>
      <c r="H1474" t="s">
        <v>42</v>
      </c>
      <c r="I1474" t="s">
        <v>9842</v>
      </c>
      <c r="J1474" t="s">
        <v>9843</v>
      </c>
      <c r="K1474">
        <v>3432</v>
      </c>
      <c r="L1474" t="s">
        <v>369</v>
      </c>
      <c r="M1474" t="s">
        <v>46</v>
      </c>
      <c r="N1474" t="s">
        <v>47</v>
      </c>
      <c r="O1474">
        <v>2</v>
      </c>
      <c r="P1474">
        <v>1</v>
      </c>
      <c r="Q1474">
        <v>2</v>
      </c>
      <c r="R1474" t="s">
        <v>48</v>
      </c>
      <c r="S1474" t="s">
        <v>49</v>
      </c>
      <c r="T1474" s="3">
        <v>0.84</v>
      </c>
      <c r="U1474" s="3">
        <v>0.23</v>
      </c>
      <c r="V1474" s="3">
        <v>1.81</v>
      </c>
      <c r="W1474">
        <v>0.59</v>
      </c>
      <c r="X1474" t="s">
        <v>50</v>
      </c>
      <c r="Y1474" s="3">
        <v>9.19</v>
      </c>
      <c r="Z1474" t="s">
        <v>9686</v>
      </c>
      <c r="AA1474" t="s">
        <v>9844</v>
      </c>
      <c r="AB1474" t="s">
        <v>53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f t="shared" ref="AJ1474:AJ1537" si="46">AI1474+AH1474+AG1474+AF1474+AE1474+AD1474+AC1474+Y1474+V1474+U1474+T1474</f>
        <v>12.07</v>
      </c>
      <c r="AK1474" s="3">
        <f t="shared" ref="AK1474:AK1537" si="47">AJ1474-Y1474</f>
        <v>2.8800000000000008</v>
      </c>
    </row>
    <row r="1475" spans="1:37">
      <c r="A1475">
        <v>10358318</v>
      </c>
      <c r="B1475" t="s">
        <v>37</v>
      </c>
      <c r="C1475" t="s">
        <v>9845</v>
      </c>
      <c r="E1475" t="s">
        <v>9846</v>
      </c>
      <c r="F1475" t="s">
        <v>9846</v>
      </c>
      <c r="G1475" t="s">
        <v>9847</v>
      </c>
      <c r="H1475" t="s">
        <v>42</v>
      </c>
      <c r="I1475" t="s">
        <v>9848</v>
      </c>
      <c r="J1475" t="s">
        <v>9849</v>
      </c>
      <c r="K1475">
        <v>64625</v>
      </c>
      <c r="L1475" t="s">
        <v>71</v>
      </c>
      <c r="M1475" t="s">
        <v>46</v>
      </c>
      <c r="N1475" t="s">
        <v>47</v>
      </c>
      <c r="O1475">
        <v>1</v>
      </c>
      <c r="P1475">
        <v>1</v>
      </c>
      <c r="Q1475">
        <v>1</v>
      </c>
      <c r="R1475" t="s">
        <v>48</v>
      </c>
      <c r="S1475" t="s">
        <v>49</v>
      </c>
      <c r="T1475" s="3">
        <v>0.84</v>
      </c>
      <c r="U1475" s="3">
        <v>0.23</v>
      </c>
      <c r="V1475" s="3">
        <v>0.94</v>
      </c>
      <c r="W1475">
        <v>0.39</v>
      </c>
      <c r="X1475" t="s">
        <v>108</v>
      </c>
      <c r="Y1475" s="3">
        <v>5.14</v>
      </c>
      <c r="Z1475" t="s">
        <v>9850</v>
      </c>
      <c r="AA1475" t="s">
        <v>9851</v>
      </c>
      <c r="AB1475" t="s">
        <v>53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f t="shared" si="46"/>
        <v>7.15</v>
      </c>
      <c r="AK1475" s="3">
        <f t="shared" si="47"/>
        <v>2.0100000000000007</v>
      </c>
    </row>
    <row r="1476" spans="1:37">
      <c r="A1476">
        <v>10358583</v>
      </c>
      <c r="B1476" t="s">
        <v>37</v>
      </c>
      <c r="C1476" t="s">
        <v>9852</v>
      </c>
      <c r="E1476" t="s">
        <v>9853</v>
      </c>
      <c r="F1476" t="s">
        <v>9854</v>
      </c>
      <c r="G1476" t="s">
        <v>9855</v>
      </c>
      <c r="H1476" t="s">
        <v>42</v>
      </c>
      <c r="I1476" t="s">
        <v>9856</v>
      </c>
      <c r="J1476" t="s">
        <v>9857</v>
      </c>
      <c r="K1476">
        <v>63864</v>
      </c>
      <c r="L1476" t="s">
        <v>71</v>
      </c>
      <c r="M1476" t="s">
        <v>46</v>
      </c>
      <c r="N1476" t="s">
        <v>47</v>
      </c>
      <c r="O1476">
        <v>4</v>
      </c>
      <c r="P1476">
        <v>1</v>
      </c>
      <c r="Q1476">
        <v>4</v>
      </c>
      <c r="R1476" t="s">
        <v>48</v>
      </c>
      <c r="S1476" t="s">
        <v>49</v>
      </c>
      <c r="T1476" s="3">
        <v>0.84</v>
      </c>
      <c r="U1476" s="3">
        <v>0.23</v>
      </c>
      <c r="V1476" s="3">
        <v>3.55</v>
      </c>
      <c r="W1476">
        <v>1.96</v>
      </c>
      <c r="X1476" t="s">
        <v>108</v>
      </c>
      <c r="Y1476" s="3">
        <v>5.14</v>
      </c>
      <c r="Z1476" t="s">
        <v>9686</v>
      </c>
      <c r="AA1476" t="s">
        <v>9858</v>
      </c>
      <c r="AB1476" t="s">
        <v>53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f t="shared" si="46"/>
        <v>9.76</v>
      </c>
      <c r="AK1476" s="3">
        <f t="shared" si="47"/>
        <v>4.62</v>
      </c>
    </row>
    <row r="1477" spans="1:37">
      <c r="A1477">
        <v>10358581</v>
      </c>
      <c r="B1477" t="s">
        <v>37</v>
      </c>
      <c r="C1477" t="s">
        <v>9859</v>
      </c>
      <c r="E1477" t="s">
        <v>9860</v>
      </c>
      <c r="F1477" t="s">
        <v>9861</v>
      </c>
      <c r="G1477" t="s">
        <v>9862</v>
      </c>
      <c r="H1477" t="s">
        <v>42</v>
      </c>
      <c r="I1477" t="s">
        <v>9863</v>
      </c>
      <c r="J1477" t="s">
        <v>9864</v>
      </c>
      <c r="K1477">
        <v>35020</v>
      </c>
      <c r="L1477" t="s">
        <v>283</v>
      </c>
      <c r="M1477" t="s">
        <v>46</v>
      </c>
      <c r="N1477" t="s">
        <v>47</v>
      </c>
      <c r="O1477">
        <v>6</v>
      </c>
      <c r="P1477">
        <v>1</v>
      </c>
      <c r="Q1477">
        <v>6</v>
      </c>
      <c r="R1477" t="s">
        <v>48</v>
      </c>
      <c r="S1477" t="s">
        <v>49</v>
      </c>
      <c r="T1477" s="3">
        <v>0.84</v>
      </c>
      <c r="U1477" s="3">
        <v>0.23</v>
      </c>
      <c r="V1477" s="3">
        <v>5.29</v>
      </c>
      <c r="W1477">
        <v>1.2869999999999999</v>
      </c>
      <c r="X1477" t="s">
        <v>50</v>
      </c>
      <c r="Y1477" s="3">
        <v>14.98</v>
      </c>
      <c r="Z1477" t="s">
        <v>9686</v>
      </c>
      <c r="AA1477" t="s">
        <v>9865</v>
      </c>
      <c r="AB1477" t="s">
        <v>53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f t="shared" si="46"/>
        <v>21.34</v>
      </c>
      <c r="AK1477" s="3">
        <f t="shared" si="47"/>
        <v>6.3599999999999994</v>
      </c>
    </row>
    <row r="1478" spans="1:37">
      <c r="A1478">
        <v>10358586</v>
      </c>
      <c r="B1478" t="s">
        <v>37</v>
      </c>
      <c r="C1478" t="s">
        <v>9866</v>
      </c>
      <c r="E1478" t="s">
        <v>9867</v>
      </c>
      <c r="F1478" t="s">
        <v>9868</v>
      </c>
      <c r="G1478" t="s">
        <v>9869</v>
      </c>
      <c r="H1478" t="s">
        <v>42</v>
      </c>
      <c r="I1478" t="s">
        <v>9870</v>
      </c>
      <c r="J1478" t="s">
        <v>9871</v>
      </c>
      <c r="K1478" t="s">
        <v>9872</v>
      </c>
      <c r="L1478" t="s">
        <v>82</v>
      </c>
      <c r="M1478" t="s">
        <v>46</v>
      </c>
      <c r="N1478" t="s">
        <v>47</v>
      </c>
      <c r="O1478">
        <v>4</v>
      </c>
      <c r="P1478">
        <v>1</v>
      </c>
      <c r="Q1478">
        <v>4</v>
      </c>
      <c r="R1478" t="s">
        <v>48</v>
      </c>
      <c r="S1478" t="s">
        <v>49</v>
      </c>
      <c r="T1478" s="3">
        <v>0.84</v>
      </c>
      <c r="U1478" s="3">
        <v>0.23</v>
      </c>
      <c r="V1478" s="3">
        <v>3.55</v>
      </c>
      <c r="W1478">
        <v>1.96</v>
      </c>
      <c r="X1478" t="s">
        <v>50</v>
      </c>
      <c r="Y1478" s="3">
        <v>9.19</v>
      </c>
      <c r="Z1478" t="s">
        <v>9686</v>
      </c>
      <c r="AA1478" t="s">
        <v>9873</v>
      </c>
      <c r="AB1478" t="s">
        <v>53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f t="shared" si="46"/>
        <v>13.809999999999999</v>
      </c>
      <c r="AK1478" s="3">
        <f t="shared" si="47"/>
        <v>4.6199999999999992</v>
      </c>
    </row>
    <row r="1479" spans="1:37">
      <c r="A1479">
        <v>10358316</v>
      </c>
      <c r="B1479" t="s">
        <v>37</v>
      </c>
      <c r="C1479" t="s">
        <v>9874</v>
      </c>
      <c r="E1479" t="s">
        <v>3933</v>
      </c>
      <c r="F1479" t="s">
        <v>9875</v>
      </c>
      <c r="G1479" t="s">
        <v>9876</v>
      </c>
      <c r="H1479" t="s">
        <v>42</v>
      </c>
      <c r="I1479" t="s">
        <v>9877</v>
      </c>
      <c r="J1479" t="s">
        <v>9878</v>
      </c>
      <c r="K1479">
        <v>51000</v>
      </c>
      <c r="L1479" t="s">
        <v>9620</v>
      </c>
      <c r="M1479" t="s">
        <v>46</v>
      </c>
      <c r="N1479" t="s">
        <v>47</v>
      </c>
      <c r="O1479">
        <v>2</v>
      </c>
      <c r="P1479">
        <v>1</v>
      </c>
      <c r="Q1479">
        <v>2</v>
      </c>
      <c r="R1479" t="s">
        <v>48</v>
      </c>
      <c r="S1479" t="s">
        <v>49</v>
      </c>
      <c r="T1479" s="3">
        <v>0.84</v>
      </c>
      <c r="U1479" s="3">
        <v>0.23</v>
      </c>
      <c r="V1479" s="3">
        <v>1.81</v>
      </c>
      <c r="W1479">
        <v>0.71</v>
      </c>
      <c r="X1479" t="s">
        <v>100</v>
      </c>
      <c r="Y1479" s="3">
        <v>21.83</v>
      </c>
      <c r="Z1479" t="s">
        <v>9850</v>
      </c>
      <c r="AA1479" t="s">
        <v>9879</v>
      </c>
      <c r="AB1479" t="s">
        <v>53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f t="shared" si="46"/>
        <v>24.709999999999997</v>
      </c>
      <c r="AK1479" s="3">
        <f t="shared" si="47"/>
        <v>2.879999999999999</v>
      </c>
    </row>
    <row r="1480" spans="1:37">
      <c r="A1480">
        <v>10358585</v>
      </c>
      <c r="B1480" t="s">
        <v>37</v>
      </c>
      <c r="C1480" t="s">
        <v>9880</v>
      </c>
      <c r="E1480" t="s">
        <v>398</v>
      </c>
      <c r="F1480" t="s">
        <v>9881</v>
      </c>
      <c r="G1480" t="s">
        <v>9882</v>
      </c>
      <c r="H1480" t="s">
        <v>42</v>
      </c>
      <c r="I1480" t="s">
        <v>9883</v>
      </c>
      <c r="J1480" t="s">
        <v>9884</v>
      </c>
      <c r="K1480" t="s">
        <v>9885</v>
      </c>
      <c r="L1480" t="s">
        <v>142</v>
      </c>
      <c r="M1480" t="s">
        <v>46</v>
      </c>
      <c r="N1480" t="s">
        <v>47</v>
      </c>
      <c r="O1480">
        <v>2</v>
      </c>
      <c r="P1480">
        <v>1</v>
      </c>
      <c r="Q1480">
        <v>2</v>
      </c>
      <c r="R1480" t="s">
        <v>48</v>
      </c>
      <c r="S1480" t="s">
        <v>49</v>
      </c>
      <c r="T1480" s="3">
        <v>0.84</v>
      </c>
      <c r="U1480" s="3">
        <v>0.23</v>
      </c>
      <c r="V1480" s="3">
        <v>1.81</v>
      </c>
      <c r="W1480">
        <v>0.98</v>
      </c>
      <c r="X1480" t="s">
        <v>50</v>
      </c>
      <c r="Y1480" s="3">
        <v>16.43</v>
      </c>
      <c r="Z1480" t="s">
        <v>9850</v>
      </c>
      <c r="AA1480" t="s">
        <v>9886</v>
      </c>
      <c r="AB1480" t="s">
        <v>53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f t="shared" si="46"/>
        <v>19.309999999999999</v>
      </c>
      <c r="AK1480" s="3">
        <f t="shared" si="47"/>
        <v>2.879999999999999</v>
      </c>
    </row>
    <row r="1481" spans="1:37">
      <c r="A1481">
        <v>10358580</v>
      </c>
      <c r="B1481" t="s">
        <v>37</v>
      </c>
      <c r="C1481" t="s">
        <v>9887</v>
      </c>
      <c r="E1481" t="s">
        <v>247</v>
      </c>
      <c r="F1481" t="s">
        <v>7181</v>
      </c>
      <c r="G1481" t="s">
        <v>9888</v>
      </c>
      <c r="H1481" t="s">
        <v>42</v>
      </c>
      <c r="I1481" t="s">
        <v>9889</v>
      </c>
      <c r="J1481" t="s">
        <v>7184</v>
      </c>
      <c r="K1481">
        <v>71679</v>
      </c>
      <c r="L1481" t="s">
        <v>71</v>
      </c>
      <c r="M1481" t="s">
        <v>46</v>
      </c>
      <c r="N1481" t="s">
        <v>47</v>
      </c>
      <c r="O1481">
        <v>1</v>
      </c>
      <c r="P1481">
        <v>1</v>
      </c>
      <c r="Q1481">
        <v>1</v>
      </c>
      <c r="R1481" t="s">
        <v>48</v>
      </c>
      <c r="S1481" t="s">
        <v>49</v>
      </c>
      <c r="T1481" s="3">
        <v>0.84</v>
      </c>
      <c r="U1481" s="3">
        <v>0.23</v>
      </c>
      <c r="V1481" s="3">
        <v>0.94</v>
      </c>
      <c r="W1481">
        <v>1.02</v>
      </c>
      <c r="X1481" t="s">
        <v>108</v>
      </c>
      <c r="Y1481" s="3">
        <v>5.14</v>
      </c>
      <c r="Z1481" t="s">
        <v>9686</v>
      </c>
      <c r="AA1481" t="s">
        <v>4564</v>
      </c>
      <c r="AB1481" t="s">
        <v>53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f t="shared" si="46"/>
        <v>7.15</v>
      </c>
      <c r="AK1481" s="3">
        <f t="shared" si="47"/>
        <v>2.0100000000000007</v>
      </c>
    </row>
    <row r="1482" spans="1:37">
      <c r="A1482">
        <v>10358579</v>
      </c>
      <c r="B1482" t="s">
        <v>37</v>
      </c>
      <c r="C1482" t="s">
        <v>9890</v>
      </c>
      <c r="E1482" t="s">
        <v>9891</v>
      </c>
      <c r="F1482" t="s">
        <v>9892</v>
      </c>
      <c r="G1482" t="s">
        <v>9893</v>
      </c>
      <c r="H1482" t="s">
        <v>42</v>
      </c>
      <c r="I1482" t="s">
        <v>9894</v>
      </c>
      <c r="J1482" t="s">
        <v>9895</v>
      </c>
      <c r="K1482" t="s">
        <v>9896</v>
      </c>
      <c r="L1482" t="s">
        <v>82</v>
      </c>
      <c r="M1482" t="s">
        <v>46</v>
      </c>
      <c r="N1482" t="s">
        <v>47</v>
      </c>
      <c r="O1482">
        <v>2</v>
      </c>
      <c r="P1482">
        <v>1</v>
      </c>
      <c r="Q1482">
        <v>2</v>
      </c>
      <c r="R1482" t="s">
        <v>48</v>
      </c>
      <c r="S1482" t="s">
        <v>49</v>
      </c>
      <c r="T1482" s="3">
        <v>0.84</v>
      </c>
      <c r="U1482" s="3">
        <v>0.23</v>
      </c>
      <c r="V1482" s="3">
        <v>1.81</v>
      </c>
      <c r="W1482">
        <v>0.98</v>
      </c>
      <c r="X1482" t="s">
        <v>50</v>
      </c>
      <c r="Y1482" s="3">
        <v>9.19</v>
      </c>
      <c r="Z1482" t="s">
        <v>9850</v>
      </c>
      <c r="AA1482" t="s">
        <v>2837</v>
      </c>
      <c r="AB1482" t="s">
        <v>53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f t="shared" si="46"/>
        <v>12.07</v>
      </c>
      <c r="AK1482" s="3">
        <f t="shared" si="47"/>
        <v>2.8800000000000008</v>
      </c>
    </row>
    <row r="1483" spans="1:37">
      <c r="A1483">
        <v>10358582</v>
      </c>
      <c r="B1483" t="s">
        <v>37</v>
      </c>
      <c r="C1483" t="s">
        <v>9897</v>
      </c>
      <c r="E1483" t="s">
        <v>351</v>
      </c>
      <c r="F1483" t="s">
        <v>9898</v>
      </c>
      <c r="G1483" t="s">
        <v>9899</v>
      </c>
      <c r="H1483" t="s">
        <v>42</v>
      </c>
      <c r="I1483" t="s">
        <v>9900</v>
      </c>
      <c r="J1483" t="s">
        <v>9901</v>
      </c>
      <c r="K1483">
        <v>81541</v>
      </c>
      <c r="L1483" t="s">
        <v>71</v>
      </c>
      <c r="M1483" t="s">
        <v>46</v>
      </c>
      <c r="N1483" t="s">
        <v>47</v>
      </c>
      <c r="O1483">
        <v>2</v>
      </c>
      <c r="P1483">
        <v>1</v>
      </c>
      <c r="Q1483">
        <v>2</v>
      </c>
      <c r="R1483" t="s">
        <v>48</v>
      </c>
      <c r="S1483" t="s">
        <v>49</v>
      </c>
      <c r="T1483" s="3">
        <v>0.84</v>
      </c>
      <c r="U1483" s="3">
        <v>0.23</v>
      </c>
      <c r="V1483" s="3">
        <v>1.81</v>
      </c>
      <c r="W1483">
        <v>0.98</v>
      </c>
      <c r="X1483" t="s">
        <v>108</v>
      </c>
      <c r="Y1483" s="3">
        <v>14.85</v>
      </c>
      <c r="Z1483" t="s">
        <v>9850</v>
      </c>
      <c r="AA1483" t="s">
        <v>2837</v>
      </c>
      <c r="AB1483" t="s">
        <v>53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f t="shared" si="46"/>
        <v>17.73</v>
      </c>
      <c r="AK1483" s="3">
        <f t="shared" si="47"/>
        <v>2.8800000000000008</v>
      </c>
    </row>
    <row r="1484" spans="1:37">
      <c r="A1484">
        <v>10355739</v>
      </c>
      <c r="B1484" t="s">
        <v>37</v>
      </c>
      <c r="C1484" t="s">
        <v>9902</v>
      </c>
      <c r="E1484" t="s">
        <v>3646</v>
      </c>
      <c r="F1484" t="s">
        <v>2175</v>
      </c>
      <c r="G1484" t="s">
        <v>9903</v>
      </c>
      <c r="H1484" t="s">
        <v>42</v>
      </c>
      <c r="I1484" t="s">
        <v>9904</v>
      </c>
      <c r="J1484" t="s">
        <v>9905</v>
      </c>
      <c r="K1484">
        <v>81249</v>
      </c>
      <c r="L1484" t="s">
        <v>71</v>
      </c>
      <c r="M1484" t="s">
        <v>46</v>
      </c>
      <c r="N1484" t="s">
        <v>47</v>
      </c>
      <c r="O1484">
        <v>2</v>
      </c>
      <c r="P1484">
        <v>1</v>
      </c>
      <c r="Q1484">
        <v>2</v>
      </c>
      <c r="R1484" t="s">
        <v>48</v>
      </c>
      <c r="S1484" t="s">
        <v>49</v>
      </c>
      <c r="T1484" s="3">
        <v>0.84</v>
      </c>
      <c r="U1484" s="3">
        <v>0.23</v>
      </c>
      <c r="V1484" s="3">
        <v>1.81</v>
      </c>
      <c r="W1484">
        <v>0.69</v>
      </c>
      <c r="X1484" t="s">
        <v>108</v>
      </c>
      <c r="Y1484" s="3">
        <v>5.14</v>
      </c>
      <c r="Z1484" t="s">
        <v>9850</v>
      </c>
      <c r="AA1484" t="s">
        <v>9906</v>
      </c>
      <c r="AB1484" t="s">
        <v>53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f t="shared" si="46"/>
        <v>8.02</v>
      </c>
      <c r="AK1484" s="3">
        <f t="shared" si="47"/>
        <v>2.88</v>
      </c>
    </row>
    <row r="1485" spans="1:37">
      <c r="A1485">
        <v>10358801</v>
      </c>
      <c r="B1485" t="s">
        <v>37</v>
      </c>
      <c r="C1485" t="s">
        <v>9907</v>
      </c>
      <c r="E1485" t="s">
        <v>9908</v>
      </c>
      <c r="F1485" t="s">
        <v>9909</v>
      </c>
      <c r="G1485" t="s">
        <v>9910</v>
      </c>
      <c r="H1485" t="s">
        <v>42</v>
      </c>
      <c r="I1485" t="s">
        <v>9911</v>
      </c>
      <c r="J1485" t="s">
        <v>9912</v>
      </c>
      <c r="K1485">
        <v>22089</v>
      </c>
      <c r="L1485" t="s">
        <v>71</v>
      </c>
      <c r="M1485" t="s">
        <v>46</v>
      </c>
      <c r="N1485" t="s">
        <v>47</v>
      </c>
      <c r="O1485">
        <v>2</v>
      </c>
      <c r="P1485">
        <v>1</v>
      </c>
      <c r="Q1485">
        <v>2</v>
      </c>
      <c r="R1485" t="s">
        <v>48</v>
      </c>
      <c r="S1485" t="s">
        <v>49</v>
      </c>
      <c r="T1485" s="3">
        <v>0.84</v>
      </c>
      <c r="U1485" s="3">
        <v>0.23</v>
      </c>
      <c r="V1485" s="3">
        <v>1.81</v>
      </c>
      <c r="W1485">
        <v>0.78</v>
      </c>
      <c r="X1485" t="s">
        <v>108</v>
      </c>
      <c r="Y1485" s="3">
        <v>5.14</v>
      </c>
      <c r="Z1485" t="s">
        <v>9686</v>
      </c>
      <c r="AA1485" t="s">
        <v>9913</v>
      </c>
      <c r="AB1485" t="s">
        <v>53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f t="shared" si="46"/>
        <v>8.02</v>
      </c>
      <c r="AK1485" s="3">
        <f t="shared" si="47"/>
        <v>2.88</v>
      </c>
    </row>
    <row r="1486" spans="1:37">
      <c r="A1486">
        <v>10358800</v>
      </c>
      <c r="B1486" t="s">
        <v>37</v>
      </c>
      <c r="C1486" t="s">
        <v>9914</v>
      </c>
      <c r="E1486" t="s">
        <v>9915</v>
      </c>
      <c r="F1486" t="s">
        <v>9916</v>
      </c>
      <c r="G1486" t="s">
        <v>9917</v>
      </c>
      <c r="H1486" t="s">
        <v>42</v>
      </c>
      <c r="I1486" t="s">
        <v>9918</v>
      </c>
      <c r="J1486" t="s">
        <v>9919</v>
      </c>
      <c r="K1486" t="s">
        <v>9920</v>
      </c>
      <c r="L1486" t="s">
        <v>82</v>
      </c>
      <c r="M1486" t="s">
        <v>46</v>
      </c>
      <c r="N1486" t="s">
        <v>47</v>
      </c>
      <c r="O1486">
        <v>2</v>
      </c>
      <c r="P1486">
        <v>1</v>
      </c>
      <c r="Q1486">
        <v>2</v>
      </c>
      <c r="R1486" t="s">
        <v>48</v>
      </c>
      <c r="S1486" t="s">
        <v>49</v>
      </c>
      <c r="T1486" s="3">
        <v>0.84</v>
      </c>
      <c r="U1486" s="3">
        <v>0.23</v>
      </c>
      <c r="V1486" s="3">
        <v>1.81</v>
      </c>
      <c r="W1486">
        <v>0.78</v>
      </c>
      <c r="X1486" t="s">
        <v>50</v>
      </c>
      <c r="Y1486" s="3">
        <v>9.19</v>
      </c>
      <c r="Z1486" t="s">
        <v>9686</v>
      </c>
      <c r="AA1486" t="s">
        <v>5824</v>
      </c>
      <c r="AB1486" t="s">
        <v>53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f t="shared" si="46"/>
        <v>12.07</v>
      </c>
      <c r="AK1486" s="3">
        <f t="shared" si="47"/>
        <v>2.8800000000000008</v>
      </c>
    </row>
    <row r="1487" spans="1:37">
      <c r="A1487">
        <v>10358798</v>
      </c>
      <c r="B1487" t="s">
        <v>37</v>
      </c>
      <c r="C1487" t="s">
        <v>9921</v>
      </c>
      <c r="E1487" t="s">
        <v>9922</v>
      </c>
      <c r="F1487" t="s">
        <v>6818</v>
      </c>
      <c r="G1487" t="s">
        <v>9923</v>
      </c>
      <c r="H1487" t="s">
        <v>42</v>
      </c>
      <c r="I1487" t="s">
        <v>9924</v>
      </c>
      <c r="J1487" t="s">
        <v>9925</v>
      </c>
      <c r="K1487" t="s">
        <v>9926</v>
      </c>
      <c r="L1487" t="s">
        <v>142</v>
      </c>
      <c r="M1487" t="s">
        <v>46</v>
      </c>
      <c r="N1487" t="s">
        <v>47</v>
      </c>
      <c r="O1487">
        <v>1</v>
      </c>
      <c r="P1487">
        <v>1</v>
      </c>
      <c r="Q1487">
        <v>1</v>
      </c>
      <c r="R1487" t="s">
        <v>48</v>
      </c>
      <c r="S1487" t="s">
        <v>49</v>
      </c>
      <c r="T1487" s="3">
        <v>0.84</v>
      </c>
      <c r="U1487" s="3">
        <v>0.23</v>
      </c>
      <c r="V1487" s="3">
        <v>0.94</v>
      </c>
      <c r="W1487">
        <v>0.1</v>
      </c>
      <c r="X1487" t="s">
        <v>50</v>
      </c>
      <c r="Y1487" s="3">
        <v>16.43</v>
      </c>
      <c r="Z1487" t="s">
        <v>9850</v>
      </c>
      <c r="AA1487" t="s">
        <v>4410</v>
      </c>
      <c r="AB1487" t="s">
        <v>53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f t="shared" si="46"/>
        <v>18.440000000000001</v>
      </c>
      <c r="AK1487" s="3">
        <f t="shared" si="47"/>
        <v>2.0100000000000016</v>
      </c>
    </row>
    <row r="1488" spans="1:37">
      <c r="A1488">
        <v>10358799</v>
      </c>
      <c r="B1488" t="s">
        <v>37</v>
      </c>
      <c r="C1488" t="s">
        <v>9927</v>
      </c>
      <c r="E1488" t="s">
        <v>9928</v>
      </c>
      <c r="F1488" t="s">
        <v>9929</v>
      </c>
      <c r="G1488" t="s">
        <v>9930</v>
      </c>
      <c r="H1488" t="s">
        <v>42</v>
      </c>
      <c r="I1488" t="s">
        <v>9931</v>
      </c>
      <c r="J1488" t="s">
        <v>9932</v>
      </c>
      <c r="K1488">
        <v>3550</v>
      </c>
      <c r="L1488" t="s">
        <v>505</v>
      </c>
      <c r="M1488" t="s">
        <v>46</v>
      </c>
      <c r="N1488" t="s">
        <v>47</v>
      </c>
      <c r="O1488">
        <v>4</v>
      </c>
      <c r="P1488">
        <v>1</v>
      </c>
      <c r="Q1488">
        <v>4</v>
      </c>
      <c r="R1488" t="s">
        <v>48</v>
      </c>
      <c r="S1488" t="s">
        <v>49</v>
      </c>
      <c r="T1488" s="3">
        <v>0.84</v>
      </c>
      <c r="U1488" s="3">
        <v>0.23</v>
      </c>
      <c r="V1488" s="3">
        <v>3.55</v>
      </c>
      <c r="W1488">
        <v>1.96</v>
      </c>
      <c r="X1488" t="s">
        <v>50</v>
      </c>
      <c r="Y1488" s="3">
        <v>9.19</v>
      </c>
      <c r="Z1488" t="s">
        <v>9686</v>
      </c>
      <c r="AA1488" t="s">
        <v>327</v>
      </c>
      <c r="AB1488" t="s">
        <v>53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f t="shared" si="46"/>
        <v>13.809999999999999</v>
      </c>
      <c r="AK1488" s="3">
        <f t="shared" si="47"/>
        <v>4.6199999999999992</v>
      </c>
    </row>
    <row r="1489" spans="1:37">
      <c r="A1489">
        <v>10361218</v>
      </c>
      <c r="B1489" t="s">
        <v>37</v>
      </c>
      <c r="C1489" t="s">
        <v>9933</v>
      </c>
      <c r="E1489" t="s">
        <v>9934</v>
      </c>
      <c r="F1489" t="s">
        <v>9062</v>
      </c>
      <c r="G1489" t="s">
        <v>9935</v>
      </c>
      <c r="H1489" t="s">
        <v>42</v>
      </c>
      <c r="I1489" t="s">
        <v>9936</v>
      </c>
      <c r="J1489" t="s">
        <v>9937</v>
      </c>
      <c r="K1489">
        <v>22359</v>
      </c>
      <c r="L1489" t="s">
        <v>71</v>
      </c>
      <c r="M1489" t="s">
        <v>46</v>
      </c>
      <c r="N1489" t="s">
        <v>47</v>
      </c>
      <c r="O1489">
        <v>4</v>
      </c>
      <c r="P1489">
        <v>1</v>
      </c>
      <c r="Q1489">
        <v>4</v>
      </c>
      <c r="R1489" t="s">
        <v>48</v>
      </c>
      <c r="S1489" t="s">
        <v>49</v>
      </c>
      <c r="T1489" s="3">
        <v>0.84</v>
      </c>
      <c r="U1489" s="3">
        <v>0.23</v>
      </c>
      <c r="V1489" s="3">
        <v>3.55</v>
      </c>
      <c r="W1489">
        <v>3.08</v>
      </c>
      <c r="X1489" t="s">
        <v>72</v>
      </c>
      <c r="Y1489" s="3">
        <v>6.61</v>
      </c>
      <c r="Z1489" t="s">
        <v>83</v>
      </c>
      <c r="AA1489" t="s">
        <v>9938</v>
      </c>
      <c r="AB1489" t="s">
        <v>53</v>
      </c>
      <c r="AC1489" s="3">
        <v>1.27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f t="shared" si="46"/>
        <v>12.5</v>
      </c>
      <c r="AK1489" s="3">
        <f t="shared" si="47"/>
        <v>5.89</v>
      </c>
    </row>
    <row r="1490" spans="1:37">
      <c r="A1490">
        <v>10360284</v>
      </c>
      <c r="B1490" t="s">
        <v>37</v>
      </c>
      <c r="C1490" t="s">
        <v>9939</v>
      </c>
      <c r="E1490" t="s">
        <v>6322</v>
      </c>
      <c r="F1490" t="s">
        <v>6323</v>
      </c>
      <c r="G1490" t="s">
        <v>9940</v>
      </c>
      <c r="H1490" t="s">
        <v>42</v>
      </c>
      <c r="I1490" t="s">
        <v>9941</v>
      </c>
      <c r="J1490" t="s">
        <v>6326</v>
      </c>
      <c r="K1490">
        <v>1651</v>
      </c>
      <c r="L1490" t="s">
        <v>505</v>
      </c>
      <c r="M1490" t="s">
        <v>46</v>
      </c>
      <c r="N1490" t="s">
        <v>47</v>
      </c>
      <c r="O1490">
        <v>2</v>
      </c>
      <c r="P1490">
        <v>1</v>
      </c>
      <c r="Q1490">
        <v>2</v>
      </c>
      <c r="R1490" t="s">
        <v>48</v>
      </c>
      <c r="S1490" t="s">
        <v>49</v>
      </c>
      <c r="T1490" s="3">
        <v>0.84</v>
      </c>
      <c r="U1490" s="3">
        <v>0.23</v>
      </c>
      <c r="V1490" s="3">
        <v>1.81</v>
      </c>
      <c r="W1490">
        <v>2.9</v>
      </c>
      <c r="X1490" t="s">
        <v>50</v>
      </c>
      <c r="Y1490" s="3">
        <v>9.19</v>
      </c>
      <c r="Z1490" t="s">
        <v>83</v>
      </c>
      <c r="AA1490" t="s">
        <v>259</v>
      </c>
      <c r="AB1490" t="s">
        <v>53</v>
      </c>
      <c r="AC1490" s="3">
        <v>1.27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f t="shared" si="46"/>
        <v>13.34</v>
      </c>
      <c r="AK1490" s="3">
        <f t="shared" si="47"/>
        <v>4.1500000000000004</v>
      </c>
    </row>
    <row r="1491" spans="1:37">
      <c r="A1491">
        <v>10361217</v>
      </c>
      <c r="B1491" t="s">
        <v>37</v>
      </c>
      <c r="C1491" t="s">
        <v>9942</v>
      </c>
      <c r="D1491" t="s">
        <v>9943</v>
      </c>
      <c r="E1491" t="s">
        <v>9944</v>
      </c>
      <c r="F1491" t="s">
        <v>6869</v>
      </c>
      <c r="G1491" t="s">
        <v>9945</v>
      </c>
      <c r="H1491" t="s">
        <v>42</v>
      </c>
      <c r="I1491" t="s">
        <v>9946</v>
      </c>
      <c r="J1491" t="s">
        <v>9947</v>
      </c>
      <c r="K1491">
        <v>6018</v>
      </c>
      <c r="L1491" t="s">
        <v>1701</v>
      </c>
      <c r="M1491" t="s">
        <v>46</v>
      </c>
      <c r="N1491" t="s">
        <v>47</v>
      </c>
      <c r="O1491">
        <v>4</v>
      </c>
      <c r="P1491">
        <v>1</v>
      </c>
      <c r="Q1491">
        <v>4</v>
      </c>
      <c r="R1491" t="s">
        <v>48</v>
      </c>
      <c r="S1491" t="s">
        <v>49</v>
      </c>
      <c r="T1491" s="3">
        <v>0.84</v>
      </c>
      <c r="U1491" s="3">
        <v>0.23</v>
      </c>
      <c r="V1491" s="3">
        <v>3.55</v>
      </c>
      <c r="W1491">
        <v>1.56</v>
      </c>
      <c r="X1491" t="s">
        <v>1702</v>
      </c>
      <c r="Y1491" s="3">
        <v>25.79</v>
      </c>
      <c r="Z1491" t="s">
        <v>9686</v>
      </c>
      <c r="AA1491" t="s">
        <v>9948</v>
      </c>
      <c r="AB1491" t="s">
        <v>53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f t="shared" si="46"/>
        <v>30.41</v>
      </c>
      <c r="AK1491" s="3">
        <f t="shared" si="47"/>
        <v>4.620000000000001</v>
      </c>
    </row>
    <row r="1492" spans="1:37">
      <c r="A1492">
        <v>10361219</v>
      </c>
      <c r="B1492" t="s">
        <v>37</v>
      </c>
      <c r="C1492" t="s">
        <v>9949</v>
      </c>
      <c r="E1492" t="s">
        <v>9950</v>
      </c>
      <c r="F1492" t="s">
        <v>9951</v>
      </c>
      <c r="G1492" t="s">
        <v>9952</v>
      </c>
      <c r="H1492" t="s">
        <v>42</v>
      </c>
      <c r="I1492" t="s">
        <v>9953</v>
      </c>
      <c r="J1492" t="s">
        <v>9954</v>
      </c>
      <c r="K1492" t="s">
        <v>9955</v>
      </c>
      <c r="L1492" t="s">
        <v>142</v>
      </c>
      <c r="M1492" t="s">
        <v>46</v>
      </c>
      <c r="N1492" t="s">
        <v>47</v>
      </c>
      <c r="O1492">
        <v>7</v>
      </c>
      <c r="P1492">
        <v>1</v>
      </c>
      <c r="Q1492">
        <v>7</v>
      </c>
      <c r="R1492" t="s">
        <v>48</v>
      </c>
      <c r="S1492" t="s">
        <v>49</v>
      </c>
      <c r="T1492" s="3">
        <v>0.84</v>
      </c>
      <c r="U1492" s="3">
        <v>0.23</v>
      </c>
      <c r="V1492" s="3">
        <v>6.16</v>
      </c>
      <c r="W1492">
        <v>3.54</v>
      </c>
      <c r="X1492" t="s">
        <v>50</v>
      </c>
      <c r="Y1492" s="3">
        <v>16.43</v>
      </c>
      <c r="Z1492" t="s">
        <v>83</v>
      </c>
      <c r="AA1492" t="s">
        <v>9956</v>
      </c>
      <c r="AB1492" t="s">
        <v>53</v>
      </c>
      <c r="AC1492" s="3">
        <v>1.27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f t="shared" si="46"/>
        <v>24.93</v>
      </c>
      <c r="AK1492" s="3">
        <f t="shared" si="47"/>
        <v>8.5</v>
      </c>
    </row>
    <row r="1493" spans="1:37">
      <c r="A1493">
        <v>10359723</v>
      </c>
      <c r="B1493" t="s">
        <v>37</v>
      </c>
      <c r="C1493" t="s">
        <v>9957</v>
      </c>
      <c r="E1493" t="s">
        <v>2853</v>
      </c>
      <c r="F1493" t="s">
        <v>9958</v>
      </c>
      <c r="G1493" t="s">
        <v>9959</v>
      </c>
      <c r="H1493" t="s">
        <v>42</v>
      </c>
      <c r="I1493" t="s">
        <v>9960</v>
      </c>
      <c r="J1493" t="s">
        <v>9961</v>
      </c>
      <c r="K1493">
        <v>90429</v>
      </c>
      <c r="L1493" t="s">
        <v>71</v>
      </c>
      <c r="M1493" t="s">
        <v>46</v>
      </c>
      <c r="N1493" t="s">
        <v>47</v>
      </c>
      <c r="O1493">
        <v>1</v>
      </c>
      <c r="P1493">
        <v>1</v>
      </c>
      <c r="Q1493">
        <v>1</v>
      </c>
      <c r="R1493" t="s">
        <v>48</v>
      </c>
      <c r="S1493" t="s">
        <v>49</v>
      </c>
      <c r="T1493" s="3">
        <v>0.84</v>
      </c>
      <c r="U1493" s="3">
        <v>0.23</v>
      </c>
      <c r="V1493" s="3">
        <v>0.94</v>
      </c>
      <c r="W1493">
        <v>0.6</v>
      </c>
      <c r="X1493" t="s">
        <v>108</v>
      </c>
      <c r="Y1493" s="3">
        <v>5.44</v>
      </c>
      <c r="Z1493" t="s">
        <v>9686</v>
      </c>
      <c r="AA1493" t="s">
        <v>9962</v>
      </c>
      <c r="AB1493" t="s">
        <v>53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f t="shared" si="46"/>
        <v>7.4500000000000011</v>
      </c>
      <c r="AK1493" s="3">
        <f t="shared" si="47"/>
        <v>2.0100000000000007</v>
      </c>
    </row>
    <row r="1494" spans="1:37">
      <c r="A1494">
        <v>10361370</v>
      </c>
      <c r="B1494" t="s">
        <v>37</v>
      </c>
      <c r="C1494" t="s">
        <v>9963</v>
      </c>
      <c r="E1494" t="s">
        <v>9964</v>
      </c>
      <c r="F1494" t="s">
        <v>9965</v>
      </c>
      <c r="G1494" t="s">
        <v>9966</v>
      </c>
      <c r="H1494" t="s">
        <v>42</v>
      </c>
      <c r="I1494" t="s">
        <v>9967</v>
      </c>
      <c r="J1494" t="s">
        <v>9968</v>
      </c>
      <c r="K1494">
        <v>8111</v>
      </c>
      <c r="L1494" t="s">
        <v>369</v>
      </c>
      <c r="M1494" t="s">
        <v>46</v>
      </c>
      <c r="N1494" t="s">
        <v>47</v>
      </c>
      <c r="O1494">
        <v>4</v>
      </c>
      <c r="P1494">
        <v>1</v>
      </c>
      <c r="Q1494">
        <v>4</v>
      </c>
      <c r="R1494" t="s">
        <v>48</v>
      </c>
      <c r="S1494" t="s">
        <v>49</v>
      </c>
      <c r="T1494" s="3">
        <v>0.84</v>
      </c>
      <c r="U1494" s="3">
        <v>0.23</v>
      </c>
      <c r="V1494" s="3">
        <v>3.55</v>
      </c>
      <c r="W1494">
        <v>1.43</v>
      </c>
      <c r="X1494" t="s">
        <v>50</v>
      </c>
      <c r="Y1494" s="3">
        <v>9.19</v>
      </c>
      <c r="Z1494" t="s">
        <v>9686</v>
      </c>
      <c r="AA1494" t="s">
        <v>9969</v>
      </c>
      <c r="AB1494" t="s">
        <v>53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f t="shared" si="46"/>
        <v>13.809999999999999</v>
      </c>
      <c r="AK1494" s="3">
        <f t="shared" si="47"/>
        <v>4.6199999999999992</v>
      </c>
    </row>
    <row r="1495" spans="1:37">
      <c r="A1495">
        <v>10361578</v>
      </c>
      <c r="B1495" t="s">
        <v>37</v>
      </c>
      <c r="C1495" t="s">
        <v>9970</v>
      </c>
      <c r="E1495" t="s">
        <v>9971</v>
      </c>
      <c r="F1495" t="s">
        <v>9972</v>
      </c>
      <c r="G1495" t="s">
        <v>9973</v>
      </c>
      <c r="H1495" t="s">
        <v>42</v>
      </c>
      <c r="I1495" t="s">
        <v>9974</v>
      </c>
      <c r="J1495" t="s">
        <v>9975</v>
      </c>
      <c r="K1495" t="s">
        <v>9976</v>
      </c>
      <c r="L1495" t="s">
        <v>142</v>
      </c>
      <c r="M1495" t="s">
        <v>46</v>
      </c>
      <c r="N1495" t="s">
        <v>47</v>
      </c>
      <c r="O1495">
        <v>4</v>
      </c>
      <c r="P1495">
        <v>1</v>
      </c>
      <c r="Q1495">
        <v>4</v>
      </c>
      <c r="R1495" t="s">
        <v>48</v>
      </c>
      <c r="S1495" t="s">
        <v>49</v>
      </c>
      <c r="T1495" s="3">
        <v>0.84</v>
      </c>
      <c r="U1495" s="3">
        <v>0.23</v>
      </c>
      <c r="V1495" s="3">
        <v>3.55</v>
      </c>
      <c r="W1495">
        <v>1.56</v>
      </c>
      <c r="X1495" t="s">
        <v>50</v>
      </c>
      <c r="Y1495" s="3">
        <v>16.43</v>
      </c>
      <c r="Z1495" t="s">
        <v>9686</v>
      </c>
      <c r="AA1495" t="s">
        <v>459</v>
      </c>
      <c r="AB1495" t="s">
        <v>53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f t="shared" si="46"/>
        <v>21.05</v>
      </c>
      <c r="AK1495" s="3">
        <f t="shared" si="47"/>
        <v>4.620000000000001</v>
      </c>
    </row>
    <row r="1496" spans="1:37">
      <c r="A1496">
        <v>10359450</v>
      </c>
      <c r="B1496" t="s">
        <v>37</v>
      </c>
      <c r="C1496" t="s">
        <v>9977</v>
      </c>
      <c r="E1496" t="s">
        <v>9978</v>
      </c>
      <c r="F1496" t="s">
        <v>9979</v>
      </c>
      <c r="G1496" t="s">
        <v>9980</v>
      </c>
      <c r="H1496" t="s">
        <v>42</v>
      </c>
      <c r="I1496" t="s">
        <v>9981</v>
      </c>
      <c r="J1496" t="s">
        <v>9982</v>
      </c>
      <c r="K1496">
        <v>81669</v>
      </c>
      <c r="L1496" t="s">
        <v>71</v>
      </c>
      <c r="M1496" t="s">
        <v>46</v>
      </c>
      <c r="N1496" t="s">
        <v>47</v>
      </c>
      <c r="O1496">
        <v>1</v>
      </c>
      <c r="P1496">
        <v>1</v>
      </c>
      <c r="Q1496">
        <v>1</v>
      </c>
      <c r="R1496" t="s">
        <v>48</v>
      </c>
      <c r="S1496" t="s">
        <v>49</v>
      </c>
      <c r="T1496" s="3">
        <v>0.84</v>
      </c>
      <c r="U1496" s="3">
        <v>0.23</v>
      </c>
      <c r="V1496" s="3">
        <v>0.94</v>
      </c>
      <c r="W1496">
        <v>1.4</v>
      </c>
      <c r="X1496" t="s">
        <v>108</v>
      </c>
      <c r="Y1496" s="3">
        <v>5.44</v>
      </c>
      <c r="Z1496" t="s">
        <v>9686</v>
      </c>
      <c r="AA1496" t="s">
        <v>259</v>
      </c>
      <c r="AB1496" t="s">
        <v>53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f t="shared" si="46"/>
        <v>7.4500000000000011</v>
      </c>
      <c r="AK1496" s="3">
        <f t="shared" si="47"/>
        <v>2.0100000000000007</v>
      </c>
    </row>
    <row r="1497" spans="1:37">
      <c r="A1497">
        <v>10360491</v>
      </c>
      <c r="B1497" t="s">
        <v>37</v>
      </c>
      <c r="C1497" t="s">
        <v>9983</v>
      </c>
      <c r="E1497" t="s">
        <v>1336</v>
      </c>
      <c r="F1497" t="s">
        <v>9984</v>
      </c>
      <c r="G1497" t="s">
        <v>9985</v>
      </c>
      <c r="H1497" t="s">
        <v>42</v>
      </c>
      <c r="I1497" t="s">
        <v>9986</v>
      </c>
      <c r="J1497" t="s">
        <v>9987</v>
      </c>
      <c r="K1497">
        <v>76287</v>
      </c>
      <c r="L1497" t="s">
        <v>71</v>
      </c>
      <c r="M1497" t="s">
        <v>46</v>
      </c>
      <c r="N1497" t="s">
        <v>47</v>
      </c>
      <c r="O1497">
        <v>1</v>
      </c>
      <c r="P1497">
        <v>1</v>
      </c>
      <c r="Q1497">
        <v>1</v>
      </c>
      <c r="R1497" t="s">
        <v>48</v>
      </c>
      <c r="S1497" t="s">
        <v>49</v>
      </c>
      <c r="T1497" s="3">
        <v>0.84</v>
      </c>
      <c r="U1497" s="3">
        <v>0.23</v>
      </c>
      <c r="V1497" s="3">
        <v>0.94</v>
      </c>
      <c r="W1497">
        <v>1.4</v>
      </c>
      <c r="X1497" t="s">
        <v>108</v>
      </c>
      <c r="Y1497" s="3">
        <v>5.44</v>
      </c>
      <c r="Z1497" t="s">
        <v>9686</v>
      </c>
      <c r="AA1497" t="s">
        <v>8493</v>
      </c>
      <c r="AB1497" t="s">
        <v>53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f t="shared" si="46"/>
        <v>7.4500000000000011</v>
      </c>
      <c r="AK1497" s="3">
        <f t="shared" si="47"/>
        <v>2.0100000000000007</v>
      </c>
    </row>
    <row r="1498" spans="1:37">
      <c r="A1498">
        <v>10360809</v>
      </c>
      <c r="B1498" t="s">
        <v>37</v>
      </c>
      <c r="C1498" t="s">
        <v>9988</v>
      </c>
      <c r="E1498" t="s">
        <v>3574</v>
      </c>
      <c r="F1498" t="s">
        <v>9107</v>
      </c>
      <c r="G1498" t="s">
        <v>9989</v>
      </c>
      <c r="H1498" t="s">
        <v>42</v>
      </c>
      <c r="I1498" t="s">
        <v>9990</v>
      </c>
      <c r="J1498" t="s">
        <v>9991</v>
      </c>
      <c r="K1498" t="s">
        <v>9111</v>
      </c>
      <c r="L1498" t="s">
        <v>229</v>
      </c>
      <c r="M1498" t="s">
        <v>46</v>
      </c>
      <c r="N1498" t="s">
        <v>47</v>
      </c>
      <c r="O1498">
        <v>1</v>
      </c>
      <c r="P1498">
        <v>1</v>
      </c>
      <c r="Q1498">
        <v>1</v>
      </c>
      <c r="R1498" t="s">
        <v>48</v>
      </c>
      <c r="S1498" t="s">
        <v>49</v>
      </c>
      <c r="T1498" s="3">
        <v>0.84</v>
      </c>
      <c r="U1498" s="3">
        <v>0.23</v>
      </c>
      <c r="V1498" s="3">
        <v>0.94</v>
      </c>
      <c r="W1498">
        <v>1.02</v>
      </c>
      <c r="X1498" t="s">
        <v>50</v>
      </c>
      <c r="Y1498" s="3">
        <v>12.09</v>
      </c>
      <c r="Z1498" t="s">
        <v>9686</v>
      </c>
      <c r="AA1498" t="s">
        <v>9992</v>
      </c>
      <c r="AB1498" t="s">
        <v>53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f t="shared" si="46"/>
        <v>14.1</v>
      </c>
      <c r="AK1498" s="3">
        <f t="shared" si="47"/>
        <v>2.0099999999999998</v>
      </c>
    </row>
    <row r="1499" spans="1:37">
      <c r="A1499">
        <v>10360808</v>
      </c>
      <c r="B1499" t="s">
        <v>37</v>
      </c>
      <c r="C1499" t="s">
        <v>9993</v>
      </c>
      <c r="D1499" t="s">
        <v>9994</v>
      </c>
      <c r="E1499" t="s">
        <v>9995</v>
      </c>
      <c r="F1499" t="s">
        <v>9996</v>
      </c>
      <c r="G1499" t="s">
        <v>9997</v>
      </c>
      <c r="H1499" t="s">
        <v>42</v>
      </c>
      <c r="I1499" t="s">
        <v>9998</v>
      </c>
      <c r="J1499" t="s">
        <v>9999</v>
      </c>
      <c r="K1499">
        <v>72760</v>
      </c>
      <c r="L1499" t="s">
        <v>71</v>
      </c>
      <c r="M1499" t="s">
        <v>46</v>
      </c>
      <c r="N1499" t="s">
        <v>47</v>
      </c>
      <c r="O1499">
        <v>1</v>
      </c>
      <c r="P1499">
        <v>1</v>
      </c>
      <c r="Q1499">
        <v>1</v>
      </c>
      <c r="R1499" t="s">
        <v>48</v>
      </c>
      <c r="S1499" t="s">
        <v>49</v>
      </c>
      <c r="T1499" s="3">
        <v>0.84</v>
      </c>
      <c r="U1499" s="3">
        <v>0.23</v>
      </c>
      <c r="V1499" s="3">
        <v>0.94</v>
      </c>
      <c r="W1499">
        <v>0.39</v>
      </c>
      <c r="X1499" t="s">
        <v>108</v>
      </c>
      <c r="Y1499" s="3">
        <v>5.14</v>
      </c>
      <c r="Z1499" t="s">
        <v>9850</v>
      </c>
      <c r="AA1499" t="s">
        <v>1802</v>
      </c>
      <c r="AB1499" t="s">
        <v>53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f t="shared" si="46"/>
        <v>7.15</v>
      </c>
      <c r="AK1499" s="3">
        <f t="shared" si="47"/>
        <v>2.0100000000000007</v>
      </c>
    </row>
    <row r="1500" spans="1:37">
      <c r="A1500">
        <v>10359209</v>
      </c>
      <c r="B1500" t="s">
        <v>37</v>
      </c>
      <c r="C1500" t="s">
        <v>10000</v>
      </c>
      <c r="E1500" t="s">
        <v>1292</v>
      </c>
      <c r="F1500" t="s">
        <v>6169</v>
      </c>
      <c r="G1500" t="s">
        <v>10001</v>
      </c>
      <c r="H1500" t="s">
        <v>42</v>
      </c>
      <c r="I1500" t="s">
        <v>10002</v>
      </c>
      <c r="J1500" t="s">
        <v>6172</v>
      </c>
      <c r="K1500">
        <v>4563</v>
      </c>
      <c r="L1500" t="s">
        <v>618</v>
      </c>
      <c r="M1500" t="s">
        <v>46</v>
      </c>
      <c r="N1500" t="s">
        <v>47</v>
      </c>
      <c r="O1500">
        <v>1</v>
      </c>
      <c r="P1500">
        <v>1</v>
      </c>
      <c r="Q1500">
        <v>1</v>
      </c>
      <c r="R1500" t="s">
        <v>48</v>
      </c>
      <c r="S1500" t="s">
        <v>49</v>
      </c>
      <c r="T1500" s="3">
        <v>0.84</v>
      </c>
      <c r="U1500" s="3">
        <v>0.23</v>
      </c>
      <c r="V1500" s="3">
        <v>0.94</v>
      </c>
      <c r="W1500">
        <v>0.49</v>
      </c>
      <c r="X1500" t="s">
        <v>50</v>
      </c>
      <c r="Y1500" s="3">
        <v>9.19</v>
      </c>
      <c r="Z1500" t="s">
        <v>9850</v>
      </c>
      <c r="AA1500" t="s">
        <v>2718</v>
      </c>
      <c r="AB1500" t="s">
        <v>53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f t="shared" si="46"/>
        <v>11.2</v>
      </c>
      <c r="AK1500" s="3">
        <f t="shared" si="47"/>
        <v>2.0099999999999998</v>
      </c>
    </row>
    <row r="1501" spans="1:37">
      <c r="A1501">
        <v>10359443</v>
      </c>
      <c r="B1501" t="s">
        <v>37</v>
      </c>
      <c r="C1501" t="s">
        <v>10003</v>
      </c>
      <c r="E1501" t="s">
        <v>10004</v>
      </c>
      <c r="F1501" t="s">
        <v>10005</v>
      </c>
      <c r="G1501" t="s">
        <v>10006</v>
      </c>
      <c r="H1501" t="s">
        <v>42</v>
      </c>
      <c r="I1501" t="s">
        <v>10007</v>
      </c>
      <c r="J1501" t="s">
        <v>10008</v>
      </c>
      <c r="K1501" t="s">
        <v>10009</v>
      </c>
      <c r="L1501" t="s">
        <v>82</v>
      </c>
      <c r="M1501" t="s">
        <v>46</v>
      </c>
      <c r="N1501" t="s">
        <v>47</v>
      </c>
      <c r="O1501">
        <v>1</v>
      </c>
      <c r="P1501">
        <v>1</v>
      </c>
      <c r="Q1501">
        <v>1</v>
      </c>
      <c r="R1501" t="s">
        <v>48</v>
      </c>
      <c r="S1501" t="s">
        <v>49</v>
      </c>
      <c r="T1501" s="3">
        <v>0.84</v>
      </c>
      <c r="U1501" s="3">
        <v>0.23</v>
      </c>
      <c r="V1501" s="3">
        <v>0.94</v>
      </c>
      <c r="W1501">
        <v>0.49</v>
      </c>
      <c r="X1501" t="s">
        <v>50</v>
      </c>
      <c r="Y1501" s="3">
        <v>9.19</v>
      </c>
      <c r="Z1501" t="s">
        <v>9850</v>
      </c>
      <c r="AA1501" t="s">
        <v>1652</v>
      </c>
      <c r="AB1501" t="s">
        <v>53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f t="shared" si="46"/>
        <v>11.2</v>
      </c>
      <c r="AK1501" s="3">
        <f t="shared" si="47"/>
        <v>2.0099999999999998</v>
      </c>
    </row>
    <row r="1502" spans="1:37">
      <c r="A1502">
        <v>10361220</v>
      </c>
      <c r="B1502" t="s">
        <v>37</v>
      </c>
      <c r="C1502" t="s">
        <v>10010</v>
      </c>
      <c r="E1502" t="s">
        <v>3504</v>
      </c>
      <c r="F1502" t="s">
        <v>2606</v>
      </c>
      <c r="G1502" t="s">
        <v>10011</v>
      </c>
      <c r="H1502" t="s">
        <v>42</v>
      </c>
      <c r="I1502" t="s">
        <v>10012</v>
      </c>
      <c r="J1502" t="s">
        <v>10013</v>
      </c>
      <c r="K1502" t="s">
        <v>10014</v>
      </c>
      <c r="L1502" t="s">
        <v>142</v>
      </c>
      <c r="M1502" t="s">
        <v>46</v>
      </c>
      <c r="N1502" t="s">
        <v>47</v>
      </c>
      <c r="O1502">
        <v>1</v>
      </c>
      <c r="P1502">
        <v>1</v>
      </c>
      <c r="Q1502">
        <v>1</v>
      </c>
      <c r="R1502" t="s">
        <v>48</v>
      </c>
      <c r="S1502" t="s">
        <v>49</v>
      </c>
      <c r="T1502" s="3">
        <v>0.84</v>
      </c>
      <c r="U1502" s="3">
        <v>0.23</v>
      </c>
      <c r="V1502" s="3">
        <v>0.94</v>
      </c>
      <c r="W1502">
        <v>2</v>
      </c>
      <c r="X1502" t="s">
        <v>50</v>
      </c>
      <c r="Y1502" s="3">
        <v>16.43</v>
      </c>
      <c r="Z1502" t="s">
        <v>9686</v>
      </c>
      <c r="AA1502" t="s">
        <v>4162</v>
      </c>
      <c r="AB1502" t="s">
        <v>53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f t="shared" si="46"/>
        <v>18.440000000000001</v>
      </c>
      <c r="AK1502" s="3">
        <f t="shared" si="47"/>
        <v>2.0100000000000016</v>
      </c>
    </row>
    <row r="1503" spans="1:37">
      <c r="A1503">
        <v>10359208</v>
      </c>
      <c r="B1503" t="s">
        <v>37</v>
      </c>
      <c r="C1503" t="s">
        <v>10015</v>
      </c>
      <c r="E1503" t="s">
        <v>10016</v>
      </c>
      <c r="F1503" t="s">
        <v>10017</v>
      </c>
      <c r="G1503" t="s">
        <v>10018</v>
      </c>
      <c r="H1503" t="s">
        <v>42</v>
      </c>
      <c r="I1503" t="s">
        <v>10019</v>
      </c>
      <c r="J1503" t="s">
        <v>10020</v>
      </c>
      <c r="K1503">
        <v>10024</v>
      </c>
      <c r="L1503" t="s">
        <v>283</v>
      </c>
      <c r="M1503" t="s">
        <v>46</v>
      </c>
      <c r="N1503" t="s">
        <v>47</v>
      </c>
      <c r="O1503">
        <v>1</v>
      </c>
      <c r="P1503">
        <v>1</v>
      </c>
      <c r="Q1503">
        <v>1</v>
      </c>
      <c r="R1503" t="s">
        <v>48</v>
      </c>
      <c r="S1503" t="s">
        <v>49</v>
      </c>
      <c r="T1503" s="3">
        <v>0.84</v>
      </c>
      <c r="U1503" s="3">
        <v>0.23</v>
      </c>
      <c r="V1503" s="3">
        <v>0.94</v>
      </c>
      <c r="W1503">
        <v>0.39</v>
      </c>
      <c r="X1503" t="s">
        <v>50</v>
      </c>
      <c r="Y1503" s="3">
        <v>14.98</v>
      </c>
      <c r="Z1503" t="s">
        <v>9850</v>
      </c>
      <c r="AA1503" t="s">
        <v>1364</v>
      </c>
      <c r="AB1503" t="s">
        <v>53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f t="shared" si="46"/>
        <v>16.989999999999998</v>
      </c>
      <c r="AK1503" s="3">
        <f t="shared" si="47"/>
        <v>2.009999999999998</v>
      </c>
    </row>
    <row r="1504" spans="1:37">
      <c r="A1504">
        <v>10360485</v>
      </c>
      <c r="B1504" t="s">
        <v>37</v>
      </c>
      <c r="C1504" t="s">
        <v>10021</v>
      </c>
      <c r="E1504" t="s">
        <v>4273</v>
      </c>
      <c r="F1504" t="s">
        <v>2527</v>
      </c>
      <c r="G1504" t="s">
        <v>10022</v>
      </c>
      <c r="H1504" t="s">
        <v>42</v>
      </c>
      <c r="I1504" t="s">
        <v>10023</v>
      </c>
      <c r="J1504" t="s">
        <v>10024</v>
      </c>
      <c r="K1504" t="s">
        <v>10025</v>
      </c>
      <c r="L1504" t="s">
        <v>142</v>
      </c>
      <c r="M1504" t="s">
        <v>46</v>
      </c>
      <c r="N1504" t="s">
        <v>47</v>
      </c>
      <c r="O1504">
        <v>1</v>
      </c>
      <c r="P1504">
        <v>1</v>
      </c>
      <c r="Q1504">
        <v>1</v>
      </c>
      <c r="R1504" t="s">
        <v>48</v>
      </c>
      <c r="S1504" t="s">
        <v>49</v>
      </c>
      <c r="T1504" s="3">
        <v>0.84</v>
      </c>
      <c r="U1504" s="3">
        <v>0.23</v>
      </c>
      <c r="V1504" s="3">
        <v>0.94</v>
      </c>
      <c r="W1504">
        <v>2.5</v>
      </c>
      <c r="X1504" t="s">
        <v>50</v>
      </c>
      <c r="Y1504" s="3">
        <v>16.43</v>
      </c>
      <c r="Z1504" t="s">
        <v>73</v>
      </c>
      <c r="AA1504" t="s">
        <v>821</v>
      </c>
      <c r="AB1504" t="s">
        <v>53</v>
      </c>
      <c r="AC1504" s="3">
        <v>1.29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f t="shared" si="46"/>
        <v>19.73</v>
      </c>
      <c r="AK1504" s="3">
        <f t="shared" si="47"/>
        <v>3.3000000000000007</v>
      </c>
    </row>
    <row r="1505" spans="1:37">
      <c r="A1505">
        <v>10360811</v>
      </c>
      <c r="B1505" t="s">
        <v>37</v>
      </c>
      <c r="C1505" t="s">
        <v>10026</v>
      </c>
      <c r="E1505" t="s">
        <v>10027</v>
      </c>
      <c r="F1505" t="s">
        <v>10028</v>
      </c>
      <c r="G1505" t="s">
        <v>10029</v>
      </c>
      <c r="H1505" t="s">
        <v>42</v>
      </c>
      <c r="I1505" t="s">
        <v>10030</v>
      </c>
      <c r="J1505" t="s">
        <v>10031</v>
      </c>
      <c r="K1505">
        <v>1040</v>
      </c>
      <c r="L1505" t="s">
        <v>505</v>
      </c>
      <c r="M1505" t="s">
        <v>46</v>
      </c>
      <c r="N1505" t="s">
        <v>47</v>
      </c>
      <c r="O1505">
        <v>1</v>
      </c>
      <c r="P1505">
        <v>1</v>
      </c>
      <c r="Q1505">
        <v>1</v>
      </c>
      <c r="R1505" t="s">
        <v>48</v>
      </c>
      <c r="S1505" t="s">
        <v>49</v>
      </c>
      <c r="T1505" s="3">
        <v>0.84</v>
      </c>
      <c r="U1505" s="3">
        <v>0.23</v>
      </c>
      <c r="V1505" s="3">
        <v>0.94</v>
      </c>
      <c r="W1505">
        <v>0.39</v>
      </c>
      <c r="X1505" t="s">
        <v>50</v>
      </c>
      <c r="Y1505" s="3">
        <v>9.19</v>
      </c>
      <c r="Z1505" t="s">
        <v>9850</v>
      </c>
      <c r="AA1505" t="s">
        <v>1364</v>
      </c>
      <c r="AB1505" t="s">
        <v>53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f t="shared" si="46"/>
        <v>11.2</v>
      </c>
      <c r="AK1505" s="3">
        <f t="shared" si="47"/>
        <v>2.0099999999999998</v>
      </c>
    </row>
    <row r="1506" spans="1:37">
      <c r="A1506">
        <v>10359446</v>
      </c>
      <c r="B1506" t="s">
        <v>37</v>
      </c>
      <c r="C1506" t="s">
        <v>10032</v>
      </c>
      <c r="E1506" t="s">
        <v>809</v>
      </c>
      <c r="F1506" t="s">
        <v>10033</v>
      </c>
      <c r="G1506" t="s">
        <v>10034</v>
      </c>
      <c r="H1506" t="s">
        <v>42</v>
      </c>
      <c r="I1506" t="s">
        <v>10035</v>
      </c>
      <c r="J1506" t="s">
        <v>10036</v>
      </c>
      <c r="K1506">
        <v>8008</v>
      </c>
      <c r="L1506" t="s">
        <v>45</v>
      </c>
      <c r="M1506" t="s">
        <v>46</v>
      </c>
      <c r="N1506" t="s">
        <v>47</v>
      </c>
      <c r="O1506">
        <v>1</v>
      </c>
      <c r="P1506">
        <v>1</v>
      </c>
      <c r="Q1506">
        <v>1</v>
      </c>
      <c r="R1506" t="s">
        <v>48</v>
      </c>
      <c r="S1506" t="s">
        <v>49</v>
      </c>
      <c r="T1506" s="3">
        <v>0.84</v>
      </c>
      <c r="U1506" s="3">
        <v>0.23</v>
      </c>
      <c r="V1506" s="3">
        <v>0.94</v>
      </c>
      <c r="W1506">
        <v>0.39</v>
      </c>
      <c r="X1506" t="s">
        <v>3387</v>
      </c>
      <c r="Y1506" s="3">
        <v>22.05</v>
      </c>
      <c r="Z1506" t="s">
        <v>9850</v>
      </c>
      <c r="AA1506" t="s">
        <v>714</v>
      </c>
      <c r="AB1506" t="s">
        <v>53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f t="shared" si="46"/>
        <v>24.060000000000002</v>
      </c>
      <c r="AK1506" s="3">
        <f t="shared" si="47"/>
        <v>2.0100000000000016</v>
      </c>
    </row>
    <row r="1507" spans="1:37">
      <c r="A1507">
        <v>10359721</v>
      </c>
      <c r="B1507" t="s">
        <v>37</v>
      </c>
      <c r="C1507" t="s">
        <v>10037</v>
      </c>
      <c r="E1507" t="s">
        <v>7270</v>
      </c>
      <c r="F1507" t="s">
        <v>7271</v>
      </c>
      <c r="G1507" t="s">
        <v>10038</v>
      </c>
      <c r="H1507" t="s">
        <v>42</v>
      </c>
      <c r="I1507" t="s">
        <v>10039</v>
      </c>
      <c r="J1507" t="s">
        <v>7274</v>
      </c>
      <c r="K1507">
        <v>6930</v>
      </c>
      <c r="L1507" t="s">
        <v>369</v>
      </c>
      <c r="M1507" t="s">
        <v>46</v>
      </c>
      <c r="N1507" t="s">
        <v>47</v>
      </c>
      <c r="O1507">
        <v>1</v>
      </c>
      <c r="P1507">
        <v>1</v>
      </c>
      <c r="Q1507">
        <v>1</v>
      </c>
      <c r="R1507" t="s">
        <v>48</v>
      </c>
      <c r="S1507" t="s">
        <v>49</v>
      </c>
      <c r="T1507" s="3">
        <v>0.84</v>
      </c>
      <c r="U1507" s="3">
        <v>0.23</v>
      </c>
      <c r="V1507" s="3">
        <v>0.94</v>
      </c>
      <c r="W1507">
        <v>0.49</v>
      </c>
      <c r="X1507" t="s">
        <v>50</v>
      </c>
      <c r="Y1507" s="3">
        <v>9.19</v>
      </c>
      <c r="Z1507" t="s">
        <v>9850</v>
      </c>
      <c r="AA1507" t="s">
        <v>267</v>
      </c>
      <c r="AB1507" t="s">
        <v>53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f t="shared" si="46"/>
        <v>11.2</v>
      </c>
      <c r="AK1507" s="3">
        <f t="shared" si="47"/>
        <v>2.0099999999999998</v>
      </c>
    </row>
    <row r="1508" spans="1:37">
      <c r="A1508">
        <v>10358993</v>
      </c>
      <c r="B1508" t="s">
        <v>37</v>
      </c>
      <c r="C1508" t="s">
        <v>10040</v>
      </c>
      <c r="E1508" t="s">
        <v>10041</v>
      </c>
      <c r="F1508" t="s">
        <v>10042</v>
      </c>
      <c r="G1508" t="s">
        <v>10043</v>
      </c>
      <c r="H1508" t="s">
        <v>42</v>
      </c>
      <c r="I1508" t="s">
        <v>10044</v>
      </c>
      <c r="J1508" t="s">
        <v>10045</v>
      </c>
      <c r="K1508" t="s">
        <v>10046</v>
      </c>
      <c r="L1508" t="s">
        <v>82</v>
      </c>
      <c r="M1508" t="s">
        <v>46</v>
      </c>
      <c r="N1508" t="s">
        <v>47</v>
      </c>
      <c r="O1508">
        <v>1</v>
      </c>
      <c r="P1508">
        <v>1</v>
      </c>
      <c r="Q1508">
        <v>1</v>
      </c>
      <c r="R1508" t="s">
        <v>48</v>
      </c>
      <c r="S1508" t="s">
        <v>49</v>
      </c>
      <c r="T1508" s="3">
        <v>0.84</v>
      </c>
      <c r="U1508" s="3">
        <v>0.23</v>
      </c>
      <c r="V1508" s="3">
        <v>0.94</v>
      </c>
      <c r="W1508">
        <v>0.39</v>
      </c>
      <c r="X1508" t="s">
        <v>50</v>
      </c>
      <c r="Y1508" s="3">
        <v>9.19</v>
      </c>
      <c r="Z1508" t="s">
        <v>9850</v>
      </c>
      <c r="AA1508" t="s">
        <v>9851</v>
      </c>
      <c r="AB1508" t="s">
        <v>53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f t="shared" si="46"/>
        <v>11.2</v>
      </c>
      <c r="AK1508" s="3">
        <f t="shared" si="47"/>
        <v>2.0099999999999998</v>
      </c>
    </row>
    <row r="1509" spans="1:37">
      <c r="A1509">
        <v>10359724</v>
      </c>
      <c r="B1509" t="s">
        <v>37</v>
      </c>
      <c r="C1509" t="s">
        <v>10047</v>
      </c>
      <c r="E1509" t="s">
        <v>10048</v>
      </c>
      <c r="F1509" t="s">
        <v>10049</v>
      </c>
      <c r="G1509" t="s">
        <v>10050</v>
      </c>
      <c r="H1509" t="s">
        <v>42</v>
      </c>
      <c r="I1509" t="s">
        <v>10051</v>
      </c>
      <c r="J1509" t="s">
        <v>10052</v>
      </c>
      <c r="K1509">
        <v>67550</v>
      </c>
      <c r="L1509" t="s">
        <v>130</v>
      </c>
      <c r="M1509" t="s">
        <v>46</v>
      </c>
      <c r="N1509" t="s">
        <v>47</v>
      </c>
      <c r="O1509">
        <v>1</v>
      </c>
      <c r="P1509">
        <v>1</v>
      </c>
      <c r="Q1509">
        <v>1</v>
      </c>
      <c r="R1509" t="s">
        <v>48</v>
      </c>
      <c r="S1509" t="s">
        <v>49</v>
      </c>
      <c r="T1509" s="3">
        <v>0.84</v>
      </c>
      <c r="U1509" s="3">
        <v>0.23</v>
      </c>
      <c r="V1509" s="3">
        <v>0.94</v>
      </c>
      <c r="W1509">
        <v>0.39</v>
      </c>
      <c r="X1509" t="s">
        <v>50</v>
      </c>
      <c r="Y1509" s="3">
        <v>14.26</v>
      </c>
      <c r="Z1509" t="s">
        <v>9850</v>
      </c>
      <c r="AA1509" t="s">
        <v>3216</v>
      </c>
      <c r="AB1509" t="s">
        <v>53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f t="shared" si="46"/>
        <v>16.27</v>
      </c>
      <c r="AK1509" s="3">
        <f t="shared" si="47"/>
        <v>2.0099999999999998</v>
      </c>
    </row>
    <row r="1510" spans="1:37">
      <c r="A1510">
        <v>10359722</v>
      </c>
      <c r="B1510" t="s">
        <v>37</v>
      </c>
      <c r="C1510" t="s">
        <v>10053</v>
      </c>
      <c r="E1510" t="s">
        <v>809</v>
      </c>
      <c r="F1510" t="s">
        <v>10054</v>
      </c>
      <c r="G1510" t="s">
        <v>10055</v>
      </c>
      <c r="H1510" t="s">
        <v>42</v>
      </c>
      <c r="I1510" t="s">
        <v>10056</v>
      </c>
      <c r="J1510" t="s">
        <v>10057</v>
      </c>
      <c r="K1510">
        <v>70565</v>
      </c>
      <c r="L1510" t="s">
        <v>71</v>
      </c>
      <c r="M1510" t="s">
        <v>46</v>
      </c>
      <c r="N1510" t="s">
        <v>47</v>
      </c>
      <c r="O1510">
        <v>1</v>
      </c>
      <c r="P1510">
        <v>1</v>
      </c>
      <c r="Q1510">
        <v>1</v>
      </c>
      <c r="R1510" t="s">
        <v>48</v>
      </c>
      <c r="S1510" t="s">
        <v>49</v>
      </c>
      <c r="T1510" s="3">
        <v>0.84</v>
      </c>
      <c r="U1510" s="3">
        <v>0.23</v>
      </c>
      <c r="V1510" s="3">
        <v>0.94</v>
      </c>
      <c r="W1510">
        <v>0.39</v>
      </c>
      <c r="X1510" t="s">
        <v>108</v>
      </c>
      <c r="Y1510" s="3">
        <v>5.14</v>
      </c>
      <c r="Z1510" t="s">
        <v>9850</v>
      </c>
      <c r="AA1510" t="s">
        <v>559</v>
      </c>
      <c r="AB1510" t="s">
        <v>53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f t="shared" si="46"/>
        <v>7.15</v>
      </c>
      <c r="AK1510" s="3">
        <f t="shared" si="47"/>
        <v>2.0100000000000007</v>
      </c>
    </row>
    <row r="1511" spans="1:37">
      <c r="A1511">
        <v>10361577</v>
      </c>
      <c r="B1511" t="s">
        <v>37</v>
      </c>
      <c r="C1511" t="s">
        <v>10058</v>
      </c>
      <c r="E1511" t="s">
        <v>9971</v>
      </c>
      <c r="F1511" t="s">
        <v>9972</v>
      </c>
      <c r="G1511" t="s">
        <v>10059</v>
      </c>
      <c r="H1511" t="s">
        <v>42</v>
      </c>
      <c r="I1511" t="s">
        <v>10060</v>
      </c>
      <c r="J1511" t="s">
        <v>9975</v>
      </c>
      <c r="K1511" t="s">
        <v>9976</v>
      </c>
      <c r="L1511" t="s">
        <v>142</v>
      </c>
      <c r="M1511" t="s">
        <v>46</v>
      </c>
      <c r="N1511" t="s">
        <v>47</v>
      </c>
      <c r="O1511">
        <v>1</v>
      </c>
      <c r="P1511">
        <v>1</v>
      </c>
      <c r="Q1511">
        <v>1</v>
      </c>
      <c r="R1511" t="s">
        <v>48</v>
      </c>
      <c r="S1511" t="s">
        <v>49</v>
      </c>
      <c r="T1511" s="3">
        <v>0.84</v>
      </c>
      <c r="U1511" s="3">
        <v>0.23</v>
      </c>
      <c r="V1511" s="3">
        <v>0.94</v>
      </c>
      <c r="W1511">
        <v>0.14000000000000001</v>
      </c>
      <c r="X1511" t="s">
        <v>50</v>
      </c>
      <c r="Y1511" s="3">
        <v>16.43</v>
      </c>
      <c r="Z1511" t="s">
        <v>9850</v>
      </c>
      <c r="AA1511" t="s">
        <v>10061</v>
      </c>
      <c r="AB1511" t="s">
        <v>53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f t="shared" si="46"/>
        <v>18.440000000000001</v>
      </c>
      <c r="AK1511" s="3">
        <f t="shared" si="47"/>
        <v>2.0100000000000016</v>
      </c>
    </row>
    <row r="1512" spans="1:37">
      <c r="A1512">
        <v>10359937</v>
      </c>
      <c r="B1512" t="s">
        <v>37</v>
      </c>
      <c r="C1512" t="s">
        <v>10062</v>
      </c>
      <c r="E1512" t="s">
        <v>3574</v>
      </c>
      <c r="F1512" t="s">
        <v>10063</v>
      </c>
      <c r="G1512" t="s">
        <v>10064</v>
      </c>
      <c r="H1512" t="s">
        <v>42</v>
      </c>
      <c r="I1512" t="s">
        <v>10065</v>
      </c>
      <c r="J1512" t="s">
        <v>10066</v>
      </c>
      <c r="K1512" t="s">
        <v>10067</v>
      </c>
      <c r="L1512" t="s">
        <v>82</v>
      </c>
      <c r="M1512" t="s">
        <v>46</v>
      </c>
      <c r="N1512" t="s">
        <v>47</v>
      </c>
      <c r="O1512">
        <v>2</v>
      </c>
      <c r="P1512">
        <v>1</v>
      </c>
      <c r="Q1512">
        <v>2</v>
      </c>
      <c r="R1512" t="s">
        <v>48</v>
      </c>
      <c r="S1512" t="s">
        <v>49</v>
      </c>
      <c r="T1512" s="3">
        <v>0.84</v>
      </c>
      <c r="U1512" s="3">
        <v>0.23</v>
      </c>
      <c r="V1512" s="3">
        <v>1.81</v>
      </c>
      <c r="W1512">
        <v>0.98</v>
      </c>
      <c r="X1512" t="s">
        <v>50</v>
      </c>
      <c r="Y1512" s="3">
        <v>9.19</v>
      </c>
      <c r="Z1512" t="s">
        <v>9850</v>
      </c>
      <c r="AA1512" t="s">
        <v>10068</v>
      </c>
      <c r="AB1512" t="s">
        <v>53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f t="shared" si="46"/>
        <v>12.07</v>
      </c>
      <c r="AK1512" s="3">
        <f t="shared" si="47"/>
        <v>2.8800000000000008</v>
      </c>
    </row>
    <row r="1513" spans="1:37">
      <c r="A1513">
        <v>10359934</v>
      </c>
      <c r="B1513" t="s">
        <v>37</v>
      </c>
      <c r="C1513" t="s">
        <v>10069</v>
      </c>
      <c r="E1513" t="s">
        <v>10070</v>
      </c>
      <c r="F1513" t="s">
        <v>10071</v>
      </c>
      <c r="G1513" t="s">
        <v>10072</v>
      </c>
      <c r="H1513" t="s">
        <v>42</v>
      </c>
      <c r="I1513" t="s">
        <v>10073</v>
      </c>
      <c r="J1513" t="s">
        <v>10074</v>
      </c>
      <c r="K1513">
        <v>2600</v>
      </c>
      <c r="L1513" t="s">
        <v>505</v>
      </c>
      <c r="M1513" t="s">
        <v>46</v>
      </c>
      <c r="N1513" t="s">
        <v>47</v>
      </c>
      <c r="O1513">
        <v>2</v>
      </c>
      <c r="P1513">
        <v>1</v>
      </c>
      <c r="Q1513">
        <v>2</v>
      </c>
      <c r="R1513" t="s">
        <v>48</v>
      </c>
      <c r="S1513" t="s">
        <v>49</v>
      </c>
      <c r="T1513" s="3">
        <v>0.84</v>
      </c>
      <c r="U1513" s="3">
        <v>0.23</v>
      </c>
      <c r="V1513" s="3">
        <v>1.81</v>
      </c>
      <c r="W1513">
        <v>0.98</v>
      </c>
      <c r="X1513" t="s">
        <v>50</v>
      </c>
      <c r="Y1513" s="3">
        <v>9.19</v>
      </c>
      <c r="Z1513" t="s">
        <v>9850</v>
      </c>
      <c r="AA1513" t="s">
        <v>10075</v>
      </c>
      <c r="AB1513" t="s">
        <v>53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f t="shared" si="46"/>
        <v>12.07</v>
      </c>
      <c r="AK1513" s="3">
        <f t="shared" si="47"/>
        <v>2.8800000000000008</v>
      </c>
    </row>
    <row r="1514" spans="1:37">
      <c r="A1514">
        <v>10359936</v>
      </c>
      <c r="B1514" t="s">
        <v>37</v>
      </c>
      <c r="C1514" t="s">
        <v>10076</v>
      </c>
      <c r="E1514" t="s">
        <v>10077</v>
      </c>
      <c r="F1514" t="s">
        <v>10078</v>
      </c>
      <c r="G1514" t="s">
        <v>10079</v>
      </c>
      <c r="H1514" t="s">
        <v>42</v>
      </c>
      <c r="I1514" t="s">
        <v>10080</v>
      </c>
      <c r="J1514" t="s">
        <v>10081</v>
      </c>
      <c r="K1514">
        <v>13811</v>
      </c>
      <c r="L1514" t="s">
        <v>3975</v>
      </c>
      <c r="M1514" t="s">
        <v>46</v>
      </c>
      <c r="N1514" t="s">
        <v>47</v>
      </c>
      <c r="O1514">
        <v>2</v>
      </c>
      <c r="P1514">
        <v>1</v>
      </c>
      <c r="Q1514">
        <v>2</v>
      </c>
      <c r="R1514" t="s">
        <v>48</v>
      </c>
      <c r="S1514" t="s">
        <v>49</v>
      </c>
      <c r="T1514" s="3">
        <v>0.84</v>
      </c>
      <c r="U1514" s="3">
        <v>0.23</v>
      </c>
      <c r="V1514" s="3">
        <v>1.81</v>
      </c>
      <c r="W1514">
        <v>0.88</v>
      </c>
      <c r="X1514" t="s">
        <v>100</v>
      </c>
      <c r="Y1514" s="3">
        <v>21.83</v>
      </c>
      <c r="Z1514" t="s">
        <v>9850</v>
      </c>
      <c r="AA1514" t="s">
        <v>10082</v>
      </c>
      <c r="AB1514" t="s">
        <v>53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f t="shared" si="46"/>
        <v>24.709999999999997</v>
      </c>
      <c r="AK1514" s="3">
        <f t="shared" si="47"/>
        <v>2.879999999999999</v>
      </c>
    </row>
    <row r="1515" spans="1:37">
      <c r="A1515">
        <v>10360810</v>
      </c>
      <c r="B1515" t="s">
        <v>37</v>
      </c>
      <c r="C1515" t="s">
        <v>10083</v>
      </c>
      <c r="E1515" t="s">
        <v>3681</v>
      </c>
      <c r="F1515" t="s">
        <v>10084</v>
      </c>
      <c r="G1515" t="s">
        <v>10085</v>
      </c>
      <c r="H1515" t="s">
        <v>42</v>
      </c>
      <c r="I1515" t="s">
        <v>10086</v>
      </c>
      <c r="J1515" t="s">
        <v>10087</v>
      </c>
      <c r="K1515">
        <v>2860</v>
      </c>
      <c r="L1515" t="s">
        <v>505</v>
      </c>
      <c r="M1515" t="s">
        <v>46</v>
      </c>
      <c r="N1515" t="s">
        <v>47</v>
      </c>
      <c r="O1515">
        <v>2</v>
      </c>
      <c r="P1515">
        <v>1</v>
      </c>
      <c r="Q1515">
        <v>2</v>
      </c>
      <c r="R1515" t="s">
        <v>48</v>
      </c>
      <c r="S1515" t="s">
        <v>49</v>
      </c>
      <c r="T1515" s="3">
        <v>0.84</v>
      </c>
      <c r="U1515" s="3">
        <v>0.23</v>
      </c>
      <c r="V1515" s="3">
        <v>1.81</v>
      </c>
      <c r="W1515">
        <v>0.8</v>
      </c>
      <c r="X1515" t="s">
        <v>50</v>
      </c>
      <c r="Y1515" s="3">
        <v>9.19</v>
      </c>
      <c r="Z1515" t="s">
        <v>9850</v>
      </c>
      <c r="AA1515" t="s">
        <v>10088</v>
      </c>
      <c r="AB1515" t="s">
        <v>53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f t="shared" si="46"/>
        <v>12.07</v>
      </c>
      <c r="AK1515" s="3">
        <f t="shared" si="47"/>
        <v>2.8800000000000008</v>
      </c>
    </row>
    <row r="1516" spans="1:37">
      <c r="A1516">
        <v>10360487</v>
      </c>
      <c r="B1516" t="s">
        <v>37</v>
      </c>
      <c r="C1516" t="s">
        <v>10089</v>
      </c>
      <c r="E1516" t="s">
        <v>10090</v>
      </c>
      <c r="F1516" t="s">
        <v>10091</v>
      </c>
      <c r="G1516" t="s">
        <v>10092</v>
      </c>
      <c r="H1516" t="s">
        <v>42</v>
      </c>
      <c r="I1516" t="s">
        <v>10093</v>
      </c>
      <c r="J1516" t="s">
        <v>10094</v>
      </c>
      <c r="K1516">
        <v>25992</v>
      </c>
      <c r="L1516" t="s">
        <v>71</v>
      </c>
      <c r="M1516" t="s">
        <v>46</v>
      </c>
      <c r="N1516" t="s">
        <v>47</v>
      </c>
      <c r="O1516">
        <v>2</v>
      </c>
      <c r="P1516">
        <v>1</v>
      </c>
      <c r="Q1516">
        <v>2</v>
      </c>
      <c r="R1516" t="s">
        <v>48</v>
      </c>
      <c r="S1516" t="s">
        <v>49</v>
      </c>
      <c r="T1516" s="3">
        <v>0.84</v>
      </c>
      <c r="U1516" s="3">
        <v>0.23</v>
      </c>
      <c r="V1516" s="3">
        <v>1.81</v>
      </c>
      <c r="W1516">
        <v>0.88</v>
      </c>
      <c r="X1516" t="s">
        <v>108</v>
      </c>
      <c r="Y1516" s="3">
        <v>15.54</v>
      </c>
      <c r="Z1516" t="s">
        <v>9850</v>
      </c>
      <c r="AA1516" t="s">
        <v>10095</v>
      </c>
      <c r="AB1516" t="s">
        <v>53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f t="shared" si="46"/>
        <v>18.419999999999998</v>
      </c>
      <c r="AK1516" s="3">
        <f t="shared" si="47"/>
        <v>2.879999999999999</v>
      </c>
    </row>
    <row r="1517" spans="1:37">
      <c r="A1517">
        <v>10361367</v>
      </c>
      <c r="B1517" t="s">
        <v>37</v>
      </c>
      <c r="C1517" t="s">
        <v>10096</v>
      </c>
      <c r="E1517" t="s">
        <v>10097</v>
      </c>
      <c r="F1517" t="s">
        <v>10098</v>
      </c>
      <c r="G1517" t="s">
        <v>10099</v>
      </c>
      <c r="H1517" t="s">
        <v>42</v>
      </c>
      <c r="I1517" t="s">
        <v>10100</v>
      </c>
      <c r="J1517" t="s">
        <v>10101</v>
      </c>
      <c r="K1517" t="s">
        <v>10102</v>
      </c>
      <c r="L1517" t="s">
        <v>82</v>
      </c>
      <c r="M1517" t="s">
        <v>46</v>
      </c>
      <c r="N1517" t="s">
        <v>47</v>
      </c>
      <c r="O1517">
        <v>2</v>
      </c>
      <c r="P1517">
        <v>1</v>
      </c>
      <c r="Q1517">
        <v>2</v>
      </c>
      <c r="R1517" t="s">
        <v>48</v>
      </c>
      <c r="S1517" t="s">
        <v>49</v>
      </c>
      <c r="T1517" s="3">
        <v>0.84</v>
      </c>
      <c r="U1517" s="3">
        <v>0.23</v>
      </c>
      <c r="V1517" s="3">
        <v>1.81</v>
      </c>
      <c r="W1517">
        <v>0.98</v>
      </c>
      <c r="X1517" t="s">
        <v>50</v>
      </c>
      <c r="Y1517" s="3">
        <v>9.19</v>
      </c>
      <c r="Z1517" t="s">
        <v>9850</v>
      </c>
      <c r="AA1517" t="s">
        <v>10103</v>
      </c>
      <c r="AB1517" t="s">
        <v>53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f t="shared" si="46"/>
        <v>12.07</v>
      </c>
      <c r="AK1517" s="3">
        <f t="shared" si="47"/>
        <v>2.8800000000000008</v>
      </c>
    </row>
    <row r="1518" spans="1:37">
      <c r="A1518">
        <v>10362064</v>
      </c>
      <c r="B1518" t="s">
        <v>37</v>
      </c>
      <c r="C1518" t="s">
        <v>10104</v>
      </c>
      <c r="E1518" t="s">
        <v>10105</v>
      </c>
      <c r="F1518" t="s">
        <v>10106</v>
      </c>
      <c r="G1518" t="s">
        <v>10107</v>
      </c>
      <c r="H1518" t="s">
        <v>42</v>
      </c>
      <c r="I1518" t="s">
        <v>10108</v>
      </c>
      <c r="J1518" t="s">
        <v>10109</v>
      </c>
      <c r="K1518">
        <v>31632</v>
      </c>
      <c r="L1518" t="s">
        <v>71</v>
      </c>
      <c r="M1518" t="s">
        <v>46</v>
      </c>
      <c r="N1518" t="s">
        <v>47</v>
      </c>
      <c r="O1518">
        <v>5</v>
      </c>
      <c r="P1518">
        <v>1</v>
      </c>
      <c r="Q1518">
        <v>5</v>
      </c>
      <c r="R1518" t="s">
        <v>48</v>
      </c>
      <c r="S1518" t="s">
        <v>49</v>
      </c>
      <c r="T1518" s="3">
        <v>0.84</v>
      </c>
      <c r="U1518" s="3">
        <v>0.23</v>
      </c>
      <c r="V1518" s="3">
        <v>4.42</v>
      </c>
      <c r="W1518">
        <v>2.0499999999999998</v>
      </c>
      <c r="X1518" t="s">
        <v>72</v>
      </c>
      <c r="Y1518" s="3">
        <v>5.44</v>
      </c>
      <c r="Z1518" t="s">
        <v>83</v>
      </c>
      <c r="AA1518" t="s">
        <v>10110</v>
      </c>
      <c r="AB1518" t="s">
        <v>53</v>
      </c>
      <c r="AC1518" s="3">
        <v>1.27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f t="shared" si="46"/>
        <v>12.200000000000001</v>
      </c>
      <c r="AK1518" s="3">
        <f t="shared" si="47"/>
        <v>6.7600000000000007</v>
      </c>
    </row>
    <row r="1519" spans="1:37">
      <c r="A1519">
        <v>10361931</v>
      </c>
      <c r="B1519" t="s">
        <v>37</v>
      </c>
      <c r="C1519" t="s">
        <v>10111</v>
      </c>
      <c r="E1519" t="s">
        <v>7500</v>
      </c>
      <c r="F1519" t="s">
        <v>10112</v>
      </c>
      <c r="G1519" t="s">
        <v>10113</v>
      </c>
      <c r="H1519" t="s">
        <v>42</v>
      </c>
      <c r="I1519" t="s">
        <v>10114</v>
      </c>
      <c r="J1519" t="s">
        <v>10115</v>
      </c>
      <c r="K1519">
        <v>2480</v>
      </c>
      <c r="L1519" t="s">
        <v>505</v>
      </c>
      <c r="M1519" t="s">
        <v>46</v>
      </c>
      <c r="N1519" t="s">
        <v>47</v>
      </c>
      <c r="O1519">
        <v>1</v>
      </c>
      <c r="P1519">
        <v>1</v>
      </c>
      <c r="Q1519">
        <v>1</v>
      </c>
      <c r="R1519" t="s">
        <v>48</v>
      </c>
      <c r="S1519" t="s">
        <v>49</v>
      </c>
      <c r="T1519" s="3">
        <v>0.84</v>
      </c>
      <c r="U1519" s="3">
        <v>0.23</v>
      </c>
      <c r="V1519" s="3">
        <v>0.94</v>
      </c>
      <c r="W1519">
        <v>0.49</v>
      </c>
      <c r="X1519" t="s">
        <v>50</v>
      </c>
      <c r="Y1519" s="3">
        <v>9.19</v>
      </c>
      <c r="Z1519" t="s">
        <v>9850</v>
      </c>
      <c r="AA1519" t="s">
        <v>10116</v>
      </c>
      <c r="AB1519" t="s">
        <v>53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f t="shared" si="46"/>
        <v>11.2</v>
      </c>
      <c r="AK1519" s="3">
        <f t="shared" si="47"/>
        <v>2.0099999999999998</v>
      </c>
    </row>
    <row r="1520" spans="1:37">
      <c r="A1520">
        <v>10359935</v>
      </c>
      <c r="B1520" t="s">
        <v>37</v>
      </c>
      <c r="C1520" t="s">
        <v>10117</v>
      </c>
      <c r="E1520" t="s">
        <v>969</v>
      </c>
      <c r="F1520" t="s">
        <v>10118</v>
      </c>
      <c r="G1520" t="s">
        <v>10119</v>
      </c>
      <c r="H1520" t="s">
        <v>42</v>
      </c>
      <c r="I1520" t="s">
        <v>10120</v>
      </c>
      <c r="J1520" t="s">
        <v>10121</v>
      </c>
      <c r="K1520">
        <v>12619</v>
      </c>
      <c r="L1520" t="s">
        <v>71</v>
      </c>
      <c r="M1520" t="s">
        <v>46</v>
      </c>
      <c r="N1520" t="s">
        <v>47</v>
      </c>
      <c r="O1520">
        <v>7</v>
      </c>
      <c r="P1520">
        <v>1</v>
      </c>
      <c r="Q1520">
        <v>7</v>
      </c>
      <c r="R1520" t="s">
        <v>48</v>
      </c>
      <c r="S1520" t="s">
        <v>49</v>
      </c>
      <c r="T1520" s="3">
        <v>0.84</v>
      </c>
      <c r="U1520" s="3">
        <v>0.23</v>
      </c>
      <c r="V1520" s="3">
        <v>6.16</v>
      </c>
      <c r="W1520">
        <v>2.5</v>
      </c>
      <c r="X1520" t="s">
        <v>72</v>
      </c>
      <c r="Y1520" s="3">
        <v>5.44</v>
      </c>
      <c r="Z1520" t="s">
        <v>83</v>
      </c>
      <c r="AA1520" t="s">
        <v>10122</v>
      </c>
      <c r="AB1520" t="s">
        <v>53</v>
      </c>
      <c r="AC1520" s="3">
        <v>1.27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f t="shared" si="46"/>
        <v>13.940000000000001</v>
      </c>
      <c r="AK1520" s="3">
        <f t="shared" si="47"/>
        <v>8.5</v>
      </c>
    </row>
    <row r="1521" spans="1:37">
      <c r="A1521">
        <v>10360126</v>
      </c>
      <c r="B1521" t="s">
        <v>37</v>
      </c>
      <c r="C1521" t="s">
        <v>10123</v>
      </c>
      <c r="E1521" t="s">
        <v>687</v>
      </c>
      <c r="F1521" t="s">
        <v>10124</v>
      </c>
      <c r="G1521" t="s">
        <v>10125</v>
      </c>
      <c r="H1521" t="s">
        <v>42</v>
      </c>
      <c r="I1521" t="s">
        <v>10126</v>
      </c>
      <c r="J1521" t="s">
        <v>10127</v>
      </c>
      <c r="K1521">
        <v>61476</v>
      </c>
      <c r="L1521" t="s">
        <v>71</v>
      </c>
      <c r="M1521" t="s">
        <v>46</v>
      </c>
      <c r="N1521" t="s">
        <v>47</v>
      </c>
      <c r="O1521">
        <v>3</v>
      </c>
      <c r="P1521">
        <v>1</v>
      </c>
      <c r="Q1521">
        <v>3</v>
      </c>
      <c r="R1521" t="s">
        <v>48</v>
      </c>
      <c r="S1521" t="s">
        <v>49</v>
      </c>
      <c r="T1521" s="3">
        <v>0.84</v>
      </c>
      <c r="U1521" s="3">
        <v>0.23</v>
      </c>
      <c r="V1521" s="3">
        <v>2.68</v>
      </c>
      <c r="W1521">
        <v>1.17</v>
      </c>
      <c r="X1521" t="s">
        <v>108</v>
      </c>
      <c r="Y1521" s="3">
        <v>5.44</v>
      </c>
      <c r="Z1521" t="s">
        <v>9686</v>
      </c>
      <c r="AA1521" t="s">
        <v>10128</v>
      </c>
      <c r="AB1521" t="s">
        <v>53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f t="shared" si="46"/>
        <v>9.1900000000000013</v>
      </c>
      <c r="AK1521" s="3">
        <f t="shared" si="47"/>
        <v>3.7500000000000009</v>
      </c>
    </row>
    <row r="1522" spans="1:37">
      <c r="A1522">
        <v>10361040</v>
      </c>
      <c r="B1522" t="s">
        <v>37</v>
      </c>
      <c r="C1522" t="s">
        <v>10129</v>
      </c>
      <c r="E1522" t="s">
        <v>5371</v>
      </c>
      <c r="F1522" t="s">
        <v>10130</v>
      </c>
      <c r="G1522" t="s">
        <v>10131</v>
      </c>
      <c r="H1522" t="s">
        <v>42</v>
      </c>
      <c r="I1522" t="s">
        <v>10132</v>
      </c>
      <c r="J1522" t="s">
        <v>10133</v>
      </c>
      <c r="K1522">
        <v>65510</v>
      </c>
      <c r="L1522" t="s">
        <v>71</v>
      </c>
      <c r="M1522" t="s">
        <v>46</v>
      </c>
      <c r="N1522" t="s">
        <v>47</v>
      </c>
      <c r="O1522">
        <v>5</v>
      </c>
      <c r="P1522">
        <v>1</v>
      </c>
      <c r="Q1522">
        <v>5</v>
      </c>
      <c r="R1522" t="s">
        <v>48</v>
      </c>
      <c r="S1522" t="s">
        <v>49</v>
      </c>
      <c r="T1522" s="3">
        <v>0.84</v>
      </c>
      <c r="U1522" s="3">
        <v>0.23</v>
      </c>
      <c r="V1522" s="3">
        <v>4.42</v>
      </c>
      <c r="W1522">
        <v>3.46</v>
      </c>
      <c r="X1522" t="s">
        <v>72</v>
      </c>
      <c r="Y1522" s="3">
        <v>6.61</v>
      </c>
      <c r="Z1522" t="s">
        <v>83</v>
      </c>
      <c r="AA1522" t="s">
        <v>10134</v>
      </c>
      <c r="AB1522" t="s">
        <v>53</v>
      </c>
      <c r="AC1522" s="3">
        <v>1.27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f t="shared" si="46"/>
        <v>13.370000000000001</v>
      </c>
      <c r="AK1522" s="3">
        <f t="shared" si="47"/>
        <v>6.7600000000000007</v>
      </c>
    </row>
    <row r="1523" spans="1:37">
      <c r="A1523">
        <v>10360489</v>
      </c>
      <c r="B1523" t="s">
        <v>37</v>
      </c>
      <c r="C1523" t="s">
        <v>10135</v>
      </c>
      <c r="E1523" t="s">
        <v>532</v>
      </c>
      <c r="F1523" t="s">
        <v>10136</v>
      </c>
      <c r="G1523" t="s">
        <v>10137</v>
      </c>
      <c r="H1523" t="s">
        <v>42</v>
      </c>
      <c r="I1523" t="s">
        <v>10138</v>
      </c>
      <c r="J1523" t="s">
        <v>10139</v>
      </c>
      <c r="K1523" t="s">
        <v>10140</v>
      </c>
      <c r="L1523" t="s">
        <v>142</v>
      </c>
      <c r="M1523" t="s">
        <v>46</v>
      </c>
      <c r="N1523" t="s">
        <v>47</v>
      </c>
      <c r="O1523">
        <v>3</v>
      </c>
      <c r="P1523">
        <v>1</v>
      </c>
      <c r="Q1523">
        <v>3</v>
      </c>
      <c r="R1523" t="s">
        <v>48</v>
      </c>
      <c r="S1523" t="s">
        <v>49</v>
      </c>
      <c r="T1523" s="3">
        <v>0.84</v>
      </c>
      <c r="U1523" s="3">
        <v>0.23</v>
      </c>
      <c r="V1523" s="3">
        <v>2.68</v>
      </c>
      <c r="W1523">
        <v>1.33</v>
      </c>
      <c r="X1523" t="s">
        <v>50</v>
      </c>
      <c r="Y1523" s="3">
        <v>16.43</v>
      </c>
      <c r="Z1523" t="s">
        <v>73</v>
      </c>
      <c r="AA1523" t="s">
        <v>10141</v>
      </c>
      <c r="AB1523" t="s">
        <v>53</v>
      </c>
      <c r="AC1523" s="3">
        <v>1.29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f t="shared" si="46"/>
        <v>21.47</v>
      </c>
      <c r="AK1523" s="3">
        <f t="shared" si="47"/>
        <v>5.0399999999999991</v>
      </c>
    </row>
    <row r="1524" spans="1:37">
      <c r="A1524">
        <v>10361368</v>
      </c>
      <c r="B1524" t="s">
        <v>37</v>
      </c>
      <c r="C1524" t="s">
        <v>10142</v>
      </c>
      <c r="E1524" t="s">
        <v>114</v>
      </c>
      <c r="F1524" t="s">
        <v>10143</v>
      </c>
      <c r="G1524" t="s">
        <v>10144</v>
      </c>
      <c r="H1524" t="s">
        <v>42</v>
      </c>
      <c r="I1524" t="s">
        <v>10145</v>
      </c>
      <c r="J1524" t="s">
        <v>10146</v>
      </c>
      <c r="K1524">
        <v>60316</v>
      </c>
      <c r="L1524" t="s">
        <v>71</v>
      </c>
      <c r="M1524" t="s">
        <v>46</v>
      </c>
      <c r="N1524" t="s">
        <v>47</v>
      </c>
      <c r="O1524">
        <v>3</v>
      </c>
      <c r="P1524">
        <v>1</v>
      </c>
      <c r="Q1524">
        <v>3</v>
      </c>
      <c r="R1524" t="s">
        <v>48</v>
      </c>
      <c r="S1524" t="s">
        <v>49</v>
      </c>
      <c r="T1524" s="3">
        <v>0.84</v>
      </c>
      <c r="U1524" s="3">
        <v>0.23</v>
      </c>
      <c r="V1524" s="3">
        <v>2.68</v>
      </c>
      <c r="W1524">
        <v>1.1200000000000001</v>
      </c>
      <c r="X1524" t="s">
        <v>108</v>
      </c>
      <c r="Y1524" s="3">
        <v>5.44</v>
      </c>
      <c r="Z1524" t="s">
        <v>9686</v>
      </c>
      <c r="AA1524" t="s">
        <v>10147</v>
      </c>
      <c r="AB1524" t="s">
        <v>53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f t="shared" si="46"/>
        <v>9.1900000000000013</v>
      </c>
      <c r="AK1524" s="3">
        <f t="shared" si="47"/>
        <v>3.7500000000000009</v>
      </c>
    </row>
    <row r="1525" spans="1:37">
      <c r="A1525">
        <v>10362184</v>
      </c>
      <c r="B1525" t="s">
        <v>37</v>
      </c>
      <c r="C1525" t="s">
        <v>10148</v>
      </c>
      <c r="E1525" t="s">
        <v>731</v>
      </c>
      <c r="F1525" t="s">
        <v>4983</v>
      </c>
      <c r="G1525" t="s">
        <v>10149</v>
      </c>
      <c r="H1525" t="s">
        <v>42</v>
      </c>
      <c r="I1525" t="s">
        <v>10150</v>
      </c>
      <c r="J1525" t="s">
        <v>10151</v>
      </c>
      <c r="K1525">
        <v>81927</v>
      </c>
      <c r="L1525" t="s">
        <v>71</v>
      </c>
      <c r="M1525" t="s">
        <v>46</v>
      </c>
      <c r="N1525" t="s">
        <v>47</v>
      </c>
      <c r="O1525">
        <v>2</v>
      </c>
      <c r="P1525">
        <v>1</v>
      </c>
      <c r="Q1525">
        <v>2</v>
      </c>
      <c r="R1525" t="s">
        <v>48</v>
      </c>
      <c r="S1525" t="s">
        <v>49</v>
      </c>
      <c r="T1525" s="3">
        <v>0.84</v>
      </c>
      <c r="U1525" s="3">
        <v>0.23</v>
      </c>
      <c r="V1525" s="3">
        <v>1.81</v>
      </c>
      <c r="W1525">
        <v>0.78</v>
      </c>
      <c r="X1525" t="s">
        <v>108</v>
      </c>
      <c r="Y1525" s="3">
        <v>5.44</v>
      </c>
      <c r="Z1525" t="s">
        <v>9686</v>
      </c>
      <c r="AA1525" t="s">
        <v>10152</v>
      </c>
      <c r="AB1525" t="s">
        <v>53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f t="shared" si="46"/>
        <v>8.32</v>
      </c>
      <c r="AK1525" s="3">
        <f t="shared" si="47"/>
        <v>2.88</v>
      </c>
    </row>
    <row r="1526" spans="1:37">
      <c r="A1526">
        <v>10362186</v>
      </c>
      <c r="B1526" t="s">
        <v>37</v>
      </c>
      <c r="C1526" t="s">
        <v>10153</v>
      </c>
      <c r="E1526" t="s">
        <v>10154</v>
      </c>
      <c r="F1526" t="s">
        <v>10155</v>
      </c>
      <c r="G1526" t="s">
        <v>10156</v>
      </c>
      <c r="H1526" t="s">
        <v>42</v>
      </c>
      <c r="I1526" t="s">
        <v>10157</v>
      </c>
      <c r="J1526" t="s">
        <v>10158</v>
      </c>
      <c r="K1526" t="s">
        <v>10159</v>
      </c>
      <c r="L1526" t="s">
        <v>82</v>
      </c>
      <c r="M1526" t="s">
        <v>46</v>
      </c>
      <c r="N1526" t="s">
        <v>47</v>
      </c>
      <c r="O1526">
        <v>2</v>
      </c>
      <c r="P1526">
        <v>1</v>
      </c>
      <c r="Q1526">
        <v>2</v>
      </c>
      <c r="R1526" t="s">
        <v>48</v>
      </c>
      <c r="S1526" t="s">
        <v>49</v>
      </c>
      <c r="T1526" s="3">
        <v>0.84</v>
      </c>
      <c r="U1526" s="3">
        <v>0.23</v>
      </c>
      <c r="V1526" s="3">
        <v>1.81</v>
      </c>
      <c r="W1526">
        <v>0.54</v>
      </c>
      <c r="X1526" t="s">
        <v>50</v>
      </c>
      <c r="Y1526" s="3">
        <v>9.19</v>
      </c>
      <c r="Z1526" t="s">
        <v>9686</v>
      </c>
      <c r="AA1526" t="s">
        <v>10160</v>
      </c>
      <c r="AB1526" t="s">
        <v>53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f t="shared" si="46"/>
        <v>12.07</v>
      </c>
      <c r="AK1526" s="3">
        <f t="shared" si="47"/>
        <v>2.8800000000000008</v>
      </c>
    </row>
    <row r="1527" spans="1:37">
      <c r="A1527">
        <v>10359211</v>
      </c>
      <c r="B1527" t="s">
        <v>37</v>
      </c>
      <c r="C1527" t="s">
        <v>10161</v>
      </c>
      <c r="E1527" t="s">
        <v>10162</v>
      </c>
      <c r="F1527" t="s">
        <v>10163</v>
      </c>
      <c r="G1527" t="s">
        <v>10164</v>
      </c>
      <c r="H1527" t="s">
        <v>42</v>
      </c>
      <c r="I1527" t="s">
        <v>10165</v>
      </c>
      <c r="J1527" t="s">
        <v>10166</v>
      </c>
      <c r="K1527">
        <v>9142</v>
      </c>
      <c r="L1527" t="s">
        <v>369</v>
      </c>
      <c r="M1527" t="s">
        <v>46</v>
      </c>
      <c r="N1527" t="s">
        <v>47</v>
      </c>
      <c r="O1527">
        <v>3</v>
      </c>
      <c r="P1527">
        <v>1</v>
      </c>
      <c r="Q1527">
        <v>3</v>
      </c>
      <c r="R1527" t="s">
        <v>48</v>
      </c>
      <c r="S1527" t="s">
        <v>49</v>
      </c>
      <c r="T1527" s="3">
        <v>0.84</v>
      </c>
      <c r="U1527" s="3">
        <v>0.23</v>
      </c>
      <c r="V1527" s="3">
        <v>2.68</v>
      </c>
      <c r="W1527">
        <v>1.35</v>
      </c>
      <c r="X1527" t="s">
        <v>50</v>
      </c>
      <c r="Y1527" s="3">
        <v>9.19</v>
      </c>
      <c r="Z1527" t="s">
        <v>9686</v>
      </c>
      <c r="AA1527" t="s">
        <v>10167</v>
      </c>
      <c r="AB1527" t="s">
        <v>53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f t="shared" si="46"/>
        <v>12.94</v>
      </c>
      <c r="AK1527" s="3">
        <f t="shared" si="47"/>
        <v>3.75</v>
      </c>
    </row>
    <row r="1528" spans="1:37">
      <c r="A1528">
        <v>10358991</v>
      </c>
      <c r="B1528" t="s">
        <v>37</v>
      </c>
      <c r="C1528" t="s">
        <v>10168</v>
      </c>
      <c r="E1528" t="s">
        <v>708</v>
      </c>
      <c r="F1528" t="s">
        <v>10169</v>
      </c>
      <c r="G1528" t="s">
        <v>10170</v>
      </c>
      <c r="H1528" t="s">
        <v>42</v>
      </c>
      <c r="I1528" t="s">
        <v>10171</v>
      </c>
      <c r="J1528" t="s">
        <v>10172</v>
      </c>
      <c r="K1528">
        <v>78000</v>
      </c>
      <c r="L1528" t="s">
        <v>130</v>
      </c>
      <c r="M1528" t="s">
        <v>46</v>
      </c>
      <c r="N1528" t="s">
        <v>47</v>
      </c>
      <c r="O1528">
        <v>3</v>
      </c>
      <c r="P1528">
        <v>1</v>
      </c>
      <c r="Q1528">
        <v>3</v>
      </c>
      <c r="R1528" t="s">
        <v>48</v>
      </c>
      <c r="S1528" t="s">
        <v>49</v>
      </c>
      <c r="T1528" s="3">
        <v>0.84</v>
      </c>
      <c r="U1528" s="3">
        <v>0.23</v>
      </c>
      <c r="V1528" s="3">
        <v>2.68</v>
      </c>
      <c r="W1528">
        <v>1.35</v>
      </c>
      <c r="X1528" t="s">
        <v>50</v>
      </c>
      <c r="Y1528" s="3">
        <v>14.26</v>
      </c>
      <c r="Z1528" t="s">
        <v>9686</v>
      </c>
      <c r="AA1528" t="s">
        <v>10173</v>
      </c>
      <c r="AB1528" t="s">
        <v>53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f t="shared" si="46"/>
        <v>18.010000000000002</v>
      </c>
      <c r="AK1528" s="3">
        <f t="shared" si="47"/>
        <v>3.7500000000000018</v>
      </c>
    </row>
    <row r="1529" spans="1:37">
      <c r="A1529">
        <v>10359210</v>
      </c>
      <c r="B1529" t="s">
        <v>37</v>
      </c>
      <c r="C1529" t="s">
        <v>10174</v>
      </c>
      <c r="E1529" t="s">
        <v>10175</v>
      </c>
      <c r="F1529" t="s">
        <v>10176</v>
      </c>
      <c r="G1529" t="s">
        <v>10177</v>
      </c>
      <c r="H1529" t="s">
        <v>42</v>
      </c>
      <c r="I1529" t="s">
        <v>10178</v>
      </c>
      <c r="J1529" t="s">
        <v>10179</v>
      </c>
      <c r="K1529">
        <v>5290</v>
      </c>
      <c r="L1529" t="s">
        <v>1701</v>
      </c>
      <c r="M1529" t="s">
        <v>46</v>
      </c>
      <c r="N1529" t="s">
        <v>47</v>
      </c>
      <c r="O1529">
        <v>4</v>
      </c>
      <c r="P1529">
        <v>1</v>
      </c>
      <c r="Q1529">
        <v>4</v>
      </c>
      <c r="R1529" t="s">
        <v>48</v>
      </c>
      <c r="S1529" t="s">
        <v>49</v>
      </c>
      <c r="T1529" s="3">
        <v>0.84</v>
      </c>
      <c r="U1529" s="3">
        <v>0.23</v>
      </c>
      <c r="V1529" s="3">
        <v>3.55</v>
      </c>
      <c r="W1529">
        <v>1.96</v>
      </c>
      <c r="X1529" t="s">
        <v>1702</v>
      </c>
      <c r="Y1529" s="3">
        <v>39.1</v>
      </c>
      <c r="Z1529" t="s">
        <v>9686</v>
      </c>
      <c r="AA1529" t="s">
        <v>327</v>
      </c>
      <c r="AB1529" t="s">
        <v>53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f t="shared" si="46"/>
        <v>43.72</v>
      </c>
      <c r="AK1529" s="3">
        <f t="shared" si="47"/>
        <v>4.6199999999999974</v>
      </c>
    </row>
    <row r="1530" spans="1:37">
      <c r="A1530">
        <v>10359725</v>
      </c>
      <c r="B1530" t="s">
        <v>37</v>
      </c>
      <c r="C1530" t="s">
        <v>10180</v>
      </c>
      <c r="E1530" t="s">
        <v>1608</v>
      </c>
      <c r="F1530" t="s">
        <v>10181</v>
      </c>
      <c r="G1530" t="s">
        <v>10182</v>
      </c>
      <c r="H1530" t="s">
        <v>42</v>
      </c>
      <c r="I1530" t="s">
        <v>10183</v>
      </c>
      <c r="J1530" t="s">
        <v>10184</v>
      </c>
      <c r="K1530">
        <v>63916</v>
      </c>
      <c r="L1530" t="s">
        <v>71</v>
      </c>
      <c r="M1530" t="s">
        <v>46</v>
      </c>
      <c r="N1530" t="s">
        <v>47</v>
      </c>
      <c r="O1530">
        <v>8</v>
      </c>
      <c r="P1530">
        <v>1</v>
      </c>
      <c r="Q1530">
        <v>8</v>
      </c>
      <c r="R1530" t="s">
        <v>48</v>
      </c>
      <c r="S1530" t="s">
        <v>49</v>
      </c>
      <c r="T1530" s="3">
        <v>0.84</v>
      </c>
      <c r="U1530" s="3">
        <v>0.23</v>
      </c>
      <c r="V1530" s="3">
        <v>7.03</v>
      </c>
      <c r="W1530">
        <v>2.97</v>
      </c>
      <c r="X1530" t="s">
        <v>72</v>
      </c>
      <c r="Y1530" s="3">
        <v>5.44</v>
      </c>
      <c r="Z1530" t="s">
        <v>73</v>
      </c>
      <c r="AA1530" t="s">
        <v>10185</v>
      </c>
      <c r="AB1530" t="s">
        <v>53</v>
      </c>
      <c r="AC1530" s="3">
        <v>1.29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f t="shared" si="46"/>
        <v>14.830000000000002</v>
      </c>
      <c r="AK1530" s="3">
        <f t="shared" si="47"/>
        <v>9.39</v>
      </c>
    </row>
    <row r="1531" spans="1:37">
      <c r="A1531">
        <v>10359448</v>
      </c>
      <c r="B1531" t="s">
        <v>37</v>
      </c>
      <c r="C1531" t="s">
        <v>10186</v>
      </c>
      <c r="E1531" t="s">
        <v>166</v>
      </c>
      <c r="F1531" t="s">
        <v>10187</v>
      </c>
      <c r="G1531" t="s">
        <v>10188</v>
      </c>
      <c r="H1531" t="s">
        <v>42</v>
      </c>
      <c r="I1531" t="s">
        <v>10189</v>
      </c>
      <c r="J1531" t="s">
        <v>10190</v>
      </c>
      <c r="K1531" t="s">
        <v>10191</v>
      </c>
      <c r="L1531" t="s">
        <v>142</v>
      </c>
      <c r="M1531" t="s">
        <v>46</v>
      </c>
      <c r="N1531" t="s">
        <v>47</v>
      </c>
      <c r="O1531">
        <v>4</v>
      </c>
      <c r="P1531">
        <v>1</v>
      </c>
      <c r="Q1531">
        <v>4</v>
      </c>
      <c r="R1531" t="s">
        <v>48</v>
      </c>
      <c r="S1531" t="s">
        <v>49</v>
      </c>
      <c r="T1531" s="3">
        <v>0.84</v>
      </c>
      <c r="U1531" s="3">
        <v>0.23</v>
      </c>
      <c r="V1531" s="3">
        <v>3.55</v>
      </c>
      <c r="W1531">
        <v>3.45</v>
      </c>
      <c r="X1531" t="s">
        <v>50</v>
      </c>
      <c r="Y1531" s="3">
        <v>16.43</v>
      </c>
      <c r="Z1531" t="s">
        <v>83</v>
      </c>
      <c r="AA1531" t="s">
        <v>10192</v>
      </c>
      <c r="AB1531" t="s">
        <v>53</v>
      </c>
      <c r="AC1531" s="3">
        <v>1.27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f t="shared" si="46"/>
        <v>22.32</v>
      </c>
      <c r="AK1531" s="3">
        <f t="shared" si="47"/>
        <v>5.8900000000000006</v>
      </c>
    </row>
    <row r="1532" spans="1:37">
      <c r="A1532">
        <v>10362389</v>
      </c>
      <c r="B1532" t="s">
        <v>37</v>
      </c>
      <c r="C1532" t="s">
        <v>10193</v>
      </c>
      <c r="E1532" t="s">
        <v>3825</v>
      </c>
      <c r="F1532" t="s">
        <v>10194</v>
      </c>
      <c r="G1532" t="s">
        <v>10195</v>
      </c>
      <c r="H1532" t="s">
        <v>42</v>
      </c>
      <c r="I1532" t="s">
        <v>10196</v>
      </c>
      <c r="J1532" t="s">
        <v>10197</v>
      </c>
      <c r="K1532" t="s">
        <v>10198</v>
      </c>
      <c r="L1532" t="s">
        <v>82</v>
      </c>
      <c r="M1532" t="s">
        <v>46</v>
      </c>
      <c r="N1532" t="s">
        <v>47</v>
      </c>
      <c r="O1532">
        <v>3</v>
      </c>
      <c r="P1532">
        <v>1</v>
      </c>
      <c r="Q1532">
        <v>3</v>
      </c>
      <c r="R1532" t="s">
        <v>48</v>
      </c>
      <c r="S1532" t="s">
        <v>49</v>
      </c>
      <c r="T1532" s="3">
        <v>0.84</v>
      </c>
      <c r="U1532" s="3">
        <v>0.23</v>
      </c>
      <c r="V1532" s="3">
        <v>2.68</v>
      </c>
      <c r="W1532">
        <v>1.1000000000000001</v>
      </c>
      <c r="X1532" t="s">
        <v>50</v>
      </c>
      <c r="Y1532" s="3">
        <v>9.19</v>
      </c>
      <c r="Z1532" t="s">
        <v>73</v>
      </c>
      <c r="AA1532" t="s">
        <v>10199</v>
      </c>
      <c r="AB1532" t="s">
        <v>53</v>
      </c>
      <c r="AC1532" s="3">
        <v>1.29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f t="shared" si="46"/>
        <v>14.23</v>
      </c>
      <c r="AK1532" s="3">
        <f t="shared" si="47"/>
        <v>5.0400000000000009</v>
      </c>
    </row>
    <row r="1533" spans="1:37">
      <c r="A1533">
        <v>10362390</v>
      </c>
      <c r="B1533" t="s">
        <v>37</v>
      </c>
      <c r="C1533" t="s">
        <v>10200</v>
      </c>
      <c r="E1533" t="s">
        <v>10201</v>
      </c>
      <c r="F1533" t="s">
        <v>10202</v>
      </c>
      <c r="G1533" t="s">
        <v>10203</v>
      </c>
      <c r="H1533" t="s">
        <v>42</v>
      </c>
      <c r="I1533" t="s">
        <v>10204</v>
      </c>
      <c r="J1533" t="s">
        <v>10205</v>
      </c>
      <c r="K1533">
        <v>8710</v>
      </c>
      <c r="L1533" t="s">
        <v>505</v>
      </c>
      <c r="M1533" t="s">
        <v>46</v>
      </c>
      <c r="N1533" t="s">
        <v>47</v>
      </c>
      <c r="O1533">
        <v>1</v>
      </c>
      <c r="P1533">
        <v>1</v>
      </c>
      <c r="Q1533">
        <v>1</v>
      </c>
      <c r="R1533" t="s">
        <v>48</v>
      </c>
      <c r="S1533" t="s">
        <v>49</v>
      </c>
      <c r="T1533" s="3">
        <v>0.84</v>
      </c>
      <c r="U1533" s="3">
        <v>0.23</v>
      </c>
      <c r="V1533" s="3">
        <v>0.94</v>
      </c>
      <c r="W1533">
        <v>1.6</v>
      </c>
      <c r="X1533" t="s">
        <v>50</v>
      </c>
      <c r="Y1533" s="3">
        <v>9.19</v>
      </c>
      <c r="Z1533" t="s">
        <v>9686</v>
      </c>
      <c r="AA1533" t="s">
        <v>490</v>
      </c>
      <c r="AB1533" t="s">
        <v>53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f t="shared" si="46"/>
        <v>11.2</v>
      </c>
      <c r="AK1533" s="3">
        <f t="shared" si="47"/>
        <v>2.0099999999999998</v>
      </c>
    </row>
    <row r="1534" spans="1:37">
      <c r="A1534">
        <v>10362185</v>
      </c>
      <c r="B1534" t="s">
        <v>37</v>
      </c>
      <c r="C1534" t="s">
        <v>10206</v>
      </c>
      <c r="E1534" t="s">
        <v>687</v>
      </c>
      <c r="F1534" t="s">
        <v>10207</v>
      </c>
      <c r="G1534" t="s">
        <v>10208</v>
      </c>
      <c r="H1534" t="s">
        <v>42</v>
      </c>
      <c r="I1534" t="s">
        <v>10209</v>
      </c>
      <c r="J1534" t="s">
        <v>10210</v>
      </c>
      <c r="K1534">
        <v>24223</v>
      </c>
      <c r="L1534" t="s">
        <v>71</v>
      </c>
      <c r="M1534" t="s">
        <v>46</v>
      </c>
      <c r="N1534" t="s">
        <v>47</v>
      </c>
      <c r="O1534">
        <v>4</v>
      </c>
      <c r="P1534">
        <v>1</v>
      </c>
      <c r="Q1534">
        <v>4</v>
      </c>
      <c r="R1534" t="s">
        <v>48</v>
      </c>
      <c r="S1534" t="s">
        <v>49</v>
      </c>
      <c r="T1534" s="3">
        <v>0.84</v>
      </c>
      <c r="U1534" s="3">
        <v>0.23</v>
      </c>
      <c r="V1534" s="3">
        <v>3.55</v>
      </c>
      <c r="W1534">
        <v>0.83</v>
      </c>
      <c r="X1534" t="s">
        <v>108</v>
      </c>
      <c r="Y1534" s="3">
        <v>5.44</v>
      </c>
      <c r="Z1534" t="s">
        <v>9686</v>
      </c>
      <c r="AA1534" t="s">
        <v>10211</v>
      </c>
      <c r="AB1534" t="s">
        <v>53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f t="shared" si="46"/>
        <v>10.06</v>
      </c>
      <c r="AK1534" s="3">
        <f t="shared" si="47"/>
        <v>4.62</v>
      </c>
    </row>
    <row r="1535" spans="1:37">
      <c r="A1535">
        <v>10362187</v>
      </c>
      <c r="B1535" t="s">
        <v>37</v>
      </c>
      <c r="C1535" t="s">
        <v>10212</v>
      </c>
      <c r="D1535" t="s">
        <v>10213</v>
      </c>
      <c r="E1535" t="s">
        <v>2265</v>
      </c>
      <c r="F1535" t="s">
        <v>10214</v>
      </c>
      <c r="G1535" t="s">
        <v>10215</v>
      </c>
      <c r="H1535" t="s">
        <v>42</v>
      </c>
      <c r="I1535" t="s">
        <v>10216</v>
      </c>
      <c r="J1535" t="s">
        <v>10217</v>
      </c>
      <c r="K1535">
        <v>27283</v>
      </c>
      <c r="L1535" t="s">
        <v>71</v>
      </c>
      <c r="M1535" t="s">
        <v>46</v>
      </c>
      <c r="N1535" t="s">
        <v>47</v>
      </c>
      <c r="O1535">
        <v>1</v>
      </c>
      <c r="P1535">
        <v>1</v>
      </c>
      <c r="Q1535">
        <v>1</v>
      </c>
      <c r="R1535" t="s">
        <v>48</v>
      </c>
      <c r="S1535" t="s">
        <v>49</v>
      </c>
      <c r="T1535" s="3">
        <v>0.84</v>
      </c>
      <c r="U1535" s="3">
        <v>0.23</v>
      </c>
      <c r="V1535" s="3">
        <v>0.94</v>
      </c>
      <c r="W1535">
        <v>0.15</v>
      </c>
      <c r="X1535" t="s">
        <v>108</v>
      </c>
      <c r="Y1535" s="3">
        <v>5.14</v>
      </c>
      <c r="Z1535" t="s">
        <v>9850</v>
      </c>
      <c r="AA1535" t="s">
        <v>10218</v>
      </c>
      <c r="AB1535" t="s">
        <v>53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f t="shared" si="46"/>
        <v>7.15</v>
      </c>
      <c r="AK1535" s="3">
        <f t="shared" si="47"/>
        <v>2.0100000000000007</v>
      </c>
    </row>
    <row r="1536" spans="1:37">
      <c r="A1536">
        <v>10362065</v>
      </c>
      <c r="B1536" t="s">
        <v>37</v>
      </c>
      <c r="C1536" t="s">
        <v>10219</v>
      </c>
      <c r="E1536" t="s">
        <v>10220</v>
      </c>
      <c r="F1536" t="s">
        <v>10221</v>
      </c>
      <c r="G1536" t="s">
        <v>10222</v>
      </c>
      <c r="H1536" t="s">
        <v>42</v>
      </c>
      <c r="I1536" t="s">
        <v>10223</v>
      </c>
      <c r="J1536" t="s">
        <v>10224</v>
      </c>
      <c r="K1536" t="s">
        <v>10225</v>
      </c>
      <c r="L1536" t="s">
        <v>82</v>
      </c>
      <c r="M1536" t="s">
        <v>46</v>
      </c>
      <c r="N1536" t="s">
        <v>47</v>
      </c>
      <c r="O1536">
        <v>1</v>
      </c>
      <c r="P1536">
        <v>1</v>
      </c>
      <c r="Q1536">
        <v>1</v>
      </c>
      <c r="R1536" t="s">
        <v>48</v>
      </c>
      <c r="S1536" t="s">
        <v>49</v>
      </c>
      <c r="T1536" s="3">
        <v>0.84</v>
      </c>
      <c r="U1536" s="3">
        <v>0.23</v>
      </c>
      <c r="V1536" s="3">
        <v>0.94</v>
      </c>
      <c r="W1536">
        <v>0.49</v>
      </c>
      <c r="X1536" t="s">
        <v>50</v>
      </c>
      <c r="Y1536" s="3">
        <v>9.19</v>
      </c>
      <c r="Z1536" t="s">
        <v>9850</v>
      </c>
      <c r="AA1536" t="s">
        <v>1652</v>
      </c>
      <c r="AB1536" t="s">
        <v>53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f t="shared" si="46"/>
        <v>11.2</v>
      </c>
      <c r="AK1536" s="3">
        <f t="shared" si="47"/>
        <v>2.0099999999999998</v>
      </c>
    </row>
    <row r="1537" spans="1:37">
      <c r="A1537">
        <v>10358992</v>
      </c>
      <c r="B1537" t="s">
        <v>37</v>
      </c>
      <c r="C1537" t="s">
        <v>10226</v>
      </c>
      <c r="D1537" t="s">
        <v>10227</v>
      </c>
      <c r="E1537" t="s">
        <v>1324</v>
      </c>
      <c r="F1537" t="s">
        <v>10228</v>
      </c>
      <c r="G1537" t="s">
        <v>10229</v>
      </c>
      <c r="H1537" t="s">
        <v>42</v>
      </c>
      <c r="I1537" t="s">
        <v>10230</v>
      </c>
      <c r="J1537" t="s">
        <v>10231</v>
      </c>
      <c r="K1537">
        <v>18347</v>
      </c>
      <c r="L1537" t="s">
        <v>71</v>
      </c>
      <c r="M1537" t="s">
        <v>46</v>
      </c>
      <c r="N1537" t="s">
        <v>47</v>
      </c>
      <c r="O1537">
        <v>1</v>
      </c>
      <c r="P1537">
        <v>1</v>
      </c>
      <c r="Q1537">
        <v>1</v>
      </c>
      <c r="R1537" t="s">
        <v>48</v>
      </c>
      <c r="S1537" t="s">
        <v>49</v>
      </c>
      <c r="T1537" s="3">
        <v>0.84</v>
      </c>
      <c r="U1537" s="3">
        <v>0.23</v>
      </c>
      <c r="V1537" s="3">
        <v>0.94</v>
      </c>
      <c r="W1537">
        <v>2</v>
      </c>
      <c r="X1537" t="s">
        <v>108</v>
      </c>
      <c r="Y1537" s="3">
        <v>5.44</v>
      </c>
      <c r="Z1537" t="s">
        <v>9686</v>
      </c>
      <c r="AA1537" t="s">
        <v>4162</v>
      </c>
      <c r="AB1537" t="s">
        <v>53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5</v>
      </c>
      <c r="AI1537" s="3">
        <v>0</v>
      </c>
      <c r="AJ1537" s="3">
        <f t="shared" si="46"/>
        <v>12.450000000000001</v>
      </c>
      <c r="AK1537" s="3">
        <f t="shared" si="47"/>
        <v>7.0100000000000007</v>
      </c>
    </row>
    <row r="1538" spans="1:37">
      <c r="A1538">
        <v>10362638</v>
      </c>
      <c r="B1538" t="s">
        <v>37</v>
      </c>
      <c r="C1538" t="s">
        <v>10232</v>
      </c>
      <c r="E1538" t="s">
        <v>10233</v>
      </c>
      <c r="F1538" t="s">
        <v>10234</v>
      </c>
      <c r="G1538" t="s">
        <v>10235</v>
      </c>
      <c r="H1538" t="s">
        <v>42</v>
      </c>
      <c r="I1538" t="s">
        <v>10236</v>
      </c>
      <c r="J1538" t="s">
        <v>10237</v>
      </c>
      <c r="K1538">
        <v>10318</v>
      </c>
      <c r="L1538" t="s">
        <v>71</v>
      </c>
      <c r="M1538" t="s">
        <v>46</v>
      </c>
      <c r="N1538" t="s">
        <v>47</v>
      </c>
      <c r="O1538">
        <v>2</v>
      </c>
      <c r="P1538">
        <v>1</v>
      </c>
      <c r="Q1538">
        <v>2</v>
      </c>
      <c r="R1538" t="s">
        <v>48</v>
      </c>
      <c r="S1538" t="s">
        <v>49</v>
      </c>
      <c r="T1538" s="3">
        <v>0.84</v>
      </c>
      <c r="U1538" s="3">
        <v>0.23</v>
      </c>
      <c r="V1538" s="3">
        <v>1.81</v>
      </c>
      <c r="W1538">
        <v>0.98</v>
      </c>
      <c r="X1538" t="s">
        <v>108</v>
      </c>
      <c r="Y1538" s="3">
        <v>5.14</v>
      </c>
      <c r="Z1538" t="s">
        <v>9850</v>
      </c>
      <c r="AA1538" t="s">
        <v>10238</v>
      </c>
      <c r="AB1538" t="s">
        <v>53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f t="shared" ref="AJ1538:AJ1601" si="48">AI1538+AH1538+AG1538+AF1538+AE1538+AD1538+AC1538+Y1538+V1538+U1538+T1538</f>
        <v>8.02</v>
      </c>
      <c r="AK1538" s="3">
        <f t="shared" ref="AK1538:AK1601" si="49">AJ1538-Y1538</f>
        <v>2.88</v>
      </c>
    </row>
    <row r="1539" spans="1:37">
      <c r="A1539">
        <v>10362639</v>
      </c>
      <c r="B1539" t="s">
        <v>37</v>
      </c>
      <c r="C1539" t="s">
        <v>10239</v>
      </c>
      <c r="E1539" t="s">
        <v>10240</v>
      </c>
      <c r="F1539" t="s">
        <v>10241</v>
      </c>
      <c r="G1539" t="s">
        <v>10242</v>
      </c>
      <c r="H1539" t="s">
        <v>42</v>
      </c>
      <c r="I1539" t="s">
        <v>10243</v>
      </c>
      <c r="J1539" t="s">
        <v>10244</v>
      </c>
      <c r="K1539">
        <v>1200</v>
      </c>
      <c r="L1539" t="s">
        <v>618</v>
      </c>
      <c r="M1539" t="s">
        <v>46</v>
      </c>
      <c r="N1539" t="s">
        <v>47</v>
      </c>
      <c r="O1539">
        <v>2</v>
      </c>
      <c r="P1539">
        <v>1</v>
      </c>
      <c r="Q1539">
        <v>2</v>
      </c>
      <c r="R1539" t="s">
        <v>48</v>
      </c>
      <c r="S1539" t="s">
        <v>49</v>
      </c>
      <c r="T1539" s="3">
        <v>0.84</v>
      </c>
      <c r="U1539" s="3">
        <v>0.23</v>
      </c>
      <c r="V1539" s="3">
        <v>1.81</v>
      </c>
      <c r="W1539">
        <v>0.98</v>
      </c>
      <c r="X1539" t="s">
        <v>50</v>
      </c>
      <c r="Y1539" s="3">
        <v>9.19</v>
      </c>
      <c r="Z1539" t="s">
        <v>9850</v>
      </c>
      <c r="AA1539" t="s">
        <v>10245</v>
      </c>
      <c r="AB1539" t="s">
        <v>53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f t="shared" si="48"/>
        <v>12.07</v>
      </c>
      <c r="AK1539" s="3">
        <f t="shared" si="49"/>
        <v>2.8800000000000008</v>
      </c>
    </row>
    <row r="1540" spans="1:37">
      <c r="A1540">
        <v>10354154</v>
      </c>
      <c r="B1540" t="s">
        <v>37</v>
      </c>
      <c r="C1540" t="s">
        <v>10246</v>
      </c>
      <c r="E1540" t="s">
        <v>4843</v>
      </c>
      <c r="F1540" t="s">
        <v>5780</v>
      </c>
      <c r="G1540" t="s">
        <v>10247</v>
      </c>
      <c r="H1540" t="s">
        <v>42</v>
      </c>
      <c r="I1540" t="s">
        <v>10248</v>
      </c>
      <c r="J1540" t="s">
        <v>10249</v>
      </c>
      <c r="K1540" t="s">
        <v>10250</v>
      </c>
      <c r="L1540" t="s">
        <v>142</v>
      </c>
      <c r="M1540" t="s">
        <v>46</v>
      </c>
      <c r="N1540" t="s">
        <v>47</v>
      </c>
      <c r="O1540">
        <v>7</v>
      </c>
      <c r="P1540">
        <v>1</v>
      </c>
      <c r="Q1540">
        <v>7</v>
      </c>
      <c r="R1540" t="s">
        <v>48</v>
      </c>
      <c r="S1540" t="s">
        <v>49</v>
      </c>
      <c r="T1540" s="3">
        <v>0.84</v>
      </c>
      <c r="U1540" s="3">
        <v>0.23</v>
      </c>
      <c r="V1540" s="3">
        <v>6.16</v>
      </c>
      <c r="W1540">
        <v>1.41</v>
      </c>
      <c r="X1540" t="s">
        <v>50</v>
      </c>
      <c r="Y1540" s="3">
        <v>16.43</v>
      </c>
      <c r="Z1540" t="s">
        <v>73</v>
      </c>
      <c r="AA1540" t="s">
        <v>10251</v>
      </c>
      <c r="AB1540" t="s">
        <v>53</v>
      </c>
      <c r="AC1540" s="3">
        <v>1.29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f t="shared" si="48"/>
        <v>24.95</v>
      </c>
      <c r="AK1540" s="3">
        <f t="shared" si="49"/>
        <v>8.52</v>
      </c>
    </row>
    <row r="1541" spans="1:37">
      <c r="A1541">
        <v>10363475</v>
      </c>
      <c r="B1541" t="s">
        <v>37</v>
      </c>
      <c r="C1541" t="s">
        <v>10252</v>
      </c>
      <c r="E1541" t="s">
        <v>10253</v>
      </c>
      <c r="F1541" t="s">
        <v>10254</v>
      </c>
      <c r="G1541" t="s">
        <v>10255</v>
      </c>
      <c r="H1541" t="s">
        <v>42</v>
      </c>
      <c r="I1541" t="s">
        <v>10256</v>
      </c>
      <c r="J1541" t="s">
        <v>10257</v>
      </c>
      <c r="K1541">
        <v>1332</v>
      </c>
      <c r="L1541" t="s">
        <v>505</v>
      </c>
      <c r="M1541" t="s">
        <v>46</v>
      </c>
      <c r="N1541" t="s">
        <v>47</v>
      </c>
      <c r="O1541">
        <v>4</v>
      </c>
      <c r="P1541">
        <v>1</v>
      </c>
      <c r="Q1541">
        <v>4</v>
      </c>
      <c r="R1541" t="s">
        <v>48</v>
      </c>
      <c r="S1541" t="s">
        <v>49</v>
      </c>
      <c r="T1541" s="3">
        <v>0.84</v>
      </c>
      <c r="U1541" s="3">
        <v>0.23</v>
      </c>
      <c r="V1541" s="3">
        <v>3.55</v>
      </c>
      <c r="W1541">
        <v>1.88</v>
      </c>
      <c r="X1541" t="s">
        <v>50</v>
      </c>
      <c r="Y1541" s="3">
        <v>9.19</v>
      </c>
      <c r="Z1541" t="s">
        <v>9686</v>
      </c>
      <c r="AA1541" t="s">
        <v>10258</v>
      </c>
      <c r="AB1541" t="s">
        <v>53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f t="shared" si="48"/>
        <v>13.809999999999999</v>
      </c>
      <c r="AK1541" s="3">
        <f t="shared" si="49"/>
        <v>4.6199999999999992</v>
      </c>
    </row>
    <row r="1542" spans="1:37">
      <c r="A1542">
        <v>10363303</v>
      </c>
      <c r="B1542" t="s">
        <v>37</v>
      </c>
      <c r="C1542" t="s">
        <v>10259</v>
      </c>
      <c r="E1542" t="s">
        <v>1608</v>
      </c>
      <c r="F1542" t="s">
        <v>10260</v>
      </c>
      <c r="G1542" t="s">
        <v>10261</v>
      </c>
      <c r="H1542" t="s">
        <v>42</v>
      </c>
      <c r="I1542" t="s">
        <v>10262</v>
      </c>
      <c r="J1542" t="s">
        <v>10263</v>
      </c>
      <c r="K1542">
        <v>56727</v>
      </c>
      <c r="L1542" t="s">
        <v>71</v>
      </c>
      <c r="M1542" t="s">
        <v>46</v>
      </c>
      <c r="N1542" t="s">
        <v>47</v>
      </c>
      <c r="O1542">
        <v>4</v>
      </c>
      <c r="P1542">
        <v>1</v>
      </c>
      <c r="Q1542">
        <v>4</v>
      </c>
      <c r="R1542" t="s">
        <v>48</v>
      </c>
      <c r="S1542" t="s">
        <v>49</v>
      </c>
      <c r="T1542" s="3">
        <v>0.84</v>
      </c>
      <c r="U1542" s="3">
        <v>0.23</v>
      </c>
      <c r="V1542" s="3">
        <v>3.55</v>
      </c>
      <c r="W1542">
        <v>1.96</v>
      </c>
      <c r="X1542" t="s">
        <v>108</v>
      </c>
      <c r="Y1542" s="3">
        <v>5.14</v>
      </c>
      <c r="Z1542" t="s">
        <v>9686</v>
      </c>
      <c r="AA1542" t="s">
        <v>1371</v>
      </c>
      <c r="AB1542" t="s">
        <v>53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f t="shared" si="48"/>
        <v>9.76</v>
      </c>
      <c r="AK1542" s="3">
        <f t="shared" si="49"/>
        <v>4.62</v>
      </c>
    </row>
    <row r="1543" spans="1:37">
      <c r="A1543">
        <v>10360127</v>
      </c>
      <c r="B1543" t="s">
        <v>37</v>
      </c>
      <c r="C1543" t="s">
        <v>10264</v>
      </c>
      <c r="E1543" t="s">
        <v>4756</v>
      </c>
      <c r="F1543" t="s">
        <v>10265</v>
      </c>
      <c r="G1543" t="s">
        <v>10266</v>
      </c>
      <c r="H1543" t="s">
        <v>42</v>
      </c>
      <c r="I1543" t="s">
        <v>10267</v>
      </c>
      <c r="J1543" t="s">
        <v>10268</v>
      </c>
      <c r="K1543" t="s">
        <v>10269</v>
      </c>
      <c r="L1543" t="s">
        <v>142</v>
      </c>
      <c r="M1543" t="s">
        <v>46</v>
      </c>
      <c r="N1543" t="s">
        <v>47</v>
      </c>
      <c r="O1543">
        <v>3</v>
      </c>
      <c r="P1543">
        <v>1</v>
      </c>
      <c r="Q1543">
        <v>3</v>
      </c>
      <c r="R1543" t="s">
        <v>48</v>
      </c>
      <c r="S1543" t="s">
        <v>49</v>
      </c>
      <c r="T1543" s="3">
        <v>0.84</v>
      </c>
      <c r="U1543" s="3">
        <v>0.23</v>
      </c>
      <c r="V1543" s="3">
        <v>2.68</v>
      </c>
      <c r="W1543">
        <v>0.99</v>
      </c>
      <c r="X1543" t="s">
        <v>50</v>
      </c>
      <c r="Y1543" s="3">
        <v>16.43</v>
      </c>
      <c r="Z1543" t="s">
        <v>9686</v>
      </c>
      <c r="AA1543" t="s">
        <v>10270</v>
      </c>
      <c r="AB1543" t="s">
        <v>53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f t="shared" si="48"/>
        <v>20.18</v>
      </c>
      <c r="AK1543" s="3">
        <f t="shared" si="49"/>
        <v>3.75</v>
      </c>
    </row>
    <row r="1544" spans="1:37">
      <c r="A1544">
        <v>10363300</v>
      </c>
      <c r="B1544" t="s">
        <v>37</v>
      </c>
      <c r="C1544" t="s">
        <v>10271</v>
      </c>
      <c r="E1544" t="s">
        <v>10272</v>
      </c>
      <c r="F1544" t="s">
        <v>10273</v>
      </c>
      <c r="G1544" t="s">
        <v>10274</v>
      </c>
      <c r="H1544" t="s">
        <v>42</v>
      </c>
      <c r="I1544" t="s">
        <v>10275</v>
      </c>
      <c r="J1544" t="s">
        <v>10276</v>
      </c>
      <c r="K1544" t="s">
        <v>10277</v>
      </c>
      <c r="L1544" t="s">
        <v>82</v>
      </c>
      <c r="M1544" t="s">
        <v>46</v>
      </c>
      <c r="N1544" t="s">
        <v>47</v>
      </c>
      <c r="O1544">
        <v>5</v>
      </c>
      <c r="P1544">
        <v>1</v>
      </c>
      <c r="Q1544">
        <v>5</v>
      </c>
      <c r="R1544" t="s">
        <v>48</v>
      </c>
      <c r="S1544" t="s">
        <v>49</v>
      </c>
      <c r="T1544" s="3">
        <v>0.84</v>
      </c>
      <c r="U1544" s="3">
        <v>0.23</v>
      </c>
      <c r="V1544" s="3">
        <v>4.42</v>
      </c>
      <c r="W1544">
        <v>1.64</v>
      </c>
      <c r="X1544" t="s">
        <v>50</v>
      </c>
      <c r="Y1544" s="3">
        <v>9.19</v>
      </c>
      <c r="Z1544" t="s">
        <v>9686</v>
      </c>
      <c r="AA1544" t="s">
        <v>10278</v>
      </c>
      <c r="AB1544" t="s">
        <v>53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f t="shared" si="48"/>
        <v>14.68</v>
      </c>
      <c r="AK1544" s="3">
        <f t="shared" si="49"/>
        <v>5.49</v>
      </c>
    </row>
    <row r="1545" spans="1:37">
      <c r="A1545">
        <v>10363893</v>
      </c>
      <c r="B1545" t="s">
        <v>37</v>
      </c>
      <c r="C1545" t="s">
        <v>10279</v>
      </c>
      <c r="E1545" t="s">
        <v>1527</v>
      </c>
      <c r="F1545" t="s">
        <v>10280</v>
      </c>
      <c r="G1545" t="s">
        <v>10281</v>
      </c>
      <c r="H1545" t="s">
        <v>42</v>
      </c>
      <c r="I1545" t="s">
        <v>10282</v>
      </c>
      <c r="J1545" t="s">
        <v>10283</v>
      </c>
      <c r="K1545">
        <v>1050</v>
      </c>
      <c r="L1545" t="s">
        <v>505</v>
      </c>
      <c r="M1545" t="s">
        <v>46</v>
      </c>
      <c r="N1545" t="s">
        <v>47</v>
      </c>
      <c r="O1545">
        <v>3</v>
      </c>
      <c r="P1545">
        <v>1</v>
      </c>
      <c r="Q1545">
        <v>3</v>
      </c>
      <c r="R1545" t="s">
        <v>48</v>
      </c>
      <c r="S1545" t="s">
        <v>49</v>
      </c>
      <c r="T1545" s="3">
        <v>0.84</v>
      </c>
      <c r="U1545" s="3">
        <v>0.23</v>
      </c>
      <c r="V1545" s="3">
        <v>2.68</v>
      </c>
      <c r="W1545">
        <v>1.17</v>
      </c>
      <c r="X1545" t="s">
        <v>50</v>
      </c>
      <c r="Y1545" s="3">
        <v>9.19</v>
      </c>
      <c r="Z1545" t="s">
        <v>9686</v>
      </c>
      <c r="AA1545" t="s">
        <v>9414</v>
      </c>
      <c r="AB1545" t="s">
        <v>53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f t="shared" si="48"/>
        <v>12.94</v>
      </c>
      <c r="AK1545" s="3">
        <f t="shared" si="49"/>
        <v>3.75</v>
      </c>
    </row>
    <row r="1546" spans="1:37">
      <c r="A1546">
        <v>10364719</v>
      </c>
      <c r="B1546" t="s">
        <v>37</v>
      </c>
      <c r="C1546" t="s">
        <v>10284</v>
      </c>
      <c r="E1546" t="s">
        <v>10285</v>
      </c>
      <c r="F1546" t="s">
        <v>10286</v>
      </c>
      <c r="G1546" t="s">
        <v>10287</v>
      </c>
      <c r="H1546" t="s">
        <v>42</v>
      </c>
      <c r="I1546" t="s">
        <v>10288</v>
      </c>
      <c r="J1546" t="s">
        <v>10289</v>
      </c>
      <c r="K1546">
        <v>2820</v>
      </c>
      <c r="L1546" t="s">
        <v>505</v>
      </c>
      <c r="M1546" t="s">
        <v>46</v>
      </c>
      <c r="N1546" t="s">
        <v>47</v>
      </c>
      <c r="O1546">
        <v>4</v>
      </c>
      <c r="P1546">
        <v>1</v>
      </c>
      <c r="Q1546">
        <v>4</v>
      </c>
      <c r="R1546" t="s">
        <v>48</v>
      </c>
      <c r="S1546" t="s">
        <v>49</v>
      </c>
      <c r="T1546" s="3">
        <v>0.84</v>
      </c>
      <c r="U1546" s="3">
        <v>0.23</v>
      </c>
      <c r="V1546" s="3">
        <v>3.55</v>
      </c>
      <c r="W1546">
        <v>1.18</v>
      </c>
      <c r="X1546" t="s">
        <v>50</v>
      </c>
      <c r="Y1546" s="3">
        <v>10.58</v>
      </c>
      <c r="Z1546" t="s">
        <v>73</v>
      </c>
      <c r="AA1546" t="s">
        <v>10290</v>
      </c>
      <c r="AB1546" t="s">
        <v>53</v>
      </c>
      <c r="AC1546" s="3">
        <v>1.29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f t="shared" si="48"/>
        <v>16.490000000000002</v>
      </c>
      <c r="AK1546" s="3">
        <f t="shared" si="49"/>
        <v>5.9100000000000019</v>
      </c>
    </row>
    <row r="1547" spans="1:37">
      <c r="A1547">
        <v>10364054</v>
      </c>
      <c r="B1547" t="s">
        <v>37</v>
      </c>
      <c r="C1547" t="s">
        <v>10291</v>
      </c>
      <c r="E1547" t="s">
        <v>10292</v>
      </c>
      <c r="F1547" t="s">
        <v>10292</v>
      </c>
      <c r="G1547" t="s">
        <v>10293</v>
      </c>
      <c r="H1547" t="s">
        <v>42</v>
      </c>
      <c r="I1547" t="s">
        <v>10294</v>
      </c>
      <c r="J1547" t="s">
        <v>10295</v>
      </c>
      <c r="K1547" t="s">
        <v>10296</v>
      </c>
      <c r="L1547" t="s">
        <v>142</v>
      </c>
      <c r="M1547" t="s">
        <v>46</v>
      </c>
      <c r="N1547" t="s">
        <v>47</v>
      </c>
      <c r="O1547">
        <v>4</v>
      </c>
      <c r="P1547">
        <v>1</v>
      </c>
      <c r="Q1547">
        <v>4</v>
      </c>
      <c r="R1547" t="s">
        <v>48</v>
      </c>
      <c r="S1547" t="s">
        <v>49</v>
      </c>
      <c r="T1547" s="3">
        <v>0.84</v>
      </c>
      <c r="U1547" s="3">
        <v>0.23</v>
      </c>
      <c r="V1547" s="3">
        <v>3.55</v>
      </c>
      <c r="W1547">
        <v>1.56</v>
      </c>
      <c r="X1547" t="s">
        <v>50</v>
      </c>
      <c r="Y1547" s="3">
        <v>16.43</v>
      </c>
      <c r="Z1547" t="s">
        <v>9686</v>
      </c>
      <c r="AA1547" t="s">
        <v>583</v>
      </c>
      <c r="AB1547" t="s">
        <v>53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f t="shared" si="48"/>
        <v>21.05</v>
      </c>
      <c r="AK1547" s="3">
        <f t="shared" si="49"/>
        <v>4.620000000000001</v>
      </c>
    </row>
    <row r="1548" spans="1:37">
      <c r="A1548">
        <v>10364056</v>
      </c>
      <c r="B1548" t="s">
        <v>37</v>
      </c>
      <c r="C1548" t="s">
        <v>10297</v>
      </c>
      <c r="E1548" t="s">
        <v>10298</v>
      </c>
      <c r="F1548" t="s">
        <v>10299</v>
      </c>
      <c r="G1548" t="s">
        <v>10300</v>
      </c>
      <c r="H1548" t="s">
        <v>42</v>
      </c>
      <c r="I1548" t="s">
        <v>10301</v>
      </c>
      <c r="J1548" t="s">
        <v>10302</v>
      </c>
      <c r="K1548" t="s">
        <v>10303</v>
      </c>
      <c r="L1548" t="s">
        <v>142</v>
      </c>
      <c r="M1548" t="s">
        <v>46</v>
      </c>
      <c r="N1548" t="s">
        <v>47</v>
      </c>
      <c r="O1548">
        <v>3</v>
      </c>
      <c r="P1548">
        <v>1</v>
      </c>
      <c r="Q1548">
        <v>3</v>
      </c>
      <c r="R1548" t="s">
        <v>48</v>
      </c>
      <c r="S1548" t="s">
        <v>49</v>
      </c>
      <c r="T1548" s="3">
        <v>0.84</v>
      </c>
      <c r="U1548" s="3">
        <v>0.23</v>
      </c>
      <c r="V1548" s="3">
        <v>2.68</v>
      </c>
      <c r="W1548">
        <v>1.01</v>
      </c>
      <c r="X1548" t="s">
        <v>50</v>
      </c>
      <c r="Y1548" s="3">
        <v>16.43</v>
      </c>
      <c r="Z1548" t="s">
        <v>9850</v>
      </c>
      <c r="AA1548" t="s">
        <v>10304</v>
      </c>
      <c r="AB1548" t="s">
        <v>53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f t="shared" si="48"/>
        <v>20.18</v>
      </c>
      <c r="AK1548" s="3">
        <f t="shared" si="49"/>
        <v>3.75</v>
      </c>
    </row>
    <row r="1549" spans="1:37">
      <c r="A1549">
        <v>10363693</v>
      </c>
      <c r="B1549" t="s">
        <v>37</v>
      </c>
      <c r="C1549" t="s">
        <v>10305</v>
      </c>
      <c r="E1549" t="s">
        <v>1336</v>
      </c>
      <c r="F1549" t="s">
        <v>10306</v>
      </c>
      <c r="G1549" t="s">
        <v>10307</v>
      </c>
      <c r="H1549" t="s">
        <v>42</v>
      </c>
      <c r="I1549" t="s">
        <v>10308</v>
      </c>
      <c r="J1549" t="s">
        <v>10309</v>
      </c>
      <c r="K1549">
        <v>2230</v>
      </c>
      <c r="L1549" t="s">
        <v>618</v>
      </c>
      <c r="M1549" t="s">
        <v>46</v>
      </c>
      <c r="N1549" t="s">
        <v>47</v>
      </c>
      <c r="O1549">
        <v>4</v>
      </c>
      <c r="P1549">
        <v>1</v>
      </c>
      <c r="Q1549">
        <v>4</v>
      </c>
      <c r="R1549" t="s">
        <v>48</v>
      </c>
      <c r="S1549" t="s">
        <v>49</v>
      </c>
      <c r="T1549" s="3">
        <v>0.84</v>
      </c>
      <c r="U1549" s="3">
        <v>0.23</v>
      </c>
      <c r="V1549" s="3">
        <v>3.55</v>
      </c>
      <c r="W1549">
        <v>1.56</v>
      </c>
      <c r="X1549" t="s">
        <v>50</v>
      </c>
      <c r="Y1549" s="3">
        <v>9.19</v>
      </c>
      <c r="Z1549" t="s">
        <v>9686</v>
      </c>
      <c r="AA1549" t="s">
        <v>10310</v>
      </c>
      <c r="AB1549" t="s">
        <v>53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f t="shared" si="48"/>
        <v>13.809999999999999</v>
      </c>
      <c r="AK1549" s="3">
        <f t="shared" si="49"/>
        <v>4.6199999999999992</v>
      </c>
    </row>
    <row r="1550" spans="1:37">
      <c r="A1550">
        <v>10366468</v>
      </c>
      <c r="B1550" t="s">
        <v>37</v>
      </c>
      <c r="C1550" t="s">
        <v>10311</v>
      </c>
      <c r="E1550" t="s">
        <v>2512</v>
      </c>
      <c r="F1550" t="s">
        <v>4785</v>
      </c>
      <c r="G1550" t="s">
        <v>10312</v>
      </c>
      <c r="H1550" t="s">
        <v>42</v>
      </c>
      <c r="I1550" t="s">
        <v>10313</v>
      </c>
      <c r="J1550" t="s">
        <v>10314</v>
      </c>
      <c r="K1550" t="s">
        <v>10315</v>
      </c>
      <c r="L1550" t="s">
        <v>142</v>
      </c>
      <c r="M1550" t="s">
        <v>46</v>
      </c>
      <c r="N1550" t="s">
        <v>47</v>
      </c>
      <c r="O1550">
        <v>1</v>
      </c>
      <c r="P1550">
        <v>1</v>
      </c>
      <c r="Q1550">
        <v>1</v>
      </c>
      <c r="R1550" t="s">
        <v>48</v>
      </c>
      <c r="S1550" t="s">
        <v>49</v>
      </c>
      <c r="T1550" s="3">
        <v>0.84</v>
      </c>
      <c r="U1550" s="3">
        <v>0.23</v>
      </c>
      <c r="V1550" s="3">
        <v>0.94</v>
      </c>
      <c r="W1550">
        <v>2</v>
      </c>
      <c r="X1550" t="s">
        <v>50</v>
      </c>
      <c r="Y1550" s="3">
        <v>16.43</v>
      </c>
      <c r="Z1550" t="s">
        <v>9850</v>
      </c>
      <c r="AA1550" t="s">
        <v>6113</v>
      </c>
      <c r="AB1550" t="s">
        <v>53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f t="shared" si="48"/>
        <v>18.440000000000001</v>
      </c>
      <c r="AK1550" s="3">
        <f t="shared" si="49"/>
        <v>2.0100000000000016</v>
      </c>
    </row>
    <row r="1551" spans="1:37">
      <c r="A1551">
        <v>10365058</v>
      </c>
      <c r="B1551" t="s">
        <v>37</v>
      </c>
      <c r="C1551" t="s">
        <v>10316</v>
      </c>
      <c r="E1551" t="s">
        <v>314</v>
      </c>
      <c r="F1551" t="s">
        <v>10317</v>
      </c>
      <c r="G1551" t="s">
        <v>10318</v>
      </c>
      <c r="H1551" t="s">
        <v>42</v>
      </c>
      <c r="I1551" t="s">
        <v>10319</v>
      </c>
      <c r="J1551" t="s">
        <v>10320</v>
      </c>
      <c r="K1551">
        <v>3001</v>
      </c>
      <c r="L1551" t="s">
        <v>505</v>
      </c>
      <c r="M1551" t="s">
        <v>46</v>
      </c>
      <c r="N1551" t="s">
        <v>47</v>
      </c>
      <c r="O1551">
        <v>1</v>
      </c>
      <c r="P1551">
        <v>1</v>
      </c>
      <c r="Q1551">
        <v>1</v>
      </c>
      <c r="R1551" t="s">
        <v>48</v>
      </c>
      <c r="S1551" t="s">
        <v>49</v>
      </c>
      <c r="T1551" s="3">
        <v>0.84</v>
      </c>
      <c r="U1551" s="3">
        <v>0.23</v>
      </c>
      <c r="V1551" s="3">
        <v>0.94</v>
      </c>
      <c r="W1551">
        <v>0.39</v>
      </c>
      <c r="X1551" t="s">
        <v>50</v>
      </c>
      <c r="Y1551" s="3">
        <v>9.19</v>
      </c>
      <c r="Z1551" t="s">
        <v>9850</v>
      </c>
      <c r="AA1551" t="s">
        <v>3510</v>
      </c>
      <c r="AB1551" t="s">
        <v>53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f t="shared" si="48"/>
        <v>11.2</v>
      </c>
      <c r="AK1551" s="3">
        <f t="shared" si="49"/>
        <v>2.0099999999999998</v>
      </c>
    </row>
    <row r="1552" spans="1:37">
      <c r="A1552">
        <v>10366670</v>
      </c>
      <c r="B1552" t="s">
        <v>37</v>
      </c>
      <c r="C1552" t="s">
        <v>10321</v>
      </c>
      <c r="E1552" t="s">
        <v>10322</v>
      </c>
      <c r="F1552" t="s">
        <v>10323</v>
      </c>
      <c r="G1552" t="s">
        <v>10324</v>
      </c>
      <c r="H1552" t="s">
        <v>42</v>
      </c>
      <c r="I1552" t="s">
        <v>10325</v>
      </c>
      <c r="J1552" t="s">
        <v>10326</v>
      </c>
      <c r="K1552">
        <v>70197</v>
      </c>
      <c r="L1552" t="s">
        <v>71</v>
      </c>
      <c r="M1552" t="s">
        <v>46</v>
      </c>
      <c r="N1552" t="s">
        <v>47</v>
      </c>
      <c r="O1552">
        <v>1</v>
      </c>
      <c r="P1552">
        <v>1</v>
      </c>
      <c r="Q1552">
        <v>1</v>
      </c>
      <c r="R1552" t="s">
        <v>48</v>
      </c>
      <c r="S1552" t="s">
        <v>49</v>
      </c>
      <c r="T1552" s="3">
        <v>0.84</v>
      </c>
      <c r="U1552" s="3">
        <v>0.23</v>
      </c>
      <c r="V1552" s="3">
        <v>0.94</v>
      </c>
      <c r="W1552">
        <v>0.39</v>
      </c>
      <c r="X1552" t="s">
        <v>108</v>
      </c>
      <c r="Y1552" s="3">
        <v>5.14</v>
      </c>
      <c r="Z1552" t="s">
        <v>9850</v>
      </c>
      <c r="AA1552" t="s">
        <v>10327</v>
      </c>
      <c r="AB1552" t="s">
        <v>53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f t="shared" si="48"/>
        <v>7.15</v>
      </c>
      <c r="AK1552" s="3">
        <f t="shared" si="49"/>
        <v>2.0100000000000007</v>
      </c>
    </row>
    <row r="1553" spans="1:37">
      <c r="A1553">
        <v>10369713</v>
      </c>
      <c r="B1553" t="s">
        <v>37</v>
      </c>
      <c r="C1553" t="s">
        <v>10328</v>
      </c>
      <c r="E1553" t="s">
        <v>254</v>
      </c>
      <c r="F1553" t="s">
        <v>10329</v>
      </c>
      <c r="G1553" t="s">
        <v>10330</v>
      </c>
      <c r="H1553" t="s">
        <v>42</v>
      </c>
      <c r="I1553" t="s">
        <v>10331</v>
      </c>
      <c r="J1553" t="s">
        <v>10332</v>
      </c>
      <c r="K1553">
        <v>27804</v>
      </c>
      <c r="L1553" t="s">
        <v>71</v>
      </c>
      <c r="M1553" t="s">
        <v>46</v>
      </c>
      <c r="N1553" t="s">
        <v>47</v>
      </c>
      <c r="O1553">
        <v>1</v>
      </c>
      <c r="P1553">
        <v>1</v>
      </c>
      <c r="Q1553">
        <v>1</v>
      </c>
      <c r="R1553" t="s">
        <v>48</v>
      </c>
      <c r="S1553" t="s">
        <v>49</v>
      </c>
      <c r="T1553" s="3">
        <v>0.84</v>
      </c>
      <c r="U1553" s="3">
        <v>0.23</v>
      </c>
      <c r="V1553" s="3">
        <v>0.94</v>
      </c>
      <c r="W1553">
        <v>0.49</v>
      </c>
      <c r="X1553" t="s">
        <v>108</v>
      </c>
      <c r="Y1553" s="3">
        <v>5.14</v>
      </c>
      <c r="Z1553" t="s">
        <v>9850</v>
      </c>
      <c r="AA1553" t="s">
        <v>10333</v>
      </c>
      <c r="AB1553" t="s">
        <v>53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f t="shared" si="48"/>
        <v>7.15</v>
      </c>
      <c r="AK1553" s="3">
        <f t="shared" si="49"/>
        <v>2.0100000000000007</v>
      </c>
    </row>
    <row r="1554" spans="1:37">
      <c r="A1554">
        <v>10363304</v>
      </c>
      <c r="B1554" t="s">
        <v>37</v>
      </c>
      <c r="C1554" t="s">
        <v>10334</v>
      </c>
      <c r="E1554" t="s">
        <v>3504</v>
      </c>
      <c r="F1554" t="s">
        <v>10335</v>
      </c>
      <c r="G1554" t="s">
        <v>10336</v>
      </c>
      <c r="H1554" t="s">
        <v>42</v>
      </c>
      <c r="I1554" t="s">
        <v>10337</v>
      </c>
      <c r="J1554" t="s">
        <v>10338</v>
      </c>
      <c r="K1554">
        <v>1070</v>
      </c>
      <c r="L1554" t="s">
        <v>505</v>
      </c>
      <c r="M1554" t="s">
        <v>46</v>
      </c>
      <c r="N1554" t="s">
        <v>47</v>
      </c>
      <c r="O1554">
        <v>1</v>
      </c>
      <c r="P1554">
        <v>1</v>
      </c>
      <c r="Q1554">
        <v>1</v>
      </c>
      <c r="R1554" t="s">
        <v>48</v>
      </c>
      <c r="S1554" t="s">
        <v>49</v>
      </c>
      <c r="T1554" s="3">
        <v>0.84</v>
      </c>
      <c r="U1554" s="3">
        <v>0.23</v>
      </c>
      <c r="V1554" s="3">
        <v>0.94</v>
      </c>
      <c r="W1554">
        <v>0.1</v>
      </c>
      <c r="X1554" t="s">
        <v>50</v>
      </c>
      <c r="Y1554" s="3">
        <v>9.19</v>
      </c>
      <c r="Z1554" t="s">
        <v>9850</v>
      </c>
      <c r="AA1554" t="s">
        <v>10339</v>
      </c>
      <c r="AB1554" t="s">
        <v>53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f t="shared" si="48"/>
        <v>11.2</v>
      </c>
      <c r="AK1554" s="3">
        <f t="shared" si="49"/>
        <v>2.0099999999999998</v>
      </c>
    </row>
    <row r="1555" spans="1:37">
      <c r="A1555">
        <v>10367872</v>
      </c>
      <c r="B1555" t="s">
        <v>37</v>
      </c>
      <c r="C1555" t="s">
        <v>10340</v>
      </c>
      <c r="E1555" t="s">
        <v>10341</v>
      </c>
      <c r="F1555" t="s">
        <v>10342</v>
      </c>
      <c r="G1555" t="s">
        <v>10343</v>
      </c>
      <c r="H1555" t="s">
        <v>42</v>
      </c>
      <c r="I1555" t="s">
        <v>10344</v>
      </c>
      <c r="J1555" t="s">
        <v>10345</v>
      </c>
      <c r="K1555">
        <v>55118</v>
      </c>
      <c r="L1555" t="s">
        <v>71</v>
      </c>
      <c r="M1555" t="s">
        <v>46</v>
      </c>
      <c r="N1555" t="s">
        <v>47</v>
      </c>
      <c r="O1555">
        <v>1</v>
      </c>
      <c r="P1555">
        <v>1</v>
      </c>
      <c r="Q1555">
        <v>1</v>
      </c>
      <c r="R1555" t="s">
        <v>48</v>
      </c>
      <c r="S1555" t="s">
        <v>49</v>
      </c>
      <c r="T1555" s="3">
        <v>0.84</v>
      </c>
      <c r="U1555" s="3">
        <v>0.23</v>
      </c>
      <c r="V1555" s="3">
        <v>0.94</v>
      </c>
      <c r="W1555">
        <v>0.14000000000000001</v>
      </c>
      <c r="X1555" t="s">
        <v>108</v>
      </c>
      <c r="Y1555" s="3">
        <v>5.14</v>
      </c>
      <c r="Z1555" t="s">
        <v>9850</v>
      </c>
      <c r="AA1555" t="s">
        <v>5101</v>
      </c>
      <c r="AB1555" t="s">
        <v>53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f t="shared" si="48"/>
        <v>7.15</v>
      </c>
      <c r="AK1555" s="3">
        <f t="shared" si="49"/>
        <v>2.0100000000000007</v>
      </c>
    </row>
    <row r="1556" spans="1:37">
      <c r="A1556">
        <v>10364057</v>
      </c>
      <c r="B1556" t="s">
        <v>37</v>
      </c>
      <c r="C1556" t="s">
        <v>10346</v>
      </c>
      <c r="E1556" t="s">
        <v>10347</v>
      </c>
      <c r="F1556" t="s">
        <v>10348</v>
      </c>
      <c r="G1556" t="s">
        <v>10349</v>
      </c>
      <c r="H1556" t="s">
        <v>42</v>
      </c>
      <c r="I1556" t="s">
        <v>10350</v>
      </c>
      <c r="J1556" t="s">
        <v>10351</v>
      </c>
      <c r="K1556" t="s">
        <v>10352</v>
      </c>
      <c r="L1556" t="s">
        <v>142</v>
      </c>
      <c r="M1556" t="s">
        <v>46</v>
      </c>
      <c r="N1556" t="s">
        <v>47</v>
      </c>
      <c r="O1556">
        <v>1</v>
      </c>
      <c r="P1556">
        <v>1</v>
      </c>
      <c r="Q1556">
        <v>1</v>
      </c>
      <c r="R1556" t="s">
        <v>48</v>
      </c>
      <c r="S1556" t="s">
        <v>49</v>
      </c>
      <c r="T1556" s="3">
        <v>0.84</v>
      </c>
      <c r="U1556" s="3">
        <v>0.23</v>
      </c>
      <c r="V1556" s="3">
        <v>0.94</v>
      </c>
      <c r="W1556">
        <v>2</v>
      </c>
      <c r="X1556" t="s">
        <v>50</v>
      </c>
      <c r="Y1556" s="3">
        <v>16.43</v>
      </c>
      <c r="Z1556" t="s">
        <v>9770</v>
      </c>
      <c r="AA1556" t="s">
        <v>4162</v>
      </c>
      <c r="AB1556" t="s">
        <v>53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f t="shared" si="48"/>
        <v>18.440000000000001</v>
      </c>
      <c r="AK1556" s="3">
        <f t="shared" si="49"/>
        <v>2.0100000000000016</v>
      </c>
    </row>
    <row r="1557" spans="1:37">
      <c r="A1557">
        <v>10369911</v>
      </c>
      <c r="B1557" t="s">
        <v>37</v>
      </c>
      <c r="C1557" t="s">
        <v>10353</v>
      </c>
      <c r="E1557" t="s">
        <v>650</v>
      </c>
      <c r="F1557" t="s">
        <v>6229</v>
      </c>
      <c r="G1557" t="s">
        <v>10354</v>
      </c>
      <c r="H1557" t="s">
        <v>42</v>
      </c>
      <c r="I1557" t="s">
        <v>10355</v>
      </c>
      <c r="J1557" t="s">
        <v>10356</v>
      </c>
      <c r="K1557" t="s">
        <v>10357</v>
      </c>
      <c r="L1557" t="s">
        <v>142</v>
      </c>
      <c r="M1557" t="s">
        <v>46</v>
      </c>
      <c r="N1557" t="s">
        <v>47</v>
      </c>
      <c r="O1557">
        <v>1</v>
      </c>
      <c r="P1557">
        <v>1</v>
      </c>
      <c r="Q1557">
        <v>1</v>
      </c>
      <c r="R1557" t="s">
        <v>48</v>
      </c>
      <c r="S1557" t="s">
        <v>49</v>
      </c>
      <c r="T1557" s="3">
        <v>0.84</v>
      </c>
      <c r="U1557" s="3">
        <v>0.23</v>
      </c>
      <c r="V1557" s="3">
        <v>0.94</v>
      </c>
      <c r="W1557">
        <v>0.45</v>
      </c>
      <c r="X1557" t="s">
        <v>50</v>
      </c>
      <c r="Y1557" s="3">
        <v>16.43</v>
      </c>
      <c r="Z1557" t="s">
        <v>9850</v>
      </c>
      <c r="AA1557" t="s">
        <v>3859</v>
      </c>
      <c r="AB1557" t="s">
        <v>53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f t="shared" si="48"/>
        <v>18.440000000000001</v>
      </c>
      <c r="AK1557" s="3">
        <f t="shared" si="49"/>
        <v>2.0100000000000016</v>
      </c>
    </row>
    <row r="1558" spans="1:37">
      <c r="A1558">
        <v>10367163</v>
      </c>
      <c r="B1558" t="s">
        <v>37</v>
      </c>
      <c r="C1558" t="s">
        <v>10358</v>
      </c>
      <c r="E1558" t="s">
        <v>10359</v>
      </c>
      <c r="F1558" t="s">
        <v>10360</v>
      </c>
      <c r="G1558" t="s">
        <v>10361</v>
      </c>
      <c r="H1558" t="s">
        <v>42</v>
      </c>
      <c r="I1558" t="s">
        <v>10362</v>
      </c>
      <c r="J1558" t="s">
        <v>10363</v>
      </c>
      <c r="K1558">
        <v>72138</v>
      </c>
      <c r="L1558" t="s">
        <v>71</v>
      </c>
      <c r="M1558" t="s">
        <v>46</v>
      </c>
      <c r="N1558" t="s">
        <v>47</v>
      </c>
      <c r="O1558">
        <v>1</v>
      </c>
      <c r="P1558">
        <v>1</v>
      </c>
      <c r="Q1558">
        <v>1</v>
      </c>
      <c r="R1558" t="s">
        <v>48</v>
      </c>
      <c r="S1558" t="s">
        <v>49</v>
      </c>
      <c r="T1558" s="3">
        <v>0.84</v>
      </c>
      <c r="U1558" s="3">
        <v>0.23</v>
      </c>
      <c r="V1558" s="3">
        <v>0.94</v>
      </c>
      <c r="W1558">
        <v>0.49</v>
      </c>
      <c r="X1558" t="s">
        <v>108</v>
      </c>
      <c r="Y1558" s="3">
        <v>5.14</v>
      </c>
      <c r="Z1558" t="s">
        <v>9850</v>
      </c>
      <c r="AA1558" t="s">
        <v>1341</v>
      </c>
      <c r="AB1558" t="s">
        <v>53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f t="shared" si="48"/>
        <v>7.15</v>
      </c>
      <c r="AK1558" s="3">
        <f t="shared" si="49"/>
        <v>2.0100000000000007</v>
      </c>
    </row>
    <row r="1559" spans="1:37">
      <c r="A1559">
        <v>10330237</v>
      </c>
      <c r="B1559" t="s">
        <v>37</v>
      </c>
      <c r="C1559" t="s">
        <v>10364</v>
      </c>
      <c r="E1559" t="s">
        <v>10365</v>
      </c>
      <c r="F1559" t="s">
        <v>10366</v>
      </c>
      <c r="G1559" t="s">
        <v>10367</v>
      </c>
      <c r="H1559" t="s">
        <v>42</v>
      </c>
      <c r="I1559" t="s">
        <v>10368</v>
      </c>
      <c r="J1559" t="s">
        <v>10369</v>
      </c>
      <c r="K1559">
        <v>76139</v>
      </c>
      <c r="L1559" t="s">
        <v>71</v>
      </c>
      <c r="M1559" t="s">
        <v>46</v>
      </c>
      <c r="N1559" t="s">
        <v>47</v>
      </c>
      <c r="O1559">
        <v>1</v>
      </c>
      <c r="P1559">
        <v>1</v>
      </c>
      <c r="Q1559">
        <v>1</v>
      </c>
      <c r="R1559" t="s">
        <v>48</v>
      </c>
      <c r="S1559" t="s">
        <v>49</v>
      </c>
      <c r="T1559" s="3">
        <v>0.84</v>
      </c>
      <c r="U1559" s="3">
        <v>0.23</v>
      </c>
      <c r="V1559" s="3">
        <v>0.94</v>
      </c>
      <c r="W1559">
        <v>0.49</v>
      </c>
      <c r="X1559" t="s">
        <v>108</v>
      </c>
      <c r="Y1559" s="3">
        <v>5.14</v>
      </c>
      <c r="Z1559" t="s">
        <v>9850</v>
      </c>
      <c r="AA1559" t="s">
        <v>862</v>
      </c>
      <c r="AB1559" t="s">
        <v>53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f t="shared" si="48"/>
        <v>7.15</v>
      </c>
      <c r="AK1559" s="3">
        <f t="shared" si="49"/>
        <v>2.0100000000000007</v>
      </c>
    </row>
    <row r="1560" spans="1:37">
      <c r="A1560">
        <v>10367164</v>
      </c>
      <c r="B1560" t="s">
        <v>37</v>
      </c>
      <c r="C1560" t="s">
        <v>10370</v>
      </c>
      <c r="E1560" t="s">
        <v>10371</v>
      </c>
      <c r="F1560" t="s">
        <v>10372</v>
      </c>
      <c r="G1560" t="s">
        <v>10373</v>
      </c>
      <c r="H1560" t="s">
        <v>42</v>
      </c>
      <c r="I1560" t="s">
        <v>10374</v>
      </c>
      <c r="J1560" t="s">
        <v>10375</v>
      </c>
      <c r="K1560">
        <v>48161</v>
      </c>
      <c r="L1560" t="s">
        <v>71</v>
      </c>
      <c r="M1560" t="s">
        <v>46</v>
      </c>
      <c r="N1560" t="s">
        <v>47</v>
      </c>
      <c r="O1560">
        <v>1</v>
      </c>
      <c r="P1560">
        <v>1</v>
      </c>
      <c r="Q1560">
        <v>1</v>
      </c>
      <c r="R1560" t="s">
        <v>48</v>
      </c>
      <c r="S1560" t="s">
        <v>49</v>
      </c>
      <c r="T1560" s="3">
        <v>0.84</v>
      </c>
      <c r="U1560" s="3">
        <v>0.23</v>
      </c>
      <c r="V1560" s="3">
        <v>0.94</v>
      </c>
      <c r="W1560">
        <v>1.4</v>
      </c>
      <c r="X1560" t="s">
        <v>108</v>
      </c>
      <c r="Y1560" s="3">
        <v>5.14</v>
      </c>
      <c r="Z1560" t="s">
        <v>9686</v>
      </c>
      <c r="AA1560" t="s">
        <v>198</v>
      </c>
      <c r="AB1560" t="s">
        <v>53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f t="shared" si="48"/>
        <v>7.15</v>
      </c>
      <c r="AK1560" s="3">
        <f t="shared" si="49"/>
        <v>2.0100000000000007</v>
      </c>
    </row>
    <row r="1561" spans="1:37">
      <c r="A1561">
        <v>10363301</v>
      </c>
      <c r="B1561" t="s">
        <v>37</v>
      </c>
      <c r="C1561" t="s">
        <v>10376</v>
      </c>
      <c r="D1561" t="s">
        <v>10377</v>
      </c>
      <c r="E1561" t="s">
        <v>2684</v>
      </c>
      <c r="F1561" t="s">
        <v>10378</v>
      </c>
      <c r="G1561" t="s">
        <v>10379</v>
      </c>
      <c r="H1561" t="s">
        <v>42</v>
      </c>
      <c r="I1561" t="s">
        <v>10380</v>
      </c>
      <c r="J1561" t="s">
        <v>10381</v>
      </c>
      <c r="K1561" t="s">
        <v>10382</v>
      </c>
      <c r="L1561" t="s">
        <v>71</v>
      </c>
      <c r="M1561" t="s">
        <v>46</v>
      </c>
      <c r="N1561" t="s">
        <v>47</v>
      </c>
      <c r="O1561">
        <v>1</v>
      </c>
      <c r="P1561">
        <v>1</v>
      </c>
      <c r="Q1561">
        <v>1</v>
      </c>
      <c r="R1561" t="s">
        <v>48</v>
      </c>
      <c r="S1561" t="s">
        <v>49</v>
      </c>
      <c r="T1561" s="3">
        <v>0.84</v>
      </c>
      <c r="U1561" s="3">
        <v>0.23</v>
      </c>
      <c r="V1561" s="3">
        <v>0.94</v>
      </c>
      <c r="W1561">
        <v>0.39</v>
      </c>
      <c r="X1561" t="s">
        <v>108</v>
      </c>
      <c r="Y1561" s="3">
        <v>5.14</v>
      </c>
      <c r="Z1561" t="s">
        <v>9850</v>
      </c>
      <c r="AA1561" t="s">
        <v>3216</v>
      </c>
      <c r="AB1561" t="s">
        <v>53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f t="shared" si="48"/>
        <v>7.15</v>
      </c>
      <c r="AK1561" s="3">
        <f t="shared" si="49"/>
        <v>2.0100000000000007</v>
      </c>
    </row>
    <row r="1562" spans="1:37">
      <c r="A1562">
        <v>10369486</v>
      </c>
      <c r="B1562" t="s">
        <v>37</v>
      </c>
      <c r="C1562" t="s">
        <v>10383</v>
      </c>
      <c r="E1562" t="s">
        <v>1336</v>
      </c>
      <c r="F1562" t="s">
        <v>10384</v>
      </c>
      <c r="G1562" t="s">
        <v>10385</v>
      </c>
      <c r="H1562" t="s">
        <v>42</v>
      </c>
      <c r="I1562" t="s">
        <v>10386</v>
      </c>
      <c r="J1562" t="s">
        <v>10387</v>
      </c>
      <c r="K1562">
        <v>97422</v>
      </c>
      <c r="L1562" t="s">
        <v>71</v>
      </c>
      <c r="M1562" t="s">
        <v>46</v>
      </c>
      <c r="N1562" t="s">
        <v>47</v>
      </c>
      <c r="O1562">
        <v>1</v>
      </c>
      <c r="P1562">
        <v>1</v>
      </c>
      <c r="Q1562">
        <v>1</v>
      </c>
      <c r="R1562" t="s">
        <v>48</v>
      </c>
      <c r="S1562" t="s">
        <v>49</v>
      </c>
      <c r="T1562" s="3">
        <v>0.84</v>
      </c>
      <c r="U1562" s="3">
        <v>0.23</v>
      </c>
      <c r="V1562" s="3">
        <v>0.94</v>
      </c>
      <c r="W1562">
        <v>0.49</v>
      </c>
      <c r="X1562" t="s">
        <v>108</v>
      </c>
      <c r="Y1562" s="3">
        <v>5.14</v>
      </c>
      <c r="Z1562" t="s">
        <v>9850</v>
      </c>
      <c r="AA1562" t="s">
        <v>267</v>
      </c>
      <c r="AB1562" t="s">
        <v>53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f t="shared" si="48"/>
        <v>7.15</v>
      </c>
      <c r="AK1562" s="3">
        <f t="shared" si="49"/>
        <v>2.0100000000000007</v>
      </c>
    </row>
    <row r="1563" spans="1:37">
      <c r="A1563">
        <v>10369716</v>
      </c>
      <c r="B1563" t="s">
        <v>37</v>
      </c>
      <c r="C1563" t="s">
        <v>10388</v>
      </c>
      <c r="E1563" t="s">
        <v>10389</v>
      </c>
      <c r="F1563" t="s">
        <v>10390</v>
      </c>
      <c r="G1563" t="s">
        <v>10391</v>
      </c>
      <c r="H1563" t="s">
        <v>42</v>
      </c>
      <c r="I1563" t="s">
        <v>10392</v>
      </c>
      <c r="J1563" t="s">
        <v>10393</v>
      </c>
      <c r="K1563" t="s">
        <v>10394</v>
      </c>
      <c r="L1563" t="s">
        <v>82</v>
      </c>
      <c r="M1563" t="s">
        <v>46</v>
      </c>
      <c r="N1563" t="s">
        <v>47</v>
      </c>
      <c r="O1563">
        <v>1</v>
      </c>
      <c r="P1563">
        <v>1</v>
      </c>
      <c r="Q1563">
        <v>1</v>
      </c>
      <c r="R1563" t="s">
        <v>48</v>
      </c>
      <c r="S1563" t="s">
        <v>49</v>
      </c>
      <c r="T1563" s="3">
        <v>0.84</v>
      </c>
      <c r="U1563" s="3">
        <v>0.23</v>
      </c>
      <c r="V1563" s="3">
        <v>0.94</v>
      </c>
      <c r="W1563">
        <v>0.39</v>
      </c>
      <c r="X1563" t="s">
        <v>50</v>
      </c>
      <c r="Y1563" s="3">
        <v>9.19</v>
      </c>
      <c r="Z1563" t="s">
        <v>9850</v>
      </c>
      <c r="AA1563" t="s">
        <v>793</v>
      </c>
      <c r="AB1563" t="s">
        <v>53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f t="shared" si="48"/>
        <v>11.2</v>
      </c>
      <c r="AK1563" s="3">
        <f t="shared" si="49"/>
        <v>2.0099999999999998</v>
      </c>
    </row>
    <row r="1564" spans="1:37">
      <c r="A1564">
        <v>10366132</v>
      </c>
      <c r="B1564" t="s">
        <v>37</v>
      </c>
      <c r="C1564" t="s">
        <v>10395</v>
      </c>
      <c r="E1564" t="s">
        <v>9908</v>
      </c>
      <c r="F1564" t="s">
        <v>10396</v>
      </c>
      <c r="G1564" t="s">
        <v>10397</v>
      </c>
      <c r="H1564" t="s">
        <v>42</v>
      </c>
      <c r="I1564" t="s">
        <v>10398</v>
      </c>
      <c r="J1564" t="s">
        <v>10399</v>
      </c>
      <c r="K1564" t="s">
        <v>10400</v>
      </c>
      <c r="L1564" t="s">
        <v>71</v>
      </c>
      <c r="M1564" t="s">
        <v>46</v>
      </c>
      <c r="N1564" t="s">
        <v>47</v>
      </c>
      <c r="O1564">
        <v>1</v>
      </c>
      <c r="P1564">
        <v>1</v>
      </c>
      <c r="Q1564">
        <v>1</v>
      </c>
      <c r="R1564" t="s">
        <v>48</v>
      </c>
      <c r="S1564" t="s">
        <v>49</v>
      </c>
      <c r="T1564" s="3">
        <v>0.84</v>
      </c>
      <c r="U1564" s="3">
        <v>0.23</v>
      </c>
      <c r="V1564" s="3">
        <v>0.94</v>
      </c>
      <c r="W1564">
        <v>1.02</v>
      </c>
      <c r="X1564" t="s">
        <v>108</v>
      </c>
      <c r="Y1564" s="3">
        <v>5.14</v>
      </c>
      <c r="Z1564" t="s">
        <v>9686</v>
      </c>
      <c r="AA1564" t="s">
        <v>10401</v>
      </c>
      <c r="AB1564" t="s">
        <v>53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f t="shared" si="48"/>
        <v>7.15</v>
      </c>
      <c r="AK1564" s="3">
        <f t="shared" si="49"/>
        <v>2.0100000000000007</v>
      </c>
    </row>
    <row r="1565" spans="1:37">
      <c r="A1565">
        <v>10366469</v>
      </c>
      <c r="B1565" t="s">
        <v>37</v>
      </c>
      <c r="C1565" t="s">
        <v>10402</v>
      </c>
      <c r="E1565" t="s">
        <v>10403</v>
      </c>
      <c r="F1565" t="s">
        <v>10404</v>
      </c>
      <c r="G1565" t="s">
        <v>10405</v>
      </c>
      <c r="H1565" t="s">
        <v>42</v>
      </c>
      <c r="I1565" t="s">
        <v>10406</v>
      </c>
      <c r="J1565" t="s">
        <v>10407</v>
      </c>
      <c r="K1565">
        <v>31812</v>
      </c>
      <c r="L1565" t="s">
        <v>71</v>
      </c>
      <c r="M1565" t="s">
        <v>46</v>
      </c>
      <c r="N1565" t="s">
        <v>47</v>
      </c>
      <c r="O1565">
        <v>1</v>
      </c>
      <c r="P1565">
        <v>1</v>
      </c>
      <c r="Q1565">
        <v>1</v>
      </c>
      <c r="R1565" t="s">
        <v>48</v>
      </c>
      <c r="S1565" t="s">
        <v>49</v>
      </c>
      <c r="T1565" s="3">
        <v>0.84</v>
      </c>
      <c r="U1565" s="3">
        <v>0.23</v>
      </c>
      <c r="V1565" s="3">
        <v>0.94</v>
      </c>
      <c r="W1565">
        <v>0.49</v>
      </c>
      <c r="X1565" t="s">
        <v>108</v>
      </c>
      <c r="Y1565" s="3">
        <v>5.14</v>
      </c>
      <c r="Z1565" t="s">
        <v>9850</v>
      </c>
      <c r="AA1565" t="s">
        <v>966</v>
      </c>
      <c r="AB1565" t="s">
        <v>53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f t="shared" si="48"/>
        <v>7.15</v>
      </c>
      <c r="AK1565" s="3">
        <f t="shared" si="49"/>
        <v>2.0100000000000007</v>
      </c>
    </row>
    <row r="1566" spans="1:37">
      <c r="A1566">
        <v>10364717</v>
      </c>
      <c r="B1566" t="s">
        <v>37</v>
      </c>
      <c r="C1566" t="s">
        <v>10408</v>
      </c>
      <c r="E1566" t="s">
        <v>4273</v>
      </c>
      <c r="F1566" t="s">
        <v>454</v>
      </c>
      <c r="G1566" t="s">
        <v>10409</v>
      </c>
      <c r="H1566" t="s">
        <v>42</v>
      </c>
      <c r="I1566" t="s">
        <v>10410</v>
      </c>
      <c r="J1566" t="s">
        <v>10411</v>
      </c>
      <c r="K1566" t="s">
        <v>10412</v>
      </c>
      <c r="L1566" t="s">
        <v>142</v>
      </c>
      <c r="M1566" t="s">
        <v>46</v>
      </c>
      <c r="N1566" t="s">
        <v>47</v>
      </c>
      <c r="O1566">
        <v>1</v>
      </c>
      <c r="P1566">
        <v>1</v>
      </c>
      <c r="Q1566">
        <v>1</v>
      </c>
      <c r="R1566" t="s">
        <v>48</v>
      </c>
      <c r="S1566" t="s">
        <v>49</v>
      </c>
      <c r="T1566" s="3">
        <v>0.84</v>
      </c>
      <c r="U1566" s="3">
        <v>0.23</v>
      </c>
      <c r="V1566" s="3">
        <v>0.94</v>
      </c>
      <c r="W1566">
        <v>0.1</v>
      </c>
      <c r="X1566" t="s">
        <v>50</v>
      </c>
      <c r="Y1566" s="3">
        <v>16.43</v>
      </c>
      <c r="Z1566" t="s">
        <v>9850</v>
      </c>
      <c r="AA1566" t="s">
        <v>4410</v>
      </c>
      <c r="AB1566" t="s">
        <v>53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f t="shared" si="48"/>
        <v>18.440000000000001</v>
      </c>
      <c r="AK1566" s="3">
        <f t="shared" si="49"/>
        <v>2.0100000000000016</v>
      </c>
    </row>
    <row r="1567" spans="1:37">
      <c r="A1567">
        <v>10365875</v>
      </c>
      <c r="B1567" t="s">
        <v>37</v>
      </c>
      <c r="C1567" t="s">
        <v>10413</v>
      </c>
      <c r="E1567" t="s">
        <v>5526</v>
      </c>
      <c r="F1567" t="s">
        <v>6270</v>
      </c>
      <c r="G1567" t="s">
        <v>10414</v>
      </c>
      <c r="H1567" t="s">
        <v>42</v>
      </c>
      <c r="I1567" t="s">
        <v>10415</v>
      </c>
      <c r="J1567" t="s">
        <v>10416</v>
      </c>
      <c r="K1567" t="s">
        <v>10417</v>
      </c>
      <c r="L1567" t="s">
        <v>142</v>
      </c>
      <c r="M1567" t="s">
        <v>46</v>
      </c>
      <c r="N1567" t="s">
        <v>47</v>
      </c>
      <c r="O1567">
        <v>1</v>
      </c>
      <c r="P1567">
        <v>1</v>
      </c>
      <c r="Q1567">
        <v>1</v>
      </c>
      <c r="R1567" t="s">
        <v>48</v>
      </c>
      <c r="S1567" t="s">
        <v>49</v>
      </c>
      <c r="T1567" s="3">
        <v>0.84</v>
      </c>
      <c r="U1567" s="3">
        <v>0.23</v>
      </c>
      <c r="V1567" s="3">
        <v>0.94</v>
      </c>
      <c r="W1567">
        <v>0.49</v>
      </c>
      <c r="X1567" t="s">
        <v>50</v>
      </c>
      <c r="Y1567" s="3">
        <v>16.43</v>
      </c>
      <c r="Z1567" t="s">
        <v>9850</v>
      </c>
      <c r="AA1567" t="s">
        <v>5153</v>
      </c>
      <c r="AB1567" t="s">
        <v>53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f t="shared" si="48"/>
        <v>18.440000000000001</v>
      </c>
      <c r="AK1567" s="3">
        <f t="shared" si="49"/>
        <v>2.0100000000000016</v>
      </c>
    </row>
    <row r="1568" spans="1:37">
      <c r="A1568">
        <v>10368044</v>
      </c>
      <c r="B1568" t="s">
        <v>37</v>
      </c>
      <c r="C1568" t="s">
        <v>10418</v>
      </c>
      <c r="E1568" t="s">
        <v>10419</v>
      </c>
      <c r="F1568" t="s">
        <v>10420</v>
      </c>
      <c r="G1568" t="s">
        <v>10421</v>
      </c>
      <c r="H1568" t="s">
        <v>42</v>
      </c>
      <c r="I1568" t="s">
        <v>10422</v>
      </c>
      <c r="J1568" t="s">
        <v>10423</v>
      </c>
      <c r="K1568" t="s">
        <v>7676</v>
      </c>
      <c r="L1568" t="s">
        <v>71</v>
      </c>
      <c r="M1568" t="s">
        <v>46</v>
      </c>
      <c r="N1568" t="s">
        <v>47</v>
      </c>
      <c r="O1568">
        <v>1</v>
      </c>
      <c r="P1568">
        <v>1</v>
      </c>
      <c r="Q1568">
        <v>1</v>
      </c>
      <c r="R1568" t="s">
        <v>48</v>
      </c>
      <c r="S1568" t="s">
        <v>49</v>
      </c>
      <c r="T1568" s="3">
        <v>0.84</v>
      </c>
      <c r="U1568" s="3">
        <v>0.23</v>
      </c>
      <c r="V1568" s="3">
        <v>0.94</v>
      </c>
      <c r="W1568">
        <v>0.49</v>
      </c>
      <c r="X1568" t="s">
        <v>108</v>
      </c>
      <c r="Y1568" s="3">
        <v>5.14</v>
      </c>
      <c r="Z1568" t="s">
        <v>9850</v>
      </c>
      <c r="AA1568" t="s">
        <v>3486</v>
      </c>
      <c r="AB1568" t="s">
        <v>53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f t="shared" si="48"/>
        <v>7.15</v>
      </c>
      <c r="AK1568" s="3">
        <f t="shared" si="49"/>
        <v>2.0100000000000007</v>
      </c>
    </row>
    <row r="1569" spans="1:37">
      <c r="A1569">
        <v>10369124</v>
      </c>
      <c r="B1569" t="s">
        <v>37</v>
      </c>
      <c r="C1569" t="s">
        <v>10424</v>
      </c>
      <c r="E1569" t="s">
        <v>157</v>
      </c>
      <c r="F1569" t="s">
        <v>6672</v>
      </c>
      <c r="G1569" t="s">
        <v>10425</v>
      </c>
      <c r="H1569" t="s">
        <v>42</v>
      </c>
      <c r="I1569" t="s">
        <v>10426</v>
      </c>
      <c r="J1569" t="s">
        <v>10427</v>
      </c>
      <c r="K1569">
        <v>2060</v>
      </c>
      <c r="L1569" t="s">
        <v>505</v>
      </c>
      <c r="M1569" t="s">
        <v>46</v>
      </c>
      <c r="N1569" t="s">
        <v>47</v>
      </c>
      <c r="O1569">
        <v>1</v>
      </c>
      <c r="P1569">
        <v>1</v>
      </c>
      <c r="Q1569">
        <v>1</v>
      </c>
      <c r="R1569" t="s">
        <v>48</v>
      </c>
      <c r="S1569" t="s">
        <v>49</v>
      </c>
      <c r="T1569" s="3">
        <v>0.84</v>
      </c>
      <c r="U1569" s="3">
        <v>0.23</v>
      </c>
      <c r="V1569" s="3">
        <v>0.94</v>
      </c>
      <c r="W1569">
        <v>1.4</v>
      </c>
      <c r="X1569" t="s">
        <v>50</v>
      </c>
      <c r="Y1569" s="3">
        <v>9.19</v>
      </c>
      <c r="Z1569" t="s">
        <v>9686</v>
      </c>
      <c r="AA1569" t="s">
        <v>74</v>
      </c>
      <c r="AB1569" t="s">
        <v>53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f t="shared" si="48"/>
        <v>11.2</v>
      </c>
      <c r="AK1569" s="3">
        <f t="shared" si="49"/>
        <v>2.0099999999999998</v>
      </c>
    </row>
    <row r="1570" spans="1:37">
      <c r="A1570">
        <v>10363894</v>
      </c>
      <c r="B1570" t="s">
        <v>37</v>
      </c>
      <c r="C1570" t="s">
        <v>10428</v>
      </c>
      <c r="E1570" t="s">
        <v>10429</v>
      </c>
      <c r="F1570" t="s">
        <v>10429</v>
      </c>
      <c r="G1570" t="s">
        <v>10430</v>
      </c>
      <c r="H1570" t="s">
        <v>42</v>
      </c>
      <c r="I1570" t="s">
        <v>10431</v>
      </c>
      <c r="J1570" t="s">
        <v>10432</v>
      </c>
      <c r="K1570">
        <v>2200</v>
      </c>
      <c r="L1570" t="s">
        <v>505</v>
      </c>
      <c r="M1570" t="s">
        <v>46</v>
      </c>
      <c r="N1570" t="s">
        <v>47</v>
      </c>
      <c r="O1570">
        <v>2</v>
      </c>
      <c r="P1570">
        <v>1</v>
      </c>
      <c r="Q1570">
        <v>2</v>
      </c>
      <c r="R1570" t="s">
        <v>48</v>
      </c>
      <c r="S1570" t="s">
        <v>49</v>
      </c>
      <c r="T1570" s="3">
        <v>0.84</v>
      </c>
      <c r="U1570" s="3">
        <v>0.23</v>
      </c>
      <c r="V1570" s="3">
        <v>1.81</v>
      </c>
      <c r="W1570">
        <v>0.88</v>
      </c>
      <c r="X1570" t="s">
        <v>50</v>
      </c>
      <c r="Y1570" s="3">
        <v>9.19</v>
      </c>
      <c r="Z1570" t="s">
        <v>9686</v>
      </c>
      <c r="AA1570" t="s">
        <v>10433</v>
      </c>
      <c r="AB1570" t="s">
        <v>53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f t="shared" si="48"/>
        <v>12.07</v>
      </c>
      <c r="AK1570" s="3">
        <f t="shared" si="49"/>
        <v>2.8800000000000008</v>
      </c>
    </row>
    <row r="1571" spans="1:37">
      <c r="A1571">
        <v>10365455</v>
      </c>
      <c r="B1571" t="s">
        <v>37</v>
      </c>
      <c r="C1571" t="s">
        <v>10434</v>
      </c>
      <c r="E1571" t="s">
        <v>10435</v>
      </c>
      <c r="F1571" t="s">
        <v>4259</v>
      </c>
      <c r="G1571" t="s">
        <v>10436</v>
      </c>
      <c r="H1571" t="s">
        <v>42</v>
      </c>
      <c r="I1571" t="s">
        <v>10437</v>
      </c>
      <c r="J1571" t="s">
        <v>10438</v>
      </c>
      <c r="K1571" t="s">
        <v>10439</v>
      </c>
      <c r="L1571" t="s">
        <v>142</v>
      </c>
      <c r="M1571" t="s">
        <v>46</v>
      </c>
      <c r="N1571" t="s">
        <v>47</v>
      </c>
      <c r="O1571">
        <v>2</v>
      </c>
      <c r="P1571">
        <v>1</v>
      </c>
      <c r="Q1571">
        <v>2</v>
      </c>
      <c r="R1571" t="s">
        <v>48</v>
      </c>
      <c r="S1571" t="s">
        <v>49</v>
      </c>
      <c r="T1571" s="3">
        <v>0.84</v>
      </c>
      <c r="U1571" s="3">
        <v>0.23</v>
      </c>
      <c r="V1571" s="3">
        <v>1.81</v>
      </c>
      <c r="W1571">
        <v>0.98</v>
      </c>
      <c r="X1571" t="s">
        <v>50</v>
      </c>
      <c r="Y1571" s="3">
        <v>16.43</v>
      </c>
      <c r="Z1571" t="s">
        <v>9686</v>
      </c>
      <c r="AA1571" t="s">
        <v>10440</v>
      </c>
      <c r="AB1571" t="s">
        <v>53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f t="shared" si="48"/>
        <v>19.309999999999999</v>
      </c>
      <c r="AK1571" s="3">
        <f t="shared" si="49"/>
        <v>2.879999999999999</v>
      </c>
    </row>
    <row r="1572" spans="1:37">
      <c r="A1572">
        <v>10369123</v>
      </c>
      <c r="B1572" t="s">
        <v>37</v>
      </c>
      <c r="C1572" t="s">
        <v>10441</v>
      </c>
      <c r="E1572" t="s">
        <v>10442</v>
      </c>
      <c r="F1572" t="s">
        <v>10443</v>
      </c>
      <c r="G1572" t="s">
        <v>10444</v>
      </c>
      <c r="H1572" t="s">
        <v>42</v>
      </c>
      <c r="I1572" t="s">
        <v>10445</v>
      </c>
      <c r="J1572" t="s">
        <v>10446</v>
      </c>
      <c r="K1572">
        <v>9000</v>
      </c>
      <c r="L1572" t="s">
        <v>505</v>
      </c>
      <c r="M1572" t="s">
        <v>46</v>
      </c>
      <c r="N1572" t="s">
        <v>47</v>
      </c>
      <c r="O1572">
        <v>2</v>
      </c>
      <c r="P1572">
        <v>1</v>
      </c>
      <c r="Q1572">
        <v>2</v>
      </c>
      <c r="R1572" t="s">
        <v>48</v>
      </c>
      <c r="S1572" t="s">
        <v>49</v>
      </c>
      <c r="T1572" s="3">
        <v>0.84</v>
      </c>
      <c r="U1572" s="3">
        <v>0.23</v>
      </c>
      <c r="V1572" s="3">
        <v>1.81</v>
      </c>
      <c r="W1572">
        <v>0.98</v>
      </c>
      <c r="X1572" t="s">
        <v>50</v>
      </c>
      <c r="Y1572" s="3">
        <v>9.19</v>
      </c>
      <c r="Z1572" t="s">
        <v>9850</v>
      </c>
      <c r="AA1572" t="s">
        <v>1652</v>
      </c>
      <c r="AB1572" t="s">
        <v>53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f t="shared" si="48"/>
        <v>12.07</v>
      </c>
      <c r="AK1572" s="3">
        <f t="shared" si="49"/>
        <v>2.8800000000000008</v>
      </c>
    </row>
    <row r="1573" spans="1:37">
      <c r="A1573">
        <v>10366291</v>
      </c>
      <c r="B1573" t="s">
        <v>37</v>
      </c>
      <c r="C1573" t="s">
        <v>10447</v>
      </c>
      <c r="E1573" t="s">
        <v>8126</v>
      </c>
      <c r="F1573" t="s">
        <v>10448</v>
      </c>
      <c r="G1573" t="s">
        <v>10449</v>
      </c>
      <c r="H1573" t="s">
        <v>42</v>
      </c>
      <c r="I1573" t="s">
        <v>10450</v>
      </c>
      <c r="J1573" t="s">
        <v>10451</v>
      </c>
      <c r="K1573">
        <v>8000</v>
      </c>
      <c r="L1573" t="s">
        <v>505</v>
      </c>
      <c r="M1573" t="s">
        <v>46</v>
      </c>
      <c r="N1573" t="s">
        <v>47</v>
      </c>
      <c r="O1573">
        <v>2</v>
      </c>
      <c r="P1573">
        <v>1</v>
      </c>
      <c r="Q1573">
        <v>2</v>
      </c>
      <c r="R1573" t="s">
        <v>48</v>
      </c>
      <c r="S1573" t="s">
        <v>49</v>
      </c>
      <c r="T1573" s="3">
        <v>0.84</v>
      </c>
      <c r="U1573" s="3">
        <v>0.23</v>
      </c>
      <c r="V1573" s="3">
        <v>1.81</v>
      </c>
      <c r="W1573">
        <v>0.78</v>
      </c>
      <c r="X1573" t="s">
        <v>50</v>
      </c>
      <c r="Y1573" s="3">
        <v>9.19</v>
      </c>
      <c r="Z1573" t="s">
        <v>9686</v>
      </c>
      <c r="AA1573" t="s">
        <v>4930</v>
      </c>
      <c r="AB1573" t="s">
        <v>53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f t="shared" si="48"/>
        <v>12.07</v>
      </c>
      <c r="AK1573" s="3">
        <f t="shared" si="49"/>
        <v>2.8800000000000008</v>
      </c>
    </row>
    <row r="1574" spans="1:37">
      <c r="A1574">
        <v>10367737</v>
      </c>
      <c r="B1574" t="s">
        <v>37</v>
      </c>
      <c r="C1574" t="s">
        <v>10452</v>
      </c>
      <c r="E1574" t="s">
        <v>10453</v>
      </c>
      <c r="F1574" t="s">
        <v>10454</v>
      </c>
      <c r="G1574" t="s">
        <v>10455</v>
      </c>
      <c r="H1574" t="s">
        <v>42</v>
      </c>
      <c r="I1574" t="s">
        <v>10456</v>
      </c>
      <c r="J1574" t="s">
        <v>10457</v>
      </c>
      <c r="K1574">
        <v>86655</v>
      </c>
      <c r="L1574" t="s">
        <v>71</v>
      </c>
      <c r="M1574" t="s">
        <v>46</v>
      </c>
      <c r="N1574" t="s">
        <v>47</v>
      </c>
      <c r="O1574">
        <v>2</v>
      </c>
      <c r="P1574">
        <v>1</v>
      </c>
      <c r="Q1574">
        <v>2</v>
      </c>
      <c r="R1574" t="s">
        <v>48</v>
      </c>
      <c r="S1574" t="s">
        <v>49</v>
      </c>
      <c r="T1574" s="3">
        <v>0.84</v>
      </c>
      <c r="U1574" s="3">
        <v>0.23</v>
      </c>
      <c r="V1574" s="3">
        <v>1.81</v>
      </c>
      <c r="W1574">
        <v>0.88</v>
      </c>
      <c r="X1574" t="s">
        <v>108</v>
      </c>
      <c r="Y1574" s="3">
        <v>5.14</v>
      </c>
      <c r="Z1574" t="s">
        <v>9850</v>
      </c>
      <c r="AA1574" t="s">
        <v>10458</v>
      </c>
      <c r="AB1574" t="s">
        <v>53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f t="shared" si="48"/>
        <v>8.02</v>
      </c>
      <c r="AK1574" s="3">
        <f t="shared" si="49"/>
        <v>2.88</v>
      </c>
    </row>
    <row r="1575" spans="1:37">
      <c r="A1575">
        <v>10363477</v>
      </c>
      <c r="B1575" t="s">
        <v>37</v>
      </c>
      <c r="C1575" t="s">
        <v>10459</v>
      </c>
      <c r="E1575" t="s">
        <v>10460</v>
      </c>
      <c r="F1575" t="s">
        <v>10461</v>
      </c>
      <c r="G1575" t="s">
        <v>10462</v>
      </c>
      <c r="H1575" t="s">
        <v>42</v>
      </c>
      <c r="I1575" t="s">
        <v>10463</v>
      </c>
      <c r="J1575" t="s">
        <v>10464</v>
      </c>
      <c r="K1575" t="s">
        <v>10465</v>
      </c>
      <c r="L1575" t="s">
        <v>229</v>
      </c>
      <c r="M1575" t="s">
        <v>46</v>
      </c>
      <c r="N1575" t="s">
        <v>47</v>
      </c>
      <c r="O1575">
        <v>2</v>
      </c>
      <c r="P1575">
        <v>1</v>
      </c>
      <c r="Q1575">
        <v>2</v>
      </c>
      <c r="R1575" t="s">
        <v>48</v>
      </c>
      <c r="S1575" t="s">
        <v>49</v>
      </c>
      <c r="T1575" s="3">
        <v>0.84</v>
      </c>
      <c r="U1575" s="3">
        <v>0.23</v>
      </c>
      <c r="V1575" s="3">
        <v>1.81</v>
      </c>
      <c r="W1575">
        <v>0.98</v>
      </c>
      <c r="X1575" t="s">
        <v>50</v>
      </c>
      <c r="Y1575" s="3">
        <v>12.09</v>
      </c>
      <c r="Z1575" t="s">
        <v>9686</v>
      </c>
      <c r="AA1575" t="s">
        <v>3486</v>
      </c>
      <c r="AB1575" t="s">
        <v>53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f t="shared" si="48"/>
        <v>14.97</v>
      </c>
      <c r="AK1575" s="3">
        <f t="shared" si="49"/>
        <v>2.8800000000000008</v>
      </c>
    </row>
    <row r="1576" spans="1:37">
      <c r="A1576">
        <v>10366131</v>
      </c>
      <c r="B1576" t="s">
        <v>37</v>
      </c>
      <c r="C1576" t="s">
        <v>10466</v>
      </c>
      <c r="E1576" t="s">
        <v>3407</v>
      </c>
      <c r="F1576" t="s">
        <v>10467</v>
      </c>
      <c r="G1576" t="s">
        <v>10468</v>
      </c>
      <c r="H1576" t="s">
        <v>42</v>
      </c>
      <c r="I1576" t="s">
        <v>10469</v>
      </c>
      <c r="J1576" t="s">
        <v>10470</v>
      </c>
      <c r="K1576" t="s">
        <v>10471</v>
      </c>
      <c r="L1576" t="s">
        <v>142</v>
      </c>
      <c r="M1576" t="s">
        <v>46</v>
      </c>
      <c r="N1576" t="s">
        <v>47</v>
      </c>
      <c r="O1576">
        <v>2</v>
      </c>
      <c r="P1576">
        <v>1</v>
      </c>
      <c r="Q1576">
        <v>2</v>
      </c>
      <c r="R1576" t="s">
        <v>48</v>
      </c>
      <c r="S1576" t="s">
        <v>49</v>
      </c>
      <c r="T1576" s="3">
        <v>0.84</v>
      </c>
      <c r="U1576" s="3">
        <v>0.23</v>
      </c>
      <c r="V1576" s="3">
        <v>1.81</v>
      </c>
      <c r="W1576">
        <v>0.88</v>
      </c>
      <c r="X1576" t="s">
        <v>50</v>
      </c>
      <c r="Y1576" s="3">
        <v>16.43</v>
      </c>
      <c r="Z1576" t="s">
        <v>9686</v>
      </c>
      <c r="AA1576" t="s">
        <v>10472</v>
      </c>
      <c r="AB1576" t="s">
        <v>53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f t="shared" si="48"/>
        <v>19.309999999999999</v>
      </c>
      <c r="AK1576" s="3">
        <f t="shared" si="49"/>
        <v>2.879999999999999</v>
      </c>
    </row>
    <row r="1577" spans="1:37">
      <c r="A1577">
        <v>10365873</v>
      </c>
      <c r="B1577" t="s">
        <v>37</v>
      </c>
      <c r="C1577" t="s">
        <v>10473</v>
      </c>
      <c r="E1577" t="s">
        <v>6832</v>
      </c>
      <c r="F1577" t="s">
        <v>10474</v>
      </c>
      <c r="G1577" t="s">
        <v>10475</v>
      </c>
      <c r="H1577" t="s">
        <v>42</v>
      </c>
      <c r="I1577" t="s">
        <v>10469</v>
      </c>
      <c r="J1577" t="s">
        <v>10476</v>
      </c>
      <c r="K1577">
        <v>22301</v>
      </c>
      <c r="L1577" t="s">
        <v>71</v>
      </c>
      <c r="M1577" t="s">
        <v>46</v>
      </c>
      <c r="N1577" t="s">
        <v>47</v>
      </c>
      <c r="O1577">
        <v>2</v>
      </c>
      <c r="P1577">
        <v>1</v>
      </c>
      <c r="Q1577">
        <v>2</v>
      </c>
      <c r="R1577" t="s">
        <v>48</v>
      </c>
      <c r="S1577" t="s">
        <v>49</v>
      </c>
      <c r="T1577" s="3">
        <v>0.84</v>
      </c>
      <c r="U1577" s="3">
        <v>0.23</v>
      </c>
      <c r="V1577" s="3">
        <v>1.81</v>
      </c>
      <c r="W1577">
        <v>0.69</v>
      </c>
      <c r="X1577" t="s">
        <v>108</v>
      </c>
      <c r="Y1577" s="3">
        <v>5.14</v>
      </c>
      <c r="Z1577" t="s">
        <v>9850</v>
      </c>
      <c r="AA1577" t="s">
        <v>7764</v>
      </c>
      <c r="AB1577" t="s">
        <v>53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f t="shared" si="48"/>
        <v>8.02</v>
      </c>
      <c r="AK1577" s="3">
        <f t="shared" si="49"/>
        <v>2.88</v>
      </c>
    </row>
    <row r="1578" spans="1:37">
      <c r="A1578">
        <v>10366669</v>
      </c>
      <c r="B1578" t="s">
        <v>37</v>
      </c>
      <c r="C1578" t="s">
        <v>10477</v>
      </c>
      <c r="E1578" t="s">
        <v>240</v>
      </c>
      <c r="F1578" t="s">
        <v>10478</v>
      </c>
      <c r="G1578" t="s">
        <v>10479</v>
      </c>
      <c r="H1578" t="s">
        <v>42</v>
      </c>
      <c r="I1578" t="s">
        <v>10480</v>
      </c>
      <c r="J1578" t="s">
        <v>10481</v>
      </c>
      <c r="K1578">
        <v>31100</v>
      </c>
      <c r="L1578" t="s">
        <v>283</v>
      </c>
      <c r="M1578" t="s">
        <v>46</v>
      </c>
      <c r="N1578" t="s">
        <v>47</v>
      </c>
      <c r="O1578">
        <v>2</v>
      </c>
      <c r="P1578">
        <v>1</v>
      </c>
      <c r="Q1578">
        <v>2</v>
      </c>
      <c r="R1578" t="s">
        <v>48</v>
      </c>
      <c r="S1578" t="s">
        <v>49</v>
      </c>
      <c r="T1578" s="3">
        <v>0.84</v>
      </c>
      <c r="U1578" s="3">
        <v>0.23</v>
      </c>
      <c r="V1578" s="3">
        <v>1.81</v>
      </c>
      <c r="W1578">
        <v>0.53</v>
      </c>
      <c r="X1578" t="s">
        <v>50</v>
      </c>
      <c r="Y1578" s="3">
        <v>14.98</v>
      </c>
      <c r="Z1578" t="s">
        <v>9850</v>
      </c>
      <c r="AA1578" t="s">
        <v>2919</v>
      </c>
      <c r="AB1578" t="s">
        <v>53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f t="shared" si="48"/>
        <v>17.86</v>
      </c>
      <c r="AK1578" s="3">
        <f t="shared" si="49"/>
        <v>2.879999999999999</v>
      </c>
    </row>
    <row r="1579" spans="1:37">
      <c r="A1579">
        <v>10363298</v>
      </c>
      <c r="B1579" t="s">
        <v>37</v>
      </c>
      <c r="C1579" t="s">
        <v>10482</v>
      </c>
      <c r="E1579" t="s">
        <v>4533</v>
      </c>
      <c r="F1579" t="s">
        <v>4534</v>
      </c>
      <c r="G1579" t="s">
        <v>10483</v>
      </c>
      <c r="H1579" t="s">
        <v>42</v>
      </c>
      <c r="I1579" t="s">
        <v>10484</v>
      </c>
      <c r="J1579" t="s">
        <v>10485</v>
      </c>
      <c r="K1579" t="s">
        <v>4538</v>
      </c>
      <c r="L1579" t="s">
        <v>82</v>
      </c>
      <c r="M1579" t="s">
        <v>46</v>
      </c>
      <c r="N1579" t="s">
        <v>47</v>
      </c>
      <c r="O1579">
        <v>2</v>
      </c>
      <c r="P1579">
        <v>1</v>
      </c>
      <c r="Q1579">
        <v>2</v>
      </c>
      <c r="R1579" t="s">
        <v>48</v>
      </c>
      <c r="S1579" t="s">
        <v>49</v>
      </c>
      <c r="T1579" s="3">
        <v>0.84</v>
      </c>
      <c r="U1579" s="3">
        <v>0.23</v>
      </c>
      <c r="V1579" s="3">
        <v>1.81</v>
      </c>
      <c r="W1579">
        <v>0.98</v>
      </c>
      <c r="X1579" t="s">
        <v>50</v>
      </c>
      <c r="Y1579" s="3">
        <v>9.19</v>
      </c>
      <c r="Z1579" t="s">
        <v>9686</v>
      </c>
      <c r="AA1579" t="s">
        <v>1776</v>
      </c>
      <c r="AB1579" t="s">
        <v>53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f t="shared" si="48"/>
        <v>12.07</v>
      </c>
      <c r="AK1579" s="3">
        <f t="shared" si="49"/>
        <v>2.8800000000000008</v>
      </c>
    </row>
    <row r="1580" spans="1:37">
      <c r="A1580">
        <v>10365967</v>
      </c>
      <c r="B1580" t="s">
        <v>37</v>
      </c>
      <c r="C1580" t="s">
        <v>10486</v>
      </c>
      <c r="E1580" t="s">
        <v>532</v>
      </c>
      <c r="F1580" t="s">
        <v>10487</v>
      </c>
      <c r="G1580" t="s">
        <v>10488</v>
      </c>
      <c r="H1580" t="s">
        <v>42</v>
      </c>
      <c r="I1580" t="s">
        <v>10489</v>
      </c>
      <c r="J1580" t="s">
        <v>10490</v>
      </c>
      <c r="K1580" t="s">
        <v>10491</v>
      </c>
      <c r="L1580" t="s">
        <v>142</v>
      </c>
      <c r="M1580" t="s">
        <v>46</v>
      </c>
      <c r="N1580" t="s">
        <v>47</v>
      </c>
      <c r="O1580">
        <v>2</v>
      </c>
      <c r="P1580">
        <v>1</v>
      </c>
      <c r="Q1580">
        <v>2</v>
      </c>
      <c r="R1580" t="s">
        <v>48</v>
      </c>
      <c r="S1580" t="s">
        <v>49</v>
      </c>
      <c r="T1580" s="3">
        <v>0.84</v>
      </c>
      <c r="U1580" s="3">
        <v>0.23</v>
      </c>
      <c r="V1580" s="3">
        <v>1.81</v>
      </c>
      <c r="W1580">
        <v>0.88</v>
      </c>
      <c r="X1580" t="s">
        <v>50</v>
      </c>
      <c r="Y1580" s="3">
        <v>16.43</v>
      </c>
      <c r="Z1580" t="s">
        <v>9686</v>
      </c>
      <c r="AA1580" t="s">
        <v>10492</v>
      </c>
      <c r="AB1580" t="s">
        <v>53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f t="shared" si="48"/>
        <v>19.309999999999999</v>
      </c>
      <c r="AK1580" s="3">
        <f t="shared" si="49"/>
        <v>2.879999999999999</v>
      </c>
    </row>
    <row r="1581" spans="1:37">
      <c r="A1581">
        <v>10366287</v>
      </c>
      <c r="B1581" t="s">
        <v>37</v>
      </c>
      <c r="C1581" t="s">
        <v>10493</v>
      </c>
      <c r="E1581" t="s">
        <v>10494</v>
      </c>
      <c r="F1581" t="s">
        <v>10495</v>
      </c>
      <c r="G1581" t="s">
        <v>10496</v>
      </c>
      <c r="H1581" t="s">
        <v>42</v>
      </c>
      <c r="I1581" t="s">
        <v>10497</v>
      </c>
      <c r="J1581" t="s">
        <v>10498</v>
      </c>
      <c r="K1581" t="s">
        <v>10499</v>
      </c>
      <c r="L1581" t="s">
        <v>142</v>
      </c>
      <c r="M1581" t="s">
        <v>46</v>
      </c>
      <c r="N1581" t="s">
        <v>47</v>
      </c>
      <c r="O1581">
        <v>4</v>
      </c>
      <c r="P1581">
        <v>1</v>
      </c>
      <c r="Q1581">
        <v>4</v>
      </c>
      <c r="R1581" t="s">
        <v>48</v>
      </c>
      <c r="S1581" t="s">
        <v>49</v>
      </c>
      <c r="T1581" s="3">
        <v>0.84</v>
      </c>
      <c r="U1581" s="3">
        <v>0.23</v>
      </c>
      <c r="V1581" s="3">
        <v>3.55</v>
      </c>
      <c r="W1581">
        <v>1.96</v>
      </c>
      <c r="X1581" t="s">
        <v>50</v>
      </c>
      <c r="Y1581" s="3">
        <v>16.43</v>
      </c>
      <c r="Z1581" t="s">
        <v>9686</v>
      </c>
      <c r="AA1581" t="s">
        <v>10500</v>
      </c>
      <c r="AB1581" t="s">
        <v>53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f t="shared" si="48"/>
        <v>21.05</v>
      </c>
      <c r="AK1581" s="3">
        <f t="shared" si="49"/>
        <v>4.620000000000001</v>
      </c>
    </row>
    <row r="1582" spans="1:37">
      <c r="A1582">
        <v>10368446</v>
      </c>
      <c r="B1582" t="s">
        <v>37</v>
      </c>
      <c r="C1582" t="s">
        <v>10501</v>
      </c>
      <c r="E1582" t="s">
        <v>1313</v>
      </c>
      <c r="F1582" t="s">
        <v>10502</v>
      </c>
      <c r="G1582" t="s">
        <v>10503</v>
      </c>
      <c r="H1582" t="s">
        <v>42</v>
      </c>
      <c r="I1582" t="s">
        <v>10504</v>
      </c>
      <c r="J1582" t="s">
        <v>10505</v>
      </c>
      <c r="K1582">
        <v>68167</v>
      </c>
      <c r="L1582" t="s">
        <v>71</v>
      </c>
      <c r="M1582" t="s">
        <v>46</v>
      </c>
      <c r="N1582" t="s">
        <v>47</v>
      </c>
      <c r="O1582">
        <v>2</v>
      </c>
      <c r="P1582">
        <v>1</v>
      </c>
      <c r="Q1582">
        <v>2</v>
      </c>
      <c r="R1582" t="s">
        <v>48</v>
      </c>
      <c r="S1582" t="s">
        <v>49</v>
      </c>
      <c r="T1582" s="3">
        <v>0.84</v>
      </c>
      <c r="U1582" s="3">
        <v>0.23</v>
      </c>
      <c r="V1582" s="3">
        <v>1.81</v>
      </c>
      <c r="W1582">
        <v>0.78</v>
      </c>
      <c r="X1582" t="s">
        <v>108</v>
      </c>
      <c r="Y1582" s="3">
        <v>5.14</v>
      </c>
      <c r="Z1582" t="s">
        <v>9850</v>
      </c>
      <c r="AA1582" t="s">
        <v>1989</v>
      </c>
      <c r="AB1582" t="s">
        <v>53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f t="shared" si="48"/>
        <v>8.02</v>
      </c>
      <c r="AK1582" s="3">
        <f t="shared" si="49"/>
        <v>2.88</v>
      </c>
    </row>
    <row r="1583" spans="1:37">
      <c r="A1583">
        <v>10364516</v>
      </c>
      <c r="B1583" t="s">
        <v>37</v>
      </c>
      <c r="C1583" t="s">
        <v>10506</v>
      </c>
      <c r="E1583" t="s">
        <v>10285</v>
      </c>
      <c r="F1583" t="s">
        <v>10507</v>
      </c>
      <c r="G1583" t="s">
        <v>10508</v>
      </c>
      <c r="H1583" t="s">
        <v>42</v>
      </c>
      <c r="I1583" t="s">
        <v>10509</v>
      </c>
      <c r="J1583" t="s">
        <v>10510</v>
      </c>
      <c r="K1583">
        <v>22085</v>
      </c>
      <c r="L1583" t="s">
        <v>71</v>
      </c>
      <c r="M1583" t="s">
        <v>46</v>
      </c>
      <c r="N1583" t="s">
        <v>47</v>
      </c>
      <c r="O1583">
        <v>2</v>
      </c>
      <c r="P1583">
        <v>1</v>
      </c>
      <c r="Q1583">
        <v>2</v>
      </c>
      <c r="R1583" t="s">
        <v>48</v>
      </c>
      <c r="S1583" t="s">
        <v>49</v>
      </c>
      <c r="T1583" s="3">
        <v>0.84</v>
      </c>
      <c r="U1583" s="3">
        <v>0.23</v>
      </c>
      <c r="V1583" s="3">
        <v>1.81</v>
      </c>
      <c r="W1583">
        <v>0.78</v>
      </c>
      <c r="X1583" t="s">
        <v>108</v>
      </c>
      <c r="Y1583" s="3">
        <v>5.14</v>
      </c>
      <c r="Z1583" t="s">
        <v>9686</v>
      </c>
      <c r="AA1583" t="s">
        <v>1802</v>
      </c>
      <c r="AB1583" t="s">
        <v>53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f t="shared" si="48"/>
        <v>8.02</v>
      </c>
      <c r="AK1583" s="3">
        <f t="shared" si="49"/>
        <v>2.88</v>
      </c>
    </row>
    <row r="1584" spans="1:37">
      <c r="A1584">
        <v>10365456</v>
      </c>
      <c r="B1584" t="s">
        <v>37</v>
      </c>
      <c r="C1584" t="s">
        <v>10511</v>
      </c>
      <c r="D1584" t="s">
        <v>10512</v>
      </c>
      <c r="E1584" t="s">
        <v>1886</v>
      </c>
      <c r="F1584" t="s">
        <v>10513</v>
      </c>
      <c r="G1584" t="s">
        <v>10514</v>
      </c>
      <c r="H1584" t="s">
        <v>42</v>
      </c>
      <c r="I1584" t="s">
        <v>10515</v>
      </c>
      <c r="J1584" t="s">
        <v>10516</v>
      </c>
      <c r="K1584" t="s">
        <v>10517</v>
      </c>
      <c r="L1584" t="s">
        <v>142</v>
      </c>
      <c r="M1584" t="s">
        <v>46</v>
      </c>
      <c r="N1584" t="s">
        <v>47</v>
      </c>
      <c r="O1584">
        <v>2</v>
      </c>
      <c r="P1584">
        <v>1</v>
      </c>
      <c r="Q1584">
        <v>2</v>
      </c>
      <c r="R1584" t="s">
        <v>48</v>
      </c>
      <c r="S1584" t="s">
        <v>49</v>
      </c>
      <c r="T1584" s="3">
        <v>0.84</v>
      </c>
      <c r="U1584" s="3">
        <v>0.23</v>
      </c>
      <c r="V1584" s="3">
        <v>1.81</v>
      </c>
      <c r="W1584">
        <v>0.98</v>
      </c>
      <c r="X1584" t="s">
        <v>50</v>
      </c>
      <c r="Y1584" s="3">
        <v>16.43</v>
      </c>
      <c r="Z1584" t="s">
        <v>9850</v>
      </c>
      <c r="AA1584" t="s">
        <v>7633</v>
      </c>
      <c r="AB1584" t="s">
        <v>53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f t="shared" si="48"/>
        <v>19.309999999999999</v>
      </c>
      <c r="AK1584" s="3">
        <f t="shared" si="49"/>
        <v>2.879999999999999</v>
      </c>
    </row>
    <row r="1585" spans="1:37">
      <c r="A1585">
        <v>10367738</v>
      </c>
      <c r="B1585" t="s">
        <v>37</v>
      </c>
      <c r="C1585" t="s">
        <v>10518</v>
      </c>
      <c r="E1585" t="s">
        <v>445</v>
      </c>
      <c r="F1585" t="s">
        <v>3242</v>
      </c>
      <c r="G1585" t="s">
        <v>10519</v>
      </c>
      <c r="H1585" t="s">
        <v>42</v>
      </c>
      <c r="I1585" t="s">
        <v>10520</v>
      </c>
      <c r="J1585" t="s">
        <v>10521</v>
      </c>
      <c r="K1585" t="s">
        <v>10522</v>
      </c>
      <c r="L1585" t="s">
        <v>142</v>
      </c>
      <c r="M1585" t="s">
        <v>46</v>
      </c>
      <c r="N1585" t="s">
        <v>47</v>
      </c>
      <c r="O1585">
        <v>2</v>
      </c>
      <c r="P1585">
        <v>1</v>
      </c>
      <c r="Q1585">
        <v>2</v>
      </c>
      <c r="R1585" t="s">
        <v>48</v>
      </c>
      <c r="S1585" t="s">
        <v>49</v>
      </c>
      <c r="T1585" s="3">
        <v>0.84</v>
      </c>
      <c r="U1585" s="3">
        <v>0.23</v>
      </c>
      <c r="V1585" s="3">
        <v>1.81</v>
      </c>
      <c r="W1585">
        <v>0.98</v>
      </c>
      <c r="X1585" t="s">
        <v>50</v>
      </c>
      <c r="Y1585" s="3">
        <v>16.43</v>
      </c>
      <c r="Z1585" t="s">
        <v>9850</v>
      </c>
      <c r="AA1585" t="s">
        <v>10523</v>
      </c>
      <c r="AB1585" t="s">
        <v>53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f t="shared" si="48"/>
        <v>19.309999999999999</v>
      </c>
      <c r="AK1585" s="3">
        <f t="shared" si="49"/>
        <v>2.879999999999999</v>
      </c>
    </row>
    <row r="1586" spans="1:37">
      <c r="A1586">
        <v>10364909</v>
      </c>
      <c r="B1586" t="s">
        <v>37</v>
      </c>
      <c r="C1586" t="s">
        <v>10524</v>
      </c>
      <c r="E1586" t="s">
        <v>10525</v>
      </c>
      <c r="F1586" t="s">
        <v>10526</v>
      </c>
      <c r="G1586" t="s">
        <v>10527</v>
      </c>
      <c r="H1586" t="s">
        <v>42</v>
      </c>
      <c r="I1586" t="s">
        <v>10528</v>
      </c>
      <c r="J1586" t="s">
        <v>10529</v>
      </c>
      <c r="K1586" t="s">
        <v>10530</v>
      </c>
      <c r="L1586" t="s">
        <v>142</v>
      </c>
      <c r="M1586" t="s">
        <v>46</v>
      </c>
      <c r="N1586" t="s">
        <v>47</v>
      </c>
      <c r="O1586">
        <v>2</v>
      </c>
      <c r="P1586">
        <v>1</v>
      </c>
      <c r="Q1586">
        <v>2</v>
      </c>
      <c r="R1586" t="s">
        <v>48</v>
      </c>
      <c r="S1586" t="s">
        <v>49</v>
      </c>
      <c r="T1586" s="3">
        <v>0.84</v>
      </c>
      <c r="U1586" s="3">
        <v>0.23</v>
      </c>
      <c r="V1586" s="3">
        <v>1.81</v>
      </c>
      <c r="W1586">
        <v>0.78</v>
      </c>
      <c r="X1586" t="s">
        <v>50</v>
      </c>
      <c r="Y1586" s="3">
        <v>16.43</v>
      </c>
      <c r="Z1586" t="s">
        <v>9686</v>
      </c>
      <c r="AA1586" t="s">
        <v>785</v>
      </c>
      <c r="AB1586" t="s">
        <v>53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f t="shared" si="48"/>
        <v>19.309999999999999</v>
      </c>
      <c r="AK1586" s="3">
        <f t="shared" si="49"/>
        <v>2.879999999999999</v>
      </c>
    </row>
    <row r="1587" spans="1:37">
      <c r="A1587">
        <v>10368047</v>
      </c>
      <c r="B1587" t="s">
        <v>37</v>
      </c>
      <c r="C1587" t="s">
        <v>10531</v>
      </c>
      <c r="E1587" t="s">
        <v>547</v>
      </c>
      <c r="F1587" t="s">
        <v>2535</v>
      </c>
      <c r="G1587" t="s">
        <v>10532</v>
      </c>
      <c r="H1587" t="s">
        <v>42</v>
      </c>
      <c r="I1587" t="s">
        <v>10533</v>
      </c>
      <c r="J1587" t="s">
        <v>10534</v>
      </c>
      <c r="K1587" t="s">
        <v>10535</v>
      </c>
      <c r="L1587" t="s">
        <v>142</v>
      </c>
      <c r="M1587" t="s">
        <v>46</v>
      </c>
      <c r="N1587" t="s">
        <v>47</v>
      </c>
      <c r="O1587">
        <v>5</v>
      </c>
      <c r="P1587">
        <v>1</v>
      </c>
      <c r="Q1587">
        <v>5</v>
      </c>
      <c r="R1587" t="s">
        <v>48</v>
      </c>
      <c r="S1587" t="s">
        <v>49</v>
      </c>
      <c r="T1587" s="3">
        <v>0.84</v>
      </c>
      <c r="U1587" s="3">
        <v>0.23</v>
      </c>
      <c r="V1587" s="3">
        <v>4.42</v>
      </c>
      <c r="W1587">
        <v>1.91</v>
      </c>
      <c r="X1587" t="s">
        <v>50</v>
      </c>
      <c r="Y1587" s="3">
        <v>16.43</v>
      </c>
      <c r="Z1587" t="s">
        <v>9686</v>
      </c>
      <c r="AA1587" t="s">
        <v>10536</v>
      </c>
      <c r="AB1587" t="s">
        <v>53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f t="shared" si="48"/>
        <v>21.92</v>
      </c>
      <c r="AK1587" s="3">
        <f t="shared" si="49"/>
        <v>5.490000000000002</v>
      </c>
    </row>
    <row r="1588" spans="1:37">
      <c r="A1588">
        <v>10366130</v>
      </c>
      <c r="B1588" t="s">
        <v>37</v>
      </c>
      <c r="C1588" t="s">
        <v>10537</v>
      </c>
      <c r="E1588" t="s">
        <v>10538</v>
      </c>
      <c r="F1588" t="s">
        <v>10539</v>
      </c>
      <c r="G1588" t="s">
        <v>10540</v>
      </c>
      <c r="H1588" t="s">
        <v>42</v>
      </c>
      <c r="I1588" t="s">
        <v>10541</v>
      </c>
      <c r="J1588" t="s">
        <v>10542</v>
      </c>
      <c r="K1588">
        <v>1050</v>
      </c>
      <c r="L1588" t="s">
        <v>505</v>
      </c>
      <c r="M1588" t="s">
        <v>46</v>
      </c>
      <c r="N1588" t="s">
        <v>47</v>
      </c>
      <c r="O1588">
        <v>2</v>
      </c>
      <c r="P1588">
        <v>1</v>
      </c>
      <c r="Q1588">
        <v>2</v>
      </c>
      <c r="R1588" t="s">
        <v>48</v>
      </c>
      <c r="S1588" t="s">
        <v>49</v>
      </c>
      <c r="T1588" s="3">
        <v>0.84</v>
      </c>
      <c r="U1588" s="3">
        <v>0.23</v>
      </c>
      <c r="V1588" s="3">
        <v>1.81</v>
      </c>
      <c r="W1588">
        <v>0.98</v>
      </c>
      <c r="X1588" t="s">
        <v>50</v>
      </c>
      <c r="Y1588" s="3">
        <v>9.19</v>
      </c>
      <c r="Z1588" t="s">
        <v>9850</v>
      </c>
      <c r="AA1588" t="s">
        <v>7640</v>
      </c>
      <c r="AB1588" t="s">
        <v>53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f t="shared" si="48"/>
        <v>12.07</v>
      </c>
      <c r="AK1588" s="3">
        <f t="shared" si="49"/>
        <v>2.8800000000000008</v>
      </c>
    </row>
    <row r="1589" spans="1:37">
      <c r="A1589">
        <v>10366288</v>
      </c>
      <c r="B1589" t="s">
        <v>37</v>
      </c>
      <c r="C1589" t="s">
        <v>10543</v>
      </c>
      <c r="E1589" t="s">
        <v>6832</v>
      </c>
      <c r="F1589" t="s">
        <v>10544</v>
      </c>
      <c r="G1589" t="s">
        <v>10545</v>
      </c>
      <c r="H1589" t="s">
        <v>42</v>
      </c>
      <c r="I1589" t="s">
        <v>10546</v>
      </c>
      <c r="J1589" t="s">
        <v>10547</v>
      </c>
      <c r="K1589">
        <v>93059</v>
      </c>
      <c r="L1589" t="s">
        <v>71</v>
      </c>
      <c r="M1589" t="s">
        <v>46</v>
      </c>
      <c r="N1589" t="s">
        <v>47</v>
      </c>
      <c r="O1589">
        <v>2</v>
      </c>
      <c r="P1589">
        <v>1</v>
      </c>
      <c r="Q1589">
        <v>2</v>
      </c>
      <c r="R1589" t="s">
        <v>48</v>
      </c>
      <c r="S1589" t="s">
        <v>49</v>
      </c>
      <c r="T1589" s="3">
        <v>0.84</v>
      </c>
      <c r="U1589" s="3">
        <v>0.23</v>
      </c>
      <c r="V1589" s="3">
        <v>1.81</v>
      </c>
      <c r="W1589">
        <v>0.78</v>
      </c>
      <c r="X1589" t="s">
        <v>108</v>
      </c>
      <c r="Y1589" s="3">
        <v>5.14</v>
      </c>
      <c r="Z1589" t="s">
        <v>9686</v>
      </c>
      <c r="AA1589" t="s">
        <v>1510</v>
      </c>
      <c r="AB1589" t="s">
        <v>53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f t="shared" si="48"/>
        <v>8.02</v>
      </c>
      <c r="AK1589" s="3">
        <f t="shared" si="49"/>
        <v>2.88</v>
      </c>
    </row>
    <row r="1590" spans="1:37">
      <c r="A1590">
        <v>10368204</v>
      </c>
      <c r="B1590" t="s">
        <v>37</v>
      </c>
      <c r="C1590" t="s">
        <v>10548</v>
      </c>
      <c r="E1590" t="s">
        <v>10549</v>
      </c>
      <c r="F1590" t="s">
        <v>10550</v>
      </c>
      <c r="G1590" t="s">
        <v>10551</v>
      </c>
      <c r="H1590" t="s">
        <v>42</v>
      </c>
      <c r="I1590" t="s">
        <v>10552</v>
      </c>
      <c r="J1590" t="s">
        <v>10553</v>
      </c>
      <c r="K1590" t="s">
        <v>10554</v>
      </c>
      <c r="L1590" t="s">
        <v>82</v>
      </c>
      <c r="M1590" t="s">
        <v>46</v>
      </c>
      <c r="N1590" t="s">
        <v>47</v>
      </c>
      <c r="O1590">
        <v>2</v>
      </c>
      <c r="P1590">
        <v>1</v>
      </c>
      <c r="Q1590">
        <v>2</v>
      </c>
      <c r="R1590" t="s">
        <v>48</v>
      </c>
      <c r="S1590" t="s">
        <v>49</v>
      </c>
      <c r="T1590" s="3">
        <v>0.84</v>
      </c>
      <c r="U1590" s="3">
        <v>0.23</v>
      </c>
      <c r="V1590" s="3">
        <v>1.81</v>
      </c>
      <c r="W1590">
        <v>0.63</v>
      </c>
      <c r="X1590" t="s">
        <v>50</v>
      </c>
      <c r="Y1590" s="3">
        <v>9.19</v>
      </c>
      <c r="Z1590" t="s">
        <v>9850</v>
      </c>
      <c r="AA1590" t="s">
        <v>7739</v>
      </c>
      <c r="AB1590" t="s">
        <v>53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f t="shared" si="48"/>
        <v>12.07</v>
      </c>
      <c r="AK1590" s="3">
        <f t="shared" si="49"/>
        <v>2.8800000000000008</v>
      </c>
    </row>
    <row r="1591" spans="1:37">
      <c r="A1591">
        <v>10368046</v>
      </c>
      <c r="B1591" t="s">
        <v>37</v>
      </c>
      <c r="C1591" t="s">
        <v>10555</v>
      </c>
      <c r="E1591" t="s">
        <v>10556</v>
      </c>
      <c r="F1591" t="s">
        <v>10557</v>
      </c>
      <c r="G1591" t="s">
        <v>10558</v>
      </c>
      <c r="H1591" t="s">
        <v>42</v>
      </c>
      <c r="I1591" t="s">
        <v>10559</v>
      </c>
      <c r="J1591" t="s">
        <v>10560</v>
      </c>
      <c r="K1591">
        <v>87463</v>
      </c>
      <c r="L1591" t="s">
        <v>71</v>
      </c>
      <c r="M1591" t="s">
        <v>46</v>
      </c>
      <c r="N1591" t="s">
        <v>47</v>
      </c>
      <c r="O1591">
        <v>3</v>
      </c>
      <c r="P1591">
        <v>1</v>
      </c>
      <c r="Q1591">
        <v>3</v>
      </c>
      <c r="R1591" t="s">
        <v>48</v>
      </c>
      <c r="S1591" t="s">
        <v>49</v>
      </c>
      <c r="T1591" s="3">
        <v>0.84</v>
      </c>
      <c r="U1591" s="3">
        <v>0.23</v>
      </c>
      <c r="V1591" s="3">
        <v>2.68</v>
      </c>
      <c r="W1591">
        <v>1.47</v>
      </c>
      <c r="X1591" t="s">
        <v>108</v>
      </c>
      <c r="Y1591" s="3">
        <v>5.14</v>
      </c>
      <c r="Z1591" t="s">
        <v>9686</v>
      </c>
      <c r="AA1591" t="s">
        <v>10561</v>
      </c>
      <c r="AB1591" t="s">
        <v>53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f t="shared" si="48"/>
        <v>8.89</v>
      </c>
      <c r="AK1591" s="3">
        <f t="shared" si="49"/>
        <v>3.7500000000000009</v>
      </c>
    </row>
    <row r="1592" spans="1:37">
      <c r="A1592">
        <v>10364907</v>
      </c>
      <c r="B1592" t="s">
        <v>37</v>
      </c>
      <c r="C1592" t="s">
        <v>10562</v>
      </c>
      <c r="E1592" t="s">
        <v>10563</v>
      </c>
      <c r="F1592" t="s">
        <v>10564</v>
      </c>
      <c r="G1592" t="s">
        <v>10565</v>
      </c>
      <c r="H1592" t="s">
        <v>42</v>
      </c>
      <c r="I1592" t="s">
        <v>10566</v>
      </c>
      <c r="J1592" t="s">
        <v>10567</v>
      </c>
      <c r="K1592">
        <v>99334</v>
      </c>
      <c r="L1592" t="s">
        <v>71</v>
      </c>
      <c r="M1592" t="s">
        <v>46</v>
      </c>
      <c r="N1592" t="s">
        <v>47</v>
      </c>
      <c r="O1592">
        <v>3</v>
      </c>
      <c r="P1592">
        <v>1</v>
      </c>
      <c r="Q1592">
        <v>3</v>
      </c>
      <c r="R1592" t="s">
        <v>48</v>
      </c>
      <c r="S1592" t="s">
        <v>49</v>
      </c>
      <c r="T1592" s="3">
        <v>0.84</v>
      </c>
      <c r="U1592" s="3">
        <v>0.23</v>
      </c>
      <c r="V1592" s="3">
        <v>2.68</v>
      </c>
      <c r="W1592">
        <v>1.37</v>
      </c>
      <c r="X1592" t="s">
        <v>108</v>
      </c>
      <c r="Y1592" s="3">
        <v>5.14</v>
      </c>
      <c r="Z1592" t="s">
        <v>9686</v>
      </c>
      <c r="AA1592" t="s">
        <v>10568</v>
      </c>
      <c r="AB1592" t="s">
        <v>53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f t="shared" si="48"/>
        <v>8.89</v>
      </c>
      <c r="AK1592" s="3">
        <f t="shared" si="49"/>
        <v>3.7500000000000009</v>
      </c>
    </row>
    <row r="1593" spans="1:37">
      <c r="A1593">
        <v>10363478</v>
      </c>
      <c r="B1593" t="s">
        <v>37</v>
      </c>
      <c r="C1593" t="s">
        <v>10569</v>
      </c>
      <c r="E1593" t="s">
        <v>4729</v>
      </c>
      <c r="F1593" t="s">
        <v>10570</v>
      </c>
      <c r="G1593" t="s">
        <v>10571</v>
      </c>
      <c r="H1593" t="s">
        <v>42</v>
      </c>
      <c r="I1593" t="s">
        <v>10572</v>
      </c>
      <c r="J1593" t="s">
        <v>10573</v>
      </c>
      <c r="K1593" t="s">
        <v>10574</v>
      </c>
      <c r="L1593" t="s">
        <v>82</v>
      </c>
      <c r="M1593" t="s">
        <v>46</v>
      </c>
      <c r="N1593" t="s">
        <v>47</v>
      </c>
      <c r="O1593">
        <v>2</v>
      </c>
      <c r="P1593">
        <v>1</v>
      </c>
      <c r="Q1593">
        <v>2</v>
      </c>
      <c r="R1593" t="s">
        <v>48</v>
      </c>
      <c r="S1593" t="s">
        <v>49</v>
      </c>
      <c r="T1593" s="3">
        <v>0.84</v>
      </c>
      <c r="U1593" s="3">
        <v>0.23</v>
      </c>
      <c r="V1593" s="3">
        <v>1.81</v>
      </c>
      <c r="W1593">
        <v>0.71</v>
      </c>
      <c r="X1593" t="s">
        <v>50</v>
      </c>
      <c r="Y1593" s="3">
        <v>9.19</v>
      </c>
      <c r="Z1593" t="s">
        <v>9686</v>
      </c>
      <c r="AA1593" t="s">
        <v>10575</v>
      </c>
      <c r="AB1593" t="s">
        <v>53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f t="shared" si="48"/>
        <v>12.07</v>
      </c>
      <c r="AK1593" s="3">
        <f t="shared" si="49"/>
        <v>2.8800000000000008</v>
      </c>
    </row>
    <row r="1594" spans="1:37">
      <c r="A1594">
        <v>10367162</v>
      </c>
      <c r="B1594" t="s">
        <v>37</v>
      </c>
      <c r="C1594" t="s">
        <v>10576</v>
      </c>
      <c r="E1594" t="s">
        <v>2265</v>
      </c>
      <c r="F1594" t="s">
        <v>10577</v>
      </c>
      <c r="G1594" t="s">
        <v>10578</v>
      </c>
      <c r="H1594" t="s">
        <v>42</v>
      </c>
      <c r="I1594" t="s">
        <v>10579</v>
      </c>
      <c r="J1594" t="s">
        <v>10580</v>
      </c>
      <c r="K1594">
        <v>83278</v>
      </c>
      <c r="L1594" t="s">
        <v>71</v>
      </c>
      <c r="M1594" t="s">
        <v>46</v>
      </c>
      <c r="N1594" t="s">
        <v>47</v>
      </c>
      <c r="O1594">
        <v>3</v>
      </c>
      <c r="P1594">
        <v>1</v>
      </c>
      <c r="Q1594">
        <v>3</v>
      </c>
      <c r="R1594" t="s">
        <v>48</v>
      </c>
      <c r="S1594" t="s">
        <v>49</v>
      </c>
      <c r="T1594" s="3">
        <v>0.84</v>
      </c>
      <c r="U1594" s="3">
        <v>0.23</v>
      </c>
      <c r="V1594" s="3">
        <v>2.68</v>
      </c>
      <c r="W1594">
        <v>1.64</v>
      </c>
      <c r="X1594" t="s">
        <v>108</v>
      </c>
      <c r="Y1594" s="3">
        <v>5.14</v>
      </c>
      <c r="Z1594" t="s">
        <v>9686</v>
      </c>
      <c r="AA1594" t="s">
        <v>10581</v>
      </c>
      <c r="AB1594" t="s">
        <v>53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f t="shared" si="48"/>
        <v>8.89</v>
      </c>
      <c r="AK1594" s="3">
        <f t="shared" si="49"/>
        <v>3.7500000000000009</v>
      </c>
    </row>
    <row r="1595" spans="1:37">
      <c r="A1595">
        <v>10366290</v>
      </c>
      <c r="B1595" t="s">
        <v>37</v>
      </c>
      <c r="C1595" t="s">
        <v>10582</v>
      </c>
      <c r="D1595" t="s">
        <v>10583</v>
      </c>
      <c r="E1595" t="s">
        <v>336</v>
      </c>
      <c r="F1595" t="s">
        <v>10584</v>
      </c>
      <c r="G1595" t="s">
        <v>10585</v>
      </c>
      <c r="H1595" t="s">
        <v>42</v>
      </c>
      <c r="I1595" t="s">
        <v>10586</v>
      </c>
      <c r="J1595" t="s">
        <v>10587</v>
      </c>
      <c r="K1595" t="s">
        <v>10588</v>
      </c>
      <c r="L1595" t="s">
        <v>142</v>
      </c>
      <c r="M1595" t="s">
        <v>46</v>
      </c>
      <c r="N1595" t="s">
        <v>47</v>
      </c>
      <c r="O1595">
        <v>8</v>
      </c>
      <c r="P1595">
        <v>1</v>
      </c>
      <c r="Q1595">
        <v>8</v>
      </c>
      <c r="R1595" t="s">
        <v>48</v>
      </c>
      <c r="S1595" t="s">
        <v>49</v>
      </c>
      <c r="T1595" s="3">
        <v>0.84</v>
      </c>
      <c r="U1595" s="3">
        <v>0.23</v>
      </c>
      <c r="V1595" s="3">
        <v>7.03</v>
      </c>
      <c r="W1595">
        <v>1.1200000000000001</v>
      </c>
      <c r="X1595" t="s">
        <v>50</v>
      </c>
      <c r="Y1595" s="3">
        <v>16.43</v>
      </c>
      <c r="Z1595" t="s">
        <v>9686</v>
      </c>
      <c r="AA1595" t="s">
        <v>10589</v>
      </c>
      <c r="AB1595" t="s">
        <v>53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f t="shared" si="48"/>
        <v>24.53</v>
      </c>
      <c r="AK1595" s="3">
        <f t="shared" si="49"/>
        <v>8.1000000000000014</v>
      </c>
    </row>
    <row r="1596" spans="1:37">
      <c r="A1596">
        <v>10365969</v>
      </c>
      <c r="B1596" t="s">
        <v>37</v>
      </c>
      <c r="C1596" t="s">
        <v>10590</v>
      </c>
      <c r="E1596" t="s">
        <v>606</v>
      </c>
      <c r="F1596" t="s">
        <v>10591</v>
      </c>
      <c r="G1596" t="s">
        <v>10592</v>
      </c>
      <c r="H1596" t="s">
        <v>42</v>
      </c>
      <c r="I1596" t="s">
        <v>10593</v>
      </c>
      <c r="J1596" t="s">
        <v>10594</v>
      </c>
      <c r="K1596" t="s">
        <v>10595</v>
      </c>
      <c r="L1596" t="s">
        <v>152</v>
      </c>
      <c r="M1596" t="s">
        <v>46</v>
      </c>
      <c r="N1596" t="s">
        <v>47</v>
      </c>
      <c r="O1596">
        <v>3</v>
      </c>
      <c r="P1596">
        <v>1</v>
      </c>
      <c r="Q1596">
        <v>3</v>
      </c>
      <c r="R1596" t="s">
        <v>48</v>
      </c>
      <c r="S1596" t="s">
        <v>49</v>
      </c>
      <c r="T1596" s="3">
        <v>0.84</v>
      </c>
      <c r="U1596" s="3">
        <v>0.23</v>
      </c>
      <c r="V1596" s="3">
        <v>2.68</v>
      </c>
      <c r="W1596">
        <v>0.92</v>
      </c>
      <c r="X1596" t="s">
        <v>1702</v>
      </c>
      <c r="Y1596" s="3">
        <v>25.76</v>
      </c>
      <c r="Z1596" t="s">
        <v>9686</v>
      </c>
      <c r="AA1596" t="s">
        <v>10596</v>
      </c>
      <c r="AB1596" t="s">
        <v>53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f t="shared" si="48"/>
        <v>29.51</v>
      </c>
      <c r="AK1596" s="3">
        <f t="shared" si="49"/>
        <v>3.75</v>
      </c>
    </row>
    <row r="1597" spans="1:37">
      <c r="A1597">
        <v>10366470</v>
      </c>
      <c r="B1597" t="s">
        <v>37</v>
      </c>
      <c r="C1597" t="s">
        <v>10597</v>
      </c>
      <c r="E1597" t="s">
        <v>10598</v>
      </c>
      <c r="F1597" t="s">
        <v>10599</v>
      </c>
      <c r="G1597" t="s">
        <v>10600</v>
      </c>
      <c r="H1597" t="s">
        <v>42</v>
      </c>
      <c r="I1597" t="s">
        <v>10601</v>
      </c>
      <c r="J1597" t="s">
        <v>10602</v>
      </c>
      <c r="K1597">
        <v>9052</v>
      </c>
      <c r="L1597" t="s">
        <v>505</v>
      </c>
      <c r="M1597" t="s">
        <v>46</v>
      </c>
      <c r="N1597" t="s">
        <v>47</v>
      </c>
      <c r="O1597">
        <v>3</v>
      </c>
      <c r="P1597">
        <v>1</v>
      </c>
      <c r="Q1597">
        <v>3</v>
      </c>
      <c r="R1597" t="s">
        <v>48</v>
      </c>
      <c r="S1597" t="s">
        <v>49</v>
      </c>
      <c r="T1597" s="3">
        <v>0.84</v>
      </c>
      <c r="U1597" s="3">
        <v>0.23</v>
      </c>
      <c r="V1597" s="3">
        <v>2.68</v>
      </c>
      <c r="W1597">
        <v>1.47</v>
      </c>
      <c r="X1597" t="s">
        <v>50</v>
      </c>
      <c r="Y1597" s="3">
        <v>9.19</v>
      </c>
      <c r="Z1597" t="s">
        <v>9686</v>
      </c>
      <c r="AA1597" t="s">
        <v>10603</v>
      </c>
      <c r="AB1597" t="s">
        <v>53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f t="shared" si="48"/>
        <v>12.94</v>
      </c>
      <c r="AK1597" s="3">
        <f t="shared" si="49"/>
        <v>3.75</v>
      </c>
    </row>
    <row r="1598" spans="1:37">
      <c r="A1598">
        <v>10365176</v>
      </c>
      <c r="B1598" t="s">
        <v>37</v>
      </c>
      <c r="C1598" t="s">
        <v>10604</v>
      </c>
      <c r="E1598" t="s">
        <v>240</v>
      </c>
      <c r="F1598" t="s">
        <v>10605</v>
      </c>
      <c r="G1598" t="s">
        <v>10606</v>
      </c>
      <c r="H1598" t="s">
        <v>42</v>
      </c>
      <c r="I1598" t="s">
        <v>10607</v>
      </c>
      <c r="J1598" t="s">
        <v>10608</v>
      </c>
      <c r="K1598" t="s">
        <v>10609</v>
      </c>
      <c r="L1598" t="s">
        <v>142</v>
      </c>
      <c r="M1598" t="s">
        <v>46</v>
      </c>
      <c r="N1598" t="s">
        <v>47</v>
      </c>
      <c r="O1598">
        <v>6</v>
      </c>
      <c r="P1598">
        <v>1</v>
      </c>
      <c r="Q1598">
        <v>6</v>
      </c>
      <c r="R1598" t="s">
        <v>48</v>
      </c>
      <c r="S1598" t="s">
        <v>49</v>
      </c>
      <c r="T1598" s="3">
        <v>0.84</v>
      </c>
      <c r="U1598" s="3">
        <v>0.23</v>
      </c>
      <c r="V1598" s="3">
        <v>5.29</v>
      </c>
      <c r="W1598">
        <v>2.52</v>
      </c>
      <c r="X1598" t="s">
        <v>50</v>
      </c>
      <c r="Y1598" s="3">
        <v>16.43</v>
      </c>
      <c r="Z1598" t="s">
        <v>9686</v>
      </c>
      <c r="AA1598" t="s">
        <v>10610</v>
      </c>
      <c r="AB1598" t="s">
        <v>53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f t="shared" si="48"/>
        <v>22.79</v>
      </c>
      <c r="AK1598" s="3">
        <f t="shared" si="49"/>
        <v>6.3599999999999994</v>
      </c>
    </row>
    <row r="1599" spans="1:37">
      <c r="A1599">
        <v>10363692</v>
      </c>
      <c r="B1599" t="s">
        <v>37</v>
      </c>
      <c r="C1599" t="s">
        <v>10611</v>
      </c>
      <c r="D1599" t="s">
        <v>10612</v>
      </c>
      <c r="E1599" t="s">
        <v>10613</v>
      </c>
      <c r="F1599" t="s">
        <v>10614</v>
      </c>
      <c r="G1599" t="s">
        <v>10615</v>
      </c>
      <c r="H1599" t="s">
        <v>42</v>
      </c>
      <c r="I1599" t="s">
        <v>10616</v>
      </c>
      <c r="J1599" t="s">
        <v>10617</v>
      </c>
      <c r="K1599" t="s">
        <v>10618</v>
      </c>
      <c r="L1599" t="s">
        <v>62</v>
      </c>
      <c r="M1599" t="s">
        <v>46</v>
      </c>
      <c r="N1599" t="s">
        <v>47</v>
      </c>
      <c r="O1599">
        <v>4</v>
      </c>
      <c r="P1599">
        <v>1</v>
      </c>
      <c r="Q1599">
        <v>4</v>
      </c>
      <c r="R1599" t="s">
        <v>48</v>
      </c>
      <c r="S1599" t="s">
        <v>49</v>
      </c>
      <c r="T1599" s="3">
        <v>0.84</v>
      </c>
      <c r="U1599" s="3">
        <v>0.23</v>
      </c>
      <c r="V1599" s="3">
        <v>3.55</v>
      </c>
      <c r="W1599">
        <v>1.31</v>
      </c>
      <c r="X1599" t="s">
        <v>100</v>
      </c>
      <c r="Y1599" s="3">
        <v>21.83</v>
      </c>
      <c r="Z1599" t="s">
        <v>9686</v>
      </c>
      <c r="AA1599" t="s">
        <v>10619</v>
      </c>
      <c r="AB1599" t="s">
        <v>53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f t="shared" si="48"/>
        <v>26.45</v>
      </c>
      <c r="AK1599" s="3">
        <f t="shared" si="49"/>
        <v>4.620000000000001</v>
      </c>
    </row>
    <row r="1600" spans="1:37">
      <c r="A1600">
        <v>10366289</v>
      </c>
      <c r="B1600" t="s">
        <v>37</v>
      </c>
      <c r="C1600" t="s">
        <v>10620</v>
      </c>
      <c r="E1600" t="s">
        <v>10621</v>
      </c>
      <c r="F1600" t="s">
        <v>10622</v>
      </c>
      <c r="G1600" t="s">
        <v>10623</v>
      </c>
      <c r="H1600" t="s">
        <v>42</v>
      </c>
      <c r="I1600" t="s">
        <v>10624</v>
      </c>
      <c r="J1600" t="s">
        <v>10625</v>
      </c>
      <c r="K1600">
        <v>6210</v>
      </c>
      <c r="L1600" t="s">
        <v>505</v>
      </c>
      <c r="M1600" t="s">
        <v>46</v>
      </c>
      <c r="N1600" t="s">
        <v>47</v>
      </c>
      <c r="O1600">
        <v>4</v>
      </c>
      <c r="P1600">
        <v>1</v>
      </c>
      <c r="Q1600">
        <v>4</v>
      </c>
      <c r="R1600" t="s">
        <v>48</v>
      </c>
      <c r="S1600" t="s">
        <v>49</v>
      </c>
      <c r="T1600" s="3">
        <v>0.84</v>
      </c>
      <c r="U1600" s="3">
        <v>0.23</v>
      </c>
      <c r="V1600" s="3">
        <v>3.55</v>
      </c>
      <c r="W1600">
        <v>2.58</v>
      </c>
      <c r="X1600" t="s">
        <v>50</v>
      </c>
      <c r="Y1600" s="3">
        <v>9.19</v>
      </c>
      <c r="Z1600" t="s">
        <v>9686</v>
      </c>
      <c r="AA1600" t="s">
        <v>10626</v>
      </c>
      <c r="AB1600" t="s">
        <v>53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f t="shared" si="48"/>
        <v>13.809999999999999</v>
      </c>
      <c r="AK1600" s="3">
        <f t="shared" si="49"/>
        <v>4.6199999999999992</v>
      </c>
    </row>
    <row r="1601" spans="1:37">
      <c r="A1601">
        <v>10366128</v>
      </c>
      <c r="B1601" t="s">
        <v>37</v>
      </c>
      <c r="C1601" t="s">
        <v>10627</v>
      </c>
      <c r="E1601" t="s">
        <v>8974</v>
      </c>
      <c r="F1601" t="s">
        <v>10628</v>
      </c>
      <c r="G1601" t="s">
        <v>10629</v>
      </c>
      <c r="H1601" t="s">
        <v>42</v>
      </c>
      <c r="I1601" t="s">
        <v>10630</v>
      </c>
      <c r="J1601" t="s">
        <v>10631</v>
      </c>
      <c r="K1601">
        <v>50012</v>
      </c>
      <c r="L1601" t="s">
        <v>91</v>
      </c>
      <c r="M1601" t="s">
        <v>46</v>
      </c>
      <c r="N1601" t="s">
        <v>47</v>
      </c>
      <c r="O1601">
        <v>4</v>
      </c>
      <c r="P1601">
        <v>1</v>
      </c>
      <c r="Q1601">
        <v>4</v>
      </c>
      <c r="R1601" t="s">
        <v>48</v>
      </c>
      <c r="S1601" t="s">
        <v>49</v>
      </c>
      <c r="T1601" s="3">
        <v>0.84</v>
      </c>
      <c r="U1601" s="3">
        <v>0.23</v>
      </c>
      <c r="V1601" s="3">
        <v>3.55</v>
      </c>
      <c r="W1601">
        <v>1.53</v>
      </c>
      <c r="X1601" t="s">
        <v>50</v>
      </c>
      <c r="Y1601" s="3">
        <v>16.43</v>
      </c>
      <c r="Z1601" t="s">
        <v>9686</v>
      </c>
      <c r="AA1601" t="s">
        <v>10632</v>
      </c>
      <c r="AB1601" t="s">
        <v>53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f t="shared" si="48"/>
        <v>21.05</v>
      </c>
      <c r="AK1601" s="3">
        <f t="shared" si="49"/>
        <v>4.620000000000001</v>
      </c>
    </row>
    <row r="1602" spans="1:37">
      <c r="A1602">
        <v>10367481</v>
      </c>
      <c r="B1602" t="s">
        <v>37</v>
      </c>
      <c r="C1602" t="s">
        <v>10633</v>
      </c>
      <c r="E1602" t="s">
        <v>6832</v>
      </c>
      <c r="F1602" t="s">
        <v>10634</v>
      </c>
      <c r="G1602" t="s">
        <v>10635</v>
      </c>
      <c r="H1602" t="s">
        <v>42</v>
      </c>
      <c r="I1602" t="s">
        <v>10636</v>
      </c>
      <c r="J1602" t="s">
        <v>10637</v>
      </c>
      <c r="K1602">
        <v>81739</v>
      </c>
      <c r="L1602" t="s">
        <v>71</v>
      </c>
      <c r="M1602" t="s">
        <v>46</v>
      </c>
      <c r="N1602" t="s">
        <v>47</v>
      </c>
      <c r="O1602">
        <v>3</v>
      </c>
      <c r="P1602">
        <v>1</v>
      </c>
      <c r="Q1602">
        <v>3</v>
      </c>
      <c r="R1602" t="s">
        <v>48</v>
      </c>
      <c r="S1602" t="s">
        <v>49</v>
      </c>
      <c r="T1602" s="3">
        <v>0.84</v>
      </c>
      <c r="U1602" s="3">
        <v>0.23</v>
      </c>
      <c r="V1602" s="3">
        <v>2.68</v>
      </c>
      <c r="W1602">
        <v>1.43</v>
      </c>
      <c r="X1602" t="s">
        <v>108</v>
      </c>
      <c r="Y1602" s="3">
        <v>5.14</v>
      </c>
      <c r="Z1602" t="s">
        <v>9686</v>
      </c>
      <c r="AA1602" t="s">
        <v>10638</v>
      </c>
      <c r="AB1602" t="s">
        <v>53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f t="shared" ref="AJ1602:AJ1665" si="50">AI1602+AH1602+AG1602+AF1602+AE1602+AD1602+AC1602+Y1602+V1602+U1602+T1602</f>
        <v>8.89</v>
      </c>
      <c r="AK1602" s="3">
        <f t="shared" ref="AK1602:AK1665" si="51">AJ1602-Y1602</f>
        <v>3.7500000000000009</v>
      </c>
    </row>
    <row r="1603" spans="1:37">
      <c r="A1603">
        <v>10365968</v>
      </c>
      <c r="B1603" t="s">
        <v>37</v>
      </c>
      <c r="C1603" t="s">
        <v>10639</v>
      </c>
      <c r="E1603" t="s">
        <v>10640</v>
      </c>
      <c r="F1603" t="s">
        <v>10641</v>
      </c>
      <c r="G1603" t="s">
        <v>10642</v>
      </c>
      <c r="H1603" t="s">
        <v>42</v>
      </c>
      <c r="I1603" t="s">
        <v>10643</v>
      </c>
      <c r="J1603" t="s">
        <v>10644</v>
      </c>
      <c r="K1603" t="s">
        <v>10645</v>
      </c>
      <c r="L1603" t="s">
        <v>82</v>
      </c>
      <c r="M1603" t="s">
        <v>46</v>
      </c>
      <c r="N1603" t="s">
        <v>47</v>
      </c>
      <c r="O1603">
        <v>3</v>
      </c>
      <c r="P1603">
        <v>1</v>
      </c>
      <c r="Q1603">
        <v>3</v>
      </c>
      <c r="R1603" t="s">
        <v>48</v>
      </c>
      <c r="S1603" t="s">
        <v>49</v>
      </c>
      <c r="T1603" s="3">
        <v>0.84</v>
      </c>
      <c r="U1603" s="3">
        <v>0.23</v>
      </c>
      <c r="V1603" s="3">
        <v>2.68</v>
      </c>
      <c r="W1603">
        <v>1.27</v>
      </c>
      <c r="X1603" t="s">
        <v>50</v>
      </c>
      <c r="Y1603" s="3">
        <v>9.19</v>
      </c>
      <c r="Z1603" t="s">
        <v>9686</v>
      </c>
      <c r="AA1603" t="s">
        <v>10646</v>
      </c>
      <c r="AB1603" t="s">
        <v>53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f t="shared" si="50"/>
        <v>12.94</v>
      </c>
      <c r="AK1603" s="3">
        <f t="shared" si="51"/>
        <v>3.75</v>
      </c>
    </row>
    <row r="1604" spans="1:37">
      <c r="A1604">
        <v>10370816</v>
      </c>
      <c r="B1604" t="s">
        <v>37</v>
      </c>
      <c r="C1604" t="s">
        <v>10647</v>
      </c>
      <c r="E1604" t="s">
        <v>1658</v>
      </c>
      <c r="F1604" t="s">
        <v>10648</v>
      </c>
      <c r="G1604" t="s">
        <v>10649</v>
      </c>
      <c r="H1604" t="s">
        <v>42</v>
      </c>
      <c r="I1604" t="s">
        <v>10650</v>
      </c>
      <c r="J1604" t="s">
        <v>10651</v>
      </c>
      <c r="K1604" t="s">
        <v>10652</v>
      </c>
      <c r="L1604" t="s">
        <v>82</v>
      </c>
      <c r="M1604" t="s">
        <v>46</v>
      </c>
      <c r="N1604" t="s">
        <v>47</v>
      </c>
      <c r="O1604">
        <v>1</v>
      </c>
      <c r="P1604">
        <v>1</v>
      </c>
      <c r="Q1604">
        <v>1</v>
      </c>
      <c r="R1604" t="s">
        <v>48</v>
      </c>
      <c r="S1604" t="s">
        <v>49</v>
      </c>
      <c r="T1604" s="3">
        <v>0.84</v>
      </c>
      <c r="U1604" s="3">
        <v>0.23</v>
      </c>
      <c r="V1604" s="3">
        <v>0.94</v>
      </c>
      <c r="W1604">
        <v>0.39</v>
      </c>
      <c r="X1604" t="s">
        <v>50</v>
      </c>
      <c r="Y1604" s="3">
        <v>9.19</v>
      </c>
      <c r="Z1604" t="s">
        <v>9850</v>
      </c>
      <c r="AA1604" t="s">
        <v>1802</v>
      </c>
      <c r="AB1604" t="s">
        <v>53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f t="shared" si="50"/>
        <v>11.2</v>
      </c>
      <c r="AK1604" s="3">
        <f t="shared" si="51"/>
        <v>2.0099999999999998</v>
      </c>
    </row>
    <row r="1605" spans="1:37">
      <c r="A1605">
        <v>10369019</v>
      </c>
      <c r="B1605" t="s">
        <v>37</v>
      </c>
      <c r="C1605" t="s">
        <v>10653</v>
      </c>
      <c r="E1605" t="s">
        <v>748</v>
      </c>
      <c r="F1605" t="s">
        <v>10654</v>
      </c>
      <c r="G1605" t="s">
        <v>10655</v>
      </c>
      <c r="H1605" t="s">
        <v>42</v>
      </c>
      <c r="I1605" t="s">
        <v>10656</v>
      </c>
      <c r="J1605" t="s">
        <v>10657</v>
      </c>
      <c r="K1605">
        <v>76593</v>
      </c>
      <c r="L1605" t="s">
        <v>71</v>
      </c>
      <c r="M1605" t="s">
        <v>46</v>
      </c>
      <c r="N1605" t="s">
        <v>47</v>
      </c>
      <c r="O1605">
        <v>1</v>
      </c>
      <c r="P1605">
        <v>1</v>
      </c>
      <c r="Q1605">
        <v>1</v>
      </c>
      <c r="R1605" t="s">
        <v>48</v>
      </c>
      <c r="S1605" t="s">
        <v>49</v>
      </c>
      <c r="T1605" s="3">
        <v>0.84</v>
      </c>
      <c r="U1605" s="3">
        <v>0.23</v>
      </c>
      <c r="V1605" s="3">
        <v>0.94</v>
      </c>
      <c r="W1605">
        <v>0.49</v>
      </c>
      <c r="X1605" t="s">
        <v>108</v>
      </c>
      <c r="Y1605" s="3">
        <v>5.14</v>
      </c>
      <c r="Z1605" t="s">
        <v>9850</v>
      </c>
      <c r="AA1605" t="s">
        <v>2623</v>
      </c>
      <c r="AB1605" t="s">
        <v>53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f t="shared" si="50"/>
        <v>7.15</v>
      </c>
      <c r="AK1605" s="3">
        <f t="shared" si="51"/>
        <v>2.0100000000000007</v>
      </c>
    </row>
    <row r="1606" spans="1:37">
      <c r="A1606">
        <v>10371165</v>
      </c>
      <c r="B1606" t="s">
        <v>37</v>
      </c>
      <c r="C1606" t="s">
        <v>10658</v>
      </c>
      <c r="E1606" t="s">
        <v>1330</v>
      </c>
      <c r="F1606" t="s">
        <v>10659</v>
      </c>
      <c r="G1606" t="s">
        <v>10660</v>
      </c>
      <c r="H1606" t="s">
        <v>42</v>
      </c>
      <c r="I1606" t="s">
        <v>10661</v>
      </c>
      <c r="J1606" t="s">
        <v>10662</v>
      </c>
      <c r="K1606">
        <v>30952</v>
      </c>
      <c r="L1606" t="s">
        <v>71</v>
      </c>
      <c r="M1606" t="s">
        <v>46</v>
      </c>
      <c r="N1606" t="s">
        <v>47</v>
      </c>
      <c r="O1606">
        <v>1</v>
      </c>
      <c r="P1606">
        <v>1</v>
      </c>
      <c r="Q1606">
        <v>1</v>
      </c>
      <c r="R1606" t="s">
        <v>48</v>
      </c>
      <c r="S1606" t="s">
        <v>49</v>
      </c>
      <c r="T1606" s="3">
        <v>0.84</v>
      </c>
      <c r="U1606" s="3">
        <v>0.23</v>
      </c>
      <c r="V1606" s="3">
        <v>0.94</v>
      </c>
      <c r="W1606">
        <v>0.14000000000000001</v>
      </c>
      <c r="X1606" t="s">
        <v>108</v>
      </c>
      <c r="Y1606" s="3">
        <v>5.14</v>
      </c>
      <c r="Z1606" t="s">
        <v>9850</v>
      </c>
      <c r="AA1606" t="s">
        <v>6478</v>
      </c>
      <c r="AB1606" t="s">
        <v>53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f t="shared" si="50"/>
        <v>7.15</v>
      </c>
      <c r="AK1606" s="3">
        <f t="shared" si="51"/>
        <v>2.0100000000000007</v>
      </c>
    </row>
    <row r="1607" spans="1:37">
      <c r="A1607">
        <v>10371973</v>
      </c>
      <c r="B1607" t="s">
        <v>37</v>
      </c>
      <c r="C1607" t="s">
        <v>10663</v>
      </c>
      <c r="E1607" t="s">
        <v>664</v>
      </c>
      <c r="F1607" t="s">
        <v>10664</v>
      </c>
      <c r="G1607" t="s">
        <v>10665</v>
      </c>
      <c r="H1607" t="s">
        <v>42</v>
      </c>
      <c r="I1607" t="s">
        <v>10666</v>
      </c>
      <c r="J1607" t="s">
        <v>10667</v>
      </c>
      <c r="K1607" t="s">
        <v>10668</v>
      </c>
      <c r="L1607" t="s">
        <v>142</v>
      </c>
      <c r="M1607" t="s">
        <v>46</v>
      </c>
      <c r="N1607" t="s">
        <v>47</v>
      </c>
      <c r="O1607">
        <v>2</v>
      </c>
      <c r="P1607">
        <v>1</v>
      </c>
      <c r="Q1607">
        <v>2</v>
      </c>
      <c r="R1607" t="s">
        <v>48</v>
      </c>
      <c r="S1607" t="s">
        <v>49</v>
      </c>
      <c r="T1607" s="3">
        <v>0.84</v>
      </c>
      <c r="U1607" s="3">
        <v>0.23</v>
      </c>
      <c r="V1607" s="3">
        <v>1.81</v>
      </c>
      <c r="W1607">
        <v>0.98</v>
      </c>
      <c r="X1607" t="s">
        <v>50</v>
      </c>
      <c r="Y1607" s="3">
        <v>16.43</v>
      </c>
      <c r="Z1607" t="s">
        <v>9686</v>
      </c>
      <c r="AA1607" t="s">
        <v>10669</v>
      </c>
      <c r="AB1607" t="s">
        <v>53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f t="shared" si="50"/>
        <v>19.309999999999999</v>
      </c>
      <c r="AK1607" s="3">
        <f t="shared" si="51"/>
        <v>2.879999999999999</v>
      </c>
    </row>
    <row r="1608" spans="1:37">
      <c r="A1608">
        <v>10368735</v>
      </c>
      <c r="B1608" t="s">
        <v>37</v>
      </c>
      <c r="C1608" t="s">
        <v>10670</v>
      </c>
      <c r="E1608" t="s">
        <v>664</v>
      </c>
      <c r="F1608" t="s">
        <v>10671</v>
      </c>
      <c r="G1608" t="s">
        <v>10672</v>
      </c>
      <c r="H1608" t="s">
        <v>42</v>
      </c>
      <c r="I1608" t="s">
        <v>10673</v>
      </c>
      <c r="J1608" t="s">
        <v>10674</v>
      </c>
      <c r="K1608">
        <v>13629</v>
      </c>
      <c r="L1608" t="s">
        <v>71</v>
      </c>
      <c r="M1608" t="s">
        <v>46</v>
      </c>
      <c r="N1608" t="s">
        <v>47</v>
      </c>
      <c r="O1608">
        <v>1</v>
      </c>
      <c r="P1608">
        <v>1</v>
      </c>
      <c r="Q1608">
        <v>1</v>
      </c>
      <c r="R1608" t="s">
        <v>48</v>
      </c>
      <c r="S1608" t="s">
        <v>49</v>
      </c>
      <c r="T1608" s="3">
        <v>0.84</v>
      </c>
      <c r="U1608" s="3">
        <v>0.23</v>
      </c>
      <c r="V1608" s="3">
        <v>0.94</v>
      </c>
      <c r="W1608">
        <v>2</v>
      </c>
      <c r="X1608" t="s">
        <v>108</v>
      </c>
      <c r="Y1608" s="3">
        <v>6.53</v>
      </c>
      <c r="Z1608" t="s">
        <v>9770</v>
      </c>
      <c r="AA1608" t="s">
        <v>6113</v>
      </c>
      <c r="AB1608" t="s">
        <v>53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f t="shared" si="50"/>
        <v>8.5400000000000009</v>
      </c>
      <c r="AK1608" s="3">
        <f t="shared" si="51"/>
        <v>2.0100000000000007</v>
      </c>
    </row>
    <row r="1609" spans="1:37">
      <c r="A1609">
        <v>10369126</v>
      </c>
      <c r="B1609" t="s">
        <v>37</v>
      </c>
      <c r="C1609" t="s">
        <v>10675</v>
      </c>
      <c r="E1609" t="s">
        <v>1627</v>
      </c>
      <c r="F1609" t="s">
        <v>1627</v>
      </c>
      <c r="G1609" t="s">
        <v>10676</v>
      </c>
      <c r="H1609" t="s">
        <v>42</v>
      </c>
      <c r="I1609" t="s">
        <v>10677</v>
      </c>
      <c r="J1609" t="s">
        <v>10678</v>
      </c>
      <c r="K1609">
        <v>8540</v>
      </c>
      <c r="L1609" t="s">
        <v>369</v>
      </c>
      <c r="M1609" t="s">
        <v>46</v>
      </c>
      <c r="N1609" t="s">
        <v>47</v>
      </c>
      <c r="O1609">
        <v>1</v>
      </c>
      <c r="P1609">
        <v>1</v>
      </c>
      <c r="Q1609">
        <v>1</v>
      </c>
      <c r="R1609" t="s">
        <v>48</v>
      </c>
      <c r="S1609" t="s">
        <v>49</v>
      </c>
      <c r="T1609" s="3">
        <v>0.84</v>
      </c>
      <c r="U1609" s="3">
        <v>0.23</v>
      </c>
      <c r="V1609" s="3">
        <v>0.94</v>
      </c>
      <c r="W1609">
        <v>2</v>
      </c>
      <c r="X1609" t="s">
        <v>50</v>
      </c>
      <c r="Y1609" s="3">
        <v>9.19</v>
      </c>
      <c r="Z1609" t="s">
        <v>9770</v>
      </c>
      <c r="AA1609" t="s">
        <v>6113</v>
      </c>
      <c r="AB1609" t="s">
        <v>53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f t="shared" si="50"/>
        <v>11.2</v>
      </c>
      <c r="AK1609" s="3">
        <f t="shared" si="51"/>
        <v>2.0099999999999998</v>
      </c>
    </row>
    <row r="1610" spans="1:37">
      <c r="A1610">
        <v>10369714</v>
      </c>
      <c r="B1610" t="s">
        <v>37</v>
      </c>
      <c r="C1610" t="s">
        <v>10679</v>
      </c>
      <c r="E1610" t="s">
        <v>4843</v>
      </c>
      <c r="F1610" t="s">
        <v>7056</v>
      </c>
      <c r="G1610" t="s">
        <v>10680</v>
      </c>
      <c r="H1610" t="s">
        <v>42</v>
      </c>
      <c r="I1610" t="s">
        <v>10681</v>
      </c>
      <c r="J1610" t="s">
        <v>10682</v>
      </c>
      <c r="K1610" t="s">
        <v>10683</v>
      </c>
      <c r="L1610" t="s">
        <v>142</v>
      </c>
      <c r="M1610" t="s">
        <v>46</v>
      </c>
      <c r="N1610" t="s">
        <v>47</v>
      </c>
      <c r="O1610">
        <v>1</v>
      </c>
      <c r="P1610">
        <v>1</v>
      </c>
      <c r="Q1610">
        <v>1</v>
      </c>
      <c r="R1610" t="s">
        <v>48</v>
      </c>
      <c r="S1610" t="s">
        <v>49</v>
      </c>
      <c r="T1610" s="3">
        <v>0.84</v>
      </c>
      <c r="U1610" s="3">
        <v>0.23</v>
      </c>
      <c r="V1610" s="3">
        <v>0.94</v>
      </c>
      <c r="W1610">
        <v>2</v>
      </c>
      <c r="X1610" t="s">
        <v>50</v>
      </c>
      <c r="Y1610" s="3">
        <v>16.43</v>
      </c>
      <c r="Z1610" t="s">
        <v>9770</v>
      </c>
      <c r="AA1610" t="s">
        <v>6113</v>
      </c>
      <c r="AB1610" t="s">
        <v>53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f t="shared" si="50"/>
        <v>18.440000000000001</v>
      </c>
      <c r="AK1610" s="3">
        <f t="shared" si="51"/>
        <v>2.0100000000000016</v>
      </c>
    </row>
    <row r="1611" spans="1:37">
      <c r="A1611">
        <v>10370628</v>
      </c>
      <c r="B1611" t="s">
        <v>37</v>
      </c>
      <c r="C1611" t="s">
        <v>10684</v>
      </c>
      <c r="E1611" t="s">
        <v>4019</v>
      </c>
      <c r="F1611" t="s">
        <v>10685</v>
      </c>
      <c r="G1611" t="s">
        <v>10686</v>
      </c>
      <c r="H1611" t="s">
        <v>42</v>
      </c>
      <c r="I1611" t="s">
        <v>10687</v>
      </c>
      <c r="J1611" t="s">
        <v>10688</v>
      </c>
      <c r="K1611" t="s">
        <v>10689</v>
      </c>
      <c r="L1611" t="s">
        <v>142</v>
      </c>
      <c r="M1611" t="s">
        <v>46</v>
      </c>
      <c r="N1611" t="s">
        <v>47</v>
      </c>
      <c r="O1611">
        <v>2</v>
      </c>
      <c r="P1611">
        <v>1</v>
      </c>
      <c r="Q1611">
        <v>2</v>
      </c>
      <c r="R1611" t="s">
        <v>48</v>
      </c>
      <c r="S1611" t="s">
        <v>49</v>
      </c>
      <c r="T1611" s="3">
        <v>0.84</v>
      </c>
      <c r="U1611" s="3">
        <v>0.23</v>
      </c>
      <c r="V1611" s="3">
        <v>1.81</v>
      </c>
      <c r="W1611">
        <v>1.51</v>
      </c>
      <c r="X1611" t="s">
        <v>50</v>
      </c>
      <c r="Y1611" s="3">
        <v>16.43</v>
      </c>
      <c r="Z1611" t="s">
        <v>9686</v>
      </c>
      <c r="AA1611" t="s">
        <v>10690</v>
      </c>
      <c r="AB1611" t="s">
        <v>53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f t="shared" si="50"/>
        <v>19.309999999999999</v>
      </c>
      <c r="AK1611" s="3">
        <f t="shared" si="51"/>
        <v>2.879999999999999</v>
      </c>
    </row>
    <row r="1612" spans="1:37">
      <c r="A1612">
        <v>10370633</v>
      </c>
      <c r="B1612" t="s">
        <v>37</v>
      </c>
      <c r="C1612" t="s">
        <v>10691</v>
      </c>
      <c r="E1612" t="s">
        <v>10692</v>
      </c>
      <c r="F1612" t="s">
        <v>10693</v>
      </c>
      <c r="G1612" t="s">
        <v>10694</v>
      </c>
      <c r="H1612" t="s">
        <v>42</v>
      </c>
      <c r="I1612" t="s">
        <v>10695</v>
      </c>
      <c r="J1612" t="s">
        <v>10696</v>
      </c>
      <c r="K1612" t="s">
        <v>10697</v>
      </c>
      <c r="L1612" t="s">
        <v>82</v>
      </c>
      <c r="M1612" t="s">
        <v>46</v>
      </c>
      <c r="N1612" t="s">
        <v>47</v>
      </c>
      <c r="O1612">
        <v>1</v>
      </c>
      <c r="P1612">
        <v>1</v>
      </c>
      <c r="Q1612">
        <v>1</v>
      </c>
      <c r="R1612" t="s">
        <v>48</v>
      </c>
      <c r="S1612" t="s">
        <v>49</v>
      </c>
      <c r="T1612" s="3">
        <v>0.84</v>
      </c>
      <c r="U1612" s="3">
        <v>0.23</v>
      </c>
      <c r="V1612" s="3">
        <v>0.94</v>
      </c>
      <c r="W1612">
        <v>2</v>
      </c>
      <c r="X1612" t="s">
        <v>50</v>
      </c>
      <c r="Y1612" s="3">
        <v>9.19</v>
      </c>
      <c r="Z1612" t="s">
        <v>9770</v>
      </c>
      <c r="AA1612" t="s">
        <v>6113</v>
      </c>
      <c r="AB1612" t="s">
        <v>53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f t="shared" si="50"/>
        <v>11.2</v>
      </c>
      <c r="AK1612" s="3">
        <f t="shared" si="51"/>
        <v>2.0099999999999998</v>
      </c>
    </row>
    <row r="1613" spans="1:37">
      <c r="A1613">
        <v>10370629</v>
      </c>
      <c r="B1613" t="s">
        <v>37</v>
      </c>
      <c r="C1613" t="s">
        <v>10698</v>
      </c>
      <c r="E1613" t="s">
        <v>10699</v>
      </c>
      <c r="F1613" t="s">
        <v>10700</v>
      </c>
      <c r="G1613" t="s">
        <v>10701</v>
      </c>
      <c r="H1613" t="s">
        <v>42</v>
      </c>
      <c r="I1613" t="s">
        <v>10702</v>
      </c>
      <c r="J1613" t="s">
        <v>10703</v>
      </c>
      <c r="K1613" t="s">
        <v>10704</v>
      </c>
      <c r="L1613" t="s">
        <v>82</v>
      </c>
      <c r="M1613" t="s">
        <v>46</v>
      </c>
      <c r="N1613" t="s">
        <v>47</v>
      </c>
      <c r="O1613">
        <v>1</v>
      </c>
      <c r="P1613">
        <v>1</v>
      </c>
      <c r="Q1613">
        <v>1</v>
      </c>
      <c r="R1613" t="s">
        <v>48</v>
      </c>
      <c r="S1613" t="s">
        <v>49</v>
      </c>
      <c r="T1613" s="3">
        <v>0.84</v>
      </c>
      <c r="U1613" s="3">
        <v>0.23</v>
      </c>
      <c r="V1613" s="3">
        <v>0.94</v>
      </c>
      <c r="W1613">
        <v>0.49</v>
      </c>
      <c r="X1613" t="s">
        <v>50</v>
      </c>
      <c r="Y1613" s="3">
        <v>9.19</v>
      </c>
      <c r="Z1613" t="s">
        <v>9850</v>
      </c>
      <c r="AA1613" t="s">
        <v>1341</v>
      </c>
      <c r="AB1613" t="s">
        <v>53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f t="shared" si="50"/>
        <v>11.2</v>
      </c>
      <c r="AK1613" s="3">
        <f t="shared" si="51"/>
        <v>2.0099999999999998</v>
      </c>
    </row>
    <row r="1614" spans="1:37">
      <c r="A1614">
        <v>10370989</v>
      </c>
      <c r="B1614" t="s">
        <v>37</v>
      </c>
      <c r="C1614" t="s">
        <v>10705</v>
      </c>
      <c r="E1614" t="s">
        <v>5371</v>
      </c>
      <c r="F1614" t="s">
        <v>10706</v>
      </c>
      <c r="G1614" t="s">
        <v>10707</v>
      </c>
      <c r="H1614" t="s">
        <v>42</v>
      </c>
      <c r="I1614" t="s">
        <v>10708</v>
      </c>
      <c r="J1614" t="s">
        <v>10709</v>
      </c>
      <c r="K1614">
        <v>1410</v>
      </c>
      <c r="L1614" t="s">
        <v>505</v>
      </c>
      <c r="M1614" t="s">
        <v>46</v>
      </c>
      <c r="N1614" t="s">
        <v>47</v>
      </c>
      <c r="O1614">
        <v>1</v>
      </c>
      <c r="P1614">
        <v>1</v>
      </c>
      <c r="Q1614">
        <v>1</v>
      </c>
      <c r="R1614" t="s">
        <v>48</v>
      </c>
      <c r="S1614" t="s">
        <v>49</v>
      </c>
      <c r="T1614" s="3">
        <v>0.84</v>
      </c>
      <c r="U1614" s="3">
        <v>0.23</v>
      </c>
      <c r="V1614" s="3">
        <v>0.94</v>
      </c>
      <c r="W1614">
        <v>2</v>
      </c>
      <c r="X1614" t="s">
        <v>50</v>
      </c>
      <c r="Y1614" s="3">
        <v>9.19</v>
      </c>
      <c r="Z1614" t="s">
        <v>9770</v>
      </c>
      <c r="AA1614" t="s">
        <v>6113</v>
      </c>
      <c r="AB1614" t="s">
        <v>53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f t="shared" si="50"/>
        <v>11.2</v>
      </c>
      <c r="AK1614" s="3">
        <f t="shared" si="51"/>
        <v>2.0099999999999998</v>
      </c>
    </row>
    <row r="1615" spans="1:37">
      <c r="A1615">
        <v>10363302</v>
      </c>
      <c r="B1615" t="s">
        <v>37</v>
      </c>
      <c r="C1615" t="s">
        <v>10710</v>
      </c>
      <c r="E1615" t="s">
        <v>39</v>
      </c>
      <c r="F1615" t="s">
        <v>6636</v>
      </c>
      <c r="G1615" t="s">
        <v>10711</v>
      </c>
      <c r="H1615" t="s">
        <v>42</v>
      </c>
      <c r="I1615" t="s">
        <v>10712</v>
      </c>
      <c r="J1615" t="s">
        <v>6639</v>
      </c>
      <c r="K1615">
        <v>1082</v>
      </c>
      <c r="L1615" t="s">
        <v>1701</v>
      </c>
      <c r="M1615" t="s">
        <v>46</v>
      </c>
      <c r="N1615" t="s">
        <v>47</v>
      </c>
      <c r="O1615">
        <v>1</v>
      </c>
      <c r="P1615">
        <v>1</v>
      </c>
      <c r="Q1615">
        <v>1</v>
      </c>
      <c r="R1615" t="s">
        <v>48</v>
      </c>
      <c r="S1615" t="s">
        <v>49</v>
      </c>
      <c r="T1615" s="3">
        <v>0.84</v>
      </c>
      <c r="U1615" s="3">
        <v>0.23</v>
      </c>
      <c r="V1615" s="3">
        <v>0.94</v>
      </c>
      <c r="W1615">
        <v>0.39</v>
      </c>
      <c r="X1615" t="s">
        <v>153</v>
      </c>
      <c r="Y1615" s="3">
        <v>23.65</v>
      </c>
      <c r="Z1615" t="s">
        <v>9850</v>
      </c>
      <c r="AA1615" t="s">
        <v>5146</v>
      </c>
      <c r="AB1615" t="s">
        <v>53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f t="shared" si="50"/>
        <v>25.66</v>
      </c>
      <c r="AK1615" s="3">
        <f t="shared" si="51"/>
        <v>2.0100000000000016</v>
      </c>
    </row>
    <row r="1616" spans="1:37">
      <c r="A1616">
        <v>10371345</v>
      </c>
      <c r="B1616" t="s">
        <v>37</v>
      </c>
      <c r="C1616" t="s">
        <v>10713</v>
      </c>
      <c r="E1616" t="s">
        <v>731</v>
      </c>
      <c r="F1616" t="s">
        <v>3826</v>
      </c>
      <c r="G1616" t="s">
        <v>10714</v>
      </c>
      <c r="H1616" t="s">
        <v>42</v>
      </c>
      <c r="I1616" t="s">
        <v>10715</v>
      </c>
      <c r="J1616" t="s">
        <v>10716</v>
      </c>
      <c r="K1616">
        <v>76863</v>
      </c>
      <c r="L1616" t="s">
        <v>71</v>
      </c>
      <c r="M1616" t="s">
        <v>46</v>
      </c>
      <c r="N1616" t="s">
        <v>47</v>
      </c>
      <c r="O1616">
        <v>2</v>
      </c>
      <c r="P1616">
        <v>1</v>
      </c>
      <c r="Q1616">
        <v>2</v>
      </c>
      <c r="R1616" t="s">
        <v>48</v>
      </c>
      <c r="S1616" t="s">
        <v>49</v>
      </c>
      <c r="T1616" s="3">
        <v>0.84</v>
      </c>
      <c r="U1616" s="3">
        <v>0.23</v>
      </c>
      <c r="V1616" s="3">
        <v>1.81</v>
      </c>
      <c r="W1616">
        <v>1.89</v>
      </c>
      <c r="X1616" t="s">
        <v>72</v>
      </c>
      <c r="Y1616" s="3">
        <v>5.44</v>
      </c>
      <c r="Z1616" t="s">
        <v>73</v>
      </c>
      <c r="AA1616" t="s">
        <v>10717</v>
      </c>
      <c r="AB1616" t="s">
        <v>53</v>
      </c>
      <c r="AC1616" s="3">
        <v>1.29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f t="shared" si="50"/>
        <v>9.6100000000000012</v>
      </c>
      <c r="AK1616" s="3">
        <f t="shared" si="51"/>
        <v>4.1700000000000008</v>
      </c>
    </row>
    <row r="1617" spans="1:37">
      <c r="A1617">
        <v>10371344</v>
      </c>
      <c r="B1617" t="s">
        <v>37</v>
      </c>
      <c r="C1617" t="s">
        <v>10718</v>
      </c>
      <c r="E1617" t="s">
        <v>10719</v>
      </c>
      <c r="F1617" t="s">
        <v>10720</v>
      </c>
      <c r="G1617" t="s">
        <v>10721</v>
      </c>
      <c r="H1617" t="s">
        <v>42</v>
      </c>
      <c r="I1617" t="s">
        <v>10722</v>
      </c>
      <c r="J1617" t="s">
        <v>10723</v>
      </c>
      <c r="K1617">
        <v>87629</v>
      </c>
      <c r="L1617" t="s">
        <v>71</v>
      </c>
      <c r="M1617" t="s">
        <v>46</v>
      </c>
      <c r="N1617" t="s">
        <v>47</v>
      </c>
      <c r="O1617">
        <v>1</v>
      </c>
      <c r="P1617">
        <v>1</v>
      </c>
      <c r="Q1617">
        <v>1</v>
      </c>
      <c r="R1617" t="s">
        <v>48</v>
      </c>
      <c r="S1617" t="s">
        <v>49</v>
      </c>
      <c r="T1617" s="3">
        <v>0.84</v>
      </c>
      <c r="U1617" s="3">
        <v>0.23</v>
      </c>
      <c r="V1617" s="3">
        <v>0.94</v>
      </c>
      <c r="W1617">
        <v>0.39</v>
      </c>
      <c r="X1617" t="s">
        <v>108</v>
      </c>
      <c r="Y1617" s="3">
        <v>5.14</v>
      </c>
      <c r="Z1617" t="s">
        <v>9850</v>
      </c>
      <c r="AA1617" t="s">
        <v>6196</v>
      </c>
      <c r="AB1617" t="s">
        <v>53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f t="shared" si="50"/>
        <v>7.15</v>
      </c>
      <c r="AK1617" s="3">
        <f t="shared" si="51"/>
        <v>2.0100000000000007</v>
      </c>
    </row>
    <row r="1618" spans="1:37">
      <c r="A1618">
        <v>10370271</v>
      </c>
      <c r="B1618" t="s">
        <v>37</v>
      </c>
      <c r="C1618" t="s">
        <v>10724</v>
      </c>
      <c r="E1618" t="s">
        <v>10725</v>
      </c>
      <c r="F1618" t="s">
        <v>10726</v>
      </c>
      <c r="G1618" t="s">
        <v>10727</v>
      </c>
      <c r="H1618" t="s">
        <v>42</v>
      </c>
      <c r="I1618" t="s">
        <v>10728</v>
      </c>
      <c r="J1618" t="s">
        <v>10729</v>
      </c>
      <c r="K1618">
        <v>2714</v>
      </c>
      <c r="L1618" t="s">
        <v>369</v>
      </c>
      <c r="M1618" t="s">
        <v>46</v>
      </c>
      <c r="N1618" t="s">
        <v>47</v>
      </c>
      <c r="O1618">
        <v>1</v>
      </c>
      <c r="P1618">
        <v>1</v>
      </c>
      <c r="Q1618">
        <v>1</v>
      </c>
      <c r="R1618" t="s">
        <v>48</v>
      </c>
      <c r="S1618" t="s">
        <v>49</v>
      </c>
      <c r="T1618" s="3">
        <v>0.84</v>
      </c>
      <c r="U1618" s="3">
        <v>0.23</v>
      </c>
      <c r="V1618" s="3">
        <v>0.94</v>
      </c>
      <c r="W1618">
        <v>0.49</v>
      </c>
      <c r="X1618" t="s">
        <v>50</v>
      </c>
      <c r="Y1618" s="3">
        <v>9.19</v>
      </c>
      <c r="Z1618" t="s">
        <v>9850</v>
      </c>
      <c r="AA1618" t="s">
        <v>3486</v>
      </c>
      <c r="AB1618" t="s">
        <v>53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f t="shared" si="50"/>
        <v>11.2</v>
      </c>
      <c r="AK1618" s="3">
        <f t="shared" si="51"/>
        <v>2.0099999999999998</v>
      </c>
    </row>
    <row r="1619" spans="1:37">
      <c r="A1619">
        <v>10366286</v>
      </c>
      <c r="B1619" t="s">
        <v>37</v>
      </c>
      <c r="C1619" t="s">
        <v>10730</v>
      </c>
      <c r="E1619" t="s">
        <v>10731</v>
      </c>
      <c r="F1619" t="s">
        <v>10732</v>
      </c>
      <c r="G1619" t="s">
        <v>10733</v>
      </c>
      <c r="H1619" t="s">
        <v>42</v>
      </c>
      <c r="I1619" t="s">
        <v>10734</v>
      </c>
      <c r="J1619" t="s">
        <v>10735</v>
      </c>
      <c r="K1619" t="s">
        <v>10736</v>
      </c>
      <c r="L1619" t="s">
        <v>82</v>
      </c>
      <c r="M1619" t="s">
        <v>46</v>
      </c>
      <c r="N1619" t="s">
        <v>47</v>
      </c>
      <c r="O1619">
        <v>2</v>
      </c>
      <c r="P1619">
        <v>1</v>
      </c>
      <c r="Q1619">
        <v>2</v>
      </c>
      <c r="R1619" t="s">
        <v>48</v>
      </c>
      <c r="S1619" t="s">
        <v>49</v>
      </c>
      <c r="T1619" s="3">
        <v>0.84</v>
      </c>
      <c r="U1619" s="3">
        <v>0.23</v>
      </c>
      <c r="V1619" s="3">
        <v>1.81</v>
      </c>
      <c r="W1619">
        <v>0.98</v>
      </c>
      <c r="X1619" t="s">
        <v>50</v>
      </c>
      <c r="Y1619" s="3">
        <v>9.19</v>
      </c>
      <c r="Z1619" t="s">
        <v>9686</v>
      </c>
      <c r="AA1619" t="s">
        <v>10737</v>
      </c>
      <c r="AB1619" t="s">
        <v>53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f t="shared" si="50"/>
        <v>12.07</v>
      </c>
      <c r="AK1619" s="3">
        <f t="shared" si="51"/>
        <v>2.8800000000000008</v>
      </c>
    </row>
    <row r="1620" spans="1:37">
      <c r="A1620">
        <v>10371164</v>
      </c>
      <c r="B1620" t="s">
        <v>37</v>
      </c>
      <c r="C1620" t="s">
        <v>10738</v>
      </c>
      <c r="D1620" t="s">
        <v>10739</v>
      </c>
      <c r="E1620" t="s">
        <v>933</v>
      </c>
      <c r="F1620" t="s">
        <v>10740</v>
      </c>
      <c r="G1620" t="s">
        <v>10741</v>
      </c>
      <c r="H1620" t="s">
        <v>42</v>
      </c>
      <c r="I1620" t="s">
        <v>10742</v>
      </c>
      <c r="J1620" t="s">
        <v>10743</v>
      </c>
      <c r="K1620">
        <v>37051</v>
      </c>
      <c r="L1620" t="s">
        <v>283</v>
      </c>
      <c r="M1620" t="s">
        <v>46</v>
      </c>
      <c r="N1620" t="s">
        <v>47</v>
      </c>
      <c r="O1620">
        <v>2</v>
      </c>
      <c r="P1620">
        <v>1</v>
      </c>
      <c r="Q1620">
        <v>2</v>
      </c>
      <c r="R1620" t="s">
        <v>48</v>
      </c>
      <c r="S1620" t="s">
        <v>49</v>
      </c>
      <c r="T1620" s="3">
        <v>0.84</v>
      </c>
      <c r="U1620" s="3">
        <v>0.23</v>
      </c>
      <c r="V1620" s="3">
        <v>1.81</v>
      </c>
      <c r="W1620">
        <v>0.63</v>
      </c>
      <c r="X1620" t="s">
        <v>50</v>
      </c>
      <c r="Y1620" s="3">
        <v>14.98</v>
      </c>
      <c r="Z1620" t="s">
        <v>9850</v>
      </c>
      <c r="AA1620" t="s">
        <v>10744</v>
      </c>
      <c r="AB1620" t="s">
        <v>53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f t="shared" si="50"/>
        <v>17.86</v>
      </c>
      <c r="AK1620" s="3">
        <f t="shared" si="51"/>
        <v>2.879999999999999</v>
      </c>
    </row>
    <row r="1621" spans="1:37">
      <c r="A1621">
        <v>10370988</v>
      </c>
      <c r="B1621" t="s">
        <v>37</v>
      </c>
      <c r="C1621" t="s">
        <v>10745</v>
      </c>
      <c r="E1621" t="s">
        <v>10746</v>
      </c>
      <c r="F1621" t="s">
        <v>10747</v>
      </c>
      <c r="G1621" t="s">
        <v>10748</v>
      </c>
      <c r="H1621" t="s">
        <v>42</v>
      </c>
      <c r="I1621" t="s">
        <v>10749</v>
      </c>
      <c r="J1621" t="s">
        <v>10750</v>
      </c>
      <c r="K1621">
        <v>35606</v>
      </c>
      <c r="L1621" t="s">
        <v>71</v>
      </c>
      <c r="M1621" t="s">
        <v>46</v>
      </c>
      <c r="N1621" t="s">
        <v>47</v>
      </c>
      <c r="O1621">
        <v>2</v>
      </c>
      <c r="P1621">
        <v>1</v>
      </c>
      <c r="Q1621">
        <v>2</v>
      </c>
      <c r="R1621" t="s">
        <v>48</v>
      </c>
      <c r="S1621" t="s">
        <v>49</v>
      </c>
      <c r="T1621" s="3">
        <v>0.84</v>
      </c>
      <c r="U1621" s="3">
        <v>0.23</v>
      </c>
      <c r="V1621" s="3">
        <v>1.81</v>
      </c>
      <c r="W1621">
        <v>0.78</v>
      </c>
      <c r="X1621" t="s">
        <v>108</v>
      </c>
      <c r="Y1621" s="3">
        <v>5.14</v>
      </c>
      <c r="Z1621" t="s">
        <v>9850</v>
      </c>
      <c r="AA1621" t="s">
        <v>10751</v>
      </c>
      <c r="AB1621" t="s">
        <v>53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f t="shared" si="50"/>
        <v>8.02</v>
      </c>
      <c r="AK1621" s="3">
        <f t="shared" si="51"/>
        <v>2.88</v>
      </c>
    </row>
    <row r="1622" spans="1:37">
      <c r="A1622">
        <v>10371596</v>
      </c>
      <c r="B1622" t="s">
        <v>37</v>
      </c>
      <c r="C1622" t="s">
        <v>10752</v>
      </c>
      <c r="E1622" t="s">
        <v>10753</v>
      </c>
      <c r="F1622" t="s">
        <v>187</v>
      </c>
      <c r="G1622" t="s">
        <v>10754</v>
      </c>
      <c r="H1622" t="s">
        <v>42</v>
      </c>
      <c r="I1622" t="s">
        <v>10755</v>
      </c>
      <c r="J1622" t="s">
        <v>10756</v>
      </c>
      <c r="K1622" t="s">
        <v>10757</v>
      </c>
      <c r="L1622" t="s">
        <v>82</v>
      </c>
      <c r="M1622" t="s">
        <v>46</v>
      </c>
      <c r="N1622" t="s">
        <v>47</v>
      </c>
      <c r="O1622">
        <v>2</v>
      </c>
      <c r="P1622">
        <v>1</v>
      </c>
      <c r="Q1622">
        <v>2</v>
      </c>
      <c r="R1622" t="s">
        <v>48</v>
      </c>
      <c r="S1622" t="s">
        <v>49</v>
      </c>
      <c r="T1622" s="3">
        <v>0.84</v>
      </c>
      <c r="U1622" s="3">
        <v>0.23</v>
      </c>
      <c r="V1622" s="3">
        <v>1.81</v>
      </c>
      <c r="W1622">
        <v>0.98</v>
      </c>
      <c r="X1622" t="s">
        <v>50</v>
      </c>
      <c r="Y1622" s="3">
        <v>9.19</v>
      </c>
      <c r="Z1622" t="s">
        <v>9850</v>
      </c>
      <c r="AA1622" t="s">
        <v>10758</v>
      </c>
      <c r="AB1622" t="s">
        <v>53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f t="shared" si="50"/>
        <v>12.07</v>
      </c>
      <c r="AK1622" s="3">
        <f t="shared" si="51"/>
        <v>2.8800000000000008</v>
      </c>
    </row>
    <row r="1623" spans="1:37">
      <c r="A1623">
        <v>10363299</v>
      </c>
      <c r="B1623" t="s">
        <v>37</v>
      </c>
      <c r="C1623" t="s">
        <v>10759</v>
      </c>
      <c r="E1623" t="s">
        <v>10760</v>
      </c>
      <c r="F1623" t="s">
        <v>10761</v>
      </c>
      <c r="G1623" t="s">
        <v>10762</v>
      </c>
      <c r="H1623" t="s">
        <v>42</v>
      </c>
      <c r="I1623" t="s">
        <v>10763</v>
      </c>
      <c r="J1623" t="s">
        <v>10764</v>
      </c>
      <c r="K1623">
        <v>8560</v>
      </c>
      <c r="L1623" t="s">
        <v>505</v>
      </c>
      <c r="M1623" t="s">
        <v>46</v>
      </c>
      <c r="N1623" t="s">
        <v>47</v>
      </c>
      <c r="O1623">
        <v>7</v>
      </c>
      <c r="P1623">
        <v>1</v>
      </c>
      <c r="Q1623">
        <v>7</v>
      </c>
      <c r="R1623" t="s">
        <v>48</v>
      </c>
      <c r="S1623" t="s">
        <v>49</v>
      </c>
      <c r="T1623" s="3">
        <v>0.84</v>
      </c>
      <c r="U1623" s="3">
        <v>0.23</v>
      </c>
      <c r="V1623" s="3">
        <v>6.16</v>
      </c>
      <c r="W1623">
        <v>3.31</v>
      </c>
      <c r="X1623" t="s">
        <v>50</v>
      </c>
      <c r="Y1623" s="3">
        <v>9.19</v>
      </c>
      <c r="Z1623" t="s">
        <v>9686</v>
      </c>
      <c r="AA1623" t="s">
        <v>10765</v>
      </c>
      <c r="AB1623" t="s">
        <v>53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f t="shared" si="50"/>
        <v>16.420000000000002</v>
      </c>
      <c r="AK1623" s="3">
        <f t="shared" si="51"/>
        <v>7.2300000000000022</v>
      </c>
    </row>
    <row r="1624" spans="1:37">
      <c r="A1624">
        <v>10363691</v>
      </c>
      <c r="B1624" t="s">
        <v>37</v>
      </c>
      <c r="C1624" t="s">
        <v>10766</v>
      </c>
      <c r="E1624" t="s">
        <v>10767</v>
      </c>
      <c r="F1624" t="s">
        <v>10768</v>
      </c>
      <c r="G1624" t="s">
        <v>10769</v>
      </c>
      <c r="H1624" t="s">
        <v>42</v>
      </c>
      <c r="I1624" t="s">
        <v>10770</v>
      </c>
      <c r="J1624" t="s">
        <v>10771</v>
      </c>
      <c r="K1624">
        <v>2100</v>
      </c>
      <c r="L1624" t="s">
        <v>505</v>
      </c>
      <c r="M1624" t="s">
        <v>46</v>
      </c>
      <c r="N1624" t="s">
        <v>47</v>
      </c>
      <c r="O1624">
        <v>2</v>
      </c>
      <c r="P1624">
        <v>1</v>
      </c>
      <c r="Q1624">
        <v>2</v>
      </c>
      <c r="R1624" t="s">
        <v>48</v>
      </c>
      <c r="S1624" t="s">
        <v>49</v>
      </c>
      <c r="T1624" s="3">
        <v>0.84</v>
      </c>
      <c r="U1624" s="3">
        <v>0.23</v>
      </c>
      <c r="V1624" s="3">
        <v>1.81</v>
      </c>
      <c r="W1624">
        <v>0.98</v>
      </c>
      <c r="X1624" t="s">
        <v>50</v>
      </c>
      <c r="Y1624" s="3">
        <v>9.19</v>
      </c>
      <c r="Z1624" t="s">
        <v>9850</v>
      </c>
      <c r="AA1624" t="s">
        <v>2837</v>
      </c>
      <c r="AB1624" t="s">
        <v>53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f t="shared" si="50"/>
        <v>12.07</v>
      </c>
      <c r="AK1624" s="3">
        <f t="shared" si="51"/>
        <v>2.8800000000000008</v>
      </c>
    </row>
    <row r="1625" spans="1:37">
      <c r="A1625">
        <v>10371788</v>
      </c>
      <c r="B1625" t="s">
        <v>37</v>
      </c>
      <c r="C1625" t="s">
        <v>10772</v>
      </c>
      <c r="E1625" t="s">
        <v>1074</v>
      </c>
      <c r="F1625" t="s">
        <v>10773</v>
      </c>
      <c r="G1625" t="s">
        <v>10774</v>
      </c>
      <c r="H1625" t="s">
        <v>42</v>
      </c>
      <c r="I1625" t="s">
        <v>10775</v>
      </c>
      <c r="J1625" t="s">
        <v>10776</v>
      </c>
      <c r="K1625">
        <v>2018</v>
      </c>
      <c r="L1625" t="s">
        <v>505</v>
      </c>
      <c r="M1625" t="s">
        <v>46</v>
      </c>
      <c r="N1625" t="s">
        <v>47</v>
      </c>
      <c r="O1625">
        <v>2</v>
      </c>
      <c r="P1625">
        <v>1</v>
      </c>
      <c r="Q1625">
        <v>2</v>
      </c>
      <c r="R1625" t="s">
        <v>48</v>
      </c>
      <c r="S1625" t="s">
        <v>49</v>
      </c>
      <c r="T1625" s="3">
        <v>0.84</v>
      </c>
      <c r="U1625" s="3">
        <v>0.23</v>
      </c>
      <c r="V1625" s="3">
        <v>1.81</v>
      </c>
      <c r="W1625">
        <v>0.98</v>
      </c>
      <c r="X1625" t="s">
        <v>50</v>
      </c>
      <c r="Y1625" s="3">
        <v>9.19</v>
      </c>
      <c r="Z1625" t="s">
        <v>9850</v>
      </c>
      <c r="AA1625" t="s">
        <v>10758</v>
      </c>
      <c r="AB1625" t="s">
        <v>53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f t="shared" si="50"/>
        <v>12.07</v>
      </c>
      <c r="AK1625" s="3">
        <f t="shared" si="51"/>
        <v>2.8800000000000008</v>
      </c>
    </row>
    <row r="1626" spans="1:37">
      <c r="A1626">
        <v>10371595</v>
      </c>
      <c r="B1626" t="s">
        <v>37</v>
      </c>
      <c r="C1626" t="s">
        <v>10777</v>
      </c>
      <c r="E1626" t="s">
        <v>1438</v>
      </c>
      <c r="F1626" t="s">
        <v>10778</v>
      </c>
      <c r="G1626" t="s">
        <v>10779</v>
      </c>
      <c r="H1626" t="s">
        <v>42</v>
      </c>
      <c r="I1626" t="s">
        <v>10780</v>
      </c>
      <c r="J1626" t="s">
        <v>10781</v>
      </c>
      <c r="K1626" t="s">
        <v>10782</v>
      </c>
      <c r="L1626" t="s">
        <v>142</v>
      </c>
      <c r="M1626" t="s">
        <v>46</v>
      </c>
      <c r="N1626" t="s">
        <v>47</v>
      </c>
      <c r="O1626">
        <v>2</v>
      </c>
      <c r="P1626">
        <v>1</v>
      </c>
      <c r="Q1626">
        <v>2</v>
      </c>
      <c r="R1626" t="s">
        <v>48</v>
      </c>
      <c r="S1626" t="s">
        <v>49</v>
      </c>
      <c r="T1626" s="3">
        <v>0.84</v>
      </c>
      <c r="U1626" s="3">
        <v>0.23</v>
      </c>
      <c r="V1626" s="3">
        <v>1.81</v>
      </c>
      <c r="W1626">
        <v>0.88</v>
      </c>
      <c r="X1626" t="s">
        <v>50</v>
      </c>
      <c r="Y1626" s="3">
        <v>16.43</v>
      </c>
      <c r="Z1626" t="s">
        <v>9850</v>
      </c>
      <c r="AA1626" t="s">
        <v>10783</v>
      </c>
      <c r="AB1626" t="s">
        <v>53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f t="shared" si="50"/>
        <v>19.309999999999999</v>
      </c>
      <c r="AK1626" s="3">
        <f t="shared" si="51"/>
        <v>2.879999999999999</v>
      </c>
    </row>
    <row r="1627" spans="1:37">
      <c r="A1627">
        <v>10363476</v>
      </c>
      <c r="B1627" t="s">
        <v>37</v>
      </c>
      <c r="C1627" t="s">
        <v>10784</v>
      </c>
      <c r="E1627" t="s">
        <v>1527</v>
      </c>
      <c r="F1627" t="s">
        <v>10785</v>
      </c>
      <c r="G1627" t="s">
        <v>10786</v>
      </c>
      <c r="H1627" t="s">
        <v>42</v>
      </c>
      <c r="I1627" t="s">
        <v>10787</v>
      </c>
      <c r="J1627" t="s">
        <v>10788</v>
      </c>
      <c r="K1627" t="s">
        <v>10789</v>
      </c>
      <c r="L1627" t="s">
        <v>142</v>
      </c>
      <c r="M1627" t="s">
        <v>46</v>
      </c>
      <c r="N1627" t="s">
        <v>47</v>
      </c>
      <c r="O1627">
        <v>6</v>
      </c>
      <c r="P1627">
        <v>1</v>
      </c>
      <c r="Q1627">
        <v>6</v>
      </c>
      <c r="R1627" t="s">
        <v>48</v>
      </c>
      <c r="S1627" t="s">
        <v>49</v>
      </c>
      <c r="T1627" s="3">
        <v>0.84</v>
      </c>
      <c r="U1627" s="3">
        <v>0.23</v>
      </c>
      <c r="V1627" s="3">
        <v>5.29</v>
      </c>
      <c r="W1627">
        <v>2.2999999999999998</v>
      </c>
      <c r="X1627" t="s">
        <v>50</v>
      </c>
      <c r="Y1627" s="3">
        <v>16.43</v>
      </c>
      <c r="Z1627" t="s">
        <v>73</v>
      </c>
      <c r="AA1627" t="s">
        <v>10790</v>
      </c>
      <c r="AB1627" t="s">
        <v>53</v>
      </c>
      <c r="AC1627" s="3">
        <v>1.29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f t="shared" si="50"/>
        <v>24.08</v>
      </c>
      <c r="AK1627" s="3">
        <f t="shared" si="51"/>
        <v>7.6499999999999986</v>
      </c>
    </row>
    <row r="1628" spans="1:37">
      <c r="A1628">
        <v>10363305</v>
      </c>
      <c r="B1628" t="s">
        <v>37</v>
      </c>
      <c r="C1628" t="s">
        <v>10791</v>
      </c>
      <c r="E1628" t="s">
        <v>10792</v>
      </c>
      <c r="F1628" t="s">
        <v>10793</v>
      </c>
      <c r="G1628" t="s">
        <v>10794</v>
      </c>
      <c r="H1628" t="s">
        <v>42</v>
      </c>
      <c r="I1628" t="s">
        <v>10795</v>
      </c>
      <c r="J1628" t="s">
        <v>10796</v>
      </c>
      <c r="K1628" t="s">
        <v>10797</v>
      </c>
      <c r="L1628" t="s">
        <v>71</v>
      </c>
      <c r="M1628" t="s">
        <v>46</v>
      </c>
      <c r="N1628" t="s">
        <v>47</v>
      </c>
      <c r="O1628">
        <v>3</v>
      </c>
      <c r="P1628">
        <v>1</v>
      </c>
      <c r="Q1628">
        <v>3</v>
      </c>
      <c r="R1628" t="s">
        <v>48</v>
      </c>
      <c r="S1628" t="s">
        <v>49</v>
      </c>
      <c r="T1628" s="3">
        <v>0.84</v>
      </c>
      <c r="U1628" s="3">
        <v>0.23</v>
      </c>
      <c r="V1628" s="3">
        <v>2.68</v>
      </c>
      <c r="W1628">
        <v>0.69</v>
      </c>
      <c r="X1628" t="s">
        <v>108</v>
      </c>
      <c r="Y1628" s="3">
        <v>5.14</v>
      </c>
      <c r="Z1628" t="s">
        <v>9850</v>
      </c>
      <c r="AA1628" t="s">
        <v>10798</v>
      </c>
      <c r="AB1628" t="s">
        <v>53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f t="shared" si="50"/>
        <v>8.89</v>
      </c>
      <c r="AK1628" s="3">
        <f t="shared" si="51"/>
        <v>3.7500000000000009</v>
      </c>
    </row>
    <row r="1629" spans="1:37">
      <c r="A1629">
        <v>10364718</v>
      </c>
      <c r="B1629" t="s">
        <v>37</v>
      </c>
      <c r="C1629" t="s">
        <v>10799</v>
      </c>
      <c r="E1629" t="s">
        <v>10800</v>
      </c>
      <c r="F1629" t="s">
        <v>10801</v>
      </c>
      <c r="G1629" t="s">
        <v>10802</v>
      </c>
      <c r="H1629" t="s">
        <v>42</v>
      </c>
      <c r="I1629" t="s">
        <v>10803</v>
      </c>
      <c r="J1629" t="s">
        <v>10804</v>
      </c>
      <c r="K1629" t="s">
        <v>10805</v>
      </c>
      <c r="L1629" t="s">
        <v>142</v>
      </c>
      <c r="M1629" t="s">
        <v>46</v>
      </c>
      <c r="N1629" t="s">
        <v>47</v>
      </c>
      <c r="O1629">
        <v>4</v>
      </c>
      <c r="P1629">
        <v>1</v>
      </c>
      <c r="Q1629">
        <v>4</v>
      </c>
      <c r="R1629" t="s">
        <v>48</v>
      </c>
      <c r="S1629" t="s">
        <v>49</v>
      </c>
      <c r="T1629" s="3">
        <v>0.84</v>
      </c>
      <c r="U1629" s="3">
        <v>0.23</v>
      </c>
      <c r="V1629" s="3">
        <v>3.55</v>
      </c>
      <c r="W1629">
        <v>1.96</v>
      </c>
      <c r="X1629" t="s">
        <v>50</v>
      </c>
      <c r="Y1629" s="3">
        <v>16.43</v>
      </c>
      <c r="Z1629" t="s">
        <v>9686</v>
      </c>
      <c r="AA1629" t="s">
        <v>327</v>
      </c>
      <c r="AB1629" t="s">
        <v>53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f t="shared" si="50"/>
        <v>21.05</v>
      </c>
      <c r="AK1629" s="3">
        <f t="shared" si="51"/>
        <v>4.620000000000001</v>
      </c>
    </row>
    <row r="1630" spans="1:37">
      <c r="A1630">
        <v>10364908</v>
      </c>
      <c r="B1630" t="s">
        <v>37</v>
      </c>
      <c r="C1630" t="s">
        <v>10806</v>
      </c>
      <c r="E1630" t="s">
        <v>10807</v>
      </c>
      <c r="F1630" t="s">
        <v>1447</v>
      </c>
      <c r="G1630" t="s">
        <v>10808</v>
      </c>
      <c r="H1630" t="s">
        <v>42</v>
      </c>
      <c r="I1630" t="s">
        <v>10809</v>
      </c>
      <c r="J1630" t="s">
        <v>10810</v>
      </c>
      <c r="K1630" t="s">
        <v>10811</v>
      </c>
      <c r="L1630" t="s">
        <v>142</v>
      </c>
      <c r="M1630" t="s">
        <v>46</v>
      </c>
      <c r="N1630" t="s">
        <v>47</v>
      </c>
      <c r="O1630">
        <v>4</v>
      </c>
      <c r="P1630">
        <v>1</v>
      </c>
      <c r="Q1630">
        <v>4</v>
      </c>
      <c r="R1630" t="s">
        <v>48</v>
      </c>
      <c r="S1630" t="s">
        <v>49</v>
      </c>
      <c r="T1630" s="3">
        <v>0.84</v>
      </c>
      <c r="U1630" s="3">
        <v>0.23</v>
      </c>
      <c r="V1630" s="3">
        <v>3.55</v>
      </c>
      <c r="W1630">
        <v>1.96</v>
      </c>
      <c r="X1630" t="s">
        <v>50</v>
      </c>
      <c r="Y1630" s="3">
        <v>16.43</v>
      </c>
      <c r="Z1630" t="s">
        <v>9686</v>
      </c>
      <c r="AA1630" t="s">
        <v>327</v>
      </c>
      <c r="AB1630" t="s">
        <v>53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f t="shared" si="50"/>
        <v>21.05</v>
      </c>
      <c r="AK1630" s="3">
        <f t="shared" si="51"/>
        <v>4.620000000000001</v>
      </c>
    </row>
    <row r="1631" spans="1:37">
      <c r="A1631">
        <v>10367161</v>
      </c>
      <c r="B1631" t="s">
        <v>37</v>
      </c>
      <c r="C1631" t="s">
        <v>10812</v>
      </c>
      <c r="E1631" t="s">
        <v>10813</v>
      </c>
      <c r="F1631" t="s">
        <v>10814</v>
      </c>
      <c r="G1631" t="s">
        <v>10815</v>
      </c>
      <c r="H1631" t="s">
        <v>42</v>
      </c>
      <c r="I1631" t="s">
        <v>10816</v>
      </c>
      <c r="J1631" t="s">
        <v>10817</v>
      </c>
      <c r="K1631" t="s">
        <v>10818</v>
      </c>
      <c r="L1631" t="s">
        <v>82</v>
      </c>
      <c r="M1631" t="s">
        <v>46</v>
      </c>
      <c r="N1631" t="s">
        <v>47</v>
      </c>
      <c r="O1631">
        <v>5</v>
      </c>
      <c r="P1631">
        <v>1</v>
      </c>
      <c r="Q1631">
        <v>5</v>
      </c>
      <c r="R1631" t="s">
        <v>48</v>
      </c>
      <c r="S1631" t="s">
        <v>49</v>
      </c>
      <c r="T1631" s="3">
        <v>0.84</v>
      </c>
      <c r="U1631" s="3">
        <v>0.23</v>
      </c>
      <c r="V1631" s="3">
        <v>4.42</v>
      </c>
      <c r="W1631">
        <v>2.25</v>
      </c>
      <c r="X1631" t="s">
        <v>50</v>
      </c>
      <c r="Y1631" s="3">
        <v>9.19</v>
      </c>
      <c r="Z1631" t="s">
        <v>73</v>
      </c>
      <c r="AA1631" t="s">
        <v>10819</v>
      </c>
      <c r="AB1631" t="s">
        <v>53</v>
      </c>
      <c r="AC1631" s="3">
        <v>1.29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f t="shared" si="50"/>
        <v>15.97</v>
      </c>
      <c r="AK1631" s="3">
        <f t="shared" si="51"/>
        <v>6.7800000000000011</v>
      </c>
    </row>
    <row r="1632" spans="1:37">
      <c r="A1632">
        <v>10366129</v>
      </c>
      <c r="B1632" t="s">
        <v>37</v>
      </c>
      <c r="C1632" t="s">
        <v>10820</v>
      </c>
      <c r="E1632" t="s">
        <v>992</v>
      </c>
      <c r="F1632" t="s">
        <v>10821</v>
      </c>
      <c r="G1632" t="s">
        <v>10822</v>
      </c>
      <c r="H1632" t="s">
        <v>42</v>
      </c>
      <c r="I1632" t="s">
        <v>10823</v>
      </c>
      <c r="J1632" t="s">
        <v>10824</v>
      </c>
      <c r="K1632">
        <v>71394</v>
      </c>
      <c r="L1632" t="s">
        <v>71</v>
      </c>
      <c r="M1632" t="s">
        <v>46</v>
      </c>
      <c r="N1632" t="s">
        <v>47</v>
      </c>
      <c r="O1632">
        <v>3</v>
      </c>
      <c r="P1632">
        <v>1</v>
      </c>
      <c r="Q1632">
        <v>3</v>
      </c>
      <c r="R1632" t="s">
        <v>48</v>
      </c>
      <c r="S1632" t="s">
        <v>49</v>
      </c>
      <c r="T1632" s="3">
        <v>0.84</v>
      </c>
      <c r="U1632" s="3">
        <v>0.23</v>
      </c>
      <c r="V1632" s="3">
        <v>2.68</v>
      </c>
      <c r="W1632">
        <v>1.37</v>
      </c>
      <c r="X1632" t="s">
        <v>108</v>
      </c>
      <c r="Y1632" s="3">
        <v>5.14</v>
      </c>
      <c r="Z1632" t="s">
        <v>9686</v>
      </c>
      <c r="AA1632" t="s">
        <v>10825</v>
      </c>
      <c r="AB1632" t="s">
        <v>53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f t="shared" si="50"/>
        <v>8.89</v>
      </c>
      <c r="AK1632" s="3">
        <f t="shared" si="51"/>
        <v>3.7500000000000009</v>
      </c>
    </row>
    <row r="1633" spans="1:37">
      <c r="A1633">
        <v>10367615</v>
      </c>
      <c r="B1633" t="s">
        <v>37</v>
      </c>
      <c r="C1633" t="s">
        <v>10826</v>
      </c>
      <c r="E1633" t="s">
        <v>4889</v>
      </c>
      <c r="F1633" t="s">
        <v>10827</v>
      </c>
      <c r="G1633" t="s">
        <v>10828</v>
      </c>
      <c r="H1633" t="s">
        <v>42</v>
      </c>
      <c r="I1633" t="s">
        <v>10829</v>
      </c>
      <c r="J1633" t="s">
        <v>10830</v>
      </c>
      <c r="K1633" t="s">
        <v>10831</v>
      </c>
      <c r="L1633" t="s">
        <v>142</v>
      </c>
      <c r="M1633" t="s">
        <v>46</v>
      </c>
      <c r="N1633" t="s">
        <v>47</v>
      </c>
      <c r="O1633">
        <v>6</v>
      </c>
      <c r="P1633">
        <v>1</v>
      </c>
      <c r="Q1633">
        <v>6</v>
      </c>
      <c r="R1633" t="s">
        <v>48</v>
      </c>
      <c r="S1633" t="s">
        <v>49</v>
      </c>
      <c r="T1633" s="3">
        <v>0.84</v>
      </c>
      <c r="U1633" s="3">
        <v>0.23</v>
      </c>
      <c r="V1633" s="3">
        <v>5.29</v>
      </c>
      <c r="W1633">
        <v>2.19</v>
      </c>
      <c r="X1633" t="s">
        <v>50</v>
      </c>
      <c r="Y1633" s="3">
        <v>17.82</v>
      </c>
      <c r="Z1633" t="s">
        <v>73</v>
      </c>
      <c r="AA1633" t="s">
        <v>10832</v>
      </c>
      <c r="AB1633" t="s">
        <v>53</v>
      </c>
      <c r="AC1633" s="3">
        <v>1.29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f t="shared" si="50"/>
        <v>25.47</v>
      </c>
      <c r="AK1633" s="3">
        <f t="shared" si="51"/>
        <v>7.6499999999999986</v>
      </c>
    </row>
    <row r="1634" spans="1:37">
      <c r="A1634">
        <v>10368445</v>
      </c>
      <c r="B1634" t="s">
        <v>37</v>
      </c>
      <c r="C1634" t="s">
        <v>10833</v>
      </c>
      <c r="E1634" t="s">
        <v>2235</v>
      </c>
      <c r="F1634" t="s">
        <v>10834</v>
      </c>
      <c r="G1634" t="s">
        <v>10835</v>
      </c>
      <c r="H1634" t="s">
        <v>42</v>
      </c>
      <c r="I1634" t="s">
        <v>10836</v>
      </c>
      <c r="J1634" t="s">
        <v>10837</v>
      </c>
      <c r="K1634" t="s">
        <v>10838</v>
      </c>
      <c r="L1634" t="s">
        <v>142</v>
      </c>
      <c r="M1634" t="s">
        <v>46</v>
      </c>
      <c r="N1634" t="s">
        <v>47</v>
      </c>
      <c r="O1634">
        <v>9</v>
      </c>
      <c r="P1634">
        <v>1</v>
      </c>
      <c r="Q1634">
        <v>9</v>
      </c>
      <c r="R1634" t="s">
        <v>48</v>
      </c>
      <c r="S1634" t="s">
        <v>49</v>
      </c>
      <c r="T1634" s="3">
        <v>0.84</v>
      </c>
      <c r="U1634" s="3">
        <v>0.23</v>
      </c>
      <c r="V1634" s="3">
        <v>7.9</v>
      </c>
      <c r="W1634">
        <v>3.13</v>
      </c>
      <c r="X1634" t="s">
        <v>50</v>
      </c>
      <c r="Y1634" s="3">
        <v>16.43</v>
      </c>
      <c r="Z1634" t="s">
        <v>83</v>
      </c>
      <c r="AA1634" t="s">
        <v>10839</v>
      </c>
      <c r="AB1634" t="s">
        <v>53</v>
      </c>
      <c r="AC1634" s="3">
        <v>1.27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f t="shared" si="50"/>
        <v>26.67</v>
      </c>
      <c r="AK1634" s="3">
        <f t="shared" si="51"/>
        <v>10.240000000000002</v>
      </c>
    </row>
    <row r="1635" spans="1:37">
      <c r="A1635">
        <v>10369488</v>
      </c>
      <c r="B1635" t="s">
        <v>37</v>
      </c>
      <c r="C1635" t="s">
        <v>10840</v>
      </c>
      <c r="E1635" t="s">
        <v>10841</v>
      </c>
      <c r="F1635" t="s">
        <v>10842</v>
      </c>
      <c r="G1635" t="s">
        <v>10843</v>
      </c>
      <c r="H1635" t="s">
        <v>42</v>
      </c>
      <c r="I1635" t="s">
        <v>10844</v>
      </c>
      <c r="J1635" t="s">
        <v>10845</v>
      </c>
      <c r="K1635">
        <v>2800</v>
      </c>
      <c r="L1635" t="s">
        <v>505</v>
      </c>
      <c r="M1635" t="s">
        <v>46</v>
      </c>
      <c r="N1635" t="s">
        <v>47</v>
      </c>
      <c r="O1635">
        <v>2</v>
      </c>
      <c r="P1635">
        <v>1</v>
      </c>
      <c r="Q1635">
        <v>2</v>
      </c>
      <c r="R1635" t="s">
        <v>48</v>
      </c>
      <c r="S1635" t="s">
        <v>49</v>
      </c>
      <c r="T1635" s="3">
        <v>0.84</v>
      </c>
      <c r="U1635" s="3">
        <v>0.23</v>
      </c>
      <c r="V1635" s="3">
        <v>1.81</v>
      </c>
      <c r="W1635">
        <v>0.98</v>
      </c>
      <c r="X1635" t="s">
        <v>50</v>
      </c>
      <c r="Y1635" s="3">
        <v>9.19</v>
      </c>
      <c r="Z1635" t="s">
        <v>9850</v>
      </c>
      <c r="AA1635" t="s">
        <v>10846</v>
      </c>
      <c r="AB1635" t="s">
        <v>53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f t="shared" si="50"/>
        <v>12.07</v>
      </c>
      <c r="AK1635" s="3">
        <f t="shared" si="51"/>
        <v>2.8800000000000008</v>
      </c>
    </row>
    <row r="1636" spans="1:37">
      <c r="A1636">
        <v>10370273</v>
      </c>
      <c r="B1636" t="s">
        <v>37</v>
      </c>
      <c r="C1636" t="s">
        <v>10847</v>
      </c>
      <c r="E1636" t="s">
        <v>10848</v>
      </c>
      <c r="F1636" t="s">
        <v>7327</v>
      </c>
      <c r="G1636" t="s">
        <v>10849</v>
      </c>
      <c r="H1636" t="s">
        <v>42</v>
      </c>
      <c r="I1636" t="s">
        <v>10850</v>
      </c>
      <c r="J1636" t="s">
        <v>10851</v>
      </c>
      <c r="K1636">
        <v>61440</v>
      </c>
      <c r="L1636" t="s">
        <v>71</v>
      </c>
      <c r="M1636" t="s">
        <v>46</v>
      </c>
      <c r="N1636" t="s">
        <v>47</v>
      </c>
      <c r="O1636">
        <v>2</v>
      </c>
      <c r="P1636">
        <v>1</v>
      </c>
      <c r="Q1636">
        <v>2</v>
      </c>
      <c r="R1636" t="s">
        <v>48</v>
      </c>
      <c r="S1636" t="s">
        <v>49</v>
      </c>
      <c r="T1636" s="3">
        <v>0.84</v>
      </c>
      <c r="U1636" s="3">
        <v>0.23</v>
      </c>
      <c r="V1636" s="3">
        <v>1.81</v>
      </c>
      <c r="W1636">
        <v>2.39</v>
      </c>
      <c r="X1636" t="s">
        <v>108</v>
      </c>
      <c r="Y1636" s="3">
        <v>5.14</v>
      </c>
      <c r="Z1636" t="s">
        <v>9686</v>
      </c>
      <c r="AA1636" t="s">
        <v>10852</v>
      </c>
      <c r="AB1636" t="s">
        <v>53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f t="shared" si="50"/>
        <v>8.02</v>
      </c>
      <c r="AK1636" s="3">
        <f t="shared" si="51"/>
        <v>2.88</v>
      </c>
    </row>
    <row r="1637" spans="1:37">
      <c r="A1637">
        <v>10369491</v>
      </c>
      <c r="B1637" t="s">
        <v>37</v>
      </c>
      <c r="C1637" t="s">
        <v>10853</v>
      </c>
      <c r="E1637" t="s">
        <v>10854</v>
      </c>
      <c r="F1637" t="s">
        <v>10855</v>
      </c>
      <c r="G1637" t="s">
        <v>10856</v>
      </c>
      <c r="H1637" t="s">
        <v>42</v>
      </c>
      <c r="I1637" t="s">
        <v>10857</v>
      </c>
      <c r="J1637" t="s">
        <v>10858</v>
      </c>
      <c r="K1637">
        <v>99817</v>
      </c>
      <c r="L1637" t="s">
        <v>71</v>
      </c>
      <c r="M1637" t="s">
        <v>46</v>
      </c>
      <c r="N1637" t="s">
        <v>47</v>
      </c>
      <c r="O1637">
        <v>2</v>
      </c>
      <c r="P1637">
        <v>1</v>
      </c>
      <c r="Q1637">
        <v>2</v>
      </c>
      <c r="R1637" t="s">
        <v>48</v>
      </c>
      <c r="S1637" t="s">
        <v>49</v>
      </c>
      <c r="T1637" s="3">
        <v>0.84</v>
      </c>
      <c r="U1637" s="3">
        <v>0.23</v>
      </c>
      <c r="V1637" s="3">
        <v>1.81</v>
      </c>
      <c r="W1637">
        <v>0.98</v>
      </c>
      <c r="X1637" t="s">
        <v>108</v>
      </c>
      <c r="Y1637" s="3">
        <v>5.14</v>
      </c>
      <c r="Z1637" t="s">
        <v>9850</v>
      </c>
      <c r="AA1637" t="s">
        <v>10846</v>
      </c>
      <c r="AB1637" t="s">
        <v>53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f t="shared" si="50"/>
        <v>8.02</v>
      </c>
      <c r="AK1637" s="3">
        <f t="shared" si="51"/>
        <v>2.88</v>
      </c>
    </row>
    <row r="1638" spans="1:37">
      <c r="A1638">
        <v>10370819</v>
      </c>
      <c r="B1638" t="s">
        <v>37</v>
      </c>
      <c r="C1638" t="s">
        <v>10859</v>
      </c>
      <c r="E1638" t="s">
        <v>10860</v>
      </c>
      <c r="F1638" t="s">
        <v>10861</v>
      </c>
      <c r="G1638" t="s">
        <v>10862</v>
      </c>
      <c r="H1638" t="s">
        <v>42</v>
      </c>
      <c r="I1638" t="s">
        <v>10863</v>
      </c>
      <c r="J1638" t="s">
        <v>10864</v>
      </c>
      <c r="K1638">
        <v>63512</v>
      </c>
      <c r="L1638" t="s">
        <v>71</v>
      </c>
      <c r="M1638" t="s">
        <v>46</v>
      </c>
      <c r="N1638" t="s">
        <v>47</v>
      </c>
      <c r="O1638">
        <v>2</v>
      </c>
      <c r="P1638">
        <v>1</v>
      </c>
      <c r="Q1638">
        <v>2</v>
      </c>
      <c r="R1638" t="s">
        <v>48</v>
      </c>
      <c r="S1638" t="s">
        <v>49</v>
      </c>
      <c r="T1638" s="3">
        <v>0.84</v>
      </c>
      <c r="U1638" s="3">
        <v>0.23</v>
      </c>
      <c r="V1638" s="3">
        <v>1.81</v>
      </c>
      <c r="W1638">
        <v>0.98</v>
      </c>
      <c r="X1638" t="s">
        <v>108</v>
      </c>
      <c r="Y1638" s="3">
        <v>5.14</v>
      </c>
      <c r="Z1638" t="s">
        <v>9850</v>
      </c>
      <c r="AA1638" t="s">
        <v>10865</v>
      </c>
      <c r="AB1638" t="s">
        <v>53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f t="shared" si="50"/>
        <v>8.02</v>
      </c>
      <c r="AK1638" s="3">
        <f t="shared" si="51"/>
        <v>2.88</v>
      </c>
    </row>
    <row r="1639" spans="1:37">
      <c r="A1639">
        <v>10369016</v>
      </c>
      <c r="B1639" t="s">
        <v>37</v>
      </c>
      <c r="C1639" t="s">
        <v>10866</v>
      </c>
      <c r="E1639" t="s">
        <v>10867</v>
      </c>
      <c r="F1639" t="s">
        <v>10868</v>
      </c>
      <c r="G1639" t="s">
        <v>10869</v>
      </c>
      <c r="H1639" t="s">
        <v>42</v>
      </c>
      <c r="I1639" t="s">
        <v>10870</v>
      </c>
      <c r="J1639" t="s">
        <v>10871</v>
      </c>
      <c r="K1639">
        <v>18586</v>
      </c>
      <c r="L1639" t="s">
        <v>71</v>
      </c>
      <c r="M1639" t="s">
        <v>46</v>
      </c>
      <c r="N1639" t="s">
        <v>47</v>
      </c>
      <c r="O1639">
        <v>2</v>
      </c>
      <c r="P1639">
        <v>1</v>
      </c>
      <c r="Q1639">
        <v>2</v>
      </c>
      <c r="R1639" t="s">
        <v>48</v>
      </c>
      <c r="S1639" t="s">
        <v>49</v>
      </c>
      <c r="T1639" s="3">
        <v>0.84</v>
      </c>
      <c r="U1639" s="3">
        <v>0.23</v>
      </c>
      <c r="V1639" s="3">
        <v>1.81</v>
      </c>
      <c r="W1639">
        <v>0.78</v>
      </c>
      <c r="X1639" t="s">
        <v>108</v>
      </c>
      <c r="Y1639" s="3">
        <v>5.14</v>
      </c>
      <c r="Z1639" t="s">
        <v>9850</v>
      </c>
      <c r="AA1639" t="s">
        <v>3216</v>
      </c>
      <c r="AB1639" t="s">
        <v>53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f t="shared" si="50"/>
        <v>8.02</v>
      </c>
      <c r="AK1639" s="3">
        <f t="shared" si="51"/>
        <v>2.88</v>
      </c>
    </row>
    <row r="1640" spans="1:37">
      <c r="A1640">
        <v>10368045</v>
      </c>
      <c r="B1640" t="s">
        <v>37</v>
      </c>
      <c r="C1640" t="s">
        <v>10872</v>
      </c>
      <c r="E1640" t="s">
        <v>1395</v>
      </c>
      <c r="F1640" t="s">
        <v>8220</v>
      </c>
      <c r="G1640" t="s">
        <v>10873</v>
      </c>
      <c r="H1640" t="s">
        <v>42</v>
      </c>
      <c r="I1640" t="s">
        <v>10874</v>
      </c>
      <c r="J1640" t="s">
        <v>10875</v>
      </c>
      <c r="K1640" t="s">
        <v>10876</v>
      </c>
      <c r="L1640" t="s">
        <v>142</v>
      </c>
      <c r="M1640" t="s">
        <v>46</v>
      </c>
      <c r="N1640" t="s">
        <v>47</v>
      </c>
      <c r="O1640">
        <v>1</v>
      </c>
      <c r="P1640">
        <v>1</v>
      </c>
      <c r="Q1640">
        <v>1</v>
      </c>
      <c r="R1640" t="s">
        <v>48</v>
      </c>
      <c r="S1640" t="s">
        <v>49</v>
      </c>
      <c r="T1640" s="3">
        <v>0.84</v>
      </c>
      <c r="U1640" s="3">
        <v>0.23</v>
      </c>
      <c r="V1640" s="3">
        <v>0.94</v>
      </c>
      <c r="W1640">
        <v>0.49</v>
      </c>
      <c r="X1640" t="s">
        <v>50</v>
      </c>
      <c r="Y1640" s="3">
        <v>16.43</v>
      </c>
      <c r="Z1640" t="s">
        <v>9850</v>
      </c>
      <c r="AA1640" t="s">
        <v>1371</v>
      </c>
      <c r="AB1640" t="s">
        <v>53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f t="shared" si="50"/>
        <v>18.440000000000001</v>
      </c>
      <c r="AK1640" s="3">
        <f t="shared" si="51"/>
        <v>2.0100000000000016</v>
      </c>
    </row>
    <row r="1641" spans="1:37">
      <c r="A1641">
        <v>10366467</v>
      </c>
      <c r="B1641" t="s">
        <v>37</v>
      </c>
      <c r="C1641" t="s">
        <v>10877</v>
      </c>
      <c r="E1641" t="s">
        <v>10878</v>
      </c>
      <c r="F1641" t="s">
        <v>10879</v>
      </c>
      <c r="G1641" t="s">
        <v>10880</v>
      </c>
      <c r="H1641" t="s">
        <v>42</v>
      </c>
      <c r="I1641" t="s">
        <v>10881</v>
      </c>
      <c r="J1641" t="s">
        <v>10882</v>
      </c>
      <c r="K1641">
        <v>87466</v>
      </c>
      <c r="L1641" t="s">
        <v>71</v>
      </c>
      <c r="M1641" t="s">
        <v>46</v>
      </c>
      <c r="N1641" t="s">
        <v>47</v>
      </c>
      <c r="O1641">
        <v>1</v>
      </c>
      <c r="P1641">
        <v>1</v>
      </c>
      <c r="Q1641">
        <v>1</v>
      </c>
      <c r="R1641" t="s">
        <v>48</v>
      </c>
      <c r="S1641" t="s">
        <v>49</v>
      </c>
      <c r="T1641" s="3">
        <v>0.84</v>
      </c>
      <c r="U1641" s="3">
        <v>0.23</v>
      </c>
      <c r="V1641" s="3">
        <v>0.94</v>
      </c>
      <c r="W1641">
        <v>0.49</v>
      </c>
      <c r="X1641" t="s">
        <v>108</v>
      </c>
      <c r="Y1641" s="3">
        <v>5.14</v>
      </c>
      <c r="Z1641" t="s">
        <v>9850</v>
      </c>
      <c r="AA1641" t="s">
        <v>2233</v>
      </c>
      <c r="AB1641" t="s">
        <v>53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f t="shared" si="50"/>
        <v>7.15</v>
      </c>
      <c r="AK1641" s="3">
        <f t="shared" si="51"/>
        <v>2.0100000000000007</v>
      </c>
    </row>
    <row r="1642" spans="1:37">
      <c r="A1642">
        <v>10369018</v>
      </c>
      <c r="B1642" t="s">
        <v>37</v>
      </c>
      <c r="C1642" t="s">
        <v>10883</v>
      </c>
      <c r="E1642" t="s">
        <v>10884</v>
      </c>
      <c r="F1642" t="s">
        <v>10885</v>
      </c>
      <c r="G1642" t="s">
        <v>10886</v>
      </c>
      <c r="H1642" t="s">
        <v>42</v>
      </c>
      <c r="I1642" t="s">
        <v>10887</v>
      </c>
      <c r="J1642" t="s">
        <v>10888</v>
      </c>
      <c r="K1642" t="s">
        <v>10889</v>
      </c>
      <c r="L1642" t="s">
        <v>142</v>
      </c>
      <c r="M1642" t="s">
        <v>46</v>
      </c>
      <c r="N1642" t="s">
        <v>47</v>
      </c>
      <c r="O1642">
        <v>2</v>
      </c>
      <c r="P1642">
        <v>1</v>
      </c>
      <c r="Q1642">
        <v>2</v>
      </c>
      <c r="R1642" t="s">
        <v>48</v>
      </c>
      <c r="S1642" t="s">
        <v>49</v>
      </c>
      <c r="T1642" s="3">
        <v>0.84</v>
      </c>
      <c r="U1642" s="3">
        <v>0.23</v>
      </c>
      <c r="V1642" s="3">
        <v>1.81</v>
      </c>
      <c r="W1642">
        <v>0.98</v>
      </c>
      <c r="X1642" t="s">
        <v>50</v>
      </c>
      <c r="Y1642" s="3">
        <v>16.43</v>
      </c>
      <c r="Z1642" t="s">
        <v>9850</v>
      </c>
      <c r="AA1642" t="s">
        <v>1371</v>
      </c>
      <c r="AB1642" t="s">
        <v>53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f t="shared" si="50"/>
        <v>19.309999999999999</v>
      </c>
      <c r="AK1642" s="3">
        <f t="shared" si="51"/>
        <v>2.879999999999999</v>
      </c>
    </row>
    <row r="1643" spans="1:37">
      <c r="A1643">
        <v>10370818</v>
      </c>
      <c r="B1643" t="s">
        <v>37</v>
      </c>
      <c r="C1643" t="s">
        <v>10890</v>
      </c>
      <c r="E1643" t="s">
        <v>8106</v>
      </c>
      <c r="F1643" t="s">
        <v>10891</v>
      </c>
      <c r="G1643" t="s">
        <v>10892</v>
      </c>
      <c r="H1643" t="s">
        <v>42</v>
      </c>
      <c r="I1643" t="s">
        <v>10893</v>
      </c>
      <c r="J1643" t="s">
        <v>10894</v>
      </c>
      <c r="K1643">
        <v>25210</v>
      </c>
      <c r="L1643" t="s">
        <v>130</v>
      </c>
      <c r="M1643" t="s">
        <v>46</v>
      </c>
      <c r="N1643" t="s">
        <v>47</v>
      </c>
      <c r="O1643">
        <v>1</v>
      </c>
      <c r="P1643">
        <v>1</v>
      </c>
      <c r="Q1643">
        <v>1</v>
      </c>
      <c r="R1643" t="s">
        <v>48</v>
      </c>
      <c r="S1643" t="s">
        <v>49</v>
      </c>
      <c r="T1643" s="3">
        <v>0.84</v>
      </c>
      <c r="U1643" s="3">
        <v>0.23</v>
      </c>
      <c r="V1643" s="3">
        <v>0.94</v>
      </c>
      <c r="W1643">
        <v>0.49</v>
      </c>
      <c r="X1643" t="s">
        <v>50</v>
      </c>
      <c r="Y1643" s="3">
        <v>14.26</v>
      </c>
      <c r="Z1643" t="s">
        <v>9850</v>
      </c>
      <c r="AA1643" t="s">
        <v>1371</v>
      </c>
      <c r="AB1643" t="s">
        <v>53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f t="shared" si="50"/>
        <v>16.27</v>
      </c>
      <c r="AK1643" s="3">
        <f t="shared" si="51"/>
        <v>2.0099999999999998</v>
      </c>
    </row>
    <row r="1644" spans="1:37">
      <c r="A1644">
        <v>10364353</v>
      </c>
      <c r="B1644" t="s">
        <v>37</v>
      </c>
      <c r="C1644" t="s">
        <v>10895</v>
      </c>
      <c r="E1644" t="s">
        <v>10896</v>
      </c>
      <c r="F1644" t="s">
        <v>10897</v>
      </c>
      <c r="G1644" t="s">
        <v>10898</v>
      </c>
      <c r="H1644" t="s">
        <v>42</v>
      </c>
      <c r="I1644" t="s">
        <v>10899</v>
      </c>
      <c r="J1644" t="s">
        <v>10900</v>
      </c>
      <c r="K1644">
        <v>21000</v>
      </c>
      <c r="L1644" t="s">
        <v>9620</v>
      </c>
      <c r="M1644" t="s">
        <v>46</v>
      </c>
      <c r="N1644" t="s">
        <v>47</v>
      </c>
      <c r="O1644">
        <v>2</v>
      </c>
      <c r="P1644">
        <v>1</v>
      </c>
      <c r="Q1644">
        <v>2</v>
      </c>
      <c r="R1644" t="s">
        <v>48</v>
      </c>
      <c r="S1644" t="s">
        <v>49</v>
      </c>
      <c r="T1644" s="3">
        <v>0.84</v>
      </c>
      <c r="U1644" s="3">
        <v>0.23</v>
      </c>
      <c r="V1644" s="3">
        <v>1.81</v>
      </c>
      <c r="W1644">
        <v>0.7</v>
      </c>
      <c r="X1644" t="s">
        <v>100</v>
      </c>
      <c r="Y1644" s="3">
        <v>21.83</v>
      </c>
      <c r="Z1644" t="s">
        <v>9850</v>
      </c>
      <c r="AA1644" t="s">
        <v>10901</v>
      </c>
      <c r="AB1644" t="s">
        <v>53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f t="shared" si="50"/>
        <v>24.709999999999997</v>
      </c>
      <c r="AK1644" s="3">
        <f t="shared" si="51"/>
        <v>2.879999999999999</v>
      </c>
    </row>
    <row r="1645" spans="1:37">
      <c r="A1645">
        <v>10366471</v>
      </c>
      <c r="B1645" t="s">
        <v>37</v>
      </c>
      <c r="C1645" t="s">
        <v>10902</v>
      </c>
      <c r="E1645" t="s">
        <v>3705</v>
      </c>
      <c r="F1645" t="s">
        <v>10903</v>
      </c>
      <c r="G1645" t="s">
        <v>10904</v>
      </c>
      <c r="H1645" t="s">
        <v>42</v>
      </c>
      <c r="I1645" t="s">
        <v>10905</v>
      </c>
      <c r="J1645" t="s">
        <v>10906</v>
      </c>
      <c r="K1645">
        <v>28205</v>
      </c>
      <c r="L1645" t="s">
        <v>71</v>
      </c>
      <c r="M1645" t="s">
        <v>46</v>
      </c>
      <c r="N1645" t="s">
        <v>47</v>
      </c>
      <c r="O1645">
        <v>1</v>
      </c>
      <c r="P1645">
        <v>1</v>
      </c>
      <c r="Q1645">
        <v>1</v>
      </c>
      <c r="R1645" t="s">
        <v>48</v>
      </c>
      <c r="S1645" t="s">
        <v>49</v>
      </c>
      <c r="T1645" s="3">
        <v>0.84</v>
      </c>
      <c r="U1645" s="3">
        <v>0.23</v>
      </c>
      <c r="V1645" s="3">
        <v>0.94</v>
      </c>
      <c r="W1645">
        <v>0.49</v>
      </c>
      <c r="X1645" t="s">
        <v>108</v>
      </c>
      <c r="Y1645" s="3">
        <v>5.14</v>
      </c>
      <c r="Z1645" t="s">
        <v>9850</v>
      </c>
      <c r="AA1645" t="s">
        <v>10907</v>
      </c>
      <c r="AB1645" t="s">
        <v>53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f t="shared" si="50"/>
        <v>7.15</v>
      </c>
      <c r="AK1645" s="3">
        <f t="shared" si="51"/>
        <v>2.0100000000000007</v>
      </c>
    </row>
    <row r="1646" spans="1:37">
      <c r="A1646">
        <v>10369492</v>
      </c>
      <c r="B1646" t="s">
        <v>37</v>
      </c>
      <c r="C1646" t="s">
        <v>10908</v>
      </c>
      <c r="E1646" t="s">
        <v>247</v>
      </c>
      <c r="F1646" t="s">
        <v>10909</v>
      </c>
      <c r="G1646" t="s">
        <v>10910</v>
      </c>
      <c r="H1646" t="s">
        <v>42</v>
      </c>
      <c r="I1646" t="s">
        <v>10911</v>
      </c>
      <c r="J1646" t="s">
        <v>10912</v>
      </c>
      <c r="K1646">
        <v>4030</v>
      </c>
      <c r="L1646" t="s">
        <v>618</v>
      </c>
      <c r="M1646" t="s">
        <v>46</v>
      </c>
      <c r="N1646" t="s">
        <v>47</v>
      </c>
      <c r="O1646">
        <v>1</v>
      </c>
      <c r="P1646">
        <v>1</v>
      </c>
      <c r="Q1646">
        <v>1</v>
      </c>
      <c r="R1646" t="s">
        <v>48</v>
      </c>
      <c r="S1646" t="s">
        <v>49</v>
      </c>
      <c r="T1646" s="3">
        <v>0.84</v>
      </c>
      <c r="U1646" s="3">
        <v>0.23</v>
      </c>
      <c r="V1646" s="3">
        <v>0.94</v>
      </c>
      <c r="W1646">
        <v>0.39</v>
      </c>
      <c r="X1646" t="s">
        <v>50</v>
      </c>
      <c r="Y1646" s="3">
        <v>9.19</v>
      </c>
      <c r="Z1646" t="s">
        <v>9850</v>
      </c>
      <c r="AA1646" t="s">
        <v>4279</v>
      </c>
      <c r="AB1646" t="s">
        <v>53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f t="shared" si="50"/>
        <v>11.2</v>
      </c>
      <c r="AK1646" s="3">
        <f t="shared" si="51"/>
        <v>2.0099999999999998</v>
      </c>
    </row>
    <row r="1647" spans="1:37">
      <c r="A1647">
        <v>10370987</v>
      </c>
      <c r="B1647" t="s">
        <v>37</v>
      </c>
      <c r="C1647" t="s">
        <v>10913</v>
      </c>
      <c r="E1647" t="s">
        <v>954</v>
      </c>
      <c r="F1647" t="s">
        <v>10914</v>
      </c>
      <c r="G1647" t="s">
        <v>10915</v>
      </c>
      <c r="H1647" t="s">
        <v>42</v>
      </c>
      <c r="I1647" t="s">
        <v>10916</v>
      </c>
      <c r="J1647" t="s">
        <v>10917</v>
      </c>
      <c r="K1647" t="s">
        <v>10918</v>
      </c>
      <c r="L1647" t="s">
        <v>82</v>
      </c>
      <c r="M1647" t="s">
        <v>46</v>
      </c>
      <c r="N1647" t="s">
        <v>47</v>
      </c>
      <c r="O1647">
        <v>2</v>
      </c>
      <c r="P1647">
        <v>1</v>
      </c>
      <c r="Q1647">
        <v>2</v>
      </c>
      <c r="R1647" t="s">
        <v>48</v>
      </c>
      <c r="S1647" t="s">
        <v>49</v>
      </c>
      <c r="T1647" s="3">
        <v>0.84</v>
      </c>
      <c r="U1647" s="3">
        <v>0.23</v>
      </c>
      <c r="V1647" s="3">
        <v>1.81</v>
      </c>
      <c r="W1647">
        <v>0.78</v>
      </c>
      <c r="X1647" t="s">
        <v>50</v>
      </c>
      <c r="Y1647" s="3">
        <v>9.19</v>
      </c>
      <c r="Z1647" t="s">
        <v>9850</v>
      </c>
      <c r="AA1647" t="s">
        <v>3438</v>
      </c>
      <c r="AB1647" t="s">
        <v>53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f t="shared" si="50"/>
        <v>12.07</v>
      </c>
      <c r="AK1647" s="3">
        <f t="shared" si="51"/>
        <v>2.8800000000000008</v>
      </c>
    </row>
    <row r="1648" spans="1:37">
      <c r="A1648">
        <v>10370632</v>
      </c>
      <c r="B1648" t="s">
        <v>37</v>
      </c>
      <c r="C1648" t="s">
        <v>10919</v>
      </c>
      <c r="E1648" t="s">
        <v>10920</v>
      </c>
      <c r="F1648" t="s">
        <v>10921</v>
      </c>
      <c r="G1648" t="s">
        <v>10922</v>
      </c>
      <c r="H1648" t="s">
        <v>42</v>
      </c>
      <c r="I1648" t="s">
        <v>10923</v>
      </c>
      <c r="J1648" t="s">
        <v>10924</v>
      </c>
      <c r="K1648">
        <v>8620</v>
      </c>
      <c r="L1648" t="s">
        <v>505</v>
      </c>
      <c r="M1648" t="s">
        <v>46</v>
      </c>
      <c r="N1648" t="s">
        <v>47</v>
      </c>
      <c r="O1648">
        <v>2</v>
      </c>
      <c r="P1648">
        <v>1</v>
      </c>
      <c r="Q1648">
        <v>2</v>
      </c>
      <c r="R1648" t="s">
        <v>48</v>
      </c>
      <c r="S1648" t="s">
        <v>49</v>
      </c>
      <c r="T1648" s="3">
        <v>0.84</v>
      </c>
      <c r="U1648" s="3">
        <v>0.23</v>
      </c>
      <c r="V1648" s="3">
        <v>1.81</v>
      </c>
      <c r="W1648">
        <v>0.98</v>
      </c>
      <c r="X1648" t="s">
        <v>50</v>
      </c>
      <c r="Y1648" s="3">
        <v>9.19</v>
      </c>
      <c r="Z1648" t="s">
        <v>9850</v>
      </c>
      <c r="AA1648" t="s">
        <v>10925</v>
      </c>
      <c r="AB1648" t="s">
        <v>53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f t="shared" si="50"/>
        <v>12.07</v>
      </c>
      <c r="AK1648" s="3">
        <f t="shared" si="51"/>
        <v>2.8800000000000008</v>
      </c>
    </row>
    <row r="1649" spans="1:37">
      <c r="A1649">
        <v>10370630</v>
      </c>
      <c r="B1649" t="s">
        <v>37</v>
      </c>
      <c r="C1649" t="s">
        <v>10926</v>
      </c>
      <c r="E1649" t="s">
        <v>10927</v>
      </c>
      <c r="F1649" t="s">
        <v>10928</v>
      </c>
      <c r="G1649" t="s">
        <v>10929</v>
      </c>
      <c r="H1649" t="s">
        <v>42</v>
      </c>
      <c r="I1649" t="s">
        <v>10930</v>
      </c>
      <c r="J1649" t="s">
        <v>10931</v>
      </c>
      <c r="K1649">
        <v>40390</v>
      </c>
      <c r="L1649" t="s">
        <v>130</v>
      </c>
      <c r="M1649" t="s">
        <v>46</v>
      </c>
      <c r="N1649" t="s">
        <v>47</v>
      </c>
      <c r="O1649">
        <v>2</v>
      </c>
      <c r="P1649">
        <v>1</v>
      </c>
      <c r="Q1649">
        <v>2</v>
      </c>
      <c r="R1649" t="s">
        <v>48</v>
      </c>
      <c r="S1649" t="s">
        <v>49</v>
      </c>
      <c r="T1649" s="3">
        <v>0.84</v>
      </c>
      <c r="U1649" s="3">
        <v>0.23</v>
      </c>
      <c r="V1649" s="3">
        <v>1.81</v>
      </c>
      <c r="W1649">
        <v>0.78</v>
      </c>
      <c r="X1649" t="s">
        <v>50</v>
      </c>
      <c r="Y1649" s="3">
        <v>14.26</v>
      </c>
      <c r="Z1649" t="s">
        <v>9850</v>
      </c>
      <c r="AA1649" t="s">
        <v>10152</v>
      </c>
      <c r="AB1649" t="s">
        <v>53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f t="shared" si="50"/>
        <v>17.14</v>
      </c>
      <c r="AK1649" s="3">
        <f t="shared" si="51"/>
        <v>2.8800000000000008</v>
      </c>
    </row>
    <row r="1650" spans="1:37">
      <c r="A1650">
        <v>10369020</v>
      </c>
      <c r="B1650" t="s">
        <v>37</v>
      </c>
      <c r="C1650" t="s">
        <v>10932</v>
      </c>
      <c r="E1650" t="s">
        <v>10285</v>
      </c>
      <c r="F1650" t="s">
        <v>10933</v>
      </c>
      <c r="G1650" t="s">
        <v>10934</v>
      </c>
      <c r="H1650" t="s">
        <v>42</v>
      </c>
      <c r="I1650" t="s">
        <v>10935</v>
      </c>
      <c r="J1650" t="s">
        <v>10936</v>
      </c>
      <c r="K1650">
        <v>22926</v>
      </c>
      <c r="L1650" t="s">
        <v>71</v>
      </c>
      <c r="M1650" t="s">
        <v>46</v>
      </c>
      <c r="N1650" t="s">
        <v>47</v>
      </c>
      <c r="O1650">
        <v>4</v>
      </c>
      <c r="P1650">
        <v>1</v>
      </c>
      <c r="Q1650">
        <v>4</v>
      </c>
      <c r="R1650" t="s">
        <v>48</v>
      </c>
      <c r="S1650" t="s">
        <v>49</v>
      </c>
      <c r="T1650" s="3">
        <v>0.84</v>
      </c>
      <c r="U1650" s="3">
        <v>0.23</v>
      </c>
      <c r="V1650" s="3">
        <v>3.55</v>
      </c>
      <c r="W1650">
        <v>1.76</v>
      </c>
      <c r="X1650" t="s">
        <v>108</v>
      </c>
      <c r="Y1650" s="3">
        <v>5.14</v>
      </c>
      <c r="Z1650" t="s">
        <v>9686</v>
      </c>
      <c r="AA1650" t="s">
        <v>10937</v>
      </c>
      <c r="AB1650" t="s">
        <v>53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f t="shared" si="50"/>
        <v>9.76</v>
      </c>
      <c r="AK1650" s="3">
        <f t="shared" si="51"/>
        <v>4.62</v>
      </c>
    </row>
    <row r="1651" spans="1:37">
      <c r="A1651">
        <v>10369912</v>
      </c>
      <c r="B1651" t="s">
        <v>37</v>
      </c>
      <c r="C1651" t="s">
        <v>10938</v>
      </c>
      <c r="E1651" t="s">
        <v>10939</v>
      </c>
      <c r="F1651" t="s">
        <v>10940</v>
      </c>
      <c r="G1651" t="s">
        <v>10941</v>
      </c>
      <c r="H1651" t="s">
        <v>42</v>
      </c>
      <c r="I1651" t="s">
        <v>10942</v>
      </c>
      <c r="J1651" t="s">
        <v>10943</v>
      </c>
      <c r="K1651" t="s">
        <v>10944</v>
      </c>
      <c r="L1651" t="s">
        <v>886</v>
      </c>
      <c r="M1651" t="s">
        <v>46</v>
      </c>
      <c r="N1651" t="s">
        <v>47</v>
      </c>
      <c r="O1651">
        <v>4</v>
      </c>
      <c r="P1651">
        <v>1</v>
      </c>
      <c r="Q1651">
        <v>4</v>
      </c>
      <c r="R1651" t="s">
        <v>48</v>
      </c>
      <c r="S1651" t="s">
        <v>49</v>
      </c>
      <c r="T1651" s="3">
        <v>0.84</v>
      </c>
      <c r="U1651" s="3">
        <v>0.23</v>
      </c>
      <c r="V1651" s="3">
        <v>3.55</v>
      </c>
      <c r="W1651">
        <v>2.0099999999999998</v>
      </c>
      <c r="X1651" t="s">
        <v>50</v>
      </c>
      <c r="Y1651" s="3">
        <v>10.64</v>
      </c>
      <c r="Z1651" t="s">
        <v>9686</v>
      </c>
      <c r="AA1651" t="s">
        <v>10945</v>
      </c>
      <c r="AB1651" t="s">
        <v>53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f t="shared" si="50"/>
        <v>15.260000000000002</v>
      </c>
      <c r="AK1651" s="3">
        <f t="shared" si="51"/>
        <v>4.620000000000001</v>
      </c>
    </row>
    <row r="1652" spans="1:37">
      <c r="A1652">
        <v>10369125</v>
      </c>
      <c r="B1652" t="s">
        <v>37</v>
      </c>
      <c r="C1652" t="s">
        <v>10946</v>
      </c>
      <c r="E1652" t="s">
        <v>10947</v>
      </c>
      <c r="F1652" t="s">
        <v>10948</v>
      </c>
      <c r="G1652" t="s">
        <v>10949</v>
      </c>
      <c r="H1652" t="s">
        <v>42</v>
      </c>
      <c r="I1652" t="s">
        <v>10950</v>
      </c>
      <c r="J1652" t="s">
        <v>10951</v>
      </c>
      <c r="K1652">
        <v>2610</v>
      </c>
      <c r="L1652" t="s">
        <v>505</v>
      </c>
      <c r="M1652" t="s">
        <v>46</v>
      </c>
      <c r="N1652" t="s">
        <v>47</v>
      </c>
      <c r="O1652">
        <v>4</v>
      </c>
      <c r="P1652">
        <v>1</v>
      </c>
      <c r="Q1652">
        <v>4</v>
      </c>
      <c r="R1652" t="s">
        <v>48</v>
      </c>
      <c r="S1652" t="s">
        <v>49</v>
      </c>
      <c r="T1652" s="3">
        <v>0.84</v>
      </c>
      <c r="U1652" s="3">
        <v>0.23</v>
      </c>
      <c r="V1652" s="3">
        <v>3.55</v>
      </c>
      <c r="W1652">
        <v>1.76</v>
      </c>
      <c r="X1652" t="s">
        <v>50</v>
      </c>
      <c r="Y1652" s="3">
        <v>9.19</v>
      </c>
      <c r="Z1652" t="s">
        <v>9686</v>
      </c>
      <c r="AA1652" t="s">
        <v>10952</v>
      </c>
      <c r="AB1652" t="s">
        <v>53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f t="shared" si="50"/>
        <v>13.809999999999999</v>
      </c>
      <c r="AK1652" s="3">
        <f t="shared" si="51"/>
        <v>4.6199999999999992</v>
      </c>
    </row>
    <row r="1653" spans="1:37">
      <c r="A1653">
        <v>10369485</v>
      </c>
      <c r="B1653" t="s">
        <v>37</v>
      </c>
      <c r="C1653" t="s">
        <v>10953</v>
      </c>
      <c r="E1653" t="s">
        <v>4897</v>
      </c>
      <c r="F1653" t="s">
        <v>10954</v>
      </c>
      <c r="G1653" t="s">
        <v>10955</v>
      </c>
      <c r="H1653" t="s">
        <v>42</v>
      </c>
      <c r="I1653" t="s">
        <v>10956</v>
      </c>
      <c r="J1653" t="s">
        <v>10957</v>
      </c>
      <c r="K1653" t="s">
        <v>10958</v>
      </c>
      <c r="L1653" t="s">
        <v>142</v>
      </c>
      <c r="M1653" t="s">
        <v>46</v>
      </c>
      <c r="N1653" t="s">
        <v>47</v>
      </c>
      <c r="O1653">
        <v>3</v>
      </c>
      <c r="P1653">
        <v>1</v>
      </c>
      <c r="Q1653">
        <v>3</v>
      </c>
      <c r="R1653" t="s">
        <v>48</v>
      </c>
      <c r="S1653" t="s">
        <v>49</v>
      </c>
      <c r="T1653" s="3">
        <v>0.84</v>
      </c>
      <c r="U1653" s="3">
        <v>0.23</v>
      </c>
      <c r="V1653" s="3">
        <v>2.68</v>
      </c>
      <c r="W1653">
        <v>1.38</v>
      </c>
      <c r="X1653" t="s">
        <v>50</v>
      </c>
      <c r="Y1653" s="3">
        <v>16.43</v>
      </c>
      <c r="Z1653" t="s">
        <v>9686</v>
      </c>
      <c r="AA1653" t="s">
        <v>10959</v>
      </c>
      <c r="AB1653" t="s">
        <v>53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f t="shared" si="50"/>
        <v>20.18</v>
      </c>
      <c r="AK1653" s="3">
        <f t="shared" si="51"/>
        <v>3.75</v>
      </c>
    </row>
    <row r="1654" spans="1:37">
      <c r="A1654">
        <v>10370448</v>
      </c>
      <c r="B1654" t="s">
        <v>37</v>
      </c>
      <c r="C1654" t="s">
        <v>10960</v>
      </c>
      <c r="E1654" t="s">
        <v>5128</v>
      </c>
      <c r="F1654" t="s">
        <v>10961</v>
      </c>
      <c r="G1654" t="s">
        <v>10962</v>
      </c>
      <c r="H1654" t="s">
        <v>42</v>
      </c>
      <c r="I1654" t="s">
        <v>10963</v>
      </c>
      <c r="J1654" t="s">
        <v>10964</v>
      </c>
      <c r="K1654">
        <v>50670</v>
      </c>
      <c r="L1654" t="s">
        <v>71</v>
      </c>
      <c r="M1654" t="s">
        <v>46</v>
      </c>
      <c r="N1654" t="s">
        <v>47</v>
      </c>
      <c r="O1654">
        <v>5</v>
      </c>
      <c r="P1654">
        <v>1</v>
      </c>
      <c r="Q1654">
        <v>5</v>
      </c>
      <c r="R1654" t="s">
        <v>48</v>
      </c>
      <c r="S1654" t="s">
        <v>49</v>
      </c>
      <c r="T1654" s="3">
        <v>0.84</v>
      </c>
      <c r="U1654" s="3">
        <v>0.23</v>
      </c>
      <c r="V1654" s="3">
        <v>4.42</v>
      </c>
      <c r="W1654">
        <v>3.06</v>
      </c>
      <c r="X1654" t="s">
        <v>72</v>
      </c>
      <c r="Y1654" s="3">
        <v>6.61</v>
      </c>
      <c r="Z1654" t="s">
        <v>83</v>
      </c>
      <c r="AA1654" t="s">
        <v>10965</v>
      </c>
      <c r="AB1654" t="s">
        <v>53</v>
      </c>
      <c r="AC1654" s="3">
        <v>1.27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f t="shared" si="50"/>
        <v>13.370000000000001</v>
      </c>
      <c r="AK1654" s="3">
        <f t="shared" si="51"/>
        <v>6.7600000000000007</v>
      </c>
    </row>
    <row r="1655" spans="1:37">
      <c r="A1655">
        <v>10369487</v>
      </c>
      <c r="B1655" t="s">
        <v>37</v>
      </c>
      <c r="C1655" t="s">
        <v>10966</v>
      </c>
      <c r="E1655" t="s">
        <v>1865</v>
      </c>
      <c r="F1655" t="s">
        <v>10967</v>
      </c>
      <c r="G1655" t="s">
        <v>10968</v>
      </c>
      <c r="H1655" t="s">
        <v>42</v>
      </c>
      <c r="I1655" t="s">
        <v>10969</v>
      </c>
      <c r="J1655" t="s">
        <v>10970</v>
      </c>
      <c r="K1655" t="s">
        <v>10971</v>
      </c>
      <c r="L1655" t="s">
        <v>82</v>
      </c>
      <c r="M1655" t="s">
        <v>46</v>
      </c>
      <c r="N1655" t="s">
        <v>47</v>
      </c>
      <c r="O1655">
        <v>4</v>
      </c>
      <c r="P1655">
        <v>1</v>
      </c>
      <c r="Q1655">
        <v>4</v>
      </c>
      <c r="R1655" t="s">
        <v>48</v>
      </c>
      <c r="S1655" t="s">
        <v>49</v>
      </c>
      <c r="T1655" s="3">
        <v>0.84</v>
      </c>
      <c r="U1655" s="3">
        <v>0.23</v>
      </c>
      <c r="V1655" s="3">
        <v>3.55</v>
      </c>
      <c r="W1655">
        <v>1.61</v>
      </c>
      <c r="X1655" t="s">
        <v>50</v>
      </c>
      <c r="Y1655" s="3">
        <v>9.19</v>
      </c>
      <c r="Z1655" t="s">
        <v>9686</v>
      </c>
      <c r="AA1655" t="s">
        <v>10972</v>
      </c>
      <c r="AB1655" t="s">
        <v>53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f t="shared" si="50"/>
        <v>13.809999999999999</v>
      </c>
      <c r="AK1655" s="3">
        <f t="shared" si="51"/>
        <v>4.6199999999999992</v>
      </c>
    </row>
    <row r="1656" spans="1:37">
      <c r="A1656">
        <v>10369122</v>
      </c>
      <c r="B1656" t="s">
        <v>37</v>
      </c>
      <c r="C1656" t="s">
        <v>10973</v>
      </c>
      <c r="E1656" t="s">
        <v>453</v>
      </c>
      <c r="F1656" t="s">
        <v>10974</v>
      </c>
      <c r="G1656" t="s">
        <v>10975</v>
      </c>
      <c r="H1656" t="s">
        <v>42</v>
      </c>
      <c r="I1656" t="s">
        <v>10976</v>
      </c>
      <c r="J1656" t="s">
        <v>10977</v>
      </c>
      <c r="K1656">
        <v>76829</v>
      </c>
      <c r="L1656" t="s">
        <v>71</v>
      </c>
      <c r="M1656" t="s">
        <v>46</v>
      </c>
      <c r="N1656" t="s">
        <v>47</v>
      </c>
      <c r="O1656">
        <v>4</v>
      </c>
      <c r="P1656">
        <v>1</v>
      </c>
      <c r="Q1656">
        <v>4</v>
      </c>
      <c r="R1656" t="s">
        <v>48</v>
      </c>
      <c r="S1656" t="s">
        <v>49</v>
      </c>
      <c r="T1656" s="3">
        <v>0.84</v>
      </c>
      <c r="U1656" s="3">
        <v>0.23</v>
      </c>
      <c r="V1656" s="3">
        <v>3.55</v>
      </c>
      <c r="W1656">
        <v>1.6</v>
      </c>
      <c r="X1656" t="s">
        <v>108</v>
      </c>
      <c r="Y1656" s="3">
        <v>5.14</v>
      </c>
      <c r="Z1656" t="s">
        <v>9686</v>
      </c>
      <c r="AA1656" t="s">
        <v>10978</v>
      </c>
      <c r="AB1656" t="s">
        <v>53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f t="shared" si="50"/>
        <v>9.76</v>
      </c>
      <c r="AK1656" s="3">
        <f t="shared" si="51"/>
        <v>4.62</v>
      </c>
    </row>
    <row r="1657" spans="1:37">
      <c r="A1657">
        <v>10369715</v>
      </c>
      <c r="B1657" t="s">
        <v>37</v>
      </c>
      <c r="C1657" t="s">
        <v>10979</v>
      </c>
      <c r="E1657" t="s">
        <v>1647</v>
      </c>
      <c r="F1657" t="s">
        <v>10980</v>
      </c>
      <c r="G1657" t="s">
        <v>10981</v>
      </c>
      <c r="H1657" t="s">
        <v>42</v>
      </c>
      <c r="I1657" t="s">
        <v>10982</v>
      </c>
      <c r="J1657" t="s">
        <v>10983</v>
      </c>
      <c r="K1657">
        <v>9820</v>
      </c>
      <c r="L1657" t="s">
        <v>505</v>
      </c>
      <c r="M1657" t="s">
        <v>46</v>
      </c>
      <c r="N1657" t="s">
        <v>47</v>
      </c>
      <c r="O1657">
        <v>4</v>
      </c>
      <c r="P1657">
        <v>1</v>
      </c>
      <c r="Q1657">
        <v>4</v>
      </c>
      <c r="R1657" t="s">
        <v>48</v>
      </c>
      <c r="S1657" t="s">
        <v>49</v>
      </c>
      <c r="T1657" s="3">
        <v>0.84</v>
      </c>
      <c r="U1657" s="3">
        <v>0.23</v>
      </c>
      <c r="V1657" s="3">
        <v>3.55</v>
      </c>
      <c r="W1657">
        <v>1.58</v>
      </c>
      <c r="X1657" t="s">
        <v>50</v>
      </c>
      <c r="Y1657" s="3">
        <v>9.19</v>
      </c>
      <c r="Z1657" t="s">
        <v>9686</v>
      </c>
      <c r="AA1657" t="s">
        <v>10984</v>
      </c>
      <c r="AB1657" t="s">
        <v>53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f t="shared" si="50"/>
        <v>13.809999999999999</v>
      </c>
      <c r="AK1657" s="3">
        <f t="shared" si="51"/>
        <v>4.6199999999999992</v>
      </c>
    </row>
    <row r="1658" spans="1:37">
      <c r="A1658">
        <v>10369274</v>
      </c>
      <c r="B1658" t="s">
        <v>37</v>
      </c>
      <c r="C1658" t="s">
        <v>10985</v>
      </c>
      <c r="E1658" t="s">
        <v>10986</v>
      </c>
      <c r="F1658" t="s">
        <v>10987</v>
      </c>
      <c r="G1658" t="s">
        <v>10988</v>
      </c>
      <c r="H1658" t="s">
        <v>42</v>
      </c>
      <c r="I1658" t="s">
        <v>10989</v>
      </c>
      <c r="J1658" t="s">
        <v>10990</v>
      </c>
      <c r="K1658">
        <v>8750</v>
      </c>
      <c r="L1658" t="s">
        <v>505</v>
      </c>
      <c r="M1658" t="s">
        <v>46</v>
      </c>
      <c r="N1658" t="s">
        <v>47</v>
      </c>
      <c r="O1658">
        <v>3</v>
      </c>
      <c r="P1658">
        <v>1</v>
      </c>
      <c r="Q1658">
        <v>3</v>
      </c>
      <c r="R1658" t="s">
        <v>48</v>
      </c>
      <c r="S1658" t="s">
        <v>49</v>
      </c>
      <c r="T1658" s="3">
        <v>0.84</v>
      </c>
      <c r="U1658" s="3">
        <v>0.23</v>
      </c>
      <c r="V1658" s="3">
        <v>2.68</v>
      </c>
      <c r="W1658">
        <v>1.47</v>
      </c>
      <c r="X1658" t="s">
        <v>50</v>
      </c>
      <c r="Y1658" s="3">
        <v>9.19</v>
      </c>
      <c r="Z1658" t="s">
        <v>9686</v>
      </c>
      <c r="AA1658" t="s">
        <v>10991</v>
      </c>
      <c r="AB1658" t="s">
        <v>53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f t="shared" si="50"/>
        <v>12.94</v>
      </c>
      <c r="AK1658" s="3">
        <f t="shared" si="51"/>
        <v>3.75</v>
      </c>
    </row>
    <row r="1659" spans="1:37">
      <c r="A1659">
        <v>10370093</v>
      </c>
      <c r="B1659" t="s">
        <v>37</v>
      </c>
      <c r="C1659" t="s">
        <v>10992</v>
      </c>
      <c r="E1659" t="s">
        <v>10993</v>
      </c>
      <c r="F1659" t="s">
        <v>10994</v>
      </c>
      <c r="G1659" t="s">
        <v>10995</v>
      </c>
      <c r="H1659" t="s">
        <v>42</v>
      </c>
      <c r="I1659" t="s">
        <v>10989</v>
      </c>
      <c r="J1659" t="s">
        <v>10996</v>
      </c>
      <c r="K1659">
        <v>79420</v>
      </c>
      <c r="L1659" t="s">
        <v>130</v>
      </c>
      <c r="M1659" t="s">
        <v>46</v>
      </c>
      <c r="N1659" t="s">
        <v>47</v>
      </c>
      <c r="O1659">
        <v>3</v>
      </c>
      <c r="P1659">
        <v>1</v>
      </c>
      <c r="Q1659">
        <v>3</v>
      </c>
      <c r="R1659" t="s">
        <v>48</v>
      </c>
      <c r="S1659" t="s">
        <v>49</v>
      </c>
      <c r="T1659" s="3">
        <v>0.84</v>
      </c>
      <c r="U1659" s="3">
        <v>0.23</v>
      </c>
      <c r="V1659" s="3">
        <v>2.68</v>
      </c>
      <c r="W1659">
        <v>1.23</v>
      </c>
      <c r="X1659" t="s">
        <v>50</v>
      </c>
      <c r="Y1659" s="3">
        <v>14.26</v>
      </c>
      <c r="Z1659" t="s">
        <v>9686</v>
      </c>
      <c r="AA1659" t="s">
        <v>10997</v>
      </c>
      <c r="AB1659" t="s">
        <v>53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f t="shared" si="50"/>
        <v>18.010000000000002</v>
      </c>
      <c r="AK1659" s="3">
        <f t="shared" si="51"/>
        <v>3.7500000000000018</v>
      </c>
    </row>
    <row r="1660" spans="1:37">
      <c r="A1660">
        <v>10369712</v>
      </c>
      <c r="B1660" t="s">
        <v>37</v>
      </c>
      <c r="C1660" t="s">
        <v>10998</v>
      </c>
      <c r="E1660" t="s">
        <v>657</v>
      </c>
      <c r="F1660" t="s">
        <v>10999</v>
      </c>
      <c r="G1660" t="s">
        <v>11000</v>
      </c>
      <c r="H1660" t="s">
        <v>42</v>
      </c>
      <c r="I1660" t="s">
        <v>11001</v>
      </c>
      <c r="J1660" t="s">
        <v>11002</v>
      </c>
      <c r="K1660" t="s">
        <v>11003</v>
      </c>
      <c r="L1660" t="s">
        <v>142</v>
      </c>
      <c r="M1660" t="s">
        <v>46</v>
      </c>
      <c r="N1660" t="s">
        <v>47</v>
      </c>
      <c r="O1660">
        <v>4</v>
      </c>
      <c r="P1660">
        <v>1</v>
      </c>
      <c r="Q1660">
        <v>4</v>
      </c>
      <c r="R1660" t="s">
        <v>48</v>
      </c>
      <c r="S1660" t="s">
        <v>49</v>
      </c>
      <c r="T1660" s="3">
        <v>0.84</v>
      </c>
      <c r="U1660" s="3">
        <v>0.23</v>
      </c>
      <c r="V1660" s="3">
        <v>3.55</v>
      </c>
      <c r="W1660">
        <v>1.56</v>
      </c>
      <c r="X1660" t="s">
        <v>50</v>
      </c>
      <c r="Y1660" s="3">
        <v>16.43</v>
      </c>
      <c r="Z1660" t="s">
        <v>9686</v>
      </c>
      <c r="AA1660" t="s">
        <v>11004</v>
      </c>
      <c r="AB1660" t="s">
        <v>53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f t="shared" si="50"/>
        <v>21.05</v>
      </c>
      <c r="AK1660" s="3">
        <f t="shared" si="51"/>
        <v>4.620000000000001</v>
      </c>
    </row>
    <row r="1661" spans="1:37">
      <c r="A1661">
        <v>10369490</v>
      </c>
      <c r="B1661" t="s">
        <v>37</v>
      </c>
      <c r="C1661" t="s">
        <v>11005</v>
      </c>
      <c r="E1661" t="s">
        <v>2653</v>
      </c>
      <c r="F1661" t="s">
        <v>5285</v>
      </c>
      <c r="G1661" t="s">
        <v>11006</v>
      </c>
      <c r="H1661" t="s">
        <v>42</v>
      </c>
      <c r="I1661" t="s">
        <v>11007</v>
      </c>
      <c r="J1661" t="s">
        <v>11008</v>
      </c>
      <c r="K1661">
        <v>37688</v>
      </c>
      <c r="L1661" t="s">
        <v>71</v>
      </c>
      <c r="M1661" t="s">
        <v>46</v>
      </c>
      <c r="N1661" t="s">
        <v>47</v>
      </c>
      <c r="O1661">
        <v>3</v>
      </c>
      <c r="P1661">
        <v>1</v>
      </c>
      <c r="Q1661">
        <v>3</v>
      </c>
      <c r="R1661" t="s">
        <v>48</v>
      </c>
      <c r="S1661" t="s">
        <v>49</v>
      </c>
      <c r="T1661" s="3">
        <v>0.84</v>
      </c>
      <c r="U1661" s="3">
        <v>0.23</v>
      </c>
      <c r="V1661" s="3">
        <v>2.68</v>
      </c>
      <c r="W1661">
        <v>1.17</v>
      </c>
      <c r="X1661" t="s">
        <v>108</v>
      </c>
      <c r="Y1661" s="3">
        <v>5.14</v>
      </c>
      <c r="Z1661" t="s">
        <v>9686</v>
      </c>
      <c r="AA1661" t="s">
        <v>11009</v>
      </c>
      <c r="AB1661" t="s">
        <v>53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f t="shared" si="50"/>
        <v>8.89</v>
      </c>
      <c r="AK1661" s="3">
        <f t="shared" si="51"/>
        <v>3.7500000000000009</v>
      </c>
    </row>
    <row r="1662" spans="1:37">
      <c r="A1662">
        <v>10370990</v>
      </c>
      <c r="B1662" t="s">
        <v>37</v>
      </c>
      <c r="C1662" t="s">
        <v>11010</v>
      </c>
      <c r="E1662" t="s">
        <v>1932</v>
      </c>
      <c r="F1662" t="s">
        <v>11011</v>
      </c>
      <c r="G1662" t="s">
        <v>11012</v>
      </c>
      <c r="H1662" t="s">
        <v>42</v>
      </c>
      <c r="I1662" t="s">
        <v>11013</v>
      </c>
      <c r="J1662" t="s">
        <v>11014</v>
      </c>
      <c r="K1662" t="s">
        <v>11015</v>
      </c>
      <c r="L1662" t="s">
        <v>142</v>
      </c>
      <c r="M1662" t="s">
        <v>46</v>
      </c>
      <c r="N1662" t="s">
        <v>47</v>
      </c>
      <c r="O1662">
        <v>8</v>
      </c>
      <c r="P1662">
        <v>1</v>
      </c>
      <c r="Q1662">
        <v>8</v>
      </c>
      <c r="R1662" t="s">
        <v>48</v>
      </c>
      <c r="S1662" t="s">
        <v>49</v>
      </c>
      <c r="T1662" s="3">
        <v>0.84</v>
      </c>
      <c r="U1662" s="3">
        <v>0.23</v>
      </c>
      <c r="V1662" s="3">
        <v>7.03</v>
      </c>
      <c r="W1662">
        <v>3.22</v>
      </c>
      <c r="X1662" t="s">
        <v>50</v>
      </c>
      <c r="Y1662" s="3">
        <v>16.43</v>
      </c>
      <c r="Z1662" t="s">
        <v>83</v>
      </c>
      <c r="AA1662" t="s">
        <v>11016</v>
      </c>
      <c r="AB1662" t="s">
        <v>53</v>
      </c>
      <c r="AC1662" s="3">
        <v>1.27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f t="shared" si="50"/>
        <v>25.8</v>
      </c>
      <c r="AK1662" s="3">
        <f t="shared" si="51"/>
        <v>9.370000000000001</v>
      </c>
    </row>
    <row r="1663" spans="1:37">
      <c r="A1663">
        <v>10371342</v>
      </c>
      <c r="B1663" t="s">
        <v>37</v>
      </c>
      <c r="C1663" t="s">
        <v>11017</v>
      </c>
      <c r="E1663" t="s">
        <v>11018</v>
      </c>
      <c r="F1663" t="s">
        <v>11019</v>
      </c>
      <c r="G1663" t="s">
        <v>11020</v>
      </c>
      <c r="H1663" t="s">
        <v>42</v>
      </c>
      <c r="I1663" t="s">
        <v>11021</v>
      </c>
      <c r="J1663" t="s">
        <v>11022</v>
      </c>
      <c r="K1663">
        <v>4523</v>
      </c>
      <c r="L1663" t="s">
        <v>618</v>
      </c>
      <c r="M1663" t="s">
        <v>46</v>
      </c>
      <c r="N1663" t="s">
        <v>47</v>
      </c>
      <c r="O1663">
        <v>4</v>
      </c>
      <c r="P1663">
        <v>1</v>
      </c>
      <c r="Q1663">
        <v>4</v>
      </c>
      <c r="R1663" t="s">
        <v>48</v>
      </c>
      <c r="S1663" t="s">
        <v>49</v>
      </c>
      <c r="T1663" s="3">
        <v>0.84</v>
      </c>
      <c r="U1663" s="3">
        <v>0.23</v>
      </c>
      <c r="V1663" s="3">
        <v>3.55</v>
      </c>
      <c r="W1663">
        <v>1.56</v>
      </c>
      <c r="X1663" t="s">
        <v>50</v>
      </c>
      <c r="Y1663" s="3">
        <v>9.19</v>
      </c>
      <c r="Z1663" t="s">
        <v>9686</v>
      </c>
      <c r="AA1663" t="s">
        <v>538</v>
      </c>
      <c r="AB1663" t="s">
        <v>53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f t="shared" si="50"/>
        <v>13.809999999999999</v>
      </c>
      <c r="AK1663" s="3">
        <f t="shared" si="51"/>
        <v>4.6199999999999992</v>
      </c>
    </row>
    <row r="1664" spans="1:37">
      <c r="A1664">
        <v>10370815</v>
      </c>
      <c r="B1664" t="s">
        <v>37</v>
      </c>
      <c r="C1664" t="s">
        <v>11023</v>
      </c>
      <c r="E1664" t="s">
        <v>7038</v>
      </c>
      <c r="F1664" t="s">
        <v>11024</v>
      </c>
      <c r="G1664" t="s">
        <v>11025</v>
      </c>
      <c r="H1664" t="s">
        <v>42</v>
      </c>
      <c r="I1664" t="s">
        <v>11026</v>
      </c>
      <c r="J1664" t="s">
        <v>11027</v>
      </c>
      <c r="K1664" t="s">
        <v>11028</v>
      </c>
      <c r="L1664" t="s">
        <v>62</v>
      </c>
      <c r="M1664" t="s">
        <v>46</v>
      </c>
      <c r="N1664" t="s">
        <v>47</v>
      </c>
      <c r="O1664">
        <v>4</v>
      </c>
      <c r="P1664">
        <v>1</v>
      </c>
      <c r="Q1664">
        <v>4</v>
      </c>
      <c r="R1664" t="s">
        <v>48</v>
      </c>
      <c r="S1664" t="s">
        <v>49</v>
      </c>
      <c r="T1664" s="3">
        <v>0.84</v>
      </c>
      <c r="U1664" s="3">
        <v>0.23</v>
      </c>
      <c r="V1664" s="3">
        <v>3.55</v>
      </c>
      <c r="W1664">
        <v>1.51</v>
      </c>
      <c r="X1664" t="s">
        <v>100</v>
      </c>
      <c r="Y1664" s="3">
        <v>32.340000000000003</v>
      </c>
      <c r="Z1664" t="s">
        <v>9686</v>
      </c>
      <c r="AA1664" t="s">
        <v>11029</v>
      </c>
      <c r="AB1664" t="s">
        <v>53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f t="shared" si="50"/>
        <v>36.96</v>
      </c>
      <c r="AK1664" s="3">
        <f t="shared" si="51"/>
        <v>4.6199999999999974</v>
      </c>
    </row>
    <row r="1665" spans="1:37">
      <c r="A1665">
        <v>10369275</v>
      </c>
      <c r="B1665" t="s">
        <v>37</v>
      </c>
      <c r="C1665" t="s">
        <v>11030</v>
      </c>
      <c r="E1665" t="s">
        <v>1571</v>
      </c>
      <c r="F1665" t="s">
        <v>11031</v>
      </c>
      <c r="G1665" t="s">
        <v>11032</v>
      </c>
      <c r="H1665" t="s">
        <v>42</v>
      </c>
      <c r="I1665" t="s">
        <v>11033</v>
      </c>
      <c r="J1665" t="s">
        <v>11034</v>
      </c>
      <c r="K1665">
        <v>98630</v>
      </c>
      <c r="L1665" t="s">
        <v>71</v>
      </c>
      <c r="M1665" t="s">
        <v>46</v>
      </c>
      <c r="N1665" t="s">
        <v>47</v>
      </c>
      <c r="O1665">
        <v>3</v>
      </c>
      <c r="P1665">
        <v>1</v>
      </c>
      <c r="Q1665">
        <v>3</v>
      </c>
      <c r="R1665" t="s">
        <v>48</v>
      </c>
      <c r="S1665" t="s">
        <v>49</v>
      </c>
      <c r="T1665" s="3">
        <v>0.84</v>
      </c>
      <c r="U1665" s="3">
        <v>0.23</v>
      </c>
      <c r="V1665" s="3">
        <v>2.68</v>
      </c>
      <c r="W1665">
        <v>2.81</v>
      </c>
      <c r="X1665" t="s">
        <v>108</v>
      </c>
      <c r="Y1665" s="3">
        <v>6.61</v>
      </c>
      <c r="Z1665" t="s">
        <v>9686</v>
      </c>
      <c r="AA1665" t="s">
        <v>11035</v>
      </c>
      <c r="AB1665" t="s">
        <v>53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f t="shared" si="50"/>
        <v>10.360000000000001</v>
      </c>
      <c r="AK1665" s="3">
        <f t="shared" si="51"/>
        <v>3.7500000000000009</v>
      </c>
    </row>
    <row r="1666" spans="1:37">
      <c r="A1666">
        <v>10371593</v>
      </c>
      <c r="B1666" t="s">
        <v>37</v>
      </c>
      <c r="C1666" t="s">
        <v>11036</v>
      </c>
      <c r="D1666" t="s">
        <v>11037</v>
      </c>
      <c r="E1666" t="s">
        <v>9846</v>
      </c>
      <c r="F1666" t="s">
        <v>11038</v>
      </c>
      <c r="G1666" t="s">
        <v>11039</v>
      </c>
      <c r="H1666" t="s">
        <v>42</v>
      </c>
      <c r="I1666" t="s">
        <v>11040</v>
      </c>
      <c r="J1666" t="s">
        <v>11041</v>
      </c>
      <c r="K1666">
        <v>79807</v>
      </c>
      <c r="L1666" t="s">
        <v>71</v>
      </c>
      <c r="M1666" t="s">
        <v>46</v>
      </c>
      <c r="N1666" t="s">
        <v>47</v>
      </c>
      <c r="O1666">
        <v>6</v>
      </c>
      <c r="P1666">
        <v>1</v>
      </c>
      <c r="Q1666">
        <v>6</v>
      </c>
      <c r="R1666" t="s">
        <v>48</v>
      </c>
      <c r="S1666" t="s">
        <v>49</v>
      </c>
      <c r="T1666" s="3">
        <v>0.84</v>
      </c>
      <c r="U1666" s="3">
        <v>0.23</v>
      </c>
      <c r="V1666" s="3">
        <v>5.29</v>
      </c>
      <c r="W1666">
        <v>2.44</v>
      </c>
      <c r="X1666" t="s">
        <v>72</v>
      </c>
      <c r="Y1666" s="3">
        <v>5.44</v>
      </c>
      <c r="Z1666" t="s">
        <v>83</v>
      </c>
      <c r="AA1666" t="s">
        <v>5588</v>
      </c>
      <c r="AB1666" t="s">
        <v>53</v>
      </c>
      <c r="AC1666" s="3">
        <v>1.27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f t="shared" ref="AJ1666:AJ1729" si="52">AI1666+AH1666+AG1666+AF1666+AE1666+AD1666+AC1666+Y1666+V1666+U1666+T1666</f>
        <v>13.07</v>
      </c>
      <c r="AK1666" s="3">
        <f t="shared" ref="AK1666:AK1729" si="53">AJ1666-Y1666</f>
        <v>7.63</v>
      </c>
    </row>
    <row r="1667" spans="1:37">
      <c r="A1667">
        <v>10369489</v>
      </c>
      <c r="B1667" t="s">
        <v>37</v>
      </c>
      <c r="C1667" t="s">
        <v>11042</v>
      </c>
      <c r="E1667" t="s">
        <v>261</v>
      </c>
      <c r="F1667" t="s">
        <v>11043</v>
      </c>
      <c r="G1667" t="s">
        <v>11044</v>
      </c>
      <c r="H1667" t="s">
        <v>42</v>
      </c>
      <c r="I1667" t="s">
        <v>11045</v>
      </c>
      <c r="J1667" t="s">
        <v>11046</v>
      </c>
      <c r="K1667" t="s">
        <v>11047</v>
      </c>
      <c r="L1667" t="s">
        <v>82</v>
      </c>
      <c r="M1667" t="s">
        <v>46</v>
      </c>
      <c r="N1667" t="s">
        <v>47</v>
      </c>
      <c r="O1667">
        <v>4</v>
      </c>
      <c r="P1667">
        <v>1</v>
      </c>
      <c r="Q1667">
        <v>4</v>
      </c>
      <c r="R1667" t="s">
        <v>48</v>
      </c>
      <c r="S1667" t="s">
        <v>49</v>
      </c>
      <c r="T1667" s="3">
        <v>0.84</v>
      </c>
      <c r="U1667" s="3">
        <v>0.23</v>
      </c>
      <c r="V1667" s="3">
        <v>3.55</v>
      </c>
      <c r="W1667">
        <v>1.88</v>
      </c>
      <c r="X1667" t="s">
        <v>50</v>
      </c>
      <c r="Y1667" s="3">
        <v>9.19</v>
      </c>
      <c r="Z1667" t="s">
        <v>9686</v>
      </c>
      <c r="AA1667" t="s">
        <v>11048</v>
      </c>
      <c r="AB1667" t="s">
        <v>53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f t="shared" si="52"/>
        <v>13.809999999999999</v>
      </c>
      <c r="AK1667" s="3">
        <f t="shared" si="53"/>
        <v>4.6199999999999992</v>
      </c>
    </row>
    <row r="1668" spans="1:37">
      <c r="A1668">
        <v>10370631</v>
      </c>
      <c r="B1668" t="s">
        <v>37</v>
      </c>
      <c r="C1668" t="s">
        <v>11049</v>
      </c>
      <c r="E1668" t="s">
        <v>11050</v>
      </c>
      <c r="F1668" t="s">
        <v>11051</v>
      </c>
      <c r="G1668" t="s">
        <v>11052</v>
      </c>
      <c r="H1668" t="s">
        <v>42</v>
      </c>
      <c r="I1668" t="s">
        <v>11053</v>
      </c>
      <c r="J1668" t="s">
        <v>11054</v>
      </c>
      <c r="K1668">
        <v>1200</v>
      </c>
      <c r="L1668" t="s">
        <v>505</v>
      </c>
      <c r="M1668" t="s">
        <v>46</v>
      </c>
      <c r="N1668" t="s">
        <v>47</v>
      </c>
      <c r="O1668">
        <v>4</v>
      </c>
      <c r="P1668">
        <v>1</v>
      </c>
      <c r="Q1668">
        <v>4</v>
      </c>
      <c r="R1668" t="s">
        <v>48</v>
      </c>
      <c r="S1668" t="s">
        <v>49</v>
      </c>
      <c r="T1668" s="3">
        <v>0.84</v>
      </c>
      <c r="U1668" s="3">
        <v>0.23</v>
      </c>
      <c r="V1668" s="3">
        <v>3.55</v>
      </c>
      <c r="W1668">
        <v>1.59</v>
      </c>
      <c r="X1668" t="s">
        <v>50</v>
      </c>
      <c r="Y1668" s="3">
        <v>9.19</v>
      </c>
      <c r="Z1668" t="s">
        <v>9686</v>
      </c>
      <c r="AA1668" t="s">
        <v>11055</v>
      </c>
      <c r="AB1668" t="s">
        <v>53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f t="shared" si="52"/>
        <v>13.809999999999999</v>
      </c>
      <c r="AK1668" s="3">
        <f t="shared" si="53"/>
        <v>4.6199999999999992</v>
      </c>
    </row>
    <row r="1669" spans="1:37">
      <c r="A1669">
        <v>10371343</v>
      </c>
      <c r="B1669" t="s">
        <v>37</v>
      </c>
      <c r="C1669" t="s">
        <v>11056</v>
      </c>
      <c r="E1669" t="s">
        <v>2208</v>
      </c>
      <c r="F1669" t="s">
        <v>11057</v>
      </c>
      <c r="G1669" t="s">
        <v>11058</v>
      </c>
      <c r="H1669" t="s">
        <v>42</v>
      </c>
      <c r="I1669" t="s">
        <v>11059</v>
      </c>
      <c r="J1669" t="s">
        <v>11060</v>
      </c>
      <c r="K1669">
        <v>87463</v>
      </c>
      <c r="L1669" t="s">
        <v>71</v>
      </c>
      <c r="M1669" t="s">
        <v>46</v>
      </c>
      <c r="N1669" t="s">
        <v>47</v>
      </c>
      <c r="O1669">
        <v>4</v>
      </c>
      <c r="P1669">
        <v>1</v>
      </c>
      <c r="Q1669">
        <v>4</v>
      </c>
      <c r="R1669" t="s">
        <v>48</v>
      </c>
      <c r="S1669" t="s">
        <v>49</v>
      </c>
      <c r="T1669" s="3">
        <v>0.84</v>
      </c>
      <c r="U1669" s="3">
        <v>0.23</v>
      </c>
      <c r="V1669" s="3">
        <v>3.55</v>
      </c>
      <c r="W1669">
        <v>1.41</v>
      </c>
      <c r="X1669" t="s">
        <v>108</v>
      </c>
      <c r="Y1669" s="3">
        <v>5.14</v>
      </c>
      <c r="Z1669" t="s">
        <v>9686</v>
      </c>
      <c r="AA1669" t="s">
        <v>11061</v>
      </c>
      <c r="AB1669" t="s">
        <v>53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f t="shared" si="52"/>
        <v>9.76</v>
      </c>
      <c r="AK1669" s="3">
        <f t="shared" si="53"/>
        <v>4.62</v>
      </c>
    </row>
    <row r="1670" spans="1:37">
      <c r="A1670">
        <v>10370627</v>
      </c>
      <c r="B1670" t="s">
        <v>37</v>
      </c>
      <c r="C1670" t="s">
        <v>11062</v>
      </c>
      <c r="E1670" t="s">
        <v>561</v>
      </c>
      <c r="F1670" t="s">
        <v>11063</v>
      </c>
      <c r="G1670" t="s">
        <v>11064</v>
      </c>
      <c r="H1670" t="s">
        <v>42</v>
      </c>
      <c r="I1670" t="s">
        <v>11065</v>
      </c>
      <c r="J1670" t="s">
        <v>11066</v>
      </c>
      <c r="K1670" t="s">
        <v>11067</v>
      </c>
      <c r="L1670" t="s">
        <v>2198</v>
      </c>
      <c r="M1670" t="s">
        <v>46</v>
      </c>
      <c r="N1670" t="s">
        <v>47</v>
      </c>
      <c r="O1670">
        <v>3</v>
      </c>
      <c r="P1670">
        <v>1</v>
      </c>
      <c r="Q1670">
        <v>3</v>
      </c>
      <c r="R1670" t="s">
        <v>48</v>
      </c>
      <c r="S1670" t="s">
        <v>49</v>
      </c>
      <c r="T1670" s="3">
        <v>0.84</v>
      </c>
      <c r="U1670" s="3">
        <v>0.23</v>
      </c>
      <c r="V1670" s="3">
        <v>2.68</v>
      </c>
      <c r="W1670">
        <v>1.4</v>
      </c>
      <c r="X1670" t="s">
        <v>50</v>
      </c>
      <c r="Y1670" s="3">
        <v>16.43</v>
      </c>
      <c r="Z1670" t="s">
        <v>9686</v>
      </c>
      <c r="AA1670" t="s">
        <v>11068</v>
      </c>
      <c r="AB1670" t="s">
        <v>53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f t="shared" si="52"/>
        <v>20.18</v>
      </c>
      <c r="AK1670" s="3">
        <f t="shared" si="53"/>
        <v>3.75</v>
      </c>
    </row>
    <row r="1671" spans="1:37">
      <c r="A1671">
        <v>10372758</v>
      </c>
      <c r="B1671" t="s">
        <v>37</v>
      </c>
      <c r="C1671" t="s">
        <v>11069</v>
      </c>
      <c r="D1671" t="s">
        <v>11070</v>
      </c>
      <c r="E1671" t="s">
        <v>11071</v>
      </c>
      <c r="F1671" t="s">
        <v>11072</v>
      </c>
      <c r="G1671" t="s">
        <v>11073</v>
      </c>
      <c r="H1671" t="s">
        <v>42</v>
      </c>
      <c r="I1671" t="s">
        <v>11074</v>
      </c>
      <c r="J1671" t="s">
        <v>11075</v>
      </c>
      <c r="K1671">
        <v>4890</v>
      </c>
      <c r="L1671" t="s">
        <v>505</v>
      </c>
      <c r="M1671" t="s">
        <v>46</v>
      </c>
      <c r="N1671" t="s">
        <v>47</v>
      </c>
      <c r="O1671">
        <v>4</v>
      </c>
      <c r="P1671">
        <v>1</v>
      </c>
      <c r="Q1671">
        <v>4</v>
      </c>
      <c r="R1671" t="s">
        <v>48</v>
      </c>
      <c r="S1671" t="s">
        <v>49</v>
      </c>
      <c r="T1671" s="3">
        <v>0.84</v>
      </c>
      <c r="U1671" s="3">
        <v>0.23</v>
      </c>
      <c r="V1671" s="3">
        <v>3.55</v>
      </c>
      <c r="W1671">
        <v>1.88</v>
      </c>
      <c r="X1671" t="s">
        <v>50</v>
      </c>
      <c r="Y1671" s="3">
        <v>9.19</v>
      </c>
      <c r="Z1671" t="s">
        <v>9686</v>
      </c>
      <c r="AA1671" t="s">
        <v>11076</v>
      </c>
      <c r="AB1671" t="s">
        <v>53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f t="shared" si="52"/>
        <v>13.809999999999999</v>
      </c>
      <c r="AK1671" s="3">
        <f t="shared" si="53"/>
        <v>4.6199999999999992</v>
      </c>
    </row>
    <row r="1672" spans="1:37">
      <c r="A1672">
        <v>10370817</v>
      </c>
      <c r="B1672" t="s">
        <v>37</v>
      </c>
      <c r="C1672" t="s">
        <v>11077</v>
      </c>
      <c r="E1672" t="s">
        <v>11078</v>
      </c>
      <c r="F1672" t="s">
        <v>11079</v>
      </c>
      <c r="G1672" t="s">
        <v>11080</v>
      </c>
      <c r="H1672" t="s">
        <v>42</v>
      </c>
      <c r="I1672" t="s">
        <v>11081</v>
      </c>
      <c r="J1672" t="s">
        <v>11082</v>
      </c>
      <c r="K1672">
        <v>66386</v>
      </c>
      <c r="L1672" t="s">
        <v>71</v>
      </c>
      <c r="M1672" t="s">
        <v>46</v>
      </c>
      <c r="N1672" t="s">
        <v>47</v>
      </c>
      <c r="O1672">
        <v>3</v>
      </c>
      <c r="P1672">
        <v>1</v>
      </c>
      <c r="Q1672">
        <v>3</v>
      </c>
      <c r="R1672" t="s">
        <v>48</v>
      </c>
      <c r="S1672" t="s">
        <v>49</v>
      </c>
      <c r="T1672" s="3">
        <v>0.84</v>
      </c>
      <c r="U1672" s="3">
        <v>0.23</v>
      </c>
      <c r="V1672" s="3">
        <v>2.68</v>
      </c>
      <c r="W1672">
        <v>2.2799999999999998</v>
      </c>
      <c r="X1672" t="s">
        <v>72</v>
      </c>
      <c r="Y1672" s="3">
        <v>5.44</v>
      </c>
      <c r="Z1672" t="s">
        <v>73</v>
      </c>
      <c r="AA1672" t="s">
        <v>11083</v>
      </c>
      <c r="AB1672" t="s">
        <v>53</v>
      </c>
      <c r="AC1672" s="3">
        <v>1.29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f t="shared" si="52"/>
        <v>10.48</v>
      </c>
      <c r="AK1672" s="3">
        <f t="shared" si="53"/>
        <v>5.04</v>
      </c>
    </row>
    <row r="1673" spans="1:37">
      <c r="A1673">
        <v>10371594</v>
      </c>
      <c r="B1673" t="s">
        <v>37</v>
      </c>
      <c r="C1673" t="s">
        <v>11084</v>
      </c>
      <c r="E1673" t="s">
        <v>336</v>
      </c>
      <c r="F1673" t="s">
        <v>11085</v>
      </c>
      <c r="G1673" t="s">
        <v>11086</v>
      </c>
      <c r="H1673" t="s">
        <v>42</v>
      </c>
      <c r="I1673" t="s">
        <v>11087</v>
      </c>
      <c r="J1673" t="s">
        <v>11088</v>
      </c>
      <c r="K1673" t="s">
        <v>11089</v>
      </c>
      <c r="L1673" t="s">
        <v>142</v>
      </c>
      <c r="M1673" t="s">
        <v>46</v>
      </c>
      <c r="N1673" t="s">
        <v>47</v>
      </c>
      <c r="O1673">
        <v>4</v>
      </c>
      <c r="P1673">
        <v>1</v>
      </c>
      <c r="Q1673">
        <v>4</v>
      </c>
      <c r="R1673" t="s">
        <v>48</v>
      </c>
      <c r="S1673" t="s">
        <v>49</v>
      </c>
      <c r="T1673" s="3">
        <v>0.84</v>
      </c>
      <c r="U1673" s="3">
        <v>0.23</v>
      </c>
      <c r="V1673" s="3">
        <v>3.55</v>
      </c>
      <c r="W1673">
        <v>1.56</v>
      </c>
      <c r="X1673" t="s">
        <v>50</v>
      </c>
      <c r="Y1673" s="3">
        <v>16.43</v>
      </c>
      <c r="Z1673" t="s">
        <v>9686</v>
      </c>
      <c r="AA1673" t="s">
        <v>459</v>
      </c>
      <c r="AB1673" t="s">
        <v>53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f t="shared" si="52"/>
        <v>21.05</v>
      </c>
      <c r="AK1673" s="3">
        <f t="shared" si="53"/>
        <v>4.620000000000001</v>
      </c>
    </row>
    <row r="1674" spans="1:37">
      <c r="A1674">
        <v>10371789</v>
      </c>
      <c r="B1674" t="s">
        <v>37</v>
      </c>
      <c r="C1674" t="s">
        <v>11090</v>
      </c>
      <c r="E1674" t="s">
        <v>2534</v>
      </c>
      <c r="F1674" t="s">
        <v>11091</v>
      </c>
      <c r="G1674" t="s">
        <v>11092</v>
      </c>
      <c r="H1674" t="s">
        <v>42</v>
      </c>
      <c r="I1674" t="s">
        <v>11093</v>
      </c>
      <c r="J1674" t="s">
        <v>11094</v>
      </c>
      <c r="K1674">
        <v>70599</v>
      </c>
      <c r="L1674" t="s">
        <v>71</v>
      </c>
      <c r="M1674" t="s">
        <v>46</v>
      </c>
      <c r="N1674" t="s">
        <v>47</v>
      </c>
      <c r="O1674">
        <v>9</v>
      </c>
      <c r="P1674">
        <v>1</v>
      </c>
      <c r="Q1674">
        <v>9</v>
      </c>
      <c r="R1674" t="s">
        <v>48</v>
      </c>
      <c r="S1674" t="s">
        <v>49</v>
      </c>
      <c r="T1674" s="3">
        <v>0.84</v>
      </c>
      <c r="U1674" s="3">
        <v>0.23</v>
      </c>
      <c r="V1674" s="3">
        <v>7.9</v>
      </c>
      <c r="W1674">
        <v>3.36</v>
      </c>
      <c r="X1674" t="s">
        <v>72</v>
      </c>
      <c r="Y1674" s="3">
        <v>6.61</v>
      </c>
      <c r="Z1674" t="s">
        <v>83</v>
      </c>
      <c r="AA1674" t="s">
        <v>11095</v>
      </c>
      <c r="AB1674" t="s">
        <v>53</v>
      </c>
      <c r="AC1674" s="3">
        <v>1.27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f t="shared" si="52"/>
        <v>16.850000000000001</v>
      </c>
      <c r="AK1674" s="3">
        <f t="shared" si="53"/>
        <v>10.240000000000002</v>
      </c>
    </row>
    <row r="1675" spans="1:37">
      <c r="A1675">
        <v>10372094</v>
      </c>
      <c r="B1675" t="s">
        <v>37</v>
      </c>
      <c r="C1675" t="s">
        <v>11096</v>
      </c>
      <c r="E1675" t="s">
        <v>11097</v>
      </c>
      <c r="F1675" t="s">
        <v>11098</v>
      </c>
      <c r="G1675" t="s">
        <v>11099</v>
      </c>
      <c r="H1675" t="s">
        <v>42</v>
      </c>
      <c r="I1675" t="s">
        <v>11100</v>
      </c>
      <c r="J1675" t="s">
        <v>11101</v>
      </c>
      <c r="K1675" t="s">
        <v>11102</v>
      </c>
      <c r="L1675" t="s">
        <v>142</v>
      </c>
      <c r="M1675" t="s">
        <v>46</v>
      </c>
      <c r="N1675" t="s">
        <v>47</v>
      </c>
      <c r="O1675">
        <v>5</v>
      </c>
      <c r="P1675">
        <v>1</v>
      </c>
      <c r="Q1675">
        <v>5</v>
      </c>
      <c r="R1675" t="s">
        <v>48</v>
      </c>
      <c r="S1675" t="s">
        <v>49</v>
      </c>
      <c r="T1675" s="3">
        <v>0.84</v>
      </c>
      <c r="U1675" s="3">
        <v>0.23</v>
      </c>
      <c r="V1675" s="3">
        <v>4.42</v>
      </c>
      <c r="W1675">
        <v>1.52</v>
      </c>
      <c r="X1675" t="s">
        <v>50</v>
      </c>
      <c r="Y1675" s="3">
        <v>16.43</v>
      </c>
      <c r="Z1675" t="s">
        <v>9686</v>
      </c>
      <c r="AA1675" t="s">
        <v>11103</v>
      </c>
      <c r="AB1675" t="s">
        <v>53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f t="shared" si="52"/>
        <v>21.92</v>
      </c>
      <c r="AK1675" s="3">
        <f t="shared" si="53"/>
        <v>5.490000000000002</v>
      </c>
    </row>
    <row r="1676" spans="1:37">
      <c r="A1676">
        <v>10371790</v>
      </c>
      <c r="B1676" t="s">
        <v>37</v>
      </c>
      <c r="C1676" t="s">
        <v>11104</v>
      </c>
      <c r="E1676" t="s">
        <v>836</v>
      </c>
      <c r="F1676" t="s">
        <v>11105</v>
      </c>
      <c r="G1676" t="s">
        <v>11106</v>
      </c>
      <c r="H1676" t="s">
        <v>42</v>
      </c>
      <c r="I1676" t="s">
        <v>11107</v>
      </c>
      <c r="J1676" t="s">
        <v>11108</v>
      </c>
      <c r="K1676">
        <v>17340</v>
      </c>
      <c r="L1676" t="s">
        <v>130</v>
      </c>
      <c r="M1676" t="s">
        <v>46</v>
      </c>
      <c r="N1676" t="s">
        <v>47</v>
      </c>
      <c r="O1676">
        <v>3</v>
      </c>
      <c r="P1676">
        <v>1</v>
      </c>
      <c r="Q1676">
        <v>3</v>
      </c>
      <c r="R1676" t="s">
        <v>48</v>
      </c>
      <c r="S1676" t="s">
        <v>49</v>
      </c>
      <c r="T1676" s="3">
        <v>0.84</v>
      </c>
      <c r="U1676" s="3">
        <v>0.23</v>
      </c>
      <c r="V1676" s="3">
        <v>2.68</v>
      </c>
      <c r="W1676">
        <v>1.37</v>
      </c>
      <c r="X1676" t="s">
        <v>50</v>
      </c>
      <c r="Y1676" s="3">
        <v>14.26</v>
      </c>
      <c r="Z1676" t="s">
        <v>9850</v>
      </c>
      <c r="AA1676" t="s">
        <v>11109</v>
      </c>
      <c r="AB1676" t="s">
        <v>53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f t="shared" si="52"/>
        <v>18.010000000000002</v>
      </c>
      <c r="AK1676" s="3">
        <f t="shared" si="53"/>
        <v>3.7500000000000018</v>
      </c>
    </row>
    <row r="1677" spans="1:37">
      <c r="A1677">
        <v>10372999</v>
      </c>
      <c r="B1677" t="s">
        <v>37</v>
      </c>
      <c r="C1677" t="s">
        <v>11110</v>
      </c>
      <c r="E1677" t="s">
        <v>3155</v>
      </c>
      <c r="F1677" t="s">
        <v>11111</v>
      </c>
      <c r="G1677" t="s">
        <v>11112</v>
      </c>
      <c r="H1677" t="s">
        <v>42</v>
      </c>
      <c r="I1677" t="s">
        <v>11113</v>
      </c>
      <c r="J1677" t="s">
        <v>11114</v>
      </c>
      <c r="K1677">
        <v>9280</v>
      </c>
      <c r="L1677" t="s">
        <v>505</v>
      </c>
      <c r="M1677" t="s">
        <v>46</v>
      </c>
      <c r="N1677" t="s">
        <v>47</v>
      </c>
      <c r="O1677">
        <v>6</v>
      </c>
      <c r="P1677">
        <v>1</v>
      </c>
      <c r="Q1677">
        <v>6</v>
      </c>
      <c r="R1677" t="s">
        <v>48</v>
      </c>
      <c r="S1677" t="s">
        <v>49</v>
      </c>
      <c r="T1677" s="3">
        <v>0.84</v>
      </c>
      <c r="U1677" s="3">
        <v>0.23</v>
      </c>
      <c r="V1677" s="3">
        <v>5.29</v>
      </c>
      <c r="W1677">
        <v>2.44</v>
      </c>
      <c r="X1677" t="s">
        <v>50</v>
      </c>
      <c r="Y1677" s="3">
        <v>9.19</v>
      </c>
      <c r="Z1677" t="s">
        <v>73</v>
      </c>
      <c r="AA1677" t="s">
        <v>5588</v>
      </c>
      <c r="AB1677" t="s">
        <v>53</v>
      </c>
      <c r="AC1677" s="3">
        <v>1.29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f t="shared" si="52"/>
        <v>16.84</v>
      </c>
      <c r="AK1677" s="3">
        <f t="shared" si="53"/>
        <v>7.65</v>
      </c>
    </row>
    <row r="1678" spans="1:37">
      <c r="A1678">
        <v>10372836</v>
      </c>
      <c r="B1678" t="s">
        <v>37</v>
      </c>
      <c r="C1678" t="s">
        <v>11115</v>
      </c>
      <c r="E1678" t="s">
        <v>11116</v>
      </c>
      <c r="F1678" t="s">
        <v>11117</v>
      </c>
      <c r="G1678" t="s">
        <v>11118</v>
      </c>
      <c r="H1678" t="s">
        <v>42</v>
      </c>
      <c r="I1678" t="s">
        <v>11119</v>
      </c>
      <c r="J1678" t="s">
        <v>11120</v>
      </c>
      <c r="K1678" t="s">
        <v>11121</v>
      </c>
      <c r="L1678" t="s">
        <v>82</v>
      </c>
      <c r="M1678" t="s">
        <v>46</v>
      </c>
      <c r="N1678" t="s">
        <v>47</v>
      </c>
      <c r="O1678">
        <v>3</v>
      </c>
      <c r="P1678">
        <v>1</v>
      </c>
      <c r="Q1678">
        <v>3</v>
      </c>
      <c r="R1678" t="s">
        <v>48</v>
      </c>
      <c r="S1678" t="s">
        <v>49</v>
      </c>
      <c r="T1678" s="3">
        <v>0.84</v>
      </c>
      <c r="U1678" s="3">
        <v>0.23</v>
      </c>
      <c r="V1678" s="3">
        <v>2.68</v>
      </c>
      <c r="W1678">
        <v>1.17</v>
      </c>
      <c r="X1678" t="s">
        <v>50</v>
      </c>
      <c r="Y1678" s="3">
        <v>9.19</v>
      </c>
      <c r="Z1678" t="s">
        <v>9686</v>
      </c>
      <c r="AA1678" t="s">
        <v>11122</v>
      </c>
      <c r="AB1678" t="s">
        <v>53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f t="shared" si="52"/>
        <v>12.94</v>
      </c>
      <c r="AK1678" s="3">
        <f t="shared" si="53"/>
        <v>3.75</v>
      </c>
    </row>
    <row r="1679" spans="1:37">
      <c r="A1679">
        <v>10372997</v>
      </c>
      <c r="B1679" t="s">
        <v>37</v>
      </c>
      <c r="C1679" t="s">
        <v>11123</v>
      </c>
      <c r="E1679" t="s">
        <v>11124</v>
      </c>
      <c r="F1679" t="s">
        <v>11125</v>
      </c>
      <c r="G1679" t="s">
        <v>11126</v>
      </c>
      <c r="H1679" t="s">
        <v>42</v>
      </c>
      <c r="I1679" t="s">
        <v>11127</v>
      </c>
      <c r="J1679" t="s">
        <v>11128</v>
      </c>
      <c r="K1679">
        <v>76137</v>
      </c>
      <c r="L1679" t="s">
        <v>71</v>
      </c>
      <c r="M1679" t="s">
        <v>46</v>
      </c>
      <c r="N1679" t="s">
        <v>47</v>
      </c>
      <c r="O1679">
        <v>1</v>
      </c>
      <c r="P1679">
        <v>1</v>
      </c>
      <c r="Q1679">
        <v>1</v>
      </c>
      <c r="R1679" t="s">
        <v>48</v>
      </c>
      <c r="S1679" t="s">
        <v>49</v>
      </c>
      <c r="T1679" s="3">
        <v>0.84</v>
      </c>
      <c r="U1679" s="3">
        <v>0.23</v>
      </c>
      <c r="V1679" s="3">
        <v>0.94</v>
      </c>
      <c r="W1679">
        <v>0.49</v>
      </c>
      <c r="X1679" t="s">
        <v>108</v>
      </c>
      <c r="Y1679" s="3">
        <v>5.14</v>
      </c>
      <c r="Z1679" t="s">
        <v>9850</v>
      </c>
      <c r="AA1679" t="s">
        <v>10333</v>
      </c>
      <c r="AB1679" t="s">
        <v>53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f t="shared" si="52"/>
        <v>7.15</v>
      </c>
      <c r="AK1679" s="3">
        <f t="shared" si="53"/>
        <v>2.0100000000000007</v>
      </c>
    </row>
    <row r="1680" spans="1:37">
      <c r="A1680">
        <v>10373442</v>
      </c>
      <c r="B1680" t="s">
        <v>37</v>
      </c>
      <c r="C1680" t="s">
        <v>11129</v>
      </c>
      <c r="E1680" t="s">
        <v>240</v>
      </c>
      <c r="F1680" t="s">
        <v>11130</v>
      </c>
      <c r="G1680" t="s">
        <v>11131</v>
      </c>
      <c r="H1680" t="s">
        <v>42</v>
      </c>
      <c r="I1680" t="s">
        <v>11132</v>
      </c>
      <c r="J1680" t="s">
        <v>11133</v>
      </c>
      <c r="K1680">
        <v>27607</v>
      </c>
      <c r="L1680" t="s">
        <v>71</v>
      </c>
      <c r="M1680" t="s">
        <v>46</v>
      </c>
      <c r="N1680" t="s">
        <v>47</v>
      </c>
      <c r="O1680">
        <v>1</v>
      </c>
      <c r="P1680">
        <v>1</v>
      </c>
      <c r="Q1680">
        <v>1</v>
      </c>
      <c r="R1680" t="s">
        <v>48</v>
      </c>
      <c r="S1680" t="s">
        <v>49</v>
      </c>
      <c r="T1680" s="3">
        <v>0.84</v>
      </c>
      <c r="U1680" s="3">
        <v>0.23</v>
      </c>
      <c r="V1680" s="3">
        <v>0.94</v>
      </c>
      <c r="W1680">
        <v>1.4</v>
      </c>
      <c r="X1680" t="s">
        <v>108</v>
      </c>
      <c r="Y1680" s="3">
        <v>5.14</v>
      </c>
      <c r="Z1680" t="s">
        <v>9686</v>
      </c>
      <c r="AA1680" t="s">
        <v>198</v>
      </c>
      <c r="AB1680" t="s">
        <v>53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f t="shared" si="52"/>
        <v>7.15</v>
      </c>
      <c r="AK1680" s="3">
        <f t="shared" si="53"/>
        <v>2.0100000000000007</v>
      </c>
    </row>
    <row r="1681" spans="1:37">
      <c r="A1681">
        <v>10373439</v>
      </c>
      <c r="B1681" t="s">
        <v>37</v>
      </c>
      <c r="C1681" t="s">
        <v>11134</v>
      </c>
      <c r="E1681" t="s">
        <v>3567</v>
      </c>
      <c r="F1681" t="s">
        <v>11135</v>
      </c>
      <c r="G1681" t="s">
        <v>11136</v>
      </c>
      <c r="H1681" t="s">
        <v>42</v>
      </c>
      <c r="I1681" t="s">
        <v>11137</v>
      </c>
      <c r="J1681" t="s">
        <v>11138</v>
      </c>
      <c r="K1681">
        <v>10247</v>
      </c>
      <c r="L1681" t="s">
        <v>71</v>
      </c>
      <c r="M1681" t="s">
        <v>46</v>
      </c>
      <c r="N1681" t="s">
        <v>47</v>
      </c>
      <c r="O1681">
        <v>1</v>
      </c>
      <c r="P1681">
        <v>1</v>
      </c>
      <c r="Q1681">
        <v>1</v>
      </c>
      <c r="R1681" t="s">
        <v>48</v>
      </c>
      <c r="S1681" t="s">
        <v>49</v>
      </c>
      <c r="T1681" s="3">
        <v>0.84</v>
      </c>
      <c r="U1681" s="3">
        <v>0.23</v>
      </c>
      <c r="V1681" s="3">
        <v>0.94</v>
      </c>
      <c r="W1681">
        <v>0.39</v>
      </c>
      <c r="X1681" t="s">
        <v>108</v>
      </c>
      <c r="Y1681" s="3">
        <v>6.53</v>
      </c>
      <c r="Z1681" t="s">
        <v>9850</v>
      </c>
      <c r="AA1681" t="s">
        <v>9192</v>
      </c>
      <c r="AB1681" t="s">
        <v>53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f t="shared" si="52"/>
        <v>8.5400000000000009</v>
      </c>
      <c r="AK1681" s="3">
        <f t="shared" si="53"/>
        <v>2.0100000000000007</v>
      </c>
    </row>
    <row r="1682" spans="1:37">
      <c r="A1682">
        <v>10373443</v>
      </c>
      <c r="B1682" t="s">
        <v>37</v>
      </c>
      <c r="C1682" t="s">
        <v>11139</v>
      </c>
      <c r="E1682" t="s">
        <v>3020</v>
      </c>
      <c r="F1682" t="s">
        <v>11140</v>
      </c>
      <c r="G1682" t="s">
        <v>11141</v>
      </c>
      <c r="H1682" t="s">
        <v>42</v>
      </c>
      <c r="I1682" t="s">
        <v>11142</v>
      </c>
      <c r="J1682" t="s">
        <v>11143</v>
      </c>
      <c r="K1682">
        <v>85399</v>
      </c>
      <c r="L1682" t="s">
        <v>71</v>
      </c>
      <c r="M1682" t="s">
        <v>46</v>
      </c>
      <c r="N1682" t="s">
        <v>47</v>
      </c>
      <c r="O1682">
        <v>1</v>
      </c>
      <c r="P1682">
        <v>1</v>
      </c>
      <c r="Q1682">
        <v>1</v>
      </c>
      <c r="R1682" t="s">
        <v>48</v>
      </c>
      <c r="S1682" t="s">
        <v>49</v>
      </c>
      <c r="T1682" s="3">
        <v>0.84</v>
      </c>
      <c r="U1682" s="3">
        <v>0.23</v>
      </c>
      <c r="V1682" s="3">
        <v>0.94</v>
      </c>
      <c r="W1682">
        <v>0.39</v>
      </c>
      <c r="X1682" t="s">
        <v>108</v>
      </c>
      <c r="Y1682" s="3">
        <v>5.14</v>
      </c>
      <c r="Z1682" t="s">
        <v>9850</v>
      </c>
      <c r="AA1682" t="s">
        <v>7122</v>
      </c>
      <c r="AB1682" t="s">
        <v>53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f t="shared" si="52"/>
        <v>7.15</v>
      </c>
      <c r="AK1682" s="3">
        <f t="shared" si="53"/>
        <v>2.0100000000000007</v>
      </c>
    </row>
    <row r="1683" spans="1:37">
      <c r="A1683">
        <v>10373176</v>
      </c>
      <c r="B1683" t="s">
        <v>37</v>
      </c>
      <c r="C1683" t="s">
        <v>11144</v>
      </c>
      <c r="E1683" t="s">
        <v>6235</v>
      </c>
      <c r="F1683" t="s">
        <v>11145</v>
      </c>
      <c r="G1683" t="s">
        <v>11146</v>
      </c>
      <c r="H1683" t="s">
        <v>42</v>
      </c>
      <c r="I1683" t="s">
        <v>11147</v>
      </c>
      <c r="J1683" t="s">
        <v>11148</v>
      </c>
      <c r="K1683">
        <v>50827</v>
      </c>
      <c r="L1683" t="s">
        <v>71</v>
      </c>
      <c r="M1683" t="s">
        <v>46</v>
      </c>
      <c r="N1683" t="s">
        <v>47</v>
      </c>
      <c r="O1683">
        <v>1</v>
      </c>
      <c r="P1683">
        <v>1</v>
      </c>
      <c r="Q1683">
        <v>1</v>
      </c>
      <c r="R1683" t="s">
        <v>48</v>
      </c>
      <c r="S1683" t="s">
        <v>49</v>
      </c>
      <c r="T1683" s="3">
        <v>0.84</v>
      </c>
      <c r="U1683" s="3">
        <v>0.23</v>
      </c>
      <c r="V1683" s="3">
        <v>0.94</v>
      </c>
      <c r="W1683">
        <v>0.49</v>
      </c>
      <c r="X1683" t="s">
        <v>108</v>
      </c>
      <c r="Y1683" s="3">
        <v>5.14</v>
      </c>
      <c r="Z1683" t="s">
        <v>9850</v>
      </c>
      <c r="AA1683" t="s">
        <v>11149</v>
      </c>
      <c r="AB1683" t="s">
        <v>53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f t="shared" si="52"/>
        <v>7.15</v>
      </c>
      <c r="AK1683" s="3">
        <f t="shared" si="53"/>
        <v>2.0100000000000007</v>
      </c>
    </row>
    <row r="1684" spans="1:37">
      <c r="A1684">
        <v>10373001</v>
      </c>
      <c r="B1684" t="s">
        <v>37</v>
      </c>
      <c r="C1684" t="s">
        <v>11150</v>
      </c>
      <c r="E1684" t="s">
        <v>11151</v>
      </c>
      <c r="F1684" t="s">
        <v>11152</v>
      </c>
      <c r="G1684" t="s">
        <v>11153</v>
      </c>
      <c r="H1684" t="s">
        <v>42</v>
      </c>
      <c r="I1684" t="s">
        <v>11154</v>
      </c>
      <c r="J1684" t="s">
        <v>11155</v>
      </c>
      <c r="K1684">
        <v>86165</v>
      </c>
      <c r="L1684" t="s">
        <v>71</v>
      </c>
      <c r="M1684" t="s">
        <v>46</v>
      </c>
      <c r="N1684" t="s">
        <v>47</v>
      </c>
      <c r="O1684">
        <v>1</v>
      </c>
      <c r="P1684">
        <v>1</v>
      </c>
      <c r="Q1684">
        <v>1</v>
      </c>
      <c r="R1684" t="s">
        <v>48</v>
      </c>
      <c r="S1684" t="s">
        <v>49</v>
      </c>
      <c r="T1684" s="3">
        <v>0.84</v>
      </c>
      <c r="U1684" s="3">
        <v>0.23</v>
      </c>
      <c r="V1684" s="3">
        <v>0.94</v>
      </c>
      <c r="W1684">
        <v>1.4</v>
      </c>
      <c r="X1684" t="s">
        <v>108</v>
      </c>
      <c r="Y1684" s="3">
        <v>5.14</v>
      </c>
      <c r="Z1684" t="s">
        <v>9686</v>
      </c>
      <c r="AA1684" t="s">
        <v>11156</v>
      </c>
      <c r="AB1684" t="s">
        <v>53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f t="shared" si="52"/>
        <v>7.15</v>
      </c>
      <c r="AK1684" s="3">
        <f t="shared" si="53"/>
        <v>2.0100000000000007</v>
      </c>
    </row>
    <row r="1685" spans="1:37">
      <c r="A1685">
        <v>10373007</v>
      </c>
      <c r="B1685" t="s">
        <v>37</v>
      </c>
      <c r="C1685" t="s">
        <v>11157</v>
      </c>
      <c r="E1685" t="s">
        <v>215</v>
      </c>
      <c r="F1685" t="s">
        <v>11158</v>
      </c>
      <c r="G1685" t="s">
        <v>11159</v>
      </c>
      <c r="H1685" t="s">
        <v>42</v>
      </c>
      <c r="I1685" t="s">
        <v>11160</v>
      </c>
      <c r="J1685" t="s">
        <v>11161</v>
      </c>
      <c r="K1685" t="s">
        <v>11162</v>
      </c>
      <c r="L1685" t="s">
        <v>142</v>
      </c>
      <c r="M1685" t="s">
        <v>46</v>
      </c>
      <c r="N1685" t="s">
        <v>47</v>
      </c>
      <c r="O1685">
        <v>1</v>
      </c>
      <c r="P1685">
        <v>1</v>
      </c>
      <c r="Q1685">
        <v>1</v>
      </c>
      <c r="R1685" t="s">
        <v>48</v>
      </c>
      <c r="S1685" t="s">
        <v>49</v>
      </c>
      <c r="T1685" s="3">
        <v>0.84</v>
      </c>
      <c r="U1685" s="3">
        <v>0.23</v>
      </c>
      <c r="V1685" s="3">
        <v>0.94</v>
      </c>
      <c r="W1685">
        <v>2</v>
      </c>
      <c r="X1685" t="s">
        <v>50</v>
      </c>
      <c r="Y1685" s="3">
        <v>16.43</v>
      </c>
      <c r="Z1685" t="s">
        <v>9770</v>
      </c>
      <c r="AA1685" t="s">
        <v>6113</v>
      </c>
      <c r="AB1685" t="s">
        <v>53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f t="shared" si="52"/>
        <v>18.440000000000001</v>
      </c>
      <c r="AK1685" s="3">
        <f t="shared" si="53"/>
        <v>2.0100000000000016</v>
      </c>
    </row>
    <row r="1686" spans="1:37">
      <c r="A1686">
        <v>10373180</v>
      </c>
      <c r="B1686" t="s">
        <v>37</v>
      </c>
      <c r="C1686" t="s">
        <v>11163</v>
      </c>
      <c r="E1686" t="s">
        <v>11164</v>
      </c>
      <c r="F1686" t="s">
        <v>11165</v>
      </c>
      <c r="G1686" t="s">
        <v>11166</v>
      </c>
      <c r="H1686" t="s">
        <v>42</v>
      </c>
      <c r="I1686" t="s">
        <v>11167</v>
      </c>
      <c r="J1686" t="s">
        <v>11168</v>
      </c>
      <c r="K1686">
        <v>1050</v>
      </c>
      <c r="L1686" t="s">
        <v>505</v>
      </c>
      <c r="M1686" t="s">
        <v>46</v>
      </c>
      <c r="N1686" t="s">
        <v>47</v>
      </c>
      <c r="O1686">
        <v>1</v>
      </c>
      <c r="P1686">
        <v>1</v>
      </c>
      <c r="Q1686">
        <v>1</v>
      </c>
      <c r="R1686" t="s">
        <v>48</v>
      </c>
      <c r="S1686" t="s">
        <v>49</v>
      </c>
      <c r="T1686" s="3">
        <v>0.84</v>
      </c>
      <c r="U1686" s="3">
        <v>0.23</v>
      </c>
      <c r="V1686" s="3">
        <v>0.94</v>
      </c>
      <c r="W1686">
        <v>0.49</v>
      </c>
      <c r="X1686" t="s">
        <v>50</v>
      </c>
      <c r="Y1686" s="3">
        <v>9.19</v>
      </c>
      <c r="Z1686" t="s">
        <v>9850</v>
      </c>
      <c r="AA1686" t="s">
        <v>966</v>
      </c>
      <c r="AB1686" t="s">
        <v>53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f t="shared" si="52"/>
        <v>11.2</v>
      </c>
      <c r="AK1686" s="3">
        <f t="shared" si="53"/>
        <v>2.0099999999999998</v>
      </c>
    </row>
    <row r="1687" spans="1:37">
      <c r="A1687">
        <v>10373177</v>
      </c>
      <c r="B1687" t="s">
        <v>37</v>
      </c>
      <c r="C1687" t="s">
        <v>11169</v>
      </c>
      <c r="E1687" t="s">
        <v>2366</v>
      </c>
      <c r="F1687" t="s">
        <v>11170</v>
      </c>
      <c r="G1687" t="s">
        <v>11171</v>
      </c>
      <c r="H1687" t="s">
        <v>42</v>
      </c>
      <c r="I1687" t="s">
        <v>11172</v>
      </c>
      <c r="J1687" t="s">
        <v>11173</v>
      </c>
      <c r="K1687">
        <v>3600</v>
      </c>
      <c r="L1687" t="s">
        <v>505</v>
      </c>
      <c r="M1687" t="s">
        <v>46</v>
      </c>
      <c r="N1687" t="s">
        <v>47</v>
      </c>
      <c r="O1687">
        <v>5</v>
      </c>
      <c r="P1687">
        <v>1</v>
      </c>
      <c r="Q1687">
        <v>5</v>
      </c>
      <c r="R1687" t="s">
        <v>48</v>
      </c>
      <c r="S1687" t="s">
        <v>49</v>
      </c>
      <c r="T1687" s="3">
        <v>0.84</v>
      </c>
      <c r="U1687" s="3">
        <v>0.23</v>
      </c>
      <c r="V1687" s="3">
        <v>4.42</v>
      </c>
      <c r="W1687">
        <v>1.95</v>
      </c>
      <c r="X1687" t="s">
        <v>50</v>
      </c>
      <c r="Y1687" s="3">
        <v>9.19</v>
      </c>
      <c r="Z1687" t="s">
        <v>9686</v>
      </c>
      <c r="AA1687" t="s">
        <v>583</v>
      </c>
      <c r="AB1687" t="s">
        <v>53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f t="shared" si="52"/>
        <v>14.68</v>
      </c>
      <c r="AK1687" s="3">
        <f t="shared" si="53"/>
        <v>5.49</v>
      </c>
    </row>
    <row r="1688" spans="1:37">
      <c r="A1688">
        <v>10373179</v>
      </c>
      <c r="B1688" t="s">
        <v>37</v>
      </c>
      <c r="C1688" t="s">
        <v>11174</v>
      </c>
      <c r="E1688" t="s">
        <v>11175</v>
      </c>
      <c r="F1688" t="s">
        <v>11176</v>
      </c>
      <c r="G1688" t="s">
        <v>11177</v>
      </c>
      <c r="H1688" t="s">
        <v>42</v>
      </c>
      <c r="I1688" t="s">
        <v>11178</v>
      </c>
      <c r="J1688" t="s">
        <v>11179</v>
      </c>
      <c r="K1688" t="s">
        <v>11180</v>
      </c>
      <c r="L1688" t="s">
        <v>142</v>
      </c>
      <c r="M1688" t="s">
        <v>46</v>
      </c>
      <c r="N1688" t="s">
        <v>47</v>
      </c>
      <c r="O1688">
        <v>4</v>
      </c>
      <c r="P1688">
        <v>1</v>
      </c>
      <c r="Q1688">
        <v>4</v>
      </c>
      <c r="R1688" t="s">
        <v>48</v>
      </c>
      <c r="S1688" t="s">
        <v>49</v>
      </c>
      <c r="T1688" s="3">
        <v>0.84</v>
      </c>
      <c r="U1688" s="3">
        <v>0.23</v>
      </c>
      <c r="V1688" s="3">
        <v>3.55</v>
      </c>
      <c r="W1688">
        <v>1.56</v>
      </c>
      <c r="X1688" t="s">
        <v>50</v>
      </c>
      <c r="Y1688" s="3">
        <v>16.43</v>
      </c>
      <c r="Z1688" t="s">
        <v>9686</v>
      </c>
      <c r="AA1688" t="s">
        <v>538</v>
      </c>
      <c r="AB1688" t="s">
        <v>53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f t="shared" si="52"/>
        <v>21.05</v>
      </c>
      <c r="AK1688" s="3">
        <f t="shared" si="53"/>
        <v>4.620000000000001</v>
      </c>
    </row>
    <row r="1689" spans="1:37">
      <c r="A1689">
        <v>10372995</v>
      </c>
      <c r="B1689" t="s">
        <v>37</v>
      </c>
      <c r="C1689" t="s">
        <v>11181</v>
      </c>
      <c r="D1689" t="s">
        <v>11182</v>
      </c>
      <c r="E1689" t="s">
        <v>1736</v>
      </c>
      <c r="F1689" t="s">
        <v>11183</v>
      </c>
      <c r="G1689" t="s">
        <v>11184</v>
      </c>
      <c r="H1689" t="s">
        <v>42</v>
      </c>
      <c r="I1689" t="s">
        <v>11185</v>
      </c>
      <c r="J1689" t="s">
        <v>11186</v>
      </c>
      <c r="K1689">
        <v>1790</v>
      </c>
      <c r="L1689" t="s">
        <v>505</v>
      </c>
      <c r="M1689" t="s">
        <v>46</v>
      </c>
      <c r="N1689" t="s">
        <v>47</v>
      </c>
      <c r="O1689">
        <v>7</v>
      </c>
      <c r="P1689">
        <v>1</v>
      </c>
      <c r="Q1689">
        <v>7</v>
      </c>
      <c r="R1689" t="s">
        <v>48</v>
      </c>
      <c r="S1689" t="s">
        <v>49</v>
      </c>
      <c r="T1689" s="3">
        <v>0.84</v>
      </c>
      <c r="U1689" s="3">
        <v>0.23</v>
      </c>
      <c r="V1689" s="3">
        <v>6.16</v>
      </c>
      <c r="W1689">
        <v>2.13</v>
      </c>
      <c r="X1689" t="s">
        <v>50</v>
      </c>
      <c r="Y1689" s="3">
        <v>9.19</v>
      </c>
      <c r="Z1689" t="s">
        <v>83</v>
      </c>
      <c r="AA1689" t="s">
        <v>11187</v>
      </c>
      <c r="AB1689" t="s">
        <v>53</v>
      </c>
      <c r="AC1689" s="3">
        <v>1.27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f t="shared" si="52"/>
        <v>17.689999999999998</v>
      </c>
      <c r="AK1689" s="3">
        <f t="shared" si="53"/>
        <v>8.4999999999999982</v>
      </c>
    </row>
    <row r="1690" spans="1:37">
      <c r="A1690">
        <v>10372757</v>
      </c>
      <c r="B1690" t="s">
        <v>37</v>
      </c>
      <c r="C1690" t="s">
        <v>11188</v>
      </c>
      <c r="E1690" t="s">
        <v>1470</v>
      </c>
      <c r="F1690" t="s">
        <v>11189</v>
      </c>
      <c r="G1690" t="s">
        <v>11190</v>
      </c>
      <c r="H1690" t="s">
        <v>42</v>
      </c>
      <c r="I1690" t="s">
        <v>11191</v>
      </c>
      <c r="J1690" t="s">
        <v>11192</v>
      </c>
      <c r="K1690">
        <v>5141</v>
      </c>
      <c r="L1690" t="s">
        <v>618</v>
      </c>
      <c r="M1690" t="s">
        <v>46</v>
      </c>
      <c r="N1690" t="s">
        <v>47</v>
      </c>
      <c r="O1690">
        <v>4</v>
      </c>
      <c r="P1690">
        <v>1</v>
      </c>
      <c r="Q1690">
        <v>4</v>
      </c>
      <c r="R1690" t="s">
        <v>48</v>
      </c>
      <c r="S1690" t="s">
        <v>49</v>
      </c>
      <c r="T1690" s="3">
        <v>0.84</v>
      </c>
      <c r="U1690" s="3">
        <v>0.23</v>
      </c>
      <c r="V1690" s="3">
        <v>3.55</v>
      </c>
      <c r="W1690">
        <v>2.84</v>
      </c>
      <c r="X1690" t="s">
        <v>50</v>
      </c>
      <c r="Y1690" s="3">
        <v>9.19</v>
      </c>
      <c r="Z1690" t="s">
        <v>83</v>
      </c>
      <c r="AA1690" t="s">
        <v>11193</v>
      </c>
      <c r="AB1690" t="s">
        <v>53</v>
      </c>
      <c r="AC1690" s="3">
        <v>1.27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f t="shared" si="52"/>
        <v>15.079999999999998</v>
      </c>
      <c r="AK1690" s="3">
        <f t="shared" si="53"/>
        <v>5.8899999999999988</v>
      </c>
    </row>
    <row r="1691" spans="1:37">
      <c r="A1691">
        <v>10373440</v>
      </c>
      <c r="B1691" t="s">
        <v>37</v>
      </c>
      <c r="C1691" t="s">
        <v>11194</v>
      </c>
      <c r="E1691" t="s">
        <v>2625</v>
      </c>
      <c r="F1691" t="s">
        <v>11195</v>
      </c>
      <c r="G1691" t="s">
        <v>11196</v>
      </c>
      <c r="H1691" t="s">
        <v>42</v>
      </c>
      <c r="I1691" t="s">
        <v>11197</v>
      </c>
      <c r="J1691" t="s">
        <v>11198</v>
      </c>
      <c r="K1691">
        <v>3500</v>
      </c>
      <c r="L1691" t="s">
        <v>505</v>
      </c>
      <c r="M1691" t="s">
        <v>46</v>
      </c>
      <c r="N1691" t="s">
        <v>47</v>
      </c>
      <c r="O1691">
        <v>3</v>
      </c>
      <c r="P1691">
        <v>1</v>
      </c>
      <c r="Q1691">
        <v>3</v>
      </c>
      <c r="R1691" t="s">
        <v>48</v>
      </c>
      <c r="S1691" t="s">
        <v>49</v>
      </c>
      <c r="T1691" s="3">
        <v>0.84</v>
      </c>
      <c r="U1691" s="3">
        <v>0.23</v>
      </c>
      <c r="V1691" s="3">
        <v>2.68</v>
      </c>
      <c r="W1691">
        <v>1.17</v>
      </c>
      <c r="X1691" t="s">
        <v>50</v>
      </c>
      <c r="Y1691" s="3">
        <v>9.19</v>
      </c>
      <c r="Z1691" t="s">
        <v>9686</v>
      </c>
      <c r="AA1691" t="s">
        <v>11199</v>
      </c>
      <c r="AB1691" t="s">
        <v>53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f t="shared" si="52"/>
        <v>12.94</v>
      </c>
      <c r="AK1691" s="3">
        <f t="shared" si="53"/>
        <v>3.75</v>
      </c>
    </row>
    <row r="1692" spans="1:37">
      <c r="A1692">
        <v>10373720</v>
      </c>
      <c r="B1692" t="s">
        <v>37</v>
      </c>
      <c r="C1692" t="s">
        <v>11200</v>
      </c>
      <c r="E1692" t="s">
        <v>809</v>
      </c>
      <c r="F1692" t="s">
        <v>11201</v>
      </c>
      <c r="G1692" t="s">
        <v>11202</v>
      </c>
      <c r="H1692" t="s">
        <v>42</v>
      </c>
      <c r="I1692" t="s">
        <v>11203</v>
      </c>
      <c r="J1692" t="s">
        <v>11204</v>
      </c>
      <c r="K1692">
        <v>33829</v>
      </c>
      <c r="L1692" t="s">
        <v>71</v>
      </c>
      <c r="M1692" t="s">
        <v>46</v>
      </c>
      <c r="N1692" t="s">
        <v>47</v>
      </c>
      <c r="O1692">
        <v>3</v>
      </c>
      <c r="P1692">
        <v>1</v>
      </c>
      <c r="Q1692">
        <v>3</v>
      </c>
      <c r="R1692" t="s">
        <v>48</v>
      </c>
      <c r="S1692" t="s">
        <v>49</v>
      </c>
      <c r="T1692" s="3">
        <v>0.84</v>
      </c>
      <c r="U1692" s="3">
        <v>0.23</v>
      </c>
      <c r="V1692" s="3">
        <v>2.68</v>
      </c>
      <c r="W1692">
        <v>1.24</v>
      </c>
      <c r="X1692" t="s">
        <v>108</v>
      </c>
      <c r="Y1692" s="3">
        <v>5.14</v>
      </c>
      <c r="Z1692" t="s">
        <v>9686</v>
      </c>
      <c r="AA1692" t="s">
        <v>11205</v>
      </c>
      <c r="AB1692" t="s">
        <v>53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f t="shared" si="52"/>
        <v>8.89</v>
      </c>
      <c r="AK1692" s="3">
        <f t="shared" si="53"/>
        <v>3.7500000000000009</v>
      </c>
    </row>
    <row r="1693" spans="1:37">
      <c r="A1693">
        <v>10373717</v>
      </c>
      <c r="B1693" t="s">
        <v>37</v>
      </c>
      <c r="C1693" t="s">
        <v>11206</v>
      </c>
      <c r="E1693" t="s">
        <v>2684</v>
      </c>
      <c r="F1693" t="s">
        <v>11207</v>
      </c>
      <c r="G1693" t="s">
        <v>11208</v>
      </c>
      <c r="H1693" t="s">
        <v>42</v>
      </c>
      <c r="I1693" t="s">
        <v>11209</v>
      </c>
      <c r="J1693" t="s">
        <v>11210</v>
      </c>
      <c r="K1693">
        <v>59269</v>
      </c>
      <c r="L1693" t="s">
        <v>71</v>
      </c>
      <c r="M1693" t="s">
        <v>46</v>
      </c>
      <c r="N1693" t="s">
        <v>47</v>
      </c>
      <c r="O1693">
        <v>1</v>
      </c>
      <c r="P1693">
        <v>1</v>
      </c>
      <c r="Q1693">
        <v>1</v>
      </c>
      <c r="R1693" t="s">
        <v>48</v>
      </c>
      <c r="S1693" t="s">
        <v>49</v>
      </c>
      <c r="T1693" s="3">
        <v>0.84</v>
      </c>
      <c r="U1693" s="3">
        <v>0.23</v>
      </c>
      <c r="V1693" s="3">
        <v>0.94</v>
      </c>
      <c r="W1693">
        <v>1.4</v>
      </c>
      <c r="X1693" t="s">
        <v>108</v>
      </c>
      <c r="Y1693" s="3">
        <v>5.14</v>
      </c>
      <c r="Z1693" t="s">
        <v>9686</v>
      </c>
      <c r="AA1693" t="s">
        <v>1297</v>
      </c>
      <c r="AB1693" t="s">
        <v>53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f t="shared" si="52"/>
        <v>7.15</v>
      </c>
      <c r="AK1693" s="3">
        <f t="shared" si="53"/>
        <v>2.0100000000000007</v>
      </c>
    </row>
    <row r="1694" spans="1:37">
      <c r="A1694">
        <v>10373719</v>
      </c>
      <c r="B1694" t="s">
        <v>37</v>
      </c>
      <c r="C1694" t="s">
        <v>11211</v>
      </c>
      <c r="E1694" t="s">
        <v>5453</v>
      </c>
      <c r="F1694" t="s">
        <v>11212</v>
      </c>
      <c r="G1694" t="s">
        <v>11213</v>
      </c>
      <c r="H1694" t="s">
        <v>42</v>
      </c>
      <c r="I1694" t="s">
        <v>11214</v>
      </c>
      <c r="J1694" t="s">
        <v>11215</v>
      </c>
      <c r="K1694" t="s">
        <v>11216</v>
      </c>
      <c r="L1694" t="s">
        <v>142</v>
      </c>
      <c r="M1694" t="s">
        <v>46</v>
      </c>
      <c r="N1694" t="s">
        <v>47</v>
      </c>
      <c r="O1694">
        <v>4</v>
      </c>
      <c r="P1694">
        <v>1</v>
      </c>
      <c r="Q1694">
        <v>4</v>
      </c>
      <c r="R1694" t="s">
        <v>48</v>
      </c>
      <c r="S1694" t="s">
        <v>49</v>
      </c>
      <c r="T1694" s="3">
        <v>0.84</v>
      </c>
      <c r="U1694" s="3">
        <v>0.23</v>
      </c>
      <c r="V1694" s="3">
        <v>3.55</v>
      </c>
      <c r="W1694">
        <v>1.66</v>
      </c>
      <c r="X1694" t="s">
        <v>50</v>
      </c>
      <c r="Y1694" s="3">
        <v>16.43</v>
      </c>
      <c r="Z1694" t="s">
        <v>73</v>
      </c>
      <c r="AA1694" t="s">
        <v>11122</v>
      </c>
      <c r="AB1694" t="s">
        <v>53</v>
      </c>
      <c r="AC1694" s="3">
        <v>1.29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f t="shared" si="52"/>
        <v>22.34</v>
      </c>
      <c r="AK1694" s="3">
        <f t="shared" si="53"/>
        <v>5.91</v>
      </c>
    </row>
    <row r="1695" spans="1:37">
      <c r="A1695">
        <v>10373438</v>
      </c>
      <c r="B1695" t="s">
        <v>37</v>
      </c>
      <c r="C1695" t="s">
        <v>11217</v>
      </c>
      <c r="E1695" t="s">
        <v>8873</v>
      </c>
      <c r="F1695" t="s">
        <v>11218</v>
      </c>
      <c r="G1695" t="s">
        <v>11219</v>
      </c>
      <c r="H1695" t="s">
        <v>42</v>
      </c>
      <c r="I1695" t="s">
        <v>11220</v>
      </c>
      <c r="J1695" t="s">
        <v>11221</v>
      </c>
      <c r="K1695" t="s">
        <v>11222</v>
      </c>
      <c r="L1695" t="s">
        <v>82</v>
      </c>
      <c r="M1695" t="s">
        <v>46</v>
      </c>
      <c r="N1695" t="s">
        <v>47</v>
      </c>
      <c r="O1695">
        <v>2</v>
      </c>
      <c r="P1695">
        <v>1</v>
      </c>
      <c r="Q1695">
        <v>2</v>
      </c>
      <c r="R1695" t="s">
        <v>48</v>
      </c>
      <c r="S1695" t="s">
        <v>49</v>
      </c>
      <c r="T1695" s="3">
        <v>0.84</v>
      </c>
      <c r="U1695" s="3">
        <v>0.23</v>
      </c>
      <c r="V1695" s="3">
        <v>1.81</v>
      </c>
      <c r="W1695">
        <v>0.98</v>
      </c>
      <c r="X1695" t="s">
        <v>50</v>
      </c>
      <c r="Y1695" s="3">
        <v>9.19</v>
      </c>
      <c r="Z1695" t="s">
        <v>9686</v>
      </c>
      <c r="AA1695" t="s">
        <v>11223</v>
      </c>
      <c r="AB1695" t="s">
        <v>53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f t="shared" si="52"/>
        <v>12.07</v>
      </c>
      <c r="AK1695" s="3">
        <f t="shared" si="53"/>
        <v>2.8800000000000008</v>
      </c>
    </row>
    <row r="1696" spans="1:37">
      <c r="A1696">
        <v>10363892</v>
      </c>
      <c r="B1696" t="s">
        <v>37</v>
      </c>
      <c r="C1696" t="s">
        <v>11224</v>
      </c>
      <c r="D1696" t="s">
        <v>11225</v>
      </c>
      <c r="E1696" t="s">
        <v>11226</v>
      </c>
      <c r="F1696" t="s">
        <v>11227</v>
      </c>
      <c r="G1696" t="s">
        <v>11228</v>
      </c>
      <c r="H1696" t="s">
        <v>42</v>
      </c>
      <c r="I1696" t="s">
        <v>11229</v>
      </c>
      <c r="J1696" t="s">
        <v>11230</v>
      </c>
      <c r="K1696" t="s">
        <v>11231</v>
      </c>
      <c r="L1696" t="s">
        <v>82</v>
      </c>
      <c r="M1696" t="s">
        <v>46</v>
      </c>
      <c r="N1696" t="s">
        <v>47</v>
      </c>
      <c r="O1696">
        <v>12</v>
      </c>
      <c r="P1696">
        <v>1</v>
      </c>
      <c r="Q1696">
        <v>12</v>
      </c>
      <c r="R1696" t="s">
        <v>48</v>
      </c>
      <c r="S1696" t="s">
        <v>49</v>
      </c>
      <c r="T1696" s="3">
        <v>7</v>
      </c>
      <c r="U1696" s="3">
        <v>0.23</v>
      </c>
      <c r="V1696" s="3">
        <v>15.82</v>
      </c>
      <c r="W1696">
        <v>5.98</v>
      </c>
      <c r="X1696" t="s">
        <v>50</v>
      </c>
      <c r="Y1696" s="3">
        <v>10.58</v>
      </c>
      <c r="Z1696" t="s">
        <v>83</v>
      </c>
      <c r="AA1696" t="s">
        <v>11232</v>
      </c>
      <c r="AB1696" t="s">
        <v>53</v>
      </c>
      <c r="AC1696" s="3">
        <v>1.27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f t="shared" si="52"/>
        <v>34.900000000000006</v>
      </c>
      <c r="AK1696" s="3">
        <f t="shared" si="53"/>
        <v>24.320000000000007</v>
      </c>
    </row>
    <row r="1697" spans="1:37">
      <c r="A1697">
        <v>10363690</v>
      </c>
      <c r="B1697" t="s">
        <v>111</v>
      </c>
      <c r="C1697" t="s">
        <v>11233</v>
      </c>
      <c r="D1697" t="s">
        <v>11234</v>
      </c>
      <c r="E1697" t="s">
        <v>11235</v>
      </c>
      <c r="F1697" t="s">
        <v>11236</v>
      </c>
      <c r="G1697" t="s">
        <v>11237</v>
      </c>
      <c r="H1697" t="s">
        <v>117</v>
      </c>
      <c r="I1697" t="s">
        <v>11238</v>
      </c>
      <c r="J1697" t="s">
        <v>11239</v>
      </c>
      <c r="K1697">
        <v>76646</v>
      </c>
      <c r="L1697" t="s">
        <v>71</v>
      </c>
      <c r="M1697" t="s">
        <v>46</v>
      </c>
      <c r="N1697" t="s">
        <v>47</v>
      </c>
      <c r="O1697">
        <v>46</v>
      </c>
      <c r="P1697">
        <v>2</v>
      </c>
      <c r="Q1697">
        <v>46</v>
      </c>
      <c r="R1697" t="s">
        <v>48</v>
      </c>
      <c r="S1697" t="s">
        <v>49</v>
      </c>
      <c r="T1697" s="3">
        <v>7</v>
      </c>
      <c r="U1697" s="3">
        <v>0.23</v>
      </c>
      <c r="V1697" s="3">
        <v>46.41</v>
      </c>
      <c r="W1697">
        <v>20</v>
      </c>
      <c r="X1697" t="s">
        <v>72</v>
      </c>
      <c r="Y1697" s="3">
        <v>18.38</v>
      </c>
      <c r="Z1697" t="s">
        <v>11240</v>
      </c>
      <c r="AA1697" t="s">
        <v>11241</v>
      </c>
      <c r="AB1697" t="s">
        <v>53</v>
      </c>
      <c r="AC1697" s="3">
        <v>2.41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f t="shared" si="52"/>
        <v>74.429999999999993</v>
      </c>
      <c r="AK1697" s="3">
        <f t="shared" si="53"/>
        <v>56.05</v>
      </c>
    </row>
    <row r="1698" spans="1:37">
      <c r="A1698">
        <v>10374032</v>
      </c>
      <c r="B1698" t="s">
        <v>37</v>
      </c>
      <c r="C1698" t="s">
        <v>11242</v>
      </c>
      <c r="E1698" t="s">
        <v>11243</v>
      </c>
      <c r="F1698" t="s">
        <v>11244</v>
      </c>
      <c r="G1698" t="s">
        <v>11245</v>
      </c>
      <c r="H1698" t="s">
        <v>42</v>
      </c>
      <c r="I1698" t="s">
        <v>11246</v>
      </c>
      <c r="J1698" t="s">
        <v>11247</v>
      </c>
      <c r="K1698">
        <v>29640</v>
      </c>
      <c r="L1698" t="s">
        <v>71</v>
      </c>
      <c r="M1698" t="s">
        <v>46</v>
      </c>
      <c r="N1698" t="s">
        <v>47</v>
      </c>
      <c r="O1698">
        <v>1</v>
      </c>
      <c r="P1698">
        <v>1</v>
      </c>
      <c r="Q1698">
        <v>1</v>
      </c>
      <c r="R1698" t="s">
        <v>48</v>
      </c>
      <c r="S1698" t="s">
        <v>49</v>
      </c>
      <c r="T1698" s="3">
        <v>0.84</v>
      </c>
      <c r="U1698" s="3">
        <v>0.23</v>
      </c>
      <c r="V1698" s="3">
        <v>0.94</v>
      </c>
      <c r="W1698">
        <v>1.5</v>
      </c>
      <c r="X1698" t="s">
        <v>72</v>
      </c>
      <c r="Y1698" s="3">
        <v>6.83</v>
      </c>
      <c r="Z1698" t="s">
        <v>73</v>
      </c>
      <c r="AA1698" t="s">
        <v>259</v>
      </c>
      <c r="AB1698" t="s">
        <v>53</v>
      </c>
      <c r="AC1698" s="3">
        <v>1.29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f t="shared" si="52"/>
        <v>10.130000000000001</v>
      </c>
      <c r="AK1698" s="3">
        <f t="shared" si="53"/>
        <v>3.3000000000000007</v>
      </c>
    </row>
    <row r="1699" spans="1:37">
      <c r="A1699">
        <v>10364055</v>
      </c>
      <c r="B1699" t="s">
        <v>37</v>
      </c>
      <c r="C1699" t="s">
        <v>11248</v>
      </c>
      <c r="E1699" t="s">
        <v>8248</v>
      </c>
      <c r="F1699" t="s">
        <v>11249</v>
      </c>
      <c r="G1699" t="s">
        <v>11250</v>
      </c>
      <c r="H1699" t="s">
        <v>42</v>
      </c>
      <c r="I1699" t="s">
        <v>11251</v>
      </c>
      <c r="J1699" t="s">
        <v>11252</v>
      </c>
      <c r="K1699" t="s">
        <v>11253</v>
      </c>
      <c r="L1699" t="s">
        <v>82</v>
      </c>
      <c r="M1699" t="s">
        <v>46</v>
      </c>
      <c r="N1699" t="s">
        <v>47</v>
      </c>
      <c r="O1699">
        <v>4</v>
      </c>
      <c r="P1699">
        <v>1</v>
      </c>
      <c r="Q1699">
        <v>4</v>
      </c>
      <c r="R1699" t="s">
        <v>48</v>
      </c>
      <c r="S1699" t="s">
        <v>49</v>
      </c>
      <c r="T1699" s="3">
        <v>0.84</v>
      </c>
      <c r="U1699" s="3">
        <v>0.23</v>
      </c>
      <c r="V1699" s="3">
        <v>3.55</v>
      </c>
      <c r="W1699">
        <v>1.56</v>
      </c>
      <c r="X1699" t="s">
        <v>50</v>
      </c>
      <c r="Y1699" s="3">
        <v>9.19</v>
      </c>
      <c r="Z1699" t="s">
        <v>9686</v>
      </c>
      <c r="AA1699" t="s">
        <v>583</v>
      </c>
      <c r="AB1699" t="s">
        <v>53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f t="shared" si="52"/>
        <v>13.809999999999999</v>
      </c>
      <c r="AK1699" s="3">
        <f t="shared" si="53"/>
        <v>4.6199999999999992</v>
      </c>
    </row>
    <row r="1700" spans="1:37">
      <c r="A1700">
        <v>10374029</v>
      </c>
      <c r="B1700" t="s">
        <v>37</v>
      </c>
      <c r="C1700" t="s">
        <v>11254</v>
      </c>
      <c r="E1700" t="s">
        <v>437</v>
      </c>
      <c r="F1700" t="s">
        <v>11255</v>
      </c>
      <c r="G1700" t="s">
        <v>11256</v>
      </c>
      <c r="H1700" t="s">
        <v>42</v>
      </c>
      <c r="I1700" t="s">
        <v>11257</v>
      </c>
      <c r="J1700" t="s">
        <v>11258</v>
      </c>
      <c r="K1700">
        <v>33442</v>
      </c>
      <c r="L1700" t="s">
        <v>71</v>
      </c>
      <c r="M1700" t="s">
        <v>46</v>
      </c>
      <c r="N1700" t="s">
        <v>47</v>
      </c>
      <c r="O1700">
        <v>1</v>
      </c>
      <c r="P1700">
        <v>1</v>
      </c>
      <c r="Q1700">
        <v>1</v>
      </c>
      <c r="R1700" t="s">
        <v>48</v>
      </c>
      <c r="S1700" t="s">
        <v>49</v>
      </c>
      <c r="T1700" s="3">
        <v>0.84</v>
      </c>
      <c r="U1700" s="3">
        <v>0.23</v>
      </c>
      <c r="V1700" s="3">
        <v>0.94</v>
      </c>
      <c r="W1700">
        <v>0.49</v>
      </c>
      <c r="X1700" t="s">
        <v>108</v>
      </c>
      <c r="Y1700" s="3">
        <v>5.14</v>
      </c>
      <c r="Z1700" t="s">
        <v>9850</v>
      </c>
      <c r="AA1700" t="s">
        <v>2240</v>
      </c>
      <c r="AB1700" t="s">
        <v>53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f t="shared" si="52"/>
        <v>7.15</v>
      </c>
      <c r="AK1700" s="3">
        <f t="shared" si="53"/>
        <v>2.0100000000000007</v>
      </c>
    </row>
    <row r="1701" spans="1:37">
      <c r="A1701">
        <v>10374034</v>
      </c>
      <c r="B1701" t="s">
        <v>37</v>
      </c>
      <c r="C1701" t="s">
        <v>11259</v>
      </c>
      <c r="E1701" t="s">
        <v>6460</v>
      </c>
      <c r="F1701" t="s">
        <v>3837</v>
      </c>
      <c r="G1701" t="s">
        <v>11260</v>
      </c>
      <c r="H1701" t="s">
        <v>42</v>
      </c>
      <c r="I1701" t="s">
        <v>11261</v>
      </c>
      <c r="J1701" t="s">
        <v>11262</v>
      </c>
      <c r="K1701">
        <v>65719</v>
      </c>
      <c r="L1701" t="s">
        <v>71</v>
      </c>
      <c r="M1701" t="s">
        <v>46</v>
      </c>
      <c r="N1701" t="s">
        <v>47</v>
      </c>
      <c r="O1701">
        <v>1</v>
      </c>
      <c r="P1701">
        <v>1</v>
      </c>
      <c r="Q1701">
        <v>1</v>
      </c>
      <c r="R1701" t="s">
        <v>48</v>
      </c>
      <c r="S1701" t="s">
        <v>49</v>
      </c>
      <c r="T1701" s="3">
        <v>0.84</v>
      </c>
      <c r="U1701" s="3">
        <v>0.23</v>
      </c>
      <c r="V1701" s="3">
        <v>0.94</v>
      </c>
      <c r="W1701">
        <v>0.39</v>
      </c>
      <c r="X1701" t="s">
        <v>108</v>
      </c>
      <c r="Y1701" s="3">
        <v>5.14</v>
      </c>
      <c r="Z1701" t="s">
        <v>9850</v>
      </c>
      <c r="AA1701" t="s">
        <v>4279</v>
      </c>
      <c r="AB1701" t="s">
        <v>53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f t="shared" si="52"/>
        <v>7.15</v>
      </c>
      <c r="AK1701" s="3">
        <f t="shared" si="53"/>
        <v>2.0100000000000007</v>
      </c>
    </row>
    <row r="1702" spans="1:37">
      <c r="A1702">
        <v>10374253</v>
      </c>
      <c r="B1702" t="s">
        <v>37</v>
      </c>
      <c r="C1702" t="s">
        <v>11263</v>
      </c>
      <c r="E1702" t="s">
        <v>500</v>
      </c>
      <c r="F1702" t="s">
        <v>11264</v>
      </c>
      <c r="G1702" t="s">
        <v>11265</v>
      </c>
      <c r="H1702" t="s">
        <v>42</v>
      </c>
      <c r="I1702" t="s">
        <v>11266</v>
      </c>
      <c r="J1702" t="s">
        <v>11267</v>
      </c>
      <c r="K1702">
        <v>69120</v>
      </c>
      <c r="L1702" t="s">
        <v>71</v>
      </c>
      <c r="M1702" t="s">
        <v>46</v>
      </c>
      <c r="N1702" t="s">
        <v>47</v>
      </c>
      <c r="O1702">
        <v>1</v>
      </c>
      <c r="P1702">
        <v>1</v>
      </c>
      <c r="Q1702">
        <v>1</v>
      </c>
      <c r="R1702" t="s">
        <v>48</v>
      </c>
      <c r="S1702" t="s">
        <v>49</v>
      </c>
      <c r="T1702" s="3">
        <v>0.84</v>
      </c>
      <c r="U1702" s="3">
        <v>0.23</v>
      </c>
      <c r="V1702" s="3">
        <v>0.94</v>
      </c>
      <c r="W1702">
        <v>1.5</v>
      </c>
      <c r="X1702" t="s">
        <v>72</v>
      </c>
      <c r="Y1702" s="3">
        <v>5.44</v>
      </c>
      <c r="Z1702" t="s">
        <v>73</v>
      </c>
      <c r="AA1702" t="s">
        <v>8500</v>
      </c>
      <c r="AB1702" t="s">
        <v>53</v>
      </c>
      <c r="AC1702" s="3">
        <v>1.29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f t="shared" si="52"/>
        <v>8.74</v>
      </c>
      <c r="AK1702" s="3">
        <f t="shared" si="53"/>
        <v>3.3</v>
      </c>
    </row>
    <row r="1703" spans="1:37">
      <c r="A1703">
        <v>10364213</v>
      </c>
      <c r="B1703" t="s">
        <v>37</v>
      </c>
      <c r="C1703" t="s">
        <v>11268</v>
      </c>
      <c r="E1703" t="s">
        <v>1462</v>
      </c>
      <c r="F1703" t="s">
        <v>11269</v>
      </c>
      <c r="G1703" t="s">
        <v>11270</v>
      </c>
      <c r="H1703" t="s">
        <v>42</v>
      </c>
      <c r="I1703" t="s">
        <v>11271</v>
      </c>
      <c r="J1703" t="s">
        <v>11272</v>
      </c>
      <c r="K1703">
        <v>85238</v>
      </c>
      <c r="L1703" t="s">
        <v>71</v>
      </c>
      <c r="M1703" t="s">
        <v>46</v>
      </c>
      <c r="N1703" t="s">
        <v>47</v>
      </c>
      <c r="O1703">
        <v>12</v>
      </c>
      <c r="P1703">
        <v>1</v>
      </c>
      <c r="Q1703">
        <v>12</v>
      </c>
      <c r="R1703" t="s">
        <v>48</v>
      </c>
      <c r="S1703" t="s">
        <v>49</v>
      </c>
      <c r="T1703" s="3">
        <v>7</v>
      </c>
      <c r="U1703" s="3">
        <v>0.23</v>
      </c>
      <c r="V1703" s="3">
        <v>15.82</v>
      </c>
      <c r="W1703">
        <v>3.66</v>
      </c>
      <c r="X1703" t="s">
        <v>72</v>
      </c>
      <c r="Y1703" s="3">
        <v>6.61</v>
      </c>
      <c r="Z1703" t="s">
        <v>83</v>
      </c>
      <c r="AA1703" t="s">
        <v>11273</v>
      </c>
      <c r="AB1703" t="s">
        <v>53</v>
      </c>
      <c r="AC1703" s="3">
        <v>1.27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f t="shared" si="52"/>
        <v>30.930000000000003</v>
      </c>
      <c r="AK1703" s="3">
        <f t="shared" si="53"/>
        <v>24.320000000000004</v>
      </c>
    </row>
    <row r="1704" spans="1:37">
      <c r="A1704">
        <v>10374030</v>
      </c>
      <c r="B1704" t="s">
        <v>37</v>
      </c>
      <c r="C1704" t="s">
        <v>11274</v>
      </c>
      <c r="E1704" t="s">
        <v>1330</v>
      </c>
      <c r="F1704" t="s">
        <v>11275</v>
      </c>
      <c r="G1704" t="s">
        <v>11276</v>
      </c>
      <c r="H1704" t="s">
        <v>42</v>
      </c>
      <c r="I1704" t="s">
        <v>11277</v>
      </c>
      <c r="J1704" t="s">
        <v>11278</v>
      </c>
      <c r="K1704">
        <v>79346</v>
      </c>
      <c r="L1704" t="s">
        <v>71</v>
      </c>
      <c r="M1704" t="s">
        <v>46</v>
      </c>
      <c r="N1704" t="s">
        <v>47</v>
      </c>
      <c r="O1704">
        <v>3</v>
      </c>
      <c r="P1704">
        <v>1</v>
      </c>
      <c r="Q1704">
        <v>3</v>
      </c>
      <c r="R1704" t="s">
        <v>48</v>
      </c>
      <c r="S1704" t="s">
        <v>49</v>
      </c>
      <c r="T1704" s="3">
        <v>0.84</v>
      </c>
      <c r="U1704" s="3">
        <v>0.23</v>
      </c>
      <c r="V1704" s="3">
        <v>2.68</v>
      </c>
      <c r="W1704">
        <v>1.25</v>
      </c>
      <c r="X1704" t="s">
        <v>108</v>
      </c>
      <c r="Y1704" s="3">
        <v>5.14</v>
      </c>
      <c r="Z1704" t="s">
        <v>9686</v>
      </c>
      <c r="AA1704" t="s">
        <v>11279</v>
      </c>
      <c r="AB1704" t="s">
        <v>53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f t="shared" si="52"/>
        <v>8.89</v>
      </c>
      <c r="AK1704" s="3">
        <f t="shared" si="53"/>
        <v>3.7500000000000009</v>
      </c>
    </row>
    <row r="1705" spans="1:37">
      <c r="A1705">
        <v>10376193</v>
      </c>
      <c r="B1705" t="s">
        <v>37</v>
      </c>
      <c r="C1705" t="s">
        <v>11280</v>
      </c>
      <c r="E1705" t="s">
        <v>11281</v>
      </c>
      <c r="F1705" t="s">
        <v>11282</v>
      </c>
      <c r="G1705" t="s">
        <v>11283</v>
      </c>
      <c r="H1705" t="s">
        <v>42</v>
      </c>
      <c r="I1705" t="s">
        <v>11284</v>
      </c>
      <c r="J1705" t="s">
        <v>11285</v>
      </c>
      <c r="K1705" t="s">
        <v>11286</v>
      </c>
      <c r="L1705" t="s">
        <v>82</v>
      </c>
      <c r="M1705" t="s">
        <v>46</v>
      </c>
      <c r="N1705" t="s">
        <v>47</v>
      </c>
      <c r="O1705">
        <v>5</v>
      </c>
      <c r="P1705">
        <v>1</v>
      </c>
      <c r="Q1705">
        <v>5</v>
      </c>
      <c r="R1705" t="s">
        <v>48</v>
      </c>
      <c r="S1705" t="s">
        <v>49</v>
      </c>
      <c r="T1705" s="3">
        <v>0.84</v>
      </c>
      <c r="U1705" s="3">
        <v>0.23</v>
      </c>
      <c r="V1705" s="3">
        <v>4.42</v>
      </c>
      <c r="W1705">
        <v>4.0599999999999996</v>
      </c>
      <c r="X1705" t="s">
        <v>50</v>
      </c>
      <c r="Y1705" s="3">
        <v>9.19</v>
      </c>
      <c r="Z1705" t="s">
        <v>73</v>
      </c>
      <c r="AA1705" t="s">
        <v>11287</v>
      </c>
      <c r="AB1705" t="s">
        <v>53</v>
      </c>
      <c r="AC1705" s="3">
        <v>1.29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f t="shared" si="52"/>
        <v>15.97</v>
      </c>
      <c r="AK1705" s="3">
        <f t="shared" si="53"/>
        <v>6.7800000000000011</v>
      </c>
    </row>
    <row r="1706" spans="1:37">
      <c r="A1706">
        <v>10374250</v>
      </c>
      <c r="B1706" t="s">
        <v>37</v>
      </c>
      <c r="C1706" t="s">
        <v>11288</v>
      </c>
      <c r="E1706" t="s">
        <v>4455</v>
      </c>
      <c r="F1706" t="s">
        <v>11289</v>
      </c>
      <c r="G1706" t="s">
        <v>11290</v>
      </c>
      <c r="H1706" t="s">
        <v>42</v>
      </c>
      <c r="I1706" t="s">
        <v>11291</v>
      </c>
      <c r="J1706" t="s">
        <v>11292</v>
      </c>
      <c r="K1706">
        <v>65527</v>
      </c>
      <c r="L1706" t="s">
        <v>71</v>
      </c>
      <c r="M1706" t="s">
        <v>46</v>
      </c>
      <c r="N1706" t="s">
        <v>47</v>
      </c>
      <c r="O1706">
        <v>4</v>
      </c>
      <c r="P1706">
        <v>1</v>
      </c>
      <c r="Q1706">
        <v>4</v>
      </c>
      <c r="R1706" t="s">
        <v>48</v>
      </c>
      <c r="S1706" t="s">
        <v>49</v>
      </c>
      <c r="T1706" s="3">
        <v>0.84</v>
      </c>
      <c r="U1706" s="3">
        <v>0.23</v>
      </c>
      <c r="V1706" s="3">
        <v>3.55</v>
      </c>
      <c r="W1706">
        <v>1.92</v>
      </c>
      <c r="X1706" t="s">
        <v>108</v>
      </c>
      <c r="Y1706" s="3">
        <v>5.14</v>
      </c>
      <c r="Z1706" t="s">
        <v>9686</v>
      </c>
      <c r="AA1706" t="s">
        <v>11293</v>
      </c>
      <c r="AB1706" t="s">
        <v>53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f t="shared" si="52"/>
        <v>9.76</v>
      </c>
      <c r="AK1706" s="3">
        <f t="shared" si="53"/>
        <v>4.62</v>
      </c>
    </row>
    <row r="1707" spans="1:37">
      <c r="A1707">
        <v>10376927</v>
      </c>
      <c r="B1707" t="s">
        <v>37</v>
      </c>
      <c r="C1707" t="s">
        <v>11294</v>
      </c>
      <c r="E1707" t="s">
        <v>2547</v>
      </c>
      <c r="F1707" t="s">
        <v>11295</v>
      </c>
      <c r="G1707" t="s">
        <v>11296</v>
      </c>
      <c r="H1707" t="s">
        <v>42</v>
      </c>
      <c r="I1707" t="s">
        <v>11297</v>
      </c>
      <c r="J1707" t="s">
        <v>11298</v>
      </c>
      <c r="K1707" t="s">
        <v>11299</v>
      </c>
      <c r="L1707" t="s">
        <v>142</v>
      </c>
      <c r="M1707" t="s">
        <v>46</v>
      </c>
      <c r="N1707" t="s">
        <v>47</v>
      </c>
      <c r="O1707">
        <v>4</v>
      </c>
      <c r="P1707">
        <v>1</v>
      </c>
      <c r="Q1707">
        <v>4</v>
      </c>
      <c r="R1707" t="s">
        <v>48</v>
      </c>
      <c r="S1707" t="s">
        <v>49</v>
      </c>
      <c r="T1707" s="3">
        <v>0.84</v>
      </c>
      <c r="U1707" s="3">
        <v>0.23</v>
      </c>
      <c r="V1707" s="3">
        <v>3.55</v>
      </c>
      <c r="W1707">
        <v>1.56</v>
      </c>
      <c r="X1707" t="s">
        <v>50</v>
      </c>
      <c r="Y1707" s="3">
        <v>16.43</v>
      </c>
      <c r="Z1707" t="s">
        <v>9686</v>
      </c>
      <c r="AA1707" t="s">
        <v>429</v>
      </c>
      <c r="AB1707" t="s">
        <v>53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f t="shared" si="52"/>
        <v>21.05</v>
      </c>
      <c r="AK1707" s="3">
        <f t="shared" si="53"/>
        <v>4.620000000000001</v>
      </c>
    </row>
    <row r="1708" spans="1:37">
      <c r="A1708">
        <v>10374252</v>
      </c>
      <c r="B1708" t="s">
        <v>37</v>
      </c>
      <c r="C1708" t="s">
        <v>11300</v>
      </c>
      <c r="E1708" t="s">
        <v>3985</v>
      </c>
      <c r="F1708" t="s">
        <v>3986</v>
      </c>
      <c r="G1708" t="s">
        <v>11301</v>
      </c>
      <c r="H1708" t="s">
        <v>42</v>
      </c>
      <c r="I1708" t="s">
        <v>11302</v>
      </c>
      <c r="J1708" t="s">
        <v>3989</v>
      </c>
      <c r="K1708">
        <v>68165</v>
      </c>
      <c r="L1708" t="s">
        <v>71</v>
      </c>
      <c r="M1708" t="s">
        <v>46</v>
      </c>
      <c r="N1708" t="s">
        <v>47</v>
      </c>
      <c r="O1708">
        <v>5</v>
      </c>
      <c r="P1708">
        <v>1</v>
      </c>
      <c r="Q1708">
        <v>5</v>
      </c>
      <c r="R1708" t="s">
        <v>48</v>
      </c>
      <c r="S1708" t="s">
        <v>49</v>
      </c>
      <c r="T1708" s="3">
        <v>0.84</v>
      </c>
      <c r="U1708" s="3">
        <v>0.23</v>
      </c>
      <c r="V1708" s="3">
        <v>4.42</v>
      </c>
      <c r="W1708">
        <v>1.96</v>
      </c>
      <c r="X1708" t="s">
        <v>108</v>
      </c>
      <c r="Y1708" s="3">
        <v>5.14</v>
      </c>
      <c r="Z1708" t="s">
        <v>9686</v>
      </c>
      <c r="AA1708" t="s">
        <v>11303</v>
      </c>
      <c r="AB1708" t="s">
        <v>53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f t="shared" si="52"/>
        <v>10.629999999999999</v>
      </c>
      <c r="AK1708" s="3">
        <f t="shared" si="53"/>
        <v>5.4899999999999993</v>
      </c>
    </row>
    <row r="1709" spans="1:37">
      <c r="A1709">
        <v>10371346</v>
      </c>
      <c r="B1709" t="s">
        <v>37</v>
      </c>
      <c r="C1709" t="s">
        <v>11304</v>
      </c>
      <c r="E1709" t="s">
        <v>11305</v>
      </c>
      <c r="F1709" t="s">
        <v>11306</v>
      </c>
      <c r="G1709" t="s">
        <v>11307</v>
      </c>
      <c r="H1709" t="s">
        <v>42</v>
      </c>
      <c r="I1709" t="s">
        <v>11308</v>
      </c>
      <c r="J1709" t="s">
        <v>11309</v>
      </c>
      <c r="K1709">
        <v>46535</v>
      </c>
      <c r="L1709" t="s">
        <v>71</v>
      </c>
      <c r="M1709" t="s">
        <v>46</v>
      </c>
      <c r="N1709" t="s">
        <v>47</v>
      </c>
      <c r="O1709">
        <v>4</v>
      </c>
      <c r="P1709">
        <v>1</v>
      </c>
      <c r="Q1709">
        <v>4</v>
      </c>
      <c r="R1709" t="s">
        <v>48</v>
      </c>
      <c r="S1709" t="s">
        <v>49</v>
      </c>
      <c r="T1709" s="3">
        <v>0.84</v>
      </c>
      <c r="U1709" s="3">
        <v>0.23</v>
      </c>
      <c r="V1709" s="3">
        <v>3.55</v>
      </c>
      <c r="W1709">
        <v>1.51</v>
      </c>
      <c r="X1709" t="s">
        <v>108</v>
      </c>
      <c r="Y1709" s="3">
        <v>5.14</v>
      </c>
      <c r="Z1709" t="s">
        <v>9686</v>
      </c>
      <c r="AA1709" t="s">
        <v>11310</v>
      </c>
      <c r="AB1709" t="s">
        <v>53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f t="shared" si="52"/>
        <v>9.76</v>
      </c>
      <c r="AK1709" s="3">
        <f t="shared" si="53"/>
        <v>4.62</v>
      </c>
    </row>
    <row r="1710" spans="1:37">
      <c r="A1710">
        <v>10376424</v>
      </c>
      <c r="B1710" t="s">
        <v>37</v>
      </c>
      <c r="C1710" t="s">
        <v>11311</v>
      </c>
      <c r="E1710" t="s">
        <v>1373</v>
      </c>
      <c r="F1710" t="s">
        <v>11312</v>
      </c>
      <c r="G1710" t="s">
        <v>11313</v>
      </c>
      <c r="H1710" t="s">
        <v>42</v>
      </c>
      <c r="I1710" t="s">
        <v>11314</v>
      </c>
      <c r="J1710" t="s">
        <v>11315</v>
      </c>
      <c r="K1710">
        <v>53125</v>
      </c>
      <c r="L1710" t="s">
        <v>71</v>
      </c>
      <c r="M1710" t="s">
        <v>46</v>
      </c>
      <c r="N1710" t="s">
        <v>47</v>
      </c>
      <c r="O1710">
        <v>3</v>
      </c>
      <c r="P1710">
        <v>1</v>
      </c>
      <c r="Q1710">
        <v>3</v>
      </c>
      <c r="R1710" t="s">
        <v>48</v>
      </c>
      <c r="S1710" t="s">
        <v>49</v>
      </c>
      <c r="T1710" s="3">
        <v>0.84</v>
      </c>
      <c r="U1710" s="3">
        <v>0.23</v>
      </c>
      <c r="V1710" s="3">
        <v>2.68</v>
      </c>
      <c r="W1710">
        <v>1.35</v>
      </c>
      <c r="X1710" t="s">
        <v>108</v>
      </c>
      <c r="Y1710" s="3">
        <v>5.14</v>
      </c>
      <c r="Z1710" t="s">
        <v>9850</v>
      </c>
      <c r="AA1710" t="s">
        <v>11316</v>
      </c>
      <c r="AB1710" t="s">
        <v>53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f t="shared" si="52"/>
        <v>8.89</v>
      </c>
      <c r="AK1710" s="3">
        <f t="shared" si="53"/>
        <v>3.7500000000000009</v>
      </c>
    </row>
    <row r="1711" spans="1:37">
      <c r="A1711">
        <v>10375916</v>
      </c>
      <c r="B1711" t="s">
        <v>37</v>
      </c>
      <c r="C1711" t="s">
        <v>11317</v>
      </c>
      <c r="E1711" t="s">
        <v>39</v>
      </c>
      <c r="F1711" t="s">
        <v>11318</v>
      </c>
      <c r="G1711" t="s">
        <v>11319</v>
      </c>
      <c r="H1711" t="s">
        <v>42</v>
      </c>
      <c r="I1711" t="s">
        <v>11320</v>
      </c>
      <c r="J1711" t="s">
        <v>11321</v>
      </c>
      <c r="K1711">
        <v>14059</v>
      </c>
      <c r="L1711" t="s">
        <v>71</v>
      </c>
      <c r="M1711" t="s">
        <v>46</v>
      </c>
      <c r="N1711" t="s">
        <v>47</v>
      </c>
      <c r="O1711">
        <v>4</v>
      </c>
      <c r="P1711">
        <v>1</v>
      </c>
      <c r="Q1711">
        <v>4</v>
      </c>
      <c r="R1711" t="s">
        <v>48</v>
      </c>
      <c r="S1711" t="s">
        <v>49</v>
      </c>
      <c r="T1711" s="3">
        <v>0.84</v>
      </c>
      <c r="U1711" s="3">
        <v>0.23</v>
      </c>
      <c r="V1711" s="3">
        <v>3.55</v>
      </c>
      <c r="W1711">
        <v>1.04</v>
      </c>
      <c r="X1711" t="s">
        <v>108</v>
      </c>
      <c r="Y1711" s="3">
        <v>5.44</v>
      </c>
      <c r="Z1711" t="s">
        <v>9686</v>
      </c>
      <c r="AA1711" t="s">
        <v>11322</v>
      </c>
      <c r="AB1711" t="s">
        <v>53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f t="shared" si="52"/>
        <v>10.06</v>
      </c>
      <c r="AK1711" s="3">
        <f t="shared" si="53"/>
        <v>4.62</v>
      </c>
    </row>
    <row r="1712" spans="1:37">
      <c r="A1712">
        <v>10374572</v>
      </c>
      <c r="B1712" t="s">
        <v>37</v>
      </c>
      <c r="C1712" t="s">
        <v>11323</v>
      </c>
      <c r="E1712" t="s">
        <v>11324</v>
      </c>
      <c r="F1712" t="s">
        <v>11325</v>
      </c>
      <c r="G1712" t="s">
        <v>11326</v>
      </c>
      <c r="H1712" t="s">
        <v>42</v>
      </c>
      <c r="I1712" t="s">
        <v>11327</v>
      </c>
      <c r="J1712" t="s">
        <v>11328</v>
      </c>
      <c r="K1712">
        <v>28844</v>
      </c>
      <c r="L1712" t="s">
        <v>71</v>
      </c>
      <c r="M1712" t="s">
        <v>46</v>
      </c>
      <c r="N1712" t="s">
        <v>47</v>
      </c>
      <c r="O1712">
        <v>7</v>
      </c>
      <c r="P1712">
        <v>1</v>
      </c>
      <c r="Q1712">
        <v>7</v>
      </c>
      <c r="R1712" t="s">
        <v>48</v>
      </c>
      <c r="S1712" t="s">
        <v>49</v>
      </c>
      <c r="T1712" s="3">
        <v>0.84</v>
      </c>
      <c r="U1712" s="3">
        <v>0.23</v>
      </c>
      <c r="V1712" s="3">
        <v>6.16</v>
      </c>
      <c r="W1712">
        <v>2.83</v>
      </c>
      <c r="X1712" t="s">
        <v>72</v>
      </c>
      <c r="Y1712" s="3">
        <v>8</v>
      </c>
      <c r="Z1712" t="s">
        <v>73</v>
      </c>
      <c r="AA1712" t="s">
        <v>11329</v>
      </c>
      <c r="AB1712" t="s">
        <v>53</v>
      </c>
      <c r="AC1712" s="3">
        <v>1.29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f t="shared" si="52"/>
        <v>16.52</v>
      </c>
      <c r="AK1712" s="3">
        <f t="shared" si="53"/>
        <v>8.52</v>
      </c>
    </row>
    <row r="1713" spans="1:37">
      <c r="A1713">
        <v>10373004</v>
      </c>
      <c r="B1713" t="s">
        <v>37</v>
      </c>
      <c r="C1713" t="s">
        <v>11330</v>
      </c>
      <c r="E1713" t="s">
        <v>3527</v>
      </c>
      <c r="F1713" t="s">
        <v>11331</v>
      </c>
      <c r="G1713" t="s">
        <v>11332</v>
      </c>
      <c r="H1713" t="s">
        <v>42</v>
      </c>
      <c r="I1713" t="s">
        <v>11333</v>
      </c>
      <c r="J1713" t="s">
        <v>11334</v>
      </c>
      <c r="K1713" t="s">
        <v>11335</v>
      </c>
      <c r="L1713" t="s">
        <v>229</v>
      </c>
      <c r="M1713" t="s">
        <v>46</v>
      </c>
      <c r="N1713" t="s">
        <v>47</v>
      </c>
      <c r="O1713">
        <v>4</v>
      </c>
      <c r="P1713">
        <v>1</v>
      </c>
      <c r="Q1713">
        <v>4</v>
      </c>
      <c r="R1713" t="s">
        <v>48</v>
      </c>
      <c r="S1713" t="s">
        <v>49</v>
      </c>
      <c r="T1713" s="3">
        <v>0.84</v>
      </c>
      <c r="U1713" s="3">
        <v>0.23</v>
      </c>
      <c r="V1713" s="3">
        <v>3.55</v>
      </c>
      <c r="W1713">
        <v>2.67</v>
      </c>
      <c r="X1713" t="s">
        <v>50</v>
      </c>
      <c r="Y1713" s="3">
        <v>13.48</v>
      </c>
      <c r="Z1713" t="s">
        <v>73</v>
      </c>
      <c r="AA1713" t="s">
        <v>11336</v>
      </c>
      <c r="AB1713" t="s">
        <v>53</v>
      </c>
      <c r="AC1713" s="3">
        <v>1.29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f t="shared" si="52"/>
        <v>19.39</v>
      </c>
      <c r="AK1713" s="3">
        <f t="shared" si="53"/>
        <v>5.91</v>
      </c>
    </row>
    <row r="1714" spans="1:37">
      <c r="A1714">
        <v>10374568</v>
      </c>
      <c r="B1714" t="s">
        <v>37</v>
      </c>
      <c r="C1714" t="s">
        <v>11337</v>
      </c>
      <c r="E1714" t="s">
        <v>11338</v>
      </c>
      <c r="F1714" t="s">
        <v>11339</v>
      </c>
      <c r="G1714" t="s">
        <v>11340</v>
      </c>
      <c r="H1714" t="s">
        <v>42</v>
      </c>
      <c r="I1714" t="s">
        <v>11341</v>
      </c>
      <c r="J1714" t="s">
        <v>11342</v>
      </c>
      <c r="K1714">
        <v>65529</v>
      </c>
      <c r="L1714" t="s">
        <v>71</v>
      </c>
      <c r="M1714" t="s">
        <v>46</v>
      </c>
      <c r="N1714" t="s">
        <v>47</v>
      </c>
      <c r="O1714">
        <v>4</v>
      </c>
      <c r="P1714">
        <v>1</v>
      </c>
      <c r="Q1714">
        <v>4</v>
      </c>
      <c r="R1714" t="s">
        <v>48</v>
      </c>
      <c r="S1714" t="s">
        <v>49</v>
      </c>
      <c r="T1714" s="3">
        <v>0.84</v>
      </c>
      <c r="U1714" s="3">
        <v>0.23</v>
      </c>
      <c r="V1714" s="3">
        <v>3.55</v>
      </c>
      <c r="W1714">
        <v>1.56</v>
      </c>
      <c r="X1714" t="s">
        <v>108</v>
      </c>
      <c r="Y1714" s="3">
        <v>5.14</v>
      </c>
      <c r="Z1714" t="s">
        <v>9686</v>
      </c>
      <c r="AA1714" t="s">
        <v>429</v>
      </c>
      <c r="AB1714" t="s">
        <v>53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f t="shared" si="52"/>
        <v>9.76</v>
      </c>
      <c r="AK1714" s="3">
        <f t="shared" si="53"/>
        <v>4.62</v>
      </c>
    </row>
    <row r="1715" spans="1:37">
      <c r="A1715">
        <v>10375085</v>
      </c>
      <c r="B1715" t="s">
        <v>37</v>
      </c>
      <c r="C1715" t="s">
        <v>11343</v>
      </c>
      <c r="E1715" t="s">
        <v>2638</v>
      </c>
      <c r="F1715" t="s">
        <v>11344</v>
      </c>
      <c r="G1715" t="s">
        <v>11345</v>
      </c>
      <c r="H1715" t="s">
        <v>42</v>
      </c>
      <c r="I1715" t="s">
        <v>11346</v>
      </c>
      <c r="J1715" t="s">
        <v>11347</v>
      </c>
      <c r="K1715" t="s">
        <v>11348</v>
      </c>
      <c r="L1715" t="s">
        <v>142</v>
      </c>
      <c r="M1715" t="s">
        <v>46</v>
      </c>
      <c r="N1715" t="s">
        <v>47</v>
      </c>
      <c r="O1715">
        <v>4</v>
      </c>
      <c r="P1715">
        <v>1</v>
      </c>
      <c r="Q1715">
        <v>4</v>
      </c>
      <c r="R1715" t="s">
        <v>48</v>
      </c>
      <c r="S1715" t="s">
        <v>49</v>
      </c>
      <c r="T1715" s="3">
        <v>0.84</v>
      </c>
      <c r="U1715" s="3">
        <v>0.23</v>
      </c>
      <c r="V1715" s="3">
        <v>3.55</v>
      </c>
      <c r="W1715">
        <v>1.56</v>
      </c>
      <c r="X1715" t="s">
        <v>50</v>
      </c>
      <c r="Y1715" s="3">
        <v>16.43</v>
      </c>
      <c r="Z1715" t="s">
        <v>9686</v>
      </c>
      <c r="AA1715" t="s">
        <v>1878</v>
      </c>
      <c r="AB1715" t="s">
        <v>53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f t="shared" si="52"/>
        <v>21.05</v>
      </c>
      <c r="AK1715" s="3">
        <f t="shared" si="53"/>
        <v>4.620000000000001</v>
      </c>
    </row>
    <row r="1716" spans="1:37">
      <c r="A1716">
        <v>10363297</v>
      </c>
      <c r="B1716" t="s">
        <v>111</v>
      </c>
      <c r="C1716" t="s">
        <v>11349</v>
      </c>
      <c r="D1716" t="s">
        <v>977</v>
      </c>
      <c r="E1716" t="s">
        <v>978</v>
      </c>
      <c r="F1716" t="s">
        <v>979</v>
      </c>
      <c r="G1716" t="s">
        <v>11350</v>
      </c>
      <c r="H1716" t="s">
        <v>117</v>
      </c>
      <c r="I1716" t="s">
        <v>11351</v>
      </c>
      <c r="J1716" t="s">
        <v>982</v>
      </c>
      <c r="K1716">
        <v>91370</v>
      </c>
      <c r="L1716" t="s">
        <v>130</v>
      </c>
      <c r="M1716" t="s">
        <v>46</v>
      </c>
      <c r="N1716" t="s">
        <v>47</v>
      </c>
      <c r="O1716">
        <v>96</v>
      </c>
      <c r="P1716">
        <v>1</v>
      </c>
      <c r="Q1716">
        <v>96</v>
      </c>
      <c r="R1716" t="s">
        <v>48</v>
      </c>
      <c r="S1716" t="s">
        <v>49</v>
      </c>
      <c r="T1716" s="3">
        <v>7</v>
      </c>
      <c r="U1716" s="3">
        <v>0.23</v>
      </c>
      <c r="V1716" s="3">
        <v>76.989999999999995</v>
      </c>
      <c r="W1716">
        <v>16</v>
      </c>
      <c r="X1716" t="s">
        <v>50</v>
      </c>
      <c r="Y1716" s="3">
        <v>19.82</v>
      </c>
      <c r="Z1716" t="s">
        <v>11352</v>
      </c>
      <c r="AA1716" t="s">
        <v>11353</v>
      </c>
      <c r="AB1716" t="s">
        <v>53</v>
      </c>
      <c r="AC1716" s="3">
        <v>4.21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f t="shared" si="52"/>
        <v>108.25</v>
      </c>
      <c r="AK1716" s="3">
        <f t="shared" si="53"/>
        <v>88.43</v>
      </c>
    </row>
    <row r="1717" spans="1:37">
      <c r="A1717">
        <v>10370272</v>
      </c>
      <c r="B1717" t="s">
        <v>37</v>
      </c>
      <c r="C1717" t="s">
        <v>11354</v>
      </c>
      <c r="E1717" t="s">
        <v>3574</v>
      </c>
      <c r="F1717" t="s">
        <v>11355</v>
      </c>
      <c r="G1717" t="s">
        <v>11356</v>
      </c>
      <c r="H1717" t="s">
        <v>42</v>
      </c>
      <c r="I1717" t="s">
        <v>11357</v>
      </c>
      <c r="J1717" t="s">
        <v>11358</v>
      </c>
      <c r="K1717">
        <v>76547</v>
      </c>
      <c r="L1717" t="s">
        <v>71</v>
      </c>
      <c r="M1717" t="s">
        <v>46</v>
      </c>
      <c r="N1717" t="s">
        <v>47</v>
      </c>
      <c r="O1717">
        <v>3</v>
      </c>
      <c r="P1717">
        <v>1</v>
      </c>
      <c r="Q1717">
        <v>3</v>
      </c>
      <c r="R1717" t="s">
        <v>48</v>
      </c>
      <c r="S1717" t="s">
        <v>49</v>
      </c>
      <c r="T1717" s="3">
        <v>0.84</v>
      </c>
      <c r="U1717" s="3">
        <v>0.23</v>
      </c>
      <c r="V1717" s="3">
        <v>2.68</v>
      </c>
      <c r="W1717">
        <v>0.45</v>
      </c>
      <c r="X1717" t="s">
        <v>108</v>
      </c>
      <c r="Y1717" s="3">
        <v>5.14</v>
      </c>
      <c r="Z1717" t="s">
        <v>9850</v>
      </c>
      <c r="AA1717" t="s">
        <v>11359</v>
      </c>
      <c r="AB1717" t="s">
        <v>53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f t="shared" si="52"/>
        <v>8.89</v>
      </c>
      <c r="AK1717" s="3">
        <f t="shared" si="53"/>
        <v>3.7500000000000009</v>
      </c>
    </row>
    <row r="1718" spans="1:37">
      <c r="A1718">
        <v>10375912</v>
      </c>
      <c r="B1718" t="s">
        <v>37</v>
      </c>
      <c r="C1718" t="s">
        <v>11360</v>
      </c>
      <c r="E1718" t="s">
        <v>11361</v>
      </c>
      <c r="F1718" t="s">
        <v>11362</v>
      </c>
      <c r="G1718" t="s">
        <v>11363</v>
      </c>
      <c r="H1718" t="s">
        <v>42</v>
      </c>
      <c r="I1718" t="s">
        <v>11364</v>
      </c>
      <c r="J1718" t="s">
        <v>11365</v>
      </c>
      <c r="K1718">
        <v>6370</v>
      </c>
      <c r="L1718" t="s">
        <v>618</v>
      </c>
      <c r="M1718" t="s">
        <v>46</v>
      </c>
      <c r="N1718" t="s">
        <v>47</v>
      </c>
      <c r="O1718">
        <v>1</v>
      </c>
      <c r="P1718">
        <v>1</v>
      </c>
      <c r="Q1718">
        <v>1</v>
      </c>
      <c r="R1718" t="s">
        <v>48</v>
      </c>
      <c r="S1718" t="s">
        <v>49</v>
      </c>
      <c r="T1718" s="3">
        <v>0.84</v>
      </c>
      <c r="U1718" s="3">
        <v>0.23</v>
      </c>
      <c r="V1718" s="3">
        <v>0.94</v>
      </c>
      <c r="W1718">
        <v>1.4</v>
      </c>
      <c r="X1718" t="s">
        <v>50</v>
      </c>
      <c r="Y1718" s="3">
        <v>9.19</v>
      </c>
      <c r="Z1718" t="s">
        <v>9686</v>
      </c>
      <c r="AA1718" t="s">
        <v>198</v>
      </c>
      <c r="AB1718" t="s">
        <v>53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f t="shared" si="52"/>
        <v>11.2</v>
      </c>
      <c r="AK1718" s="3">
        <f t="shared" si="53"/>
        <v>2.0099999999999998</v>
      </c>
    </row>
    <row r="1719" spans="1:37">
      <c r="A1719">
        <v>10374254</v>
      </c>
      <c r="B1719" t="s">
        <v>37</v>
      </c>
      <c r="C1719" t="s">
        <v>11366</v>
      </c>
      <c r="E1719" t="s">
        <v>11367</v>
      </c>
      <c r="F1719" t="s">
        <v>11368</v>
      </c>
      <c r="G1719" t="s">
        <v>11369</v>
      </c>
      <c r="H1719" t="s">
        <v>42</v>
      </c>
      <c r="I1719" t="s">
        <v>11370</v>
      </c>
      <c r="J1719" t="s">
        <v>11371</v>
      </c>
      <c r="K1719">
        <v>88451</v>
      </c>
      <c r="L1719" t="s">
        <v>71</v>
      </c>
      <c r="M1719" t="s">
        <v>46</v>
      </c>
      <c r="N1719" t="s">
        <v>47</v>
      </c>
      <c r="O1719">
        <v>2</v>
      </c>
      <c r="P1719">
        <v>1</v>
      </c>
      <c r="Q1719">
        <v>2</v>
      </c>
      <c r="R1719" t="s">
        <v>48</v>
      </c>
      <c r="S1719" t="s">
        <v>49</v>
      </c>
      <c r="T1719" s="3">
        <v>0.84</v>
      </c>
      <c r="U1719" s="3">
        <v>0.23</v>
      </c>
      <c r="V1719" s="3">
        <v>1.81</v>
      </c>
      <c r="W1719">
        <v>2.9</v>
      </c>
      <c r="X1719" t="s">
        <v>72</v>
      </c>
      <c r="Y1719" s="3">
        <v>6.61</v>
      </c>
      <c r="Z1719" t="s">
        <v>73</v>
      </c>
      <c r="AA1719" t="s">
        <v>11372</v>
      </c>
      <c r="AB1719" t="s">
        <v>53</v>
      </c>
      <c r="AC1719" s="3">
        <v>1.29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f t="shared" si="52"/>
        <v>10.780000000000001</v>
      </c>
      <c r="AK1719" s="3">
        <f t="shared" si="53"/>
        <v>4.1700000000000008</v>
      </c>
    </row>
    <row r="1720" spans="1:37">
      <c r="A1720">
        <v>10375920</v>
      </c>
      <c r="B1720" t="s">
        <v>37</v>
      </c>
      <c r="C1720" t="s">
        <v>11373</v>
      </c>
      <c r="E1720" t="s">
        <v>2064</v>
      </c>
      <c r="F1720" t="s">
        <v>11374</v>
      </c>
      <c r="G1720" t="s">
        <v>11375</v>
      </c>
      <c r="H1720" t="s">
        <v>42</v>
      </c>
      <c r="I1720" t="s">
        <v>11376</v>
      </c>
      <c r="J1720" t="s">
        <v>11377</v>
      </c>
      <c r="K1720">
        <v>82343</v>
      </c>
      <c r="L1720" t="s">
        <v>71</v>
      </c>
      <c r="M1720" t="s">
        <v>46</v>
      </c>
      <c r="N1720" t="s">
        <v>47</v>
      </c>
      <c r="O1720">
        <v>1</v>
      </c>
      <c r="P1720">
        <v>1</v>
      </c>
      <c r="Q1720">
        <v>1</v>
      </c>
      <c r="R1720" t="s">
        <v>48</v>
      </c>
      <c r="S1720" t="s">
        <v>49</v>
      </c>
      <c r="T1720" s="3">
        <v>0.84</v>
      </c>
      <c r="U1720" s="3">
        <v>0.23</v>
      </c>
      <c r="V1720" s="3">
        <v>0.94</v>
      </c>
      <c r="W1720">
        <v>1.4</v>
      </c>
      <c r="X1720" t="s">
        <v>108</v>
      </c>
      <c r="Y1720" s="3">
        <v>5.14</v>
      </c>
      <c r="Z1720" t="s">
        <v>9686</v>
      </c>
      <c r="AA1720" t="s">
        <v>198</v>
      </c>
      <c r="AB1720" t="s">
        <v>53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f t="shared" si="52"/>
        <v>7.15</v>
      </c>
      <c r="AK1720" s="3">
        <f t="shared" si="53"/>
        <v>2.0100000000000007</v>
      </c>
    </row>
    <row r="1721" spans="1:37">
      <c r="A1721">
        <v>10374565</v>
      </c>
      <c r="B1721" t="s">
        <v>37</v>
      </c>
      <c r="C1721" t="s">
        <v>11378</v>
      </c>
      <c r="E1721" t="s">
        <v>11097</v>
      </c>
      <c r="F1721" t="s">
        <v>2175</v>
      </c>
      <c r="G1721" t="s">
        <v>11379</v>
      </c>
      <c r="H1721" t="s">
        <v>42</v>
      </c>
      <c r="I1721" t="s">
        <v>11380</v>
      </c>
      <c r="J1721" t="s">
        <v>11381</v>
      </c>
      <c r="K1721" t="s">
        <v>11382</v>
      </c>
      <c r="L1721" t="s">
        <v>142</v>
      </c>
      <c r="M1721" t="s">
        <v>46</v>
      </c>
      <c r="N1721" t="s">
        <v>47</v>
      </c>
      <c r="O1721">
        <v>2</v>
      </c>
      <c r="P1721">
        <v>1</v>
      </c>
      <c r="Q1721">
        <v>2</v>
      </c>
      <c r="R1721" t="s">
        <v>48</v>
      </c>
      <c r="S1721" t="s">
        <v>49</v>
      </c>
      <c r="T1721" s="3">
        <v>0.84</v>
      </c>
      <c r="U1721" s="3">
        <v>0.23</v>
      </c>
      <c r="V1721" s="3">
        <v>1.81</v>
      </c>
      <c r="W1721">
        <v>0.98</v>
      </c>
      <c r="X1721" t="s">
        <v>50</v>
      </c>
      <c r="Y1721" s="3">
        <v>16.43</v>
      </c>
      <c r="Z1721" t="s">
        <v>9850</v>
      </c>
      <c r="AA1721" t="s">
        <v>1341</v>
      </c>
      <c r="AB1721" t="s">
        <v>53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f t="shared" si="52"/>
        <v>19.309999999999999</v>
      </c>
      <c r="AK1721" s="3">
        <f t="shared" si="53"/>
        <v>2.879999999999999</v>
      </c>
    </row>
    <row r="1722" spans="1:37">
      <c r="A1722">
        <v>10375087</v>
      </c>
      <c r="B1722" t="s">
        <v>37</v>
      </c>
      <c r="C1722" t="s">
        <v>11383</v>
      </c>
      <c r="E1722" t="s">
        <v>3681</v>
      </c>
      <c r="F1722" t="s">
        <v>4696</v>
      </c>
      <c r="G1722" t="s">
        <v>11384</v>
      </c>
      <c r="H1722" t="s">
        <v>42</v>
      </c>
      <c r="I1722" t="s">
        <v>11385</v>
      </c>
      <c r="J1722" t="s">
        <v>11386</v>
      </c>
      <c r="K1722" t="s">
        <v>4700</v>
      </c>
      <c r="L1722" t="s">
        <v>142</v>
      </c>
      <c r="M1722" t="s">
        <v>46</v>
      </c>
      <c r="N1722" t="s">
        <v>47</v>
      </c>
      <c r="O1722">
        <v>1</v>
      </c>
      <c r="P1722">
        <v>1</v>
      </c>
      <c r="Q1722">
        <v>1</v>
      </c>
      <c r="R1722" t="s">
        <v>48</v>
      </c>
      <c r="S1722" t="s">
        <v>49</v>
      </c>
      <c r="T1722" s="3">
        <v>0.84</v>
      </c>
      <c r="U1722" s="3">
        <v>0.23</v>
      </c>
      <c r="V1722" s="3">
        <v>0.94</v>
      </c>
      <c r="W1722">
        <v>0.5</v>
      </c>
      <c r="X1722" t="s">
        <v>50</v>
      </c>
      <c r="Y1722" s="3">
        <v>16.43</v>
      </c>
      <c r="Z1722" t="s">
        <v>9850</v>
      </c>
      <c r="AA1722" t="s">
        <v>11387</v>
      </c>
      <c r="AB1722" t="s">
        <v>53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f t="shared" si="52"/>
        <v>18.440000000000001</v>
      </c>
      <c r="AK1722" s="3">
        <f t="shared" si="53"/>
        <v>2.0100000000000016</v>
      </c>
    </row>
    <row r="1723" spans="1:37">
      <c r="A1723">
        <v>10374570</v>
      </c>
      <c r="B1723" t="s">
        <v>37</v>
      </c>
      <c r="C1723" t="s">
        <v>11388</v>
      </c>
      <c r="E1723" t="s">
        <v>11018</v>
      </c>
      <c r="F1723" t="s">
        <v>11389</v>
      </c>
      <c r="G1723" t="s">
        <v>11390</v>
      </c>
      <c r="H1723" t="s">
        <v>42</v>
      </c>
      <c r="I1723" t="s">
        <v>11391</v>
      </c>
      <c r="J1723" t="s">
        <v>11392</v>
      </c>
      <c r="K1723">
        <v>55411</v>
      </c>
      <c r="L1723" t="s">
        <v>71</v>
      </c>
      <c r="M1723" t="s">
        <v>46</v>
      </c>
      <c r="N1723" t="s">
        <v>47</v>
      </c>
      <c r="O1723">
        <v>2</v>
      </c>
      <c r="P1723">
        <v>1</v>
      </c>
      <c r="Q1723">
        <v>2</v>
      </c>
      <c r="R1723" t="s">
        <v>48</v>
      </c>
      <c r="S1723" t="s">
        <v>49</v>
      </c>
      <c r="T1723" s="3">
        <v>0.84</v>
      </c>
      <c r="U1723" s="3">
        <v>0.23</v>
      </c>
      <c r="V1723" s="3">
        <v>1.81</v>
      </c>
      <c r="W1723">
        <v>0.98</v>
      </c>
      <c r="X1723" t="s">
        <v>108</v>
      </c>
      <c r="Y1723" s="3">
        <v>5.14</v>
      </c>
      <c r="Z1723" t="s">
        <v>9850</v>
      </c>
      <c r="AA1723" t="s">
        <v>1371</v>
      </c>
      <c r="AB1723" t="s">
        <v>53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f t="shared" si="52"/>
        <v>8.02</v>
      </c>
      <c r="AK1723" s="3">
        <f t="shared" si="53"/>
        <v>2.88</v>
      </c>
    </row>
    <row r="1724" spans="1:37">
      <c r="A1724">
        <v>10376421</v>
      </c>
      <c r="B1724" t="s">
        <v>37</v>
      </c>
      <c r="C1724" t="s">
        <v>11393</v>
      </c>
      <c r="E1724" t="s">
        <v>11394</v>
      </c>
      <c r="F1724" t="s">
        <v>11395</v>
      </c>
      <c r="G1724" t="s">
        <v>11396</v>
      </c>
      <c r="H1724" t="s">
        <v>42</v>
      </c>
      <c r="I1724" t="s">
        <v>11397</v>
      </c>
      <c r="J1724" t="s">
        <v>11398</v>
      </c>
      <c r="K1724">
        <v>96052</v>
      </c>
      <c r="L1724" t="s">
        <v>71</v>
      </c>
      <c r="M1724" t="s">
        <v>46</v>
      </c>
      <c r="N1724" t="s">
        <v>47</v>
      </c>
      <c r="O1724">
        <v>1</v>
      </c>
      <c r="P1724">
        <v>1</v>
      </c>
      <c r="Q1724">
        <v>1</v>
      </c>
      <c r="R1724" t="s">
        <v>48</v>
      </c>
      <c r="S1724" t="s">
        <v>49</v>
      </c>
      <c r="T1724" s="3">
        <v>0.84</v>
      </c>
      <c r="U1724" s="3">
        <v>0.23</v>
      </c>
      <c r="V1724" s="3">
        <v>0.94</v>
      </c>
      <c r="W1724">
        <v>0.45</v>
      </c>
      <c r="X1724" t="s">
        <v>108</v>
      </c>
      <c r="Y1724" s="3">
        <v>5.14</v>
      </c>
      <c r="Z1724" t="s">
        <v>9850</v>
      </c>
      <c r="AA1724" t="s">
        <v>11399</v>
      </c>
      <c r="AB1724" t="s">
        <v>53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f t="shared" si="52"/>
        <v>7.15</v>
      </c>
      <c r="AK1724" s="3">
        <f t="shared" si="53"/>
        <v>2.0100000000000007</v>
      </c>
    </row>
    <row r="1725" spans="1:37">
      <c r="A1725">
        <v>10376420</v>
      </c>
      <c r="B1725" t="s">
        <v>37</v>
      </c>
      <c r="C1725" t="s">
        <v>11400</v>
      </c>
      <c r="E1725" t="s">
        <v>11401</v>
      </c>
      <c r="F1725" t="s">
        <v>11402</v>
      </c>
      <c r="G1725" t="s">
        <v>11403</v>
      </c>
      <c r="H1725" t="s">
        <v>42</v>
      </c>
      <c r="I1725" t="s">
        <v>11404</v>
      </c>
      <c r="J1725" t="s">
        <v>11405</v>
      </c>
      <c r="K1725">
        <v>64287</v>
      </c>
      <c r="L1725" t="s">
        <v>71</v>
      </c>
      <c r="M1725" t="s">
        <v>46</v>
      </c>
      <c r="N1725" t="s">
        <v>47</v>
      </c>
      <c r="O1725">
        <v>1</v>
      </c>
      <c r="P1725">
        <v>1</v>
      </c>
      <c r="Q1725">
        <v>1</v>
      </c>
      <c r="R1725" t="s">
        <v>48</v>
      </c>
      <c r="S1725" t="s">
        <v>49</v>
      </c>
      <c r="T1725" s="3">
        <v>0.84</v>
      </c>
      <c r="U1725" s="3">
        <v>0.23</v>
      </c>
      <c r="V1725" s="3">
        <v>0.94</v>
      </c>
      <c r="W1725">
        <v>0.39</v>
      </c>
      <c r="X1725" t="s">
        <v>108</v>
      </c>
      <c r="Y1725" s="3">
        <v>5.14</v>
      </c>
      <c r="Z1725" t="s">
        <v>9850</v>
      </c>
      <c r="AA1725" t="s">
        <v>8514</v>
      </c>
      <c r="AB1725" t="s">
        <v>53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f t="shared" si="52"/>
        <v>7.15</v>
      </c>
      <c r="AK1725" s="3">
        <f t="shared" si="53"/>
        <v>2.0100000000000007</v>
      </c>
    </row>
    <row r="1726" spans="1:37">
      <c r="A1726">
        <v>10376619</v>
      </c>
      <c r="B1726" t="s">
        <v>37</v>
      </c>
      <c r="C1726" t="s">
        <v>11406</v>
      </c>
      <c r="E1726" t="s">
        <v>11407</v>
      </c>
      <c r="F1726" t="s">
        <v>11408</v>
      </c>
      <c r="G1726" t="s">
        <v>11409</v>
      </c>
      <c r="H1726" t="s">
        <v>42</v>
      </c>
      <c r="I1726" t="s">
        <v>11410</v>
      </c>
      <c r="J1726" t="s">
        <v>11411</v>
      </c>
      <c r="K1726" t="s">
        <v>11412</v>
      </c>
      <c r="L1726" t="s">
        <v>142</v>
      </c>
      <c r="M1726" t="s">
        <v>46</v>
      </c>
      <c r="N1726" t="s">
        <v>47</v>
      </c>
      <c r="O1726">
        <v>1</v>
      </c>
      <c r="P1726">
        <v>1</v>
      </c>
      <c r="Q1726">
        <v>1</v>
      </c>
      <c r="R1726" t="s">
        <v>48</v>
      </c>
      <c r="S1726" t="s">
        <v>49</v>
      </c>
      <c r="T1726" s="3">
        <v>0.84</v>
      </c>
      <c r="U1726" s="3">
        <v>0.23</v>
      </c>
      <c r="V1726" s="3">
        <v>0.94</v>
      </c>
      <c r="W1726">
        <v>0.39</v>
      </c>
      <c r="X1726" t="s">
        <v>50</v>
      </c>
      <c r="Y1726" s="3">
        <v>16.43</v>
      </c>
      <c r="Z1726" t="s">
        <v>9850</v>
      </c>
      <c r="AA1726" t="s">
        <v>1802</v>
      </c>
      <c r="AB1726" t="s">
        <v>53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f t="shared" si="52"/>
        <v>18.440000000000001</v>
      </c>
      <c r="AK1726" s="3">
        <f t="shared" si="53"/>
        <v>2.0100000000000016</v>
      </c>
    </row>
    <row r="1727" spans="1:37">
      <c r="A1727">
        <v>10375908</v>
      </c>
      <c r="B1727" t="s">
        <v>37</v>
      </c>
      <c r="C1727" t="s">
        <v>11413</v>
      </c>
      <c r="E1727" t="s">
        <v>1742</v>
      </c>
      <c r="F1727" t="s">
        <v>2445</v>
      </c>
      <c r="G1727" t="s">
        <v>11414</v>
      </c>
      <c r="H1727" t="s">
        <v>42</v>
      </c>
      <c r="I1727" t="s">
        <v>11415</v>
      </c>
      <c r="J1727" t="s">
        <v>11416</v>
      </c>
      <c r="K1727" t="s">
        <v>11417</v>
      </c>
      <c r="L1727" t="s">
        <v>142</v>
      </c>
      <c r="M1727" t="s">
        <v>46</v>
      </c>
      <c r="N1727" t="s">
        <v>47</v>
      </c>
      <c r="O1727">
        <v>2</v>
      </c>
      <c r="P1727">
        <v>1</v>
      </c>
      <c r="Q1727">
        <v>2</v>
      </c>
      <c r="R1727" t="s">
        <v>48</v>
      </c>
      <c r="S1727" t="s">
        <v>49</v>
      </c>
      <c r="T1727" s="3">
        <v>0.84</v>
      </c>
      <c r="U1727" s="3">
        <v>0.23</v>
      </c>
      <c r="V1727" s="3">
        <v>1.81</v>
      </c>
      <c r="W1727">
        <v>0.64</v>
      </c>
      <c r="X1727" t="s">
        <v>50</v>
      </c>
      <c r="Y1727" s="3">
        <v>16.43</v>
      </c>
      <c r="Z1727" t="s">
        <v>9850</v>
      </c>
      <c r="AA1727" t="s">
        <v>11418</v>
      </c>
      <c r="AB1727" t="s">
        <v>53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f t="shared" si="52"/>
        <v>19.309999999999999</v>
      </c>
      <c r="AK1727" s="3">
        <f t="shared" si="53"/>
        <v>2.879999999999999</v>
      </c>
    </row>
    <row r="1728" spans="1:37">
      <c r="A1728">
        <v>10375918</v>
      </c>
      <c r="B1728" t="s">
        <v>37</v>
      </c>
      <c r="C1728" t="s">
        <v>11419</v>
      </c>
      <c r="E1728" t="s">
        <v>10556</v>
      </c>
      <c r="F1728" t="s">
        <v>11420</v>
      </c>
      <c r="G1728" t="s">
        <v>11421</v>
      </c>
      <c r="H1728" t="s">
        <v>42</v>
      </c>
      <c r="I1728" t="s">
        <v>11422</v>
      </c>
      <c r="J1728" t="s">
        <v>11423</v>
      </c>
      <c r="K1728" t="s">
        <v>11424</v>
      </c>
      <c r="L1728" t="s">
        <v>82</v>
      </c>
      <c r="M1728" t="s">
        <v>46</v>
      </c>
      <c r="N1728" t="s">
        <v>47</v>
      </c>
      <c r="O1728">
        <v>1</v>
      </c>
      <c r="P1728">
        <v>1</v>
      </c>
      <c r="Q1728">
        <v>1</v>
      </c>
      <c r="R1728" t="s">
        <v>48</v>
      </c>
      <c r="S1728" t="s">
        <v>49</v>
      </c>
      <c r="T1728" s="3">
        <v>0.84</v>
      </c>
      <c r="U1728" s="3">
        <v>0.23</v>
      </c>
      <c r="V1728" s="3">
        <v>0.94</v>
      </c>
      <c r="W1728">
        <v>1.02</v>
      </c>
      <c r="X1728" t="s">
        <v>50</v>
      </c>
      <c r="Y1728" s="3">
        <v>9.19</v>
      </c>
      <c r="Z1728" t="s">
        <v>9686</v>
      </c>
      <c r="AA1728" t="s">
        <v>3456</v>
      </c>
      <c r="AB1728" t="s">
        <v>53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f t="shared" si="52"/>
        <v>11.2</v>
      </c>
      <c r="AK1728" s="3">
        <f t="shared" si="53"/>
        <v>2.0099999999999998</v>
      </c>
    </row>
    <row r="1729" spans="1:37">
      <c r="A1729">
        <v>10375091</v>
      </c>
      <c r="B1729" t="s">
        <v>37</v>
      </c>
      <c r="C1729" t="s">
        <v>11425</v>
      </c>
      <c r="E1729" t="s">
        <v>10813</v>
      </c>
      <c r="F1729" t="s">
        <v>11426</v>
      </c>
      <c r="G1729" t="s">
        <v>11427</v>
      </c>
      <c r="H1729" t="s">
        <v>42</v>
      </c>
      <c r="I1729" t="s">
        <v>11428</v>
      </c>
      <c r="J1729" t="s">
        <v>11429</v>
      </c>
      <c r="K1729">
        <v>3191</v>
      </c>
      <c r="L1729" t="s">
        <v>505</v>
      </c>
      <c r="M1729" t="s">
        <v>46</v>
      </c>
      <c r="N1729" t="s">
        <v>47</v>
      </c>
      <c r="O1729">
        <v>2</v>
      </c>
      <c r="P1729">
        <v>1</v>
      </c>
      <c r="Q1729">
        <v>2</v>
      </c>
      <c r="R1729" t="s">
        <v>48</v>
      </c>
      <c r="S1729" t="s">
        <v>49</v>
      </c>
      <c r="T1729" s="3">
        <v>0.84</v>
      </c>
      <c r="U1729" s="3">
        <v>0.23</v>
      </c>
      <c r="V1729" s="3">
        <v>1.81</v>
      </c>
      <c r="W1729">
        <v>0.98</v>
      </c>
      <c r="X1729" t="s">
        <v>50</v>
      </c>
      <c r="Y1729" s="3">
        <v>9.19</v>
      </c>
      <c r="Z1729" t="s">
        <v>9686</v>
      </c>
      <c r="AA1729" t="s">
        <v>11430</v>
      </c>
      <c r="AB1729" t="s">
        <v>53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f t="shared" si="52"/>
        <v>12.07</v>
      </c>
      <c r="AK1729" s="3">
        <f t="shared" si="53"/>
        <v>2.8800000000000008</v>
      </c>
    </row>
    <row r="1730" spans="1:37">
      <c r="A1730">
        <v>10375088</v>
      </c>
      <c r="B1730" t="s">
        <v>37</v>
      </c>
      <c r="C1730" t="s">
        <v>11431</v>
      </c>
      <c r="E1730" t="s">
        <v>11432</v>
      </c>
      <c r="F1730" t="s">
        <v>11433</v>
      </c>
      <c r="G1730" t="s">
        <v>11434</v>
      </c>
      <c r="H1730" t="s">
        <v>42</v>
      </c>
      <c r="I1730" t="s">
        <v>11435</v>
      </c>
      <c r="J1730" t="s">
        <v>11436</v>
      </c>
      <c r="K1730">
        <v>86000</v>
      </c>
      <c r="L1730" t="s">
        <v>130</v>
      </c>
      <c r="M1730" t="s">
        <v>46</v>
      </c>
      <c r="N1730" t="s">
        <v>47</v>
      </c>
      <c r="O1730">
        <v>1</v>
      </c>
      <c r="P1730">
        <v>1</v>
      </c>
      <c r="Q1730">
        <v>1</v>
      </c>
      <c r="R1730" t="s">
        <v>48</v>
      </c>
      <c r="S1730" t="s">
        <v>49</v>
      </c>
      <c r="T1730" s="3">
        <v>0.84</v>
      </c>
      <c r="U1730" s="3">
        <v>0.23</v>
      </c>
      <c r="V1730" s="3">
        <v>0.94</v>
      </c>
      <c r="W1730">
        <v>0.49</v>
      </c>
      <c r="X1730" t="s">
        <v>50</v>
      </c>
      <c r="Y1730" s="3">
        <v>14.26</v>
      </c>
      <c r="Z1730" t="s">
        <v>9850</v>
      </c>
      <c r="AA1730" t="s">
        <v>2623</v>
      </c>
      <c r="AB1730" t="s">
        <v>53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f t="shared" ref="AJ1730:AJ1793" si="54">AI1730+AH1730+AG1730+AF1730+AE1730+AD1730+AC1730+Y1730+V1730+U1730+T1730</f>
        <v>16.27</v>
      </c>
      <c r="AK1730" s="3">
        <f t="shared" ref="AK1730:AK1793" si="55">AJ1730-Y1730</f>
        <v>2.0099999999999998</v>
      </c>
    </row>
    <row r="1731" spans="1:37">
      <c r="A1731">
        <v>10375090</v>
      </c>
      <c r="B1731" t="s">
        <v>37</v>
      </c>
      <c r="C1731" t="s">
        <v>11437</v>
      </c>
      <c r="E1731" t="s">
        <v>1527</v>
      </c>
      <c r="F1731" t="s">
        <v>11438</v>
      </c>
      <c r="G1731" t="s">
        <v>11439</v>
      </c>
      <c r="H1731" t="s">
        <v>42</v>
      </c>
      <c r="I1731" t="s">
        <v>11440</v>
      </c>
      <c r="J1731" t="s">
        <v>11441</v>
      </c>
      <c r="K1731">
        <v>69493</v>
      </c>
      <c r="L1731" t="s">
        <v>71</v>
      </c>
      <c r="M1731" t="s">
        <v>46</v>
      </c>
      <c r="N1731" t="s">
        <v>47</v>
      </c>
      <c r="O1731">
        <v>2</v>
      </c>
      <c r="P1731">
        <v>1</v>
      </c>
      <c r="Q1731">
        <v>2</v>
      </c>
      <c r="R1731" t="s">
        <v>48</v>
      </c>
      <c r="S1731" t="s">
        <v>49</v>
      </c>
      <c r="T1731" s="3">
        <v>0.84</v>
      </c>
      <c r="U1731" s="3">
        <v>0.23</v>
      </c>
      <c r="V1731" s="3">
        <v>1.81</v>
      </c>
      <c r="W1731">
        <v>0.98</v>
      </c>
      <c r="X1731" t="s">
        <v>108</v>
      </c>
      <c r="Y1731" s="3">
        <v>5.14</v>
      </c>
      <c r="Z1731" t="s">
        <v>9850</v>
      </c>
      <c r="AA1731" t="s">
        <v>11442</v>
      </c>
      <c r="AB1731" t="s">
        <v>53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f t="shared" si="54"/>
        <v>8.02</v>
      </c>
      <c r="AK1731" s="3">
        <f t="shared" si="55"/>
        <v>2.88</v>
      </c>
    </row>
    <row r="1732" spans="1:37">
      <c r="A1732">
        <v>10375679</v>
      </c>
      <c r="B1732" t="s">
        <v>37</v>
      </c>
      <c r="C1732" t="s">
        <v>11443</v>
      </c>
      <c r="E1732" t="s">
        <v>2099</v>
      </c>
      <c r="F1732" t="s">
        <v>11444</v>
      </c>
      <c r="G1732" t="s">
        <v>11445</v>
      </c>
      <c r="H1732" t="s">
        <v>42</v>
      </c>
      <c r="I1732" t="s">
        <v>11446</v>
      </c>
      <c r="J1732" t="s">
        <v>11447</v>
      </c>
      <c r="K1732">
        <v>82538</v>
      </c>
      <c r="L1732" t="s">
        <v>71</v>
      </c>
      <c r="M1732" t="s">
        <v>46</v>
      </c>
      <c r="N1732" t="s">
        <v>47</v>
      </c>
      <c r="O1732">
        <v>1</v>
      </c>
      <c r="P1732">
        <v>1</v>
      </c>
      <c r="Q1732">
        <v>1</v>
      </c>
      <c r="R1732" t="s">
        <v>48</v>
      </c>
      <c r="S1732" t="s">
        <v>49</v>
      </c>
      <c r="T1732" s="3">
        <v>0.84</v>
      </c>
      <c r="U1732" s="3">
        <v>0.23</v>
      </c>
      <c r="V1732" s="3">
        <v>0.94</v>
      </c>
      <c r="W1732">
        <v>2</v>
      </c>
      <c r="X1732" t="s">
        <v>108</v>
      </c>
      <c r="Y1732" s="3">
        <v>5.14</v>
      </c>
      <c r="Z1732" t="s">
        <v>9770</v>
      </c>
      <c r="AA1732" t="s">
        <v>6113</v>
      </c>
      <c r="AB1732" t="s">
        <v>53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f t="shared" si="54"/>
        <v>7.15</v>
      </c>
      <c r="AK1732" s="3">
        <f t="shared" si="55"/>
        <v>2.0100000000000007</v>
      </c>
    </row>
    <row r="1733" spans="1:37">
      <c r="A1733">
        <v>10376621</v>
      </c>
      <c r="B1733" t="s">
        <v>37</v>
      </c>
      <c r="C1733" t="s">
        <v>11448</v>
      </c>
      <c r="E1733" t="s">
        <v>3527</v>
      </c>
      <c r="F1733" t="s">
        <v>11449</v>
      </c>
      <c r="G1733" t="s">
        <v>11450</v>
      </c>
      <c r="H1733" t="s">
        <v>42</v>
      </c>
      <c r="I1733" t="s">
        <v>11451</v>
      </c>
      <c r="J1733" t="s">
        <v>11452</v>
      </c>
      <c r="K1733">
        <v>91056</v>
      </c>
      <c r="L1733" t="s">
        <v>71</v>
      </c>
      <c r="M1733" t="s">
        <v>46</v>
      </c>
      <c r="N1733" t="s">
        <v>47</v>
      </c>
      <c r="O1733">
        <v>1</v>
      </c>
      <c r="P1733">
        <v>1</v>
      </c>
      <c r="Q1733">
        <v>1</v>
      </c>
      <c r="R1733" t="s">
        <v>48</v>
      </c>
      <c r="S1733" t="s">
        <v>49</v>
      </c>
      <c r="T1733" s="3">
        <v>0.84</v>
      </c>
      <c r="U1733" s="3">
        <v>0.23</v>
      </c>
      <c r="V1733" s="3">
        <v>0.94</v>
      </c>
      <c r="W1733">
        <v>0.49</v>
      </c>
      <c r="X1733" t="s">
        <v>108</v>
      </c>
      <c r="Y1733" s="3">
        <v>5.14</v>
      </c>
      <c r="Z1733" t="s">
        <v>9850</v>
      </c>
      <c r="AA1733" t="s">
        <v>1341</v>
      </c>
      <c r="AB1733" t="s">
        <v>53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f t="shared" si="54"/>
        <v>7.15</v>
      </c>
      <c r="AK1733" s="3">
        <f t="shared" si="55"/>
        <v>2.0100000000000007</v>
      </c>
    </row>
    <row r="1734" spans="1:37">
      <c r="A1734">
        <v>10374033</v>
      </c>
      <c r="B1734" t="s">
        <v>37</v>
      </c>
      <c r="C1734" t="s">
        <v>11453</v>
      </c>
      <c r="E1734" t="s">
        <v>1185</v>
      </c>
      <c r="F1734" t="s">
        <v>11454</v>
      </c>
      <c r="G1734" t="s">
        <v>11455</v>
      </c>
      <c r="H1734" t="s">
        <v>42</v>
      </c>
      <c r="I1734" t="s">
        <v>11456</v>
      </c>
      <c r="J1734" t="s">
        <v>11457</v>
      </c>
      <c r="K1734">
        <v>78661</v>
      </c>
      <c r="L1734" t="s">
        <v>71</v>
      </c>
      <c r="M1734" t="s">
        <v>46</v>
      </c>
      <c r="N1734" t="s">
        <v>47</v>
      </c>
      <c r="O1734">
        <v>2</v>
      </c>
      <c r="P1734">
        <v>1</v>
      </c>
      <c r="Q1734">
        <v>2</v>
      </c>
      <c r="R1734" t="s">
        <v>48</v>
      </c>
      <c r="S1734" t="s">
        <v>49</v>
      </c>
      <c r="T1734" s="3">
        <v>0.84</v>
      </c>
      <c r="U1734" s="3">
        <v>0.23</v>
      </c>
      <c r="V1734" s="3">
        <v>1.81</v>
      </c>
      <c r="W1734">
        <v>3.52</v>
      </c>
      <c r="X1734" t="s">
        <v>72</v>
      </c>
      <c r="Y1734" s="3">
        <v>6.61</v>
      </c>
      <c r="Z1734" t="s">
        <v>83</v>
      </c>
      <c r="AA1734" t="s">
        <v>11458</v>
      </c>
      <c r="AB1734" t="s">
        <v>53</v>
      </c>
      <c r="AC1734" s="3">
        <v>1.27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f t="shared" si="54"/>
        <v>10.760000000000002</v>
      </c>
      <c r="AK1734" s="3">
        <f t="shared" si="55"/>
        <v>4.1500000000000012</v>
      </c>
    </row>
    <row r="1735" spans="1:37">
      <c r="A1735">
        <v>10375499</v>
      </c>
      <c r="B1735" t="s">
        <v>37</v>
      </c>
      <c r="C1735" t="s">
        <v>11459</v>
      </c>
      <c r="E1735" t="s">
        <v>11460</v>
      </c>
      <c r="F1735" t="s">
        <v>11461</v>
      </c>
      <c r="G1735" t="s">
        <v>11462</v>
      </c>
      <c r="H1735" t="s">
        <v>42</v>
      </c>
      <c r="I1735" t="s">
        <v>11463</v>
      </c>
      <c r="J1735" t="s">
        <v>11464</v>
      </c>
      <c r="K1735">
        <v>50733</v>
      </c>
      <c r="L1735" t="s">
        <v>71</v>
      </c>
      <c r="M1735" t="s">
        <v>46</v>
      </c>
      <c r="N1735" t="s">
        <v>47</v>
      </c>
      <c r="O1735">
        <v>1</v>
      </c>
      <c r="P1735">
        <v>1</v>
      </c>
      <c r="Q1735">
        <v>1</v>
      </c>
      <c r="R1735" t="s">
        <v>48</v>
      </c>
      <c r="S1735" t="s">
        <v>49</v>
      </c>
      <c r="T1735" s="3">
        <v>0.84</v>
      </c>
      <c r="U1735" s="3">
        <v>0.23</v>
      </c>
      <c r="V1735" s="3">
        <v>0.94</v>
      </c>
      <c r="W1735">
        <v>1.02</v>
      </c>
      <c r="X1735" t="s">
        <v>108</v>
      </c>
      <c r="Y1735" s="3">
        <v>5.14</v>
      </c>
      <c r="Z1735" t="s">
        <v>9686</v>
      </c>
      <c r="AA1735" t="s">
        <v>1754</v>
      </c>
      <c r="AB1735" t="s">
        <v>53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f t="shared" si="54"/>
        <v>7.15</v>
      </c>
      <c r="AK1735" s="3">
        <f t="shared" si="55"/>
        <v>2.0100000000000007</v>
      </c>
    </row>
    <row r="1736" spans="1:37">
      <c r="A1736">
        <v>10375681</v>
      </c>
      <c r="B1736" t="s">
        <v>37</v>
      </c>
      <c r="C1736" t="s">
        <v>11465</v>
      </c>
      <c r="E1736" t="s">
        <v>2534</v>
      </c>
      <c r="F1736" t="s">
        <v>11466</v>
      </c>
      <c r="G1736" t="s">
        <v>11467</v>
      </c>
      <c r="H1736" t="s">
        <v>42</v>
      </c>
      <c r="I1736" t="s">
        <v>11468</v>
      </c>
      <c r="J1736" t="s">
        <v>11469</v>
      </c>
      <c r="K1736">
        <v>84163</v>
      </c>
      <c r="L1736" t="s">
        <v>71</v>
      </c>
      <c r="M1736" t="s">
        <v>46</v>
      </c>
      <c r="N1736" t="s">
        <v>47</v>
      </c>
      <c r="O1736">
        <v>1</v>
      </c>
      <c r="P1736">
        <v>1</v>
      </c>
      <c r="Q1736">
        <v>1</v>
      </c>
      <c r="R1736" t="s">
        <v>48</v>
      </c>
      <c r="S1736" t="s">
        <v>49</v>
      </c>
      <c r="T1736" s="3">
        <v>0.84</v>
      </c>
      <c r="U1736" s="3">
        <v>0.23</v>
      </c>
      <c r="V1736" s="3">
        <v>0.94</v>
      </c>
      <c r="W1736">
        <v>1.02</v>
      </c>
      <c r="X1736" t="s">
        <v>108</v>
      </c>
      <c r="Y1736" s="3">
        <v>5.14</v>
      </c>
      <c r="Z1736" t="s">
        <v>9686</v>
      </c>
      <c r="AA1736" t="s">
        <v>1754</v>
      </c>
      <c r="AB1736" t="s">
        <v>53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f t="shared" si="54"/>
        <v>7.15</v>
      </c>
      <c r="AK1736" s="3">
        <f t="shared" si="55"/>
        <v>2.0100000000000007</v>
      </c>
    </row>
    <row r="1737" spans="1:37">
      <c r="A1737">
        <v>10375683</v>
      </c>
      <c r="B1737" t="s">
        <v>37</v>
      </c>
      <c r="C1737" t="s">
        <v>11470</v>
      </c>
      <c r="E1737" t="s">
        <v>2853</v>
      </c>
      <c r="F1737" t="s">
        <v>11471</v>
      </c>
      <c r="G1737" t="s">
        <v>11472</v>
      </c>
      <c r="H1737" t="s">
        <v>42</v>
      </c>
      <c r="I1737" t="s">
        <v>11473</v>
      </c>
      <c r="J1737" t="s">
        <v>11474</v>
      </c>
      <c r="K1737">
        <v>3080</v>
      </c>
      <c r="L1737" t="s">
        <v>505</v>
      </c>
      <c r="M1737" t="s">
        <v>46</v>
      </c>
      <c r="N1737" t="s">
        <v>47</v>
      </c>
      <c r="O1737">
        <v>2</v>
      </c>
      <c r="P1737">
        <v>1</v>
      </c>
      <c r="Q1737">
        <v>2</v>
      </c>
      <c r="R1737" t="s">
        <v>48</v>
      </c>
      <c r="S1737" t="s">
        <v>49</v>
      </c>
      <c r="T1737" s="3">
        <v>0.84</v>
      </c>
      <c r="U1737" s="3">
        <v>0.23</v>
      </c>
      <c r="V1737" s="3">
        <v>1.81</v>
      </c>
      <c r="W1737">
        <v>0.65</v>
      </c>
      <c r="X1737" t="s">
        <v>50</v>
      </c>
      <c r="Y1737" s="3">
        <v>9.19</v>
      </c>
      <c r="Z1737" t="s">
        <v>9850</v>
      </c>
      <c r="AA1737" t="s">
        <v>11475</v>
      </c>
      <c r="AB1737" t="s">
        <v>53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f t="shared" si="54"/>
        <v>12.07</v>
      </c>
      <c r="AK1737" s="3">
        <f t="shared" si="55"/>
        <v>2.8800000000000008</v>
      </c>
    </row>
    <row r="1738" spans="1:37">
      <c r="A1738">
        <v>10375680</v>
      </c>
      <c r="B1738" t="s">
        <v>37</v>
      </c>
      <c r="C1738" t="s">
        <v>11476</v>
      </c>
      <c r="E1738" t="s">
        <v>11477</v>
      </c>
      <c r="F1738" t="s">
        <v>11478</v>
      </c>
      <c r="G1738" t="s">
        <v>11479</v>
      </c>
      <c r="H1738" t="s">
        <v>42</v>
      </c>
      <c r="I1738" t="s">
        <v>11480</v>
      </c>
      <c r="J1738" t="s">
        <v>11481</v>
      </c>
      <c r="K1738" t="s">
        <v>11482</v>
      </c>
      <c r="L1738" t="s">
        <v>11483</v>
      </c>
      <c r="M1738" t="s">
        <v>46</v>
      </c>
      <c r="N1738" t="s">
        <v>47</v>
      </c>
      <c r="O1738">
        <v>2</v>
      </c>
      <c r="P1738">
        <v>1</v>
      </c>
      <c r="Q1738">
        <v>2</v>
      </c>
      <c r="R1738" t="s">
        <v>48</v>
      </c>
      <c r="S1738" t="s">
        <v>49</v>
      </c>
      <c r="T1738" s="3">
        <v>0.84</v>
      </c>
      <c r="U1738" s="3">
        <v>0.23</v>
      </c>
      <c r="V1738" s="3">
        <v>1.81</v>
      </c>
      <c r="W1738">
        <v>0.5</v>
      </c>
      <c r="X1738" t="s">
        <v>100</v>
      </c>
      <c r="Y1738" s="3">
        <v>21.71</v>
      </c>
      <c r="Z1738" t="s">
        <v>9686</v>
      </c>
      <c r="AA1738" t="s">
        <v>11484</v>
      </c>
      <c r="AB1738" t="s">
        <v>53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f t="shared" si="54"/>
        <v>24.59</v>
      </c>
      <c r="AK1738" s="3">
        <f t="shared" si="55"/>
        <v>2.879999999999999</v>
      </c>
    </row>
    <row r="1739" spans="1:37">
      <c r="A1739">
        <v>10376195</v>
      </c>
      <c r="B1739" t="s">
        <v>37</v>
      </c>
      <c r="C1739" t="s">
        <v>11485</v>
      </c>
      <c r="E1739" t="s">
        <v>11460</v>
      </c>
      <c r="F1739" t="s">
        <v>11486</v>
      </c>
      <c r="G1739" t="s">
        <v>11487</v>
      </c>
      <c r="H1739" t="s">
        <v>42</v>
      </c>
      <c r="I1739" t="s">
        <v>11488</v>
      </c>
      <c r="J1739" t="s">
        <v>11489</v>
      </c>
      <c r="K1739">
        <v>3730</v>
      </c>
      <c r="L1739" t="s">
        <v>618</v>
      </c>
      <c r="M1739" t="s">
        <v>46</v>
      </c>
      <c r="N1739" t="s">
        <v>47</v>
      </c>
      <c r="O1739">
        <v>2</v>
      </c>
      <c r="P1739">
        <v>1</v>
      </c>
      <c r="Q1739">
        <v>2</v>
      </c>
      <c r="R1739" t="s">
        <v>48</v>
      </c>
      <c r="S1739" t="s">
        <v>49</v>
      </c>
      <c r="T1739" s="3">
        <v>0.84</v>
      </c>
      <c r="U1739" s="3">
        <v>0.23</v>
      </c>
      <c r="V1739" s="3">
        <v>1.81</v>
      </c>
      <c r="W1739">
        <v>0.4</v>
      </c>
      <c r="X1739" t="s">
        <v>50</v>
      </c>
      <c r="Y1739" s="3">
        <v>9.19</v>
      </c>
      <c r="Z1739" t="s">
        <v>9850</v>
      </c>
      <c r="AA1739" t="s">
        <v>11490</v>
      </c>
      <c r="AB1739" t="s">
        <v>53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f t="shared" si="54"/>
        <v>12.07</v>
      </c>
      <c r="AK1739" s="3">
        <f t="shared" si="55"/>
        <v>2.8800000000000008</v>
      </c>
    </row>
    <row r="1740" spans="1:37">
      <c r="A1740">
        <v>10375684</v>
      </c>
      <c r="B1740" t="s">
        <v>37</v>
      </c>
      <c r="C1740" t="s">
        <v>11491</v>
      </c>
      <c r="E1740" t="s">
        <v>11492</v>
      </c>
      <c r="F1740" t="s">
        <v>11492</v>
      </c>
      <c r="G1740" t="s">
        <v>11493</v>
      </c>
      <c r="H1740" t="s">
        <v>42</v>
      </c>
      <c r="I1740" t="s">
        <v>11494</v>
      </c>
      <c r="J1740" t="s">
        <v>11495</v>
      </c>
      <c r="K1740" t="s">
        <v>11496</v>
      </c>
      <c r="L1740" t="s">
        <v>62</v>
      </c>
      <c r="M1740" t="s">
        <v>46</v>
      </c>
      <c r="N1740" t="s">
        <v>47</v>
      </c>
      <c r="O1740">
        <v>4</v>
      </c>
      <c r="P1740">
        <v>1</v>
      </c>
      <c r="Q1740">
        <v>4</v>
      </c>
      <c r="R1740" t="s">
        <v>48</v>
      </c>
      <c r="S1740" t="s">
        <v>49</v>
      </c>
      <c r="T1740" s="3">
        <v>0.84</v>
      </c>
      <c r="U1740" s="3">
        <v>0.23</v>
      </c>
      <c r="V1740" s="3">
        <v>3.55</v>
      </c>
      <c r="W1740">
        <v>1.56</v>
      </c>
      <c r="X1740" t="s">
        <v>100</v>
      </c>
      <c r="Y1740" s="3">
        <v>32.340000000000003</v>
      </c>
      <c r="Z1740" t="s">
        <v>9686</v>
      </c>
      <c r="AA1740" t="s">
        <v>1878</v>
      </c>
      <c r="AB1740" t="s">
        <v>53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f t="shared" si="54"/>
        <v>36.96</v>
      </c>
      <c r="AK1740" s="3">
        <f t="shared" si="55"/>
        <v>4.6199999999999974</v>
      </c>
    </row>
    <row r="1741" spans="1:37">
      <c r="A1741">
        <v>10375682</v>
      </c>
      <c r="B1741" t="s">
        <v>37</v>
      </c>
      <c r="C1741" t="s">
        <v>11497</v>
      </c>
      <c r="E1741" t="s">
        <v>1712</v>
      </c>
      <c r="F1741" t="s">
        <v>11498</v>
      </c>
      <c r="G1741" t="s">
        <v>11499</v>
      </c>
      <c r="H1741" t="s">
        <v>42</v>
      </c>
      <c r="I1741" t="s">
        <v>11500</v>
      </c>
      <c r="J1741" t="s">
        <v>11501</v>
      </c>
      <c r="K1741" t="s">
        <v>11502</v>
      </c>
      <c r="L1741" t="s">
        <v>71</v>
      </c>
      <c r="M1741" t="s">
        <v>46</v>
      </c>
      <c r="N1741" t="s">
        <v>47</v>
      </c>
      <c r="O1741">
        <v>5</v>
      </c>
      <c r="P1741">
        <v>1</v>
      </c>
      <c r="Q1741">
        <v>5</v>
      </c>
      <c r="R1741" t="s">
        <v>48</v>
      </c>
      <c r="S1741" t="s">
        <v>49</v>
      </c>
      <c r="T1741" s="3">
        <v>0.84</v>
      </c>
      <c r="U1741" s="3">
        <v>0.23</v>
      </c>
      <c r="V1741" s="3">
        <v>4.42</v>
      </c>
      <c r="W1741">
        <v>2.2000000000000002</v>
      </c>
      <c r="X1741" t="s">
        <v>72</v>
      </c>
      <c r="Y1741" s="3">
        <v>5.44</v>
      </c>
      <c r="Z1741" t="s">
        <v>73</v>
      </c>
      <c r="AA1741" t="s">
        <v>11503</v>
      </c>
      <c r="AB1741" t="s">
        <v>53</v>
      </c>
      <c r="AC1741" s="3">
        <v>1.29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f t="shared" si="54"/>
        <v>12.22</v>
      </c>
      <c r="AK1741" s="3">
        <f t="shared" si="55"/>
        <v>6.78</v>
      </c>
    </row>
    <row r="1742" spans="1:37">
      <c r="A1742">
        <v>10376422</v>
      </c>
      <c r="B1742" t="s">
        <v>37</v>
      </c>
      <c r="C1742" t="s">
        <v>11504</v>
      </c>
      <c r="E1742" t="s">
        <v>11505</v>
      </c>
      <c r="F1742" t="s">
        <v>11506</v>
      </c>
      <c r="G1742" t="s">
        <v>11507</v>
      </c>
      <c r="H1742" t="s">
        <v>42</v>
      </c>
      <c r="I1742" t="s">
        <v>11508</v>
      </c>
      <c r="J1742" t="s">
        <v>11509</v>
      </c>
      <c r="K1742">
        <v>63263</v>
      </c>
      <c r="L1742" t="s">
        <v>71</v>
      </c>
      <c r="M1742" t="s">
        <v>46</v>
      </c>
      <c r="N1742" t="s">
        <v>47</v>
      </c>
      <c r="O1742">
        <v>2</v>
      </c>
      <c r="P1742">
        <v>1</v>
      </c>
      <c r="Q1742">
        <v>2</v>
      </c>
      <c r="R1742" t="s">
        <v>48</v>
      </c>
      <c r="S1742" t="s">
        <v>49</v>
      </c>
      <c r="T1742" s="3">
        <v>0.84</v>
      </c>
      <c r="U1742" s="3">
        <v>0.23</v>
      </c>
      <c r="V1742" s="3">
        <v>1.81</v>
      </c>
      <c r="W1742">
        <v>0.98</v>
      </c>
      <c r="X1742" t="s">
        <v>108</v>
      </c>
      <c r="Y1742" s="3">
        <v>6.53</v>
      </c>
      <c r="Z1742" t="s">
        <v>9850</v>
      </c>
      <c r="AA1742" t="s">
        <v>11510</v>
      </c>
      <c r="AB1742" t="s">
        <v>53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f t="shared" si="54"/>
        <v>9.41</v>
      </c>
      <c r="AK1742" s="3">
        <f t="shared" si="55"/>
        <v>2.88</v>
      </c>
    </row>
    <row r="1743" spans="1:37">
      <c r="A1743">
        <v>10376198</v>
      </c>
      <c r="B1743" t="s">
        <v>37</v>
      </c>
      <c r="C1743" t="s">
        <v>11511</v>
      </c>
      <c r="E1743" t="s">
        <v>11512</v>
      </c>
      <c r="F1743" t="s">
        <v>11513</v>
      </c>
      <c r="G1743" t="s">
        <v>11514</v>
      </c>
      <c r="H1743" t="s">
        <v>42</v>
      </c>
      <c r="I1743" t="s">
        <v>11515</v>
      </c>
      <c r="J1743" t="s">
        <v>11516</v>
      </c>
      <c r="K1743">
        <v>93158</v>
      </c>
      <c r="L1743" t="s">
        <v>71</v>
      </c>
      <c r="M1743" t="s">
        <v>46</v>
      </c>
      <c r="N1743" t="s">
        <v>47</v>
      </c>
      <c r="O1743">
        <v>2</v>
      </c>
      <c r="P1743">
        <v>1</v>
      </c>
      <c r="Q1743">
        <v>2</v>
      </c>
      <c r="R1743" t="s">
        <v>48</v>
      </c>
      <c r="S1743" t="s">
        <v>49</v>
      </c>
      <c r="T1743" s="3">
        <v>0.84</v>
      </c>
      <c r="U1743" s="3">
        <v>0.23</v>
      </c>
      <c r="V1743" s="3">
        <v>1.81</v>
      </c>
      <c r="W1743">
        <v>0.98</v>
      </c>
      <c r="X1743" t="s">
        <v>108</v>
      </c>
      <c r="Y1743" s="3">
        <v>5.14</v>
      </c>
      <c r="Z1743" t="s">
        <v>9850</v>
      </c>
      <c r="AA1743" t="s">
        <v>7549</v>
      </c>
      <c r="AB1743" t="s">
        <v>53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f t="shared" si="54"/>
        <v>8.02</v>
      </c>
      <c r="AK1743" s="3">
        <f t="shared" si="55"/>
        <v>2.88</v>
      </c>
    </row>
    <row r="1744" spans="1:37">
      <c r="A1744">
        <v>10375685</v>
      </c>
      <c r="B1744" t="s">
        <v>37</v>
      </c>
      <c r="C1744" t="s">
        <v>11517</v>
      </c>
      <c r="E1744" t="s">
        <v>11518</v>
      </c>
      <c r="F1744" t="s">
        <v>11519</v>
      </c>
      <c r="G1744" t="s">
        <v>11520</v>
      </c>
      <c r="H1744" t="s">
        <v>42</v>
      </c>
      <c r="I1744" t="s">
        <v>11521</v>
      </c>
      <c r="J1744" t="s">
        <v>11522</v>
      </c>
      <c r="K1744">
        <v>14480</v>
      </c>
      <c r="L1744" t="s">
        <v>71</v>
      </c>
      <c r="M1744" t="s">
        <v>46</v>
      </c>
      <c r="N1744" t="s">
        <v>47</v>
      </c>
      <c r="O1744">
        <v>6</v>
      </c>
      <c r="P1744">
        <v>1</v>
      </c>
      <c r="Q1744">
        <v>6</v>
      </c>
      <c r="R1744" t="s">
        <v>48</v>
      </c>
      <c r="S1744" t="s">
        <v>49</v>
      </c>
      <c r="T1744" s="3">
        <v>0.84</v>
      </c>
      <c r="U1744" s="3">
        <v>0.23</v>
      </c>
      <c r="V1744" s="3">
        <v>5.29</v>
      </c>
      <c r="W1744">
        <v>3.04</v>
      </c>
      <c r="X1744" t="s">
        <v>72</v>
      </c>
      <c r="Y1744" s="3">
        <v>6.61</v>
      </c>
      <c r="Z1744" t="s">
        <v>83</v>
      </c>
      <c r="AA1744" t="s">
        <v>6351</v>
      </c>
      <c r="AB1744" t="s">
        <v>53</v>
      </c>
      <c r="AC1744" s="3">
        <v>1.27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f t="shared" si="54"/>
        <v>14.240000000000002</v>
      </c>
      <c r="AK1744" s="3">
        <f t="shared" si="55"/>
        <v>7.6300000000000017</v>
      </c>
    </row>
    <row r="1745" spans="1:37">
      <c r="A1745">
        <v>10375910</v>
      </c>
      <c r="B1745" t="s">
        <v>37</v>
      </c>
      <c r="C1745" t="s">
        <v>11523</v>
      </c>
      <c r="E1745" t="s">
        <v>1292</v>
      </c>
      <c r="F1745" t="s">
        <v>11524</v>
      </c>
      <c r="G1745" t="s">
        <v>11525</v>
      </c>
      <c r="H1745" t="s">
        <v>42</v>
      </c>
      <c r="I1745" t="s">
        <v>11526</v>
      </c>
      <c r="J1745" t="s">
        <v>11527</v>
      </c>
      <c r="K1745">
        <v>82515</v>
      </c>
      <c r="L1745" t="s">
        <v>71</v>
      </c>
      <c r="M1745" t="s">
        <v>46</v>
      </c>
      <c r="N1745" t="s">
        <v>47</v>
      </c>
      <c r="O1745">
        <v>4</v>
      </c>
      <c r="P1745">
        <v>1</v>
      </c>
      <c r="Q1745">
        <v>4</v>
      </c>
      <c r="R1745" t="s">
        <v>48</v>
      </c>
      <c r="S1745" t="s">
        <v>49</v>
      </c>
      <c r="T1745" s="3">
        <v>0.84</v>
      </c>
      <c r="U1745" s="3">
        <v>0.23</v>
      </c>
      <c r="V1745" s="3">
        <v>3.55</v>
      </c>
      <c r="W1745">
        <v>1.96</v>
      </c>
      <c r="X1745" t="s">
        <v>108</v>
      </c>
      <c r="Y1745" s="3">
        <v>9.3000000000000007</v>
      </c>
      <c r="Z1745" t="s">
        <v>9686</v>
      </c>
      <c r="AA1745" t="s">
        <v>10865</v>
      </c>
      <c r="AB1745" t="s">
        <v>53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f t="shared" si="54"/>
        <v>13.920000000000002</v>
      </c>
      <c r="AK1745" s="3">
        <f t="shared" si="55"/>
        <v>4.620000000000001</v>
      </c>
    </row>
    <row r="1746" spans="1:37">
      <c r="A1746">
        <v>10375914</v>
      </c>
      <c r="B1746" t="s">
        <v>37</v>
      </c>
      <c r="C1746" t="s">
        <v>11528</v>
      </c>
      <c r="D1746" t="s">
        <v>11529</v>
      </c>
      <c r="E1746" t="s">
        <v>6609</v>
      </c>
      <c r="F1746" t="s">
        <v>11530</v>
      </c>
      <c r="G1746" t="s">
        <v>11531</v>
      </c>
      <c r="H1746" t="s">
        <v>42</v>
      </c>
      <c r="I1746" t="s">
        <v>11532</v>
      </c>
      <c r="J1746" t="s">
        <v>11533</v>
      </c>
      <c r="K1746">
        <v>63100</v>
      </c>
      <c r="L1746" t="s">
        <v>130</v>
      </c>
      <c r="M1746" t="s">
        <v>46</v>
      </c>
      <c r="N1746" t="s">
        <v>47</v>
      </c>
      <c r="O1746">
        <v>3</v>
      </c>
      <c r="P1746">
        <v>1</v>
      </c>
      <c r="Q1746">
        <v>3</v>
      </c>
      <c r="R1746" t="s">
        <v>48</v>
      </c>
      <c r="S1746" t="s">
        <v>49</v>
      </c>
      <c r="T1746" s="3">
        <v>0.84</v>
      </c>
      <c r="U1746" s="3">
        <v>0.23</v>
      </c>
      <c r="V1746" s="3">
        <v>2.68</v>
      </c>
      <c r="W1746">
        <v>0.77</v>
      </c>
      <c r="X1746" t="s">
        <v>50</v>
      </c>
      <c r="Y1746" s="3">
        <v>14.26</v>
      </c>
      <c r="Z1746" t="s">
        <v>9686</v>
      </c>
      <c r="AA1746" t="s">
        <v>11534</v>
      </c>
      <c r="AB1746" t="s">
        <v>53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f t="shared" si="54"/>
        <v>18.010000000000002</v>
      </c>
      <c r="AK1746" s="3">
        <f t="shared" si="55"/>
        <v>3.7500000000000018</v>
      </c>
    </row>
    <row r="1747" spans="1:37">
      <c r="A1747">
        <v>10375092</v>
      </c>
      <c r="B1747" t="s">
        <v>37</v>
      </c>
      <c r="C1747" t="s">
        <v>11535</v>
      </c>
      <c r="E1747" t="s">
        <v>3746</v>
      </c>
      <c r="F1747" t="s">
        <v>3747</v>
      </c>
      <c r="G1747" t="s">
        <v>11536</v>
      </c>
      <c r="H1747" t="s">
        <v>42</v>
      </c>
      <c r="I1747" t="s">
        <v>11537</v>
      </c>
      <c r="J1747" t="s">
        <v>11538</v>
      </c>
      <c r="K1747">
        <v>83371</v>
      </c>
      <c r="L1747" t="s">
        <v>71</v>
      </c>
      <c r="M1747" t="s">
        <v>46</v>
      </c>
      <c r="N1747" t="s">
        <v>47</v>
      </c>
      <c r="O1747">
        <v>6</v>
      </c>
      <c r="P1747">
        <v>1</v>
      </c>
      <c r="Q1747">
        <v>6</v>
      </c>
      <c r="R1747" t="s">
        <v>48</v>
      </c>
      <c r="S1747" t="s">
        <v>49</v>
      </c>
      <c r="T1747" s="3">
        <v>0.84</v>
      </c>
      <c r="U1747" s="3">
        <v>0.23</v>
      </c>
      <c r="V1747" s="3">
        <v>5.29</v>
      </c>
      <c r="W1747">
        <v>2.62</v>
      </c>
      <c r="X1747" t="s">
        <v>72</v>
      </c>
      <c r="Y1747" s="3">
        <v>5.44</v>
      </c>
      <c r="Z1747" t="s">
        <v>83</v>
      </c>
      <c r="AA1747" t="s">
        <v>3751</v>
      </c>
      <c r="AB1747" t="s">
        <v>53</v>
      </c>
      <c r="AC1747" s="3">
        <v>1.27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f t="shared" si="54"/>
        <v>13.07</v>
      </c>
      <c r="AK1747" s="3">
        <f t="shared" si="55"/>
        <v>7.63</v>
      </c>
    </row>
    <row r="1748" spans="1:37">
      <c r="A1748">
        <v>10376423</v>
      </c>
      <c r="B1748" t="s">
        <v>37</v>
      </c>
      <c r="C1748" t="s">
        <v>11539</v>
      </c>
      <c r="E1748" t="s">
        <v>1330</v>
      </c>
      <c r="F1748" t="s">
        <v>11540</v>
      </c>
      <c r="G1748" t="s">
        <v>11541</v>
      </c>
      <c r="H1748" t="s">
        <v>42</v>
      </c>
      <c r="I1748" t="s">
        <v>11542</v>
      </c>
      <c r="J1748" t="s">
        <v>11543</v>
      </c>
      <c r="K1748">
        <v>95028</v>
      </c>
      <c r="L1748" t="s">
        <v>71</v>
      </c>
      <c r="M1748" t="s">
        <v>46</v>
      </c>
      <c r="N1748" t="s">
        <v>47</v>
      </c>
      <c r="O1748">
        <v>1</v>
      </c>
      <c r="P1748">
        <v>1</v>
      </c>
      <c r="Q1748">
        <v>1</v>
      </c>
      <c r="R1748" t="s">
        <v>48</v>
      </c>
      <c r="S1748" t="s">
        <v>49</v>
      </c>
      <c r="T1748" s="3">
        <v>0.84</v>
      </c>
      <c r="U1748" s="3">
        <v>0.23</v>
      </c>
      <c r="V1748" s="3">
        <v>0.94</v>
      </c>
      <c r="W1748">
        <v>0.49</v>
      </c>
      <c r="X1748" t="s">
        <v>108</v>
      </c>
      <c r="Y1748" s="3">
        <v>5.14</v>
      </c>
      <c r="Z1748" t="s">
        <v>9850</v>
      </c>
      <c r="AA1748" t="s">
        <v>1652</v>
      </c>
      <c r="AB1748" t="s">
        <v>53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f t="shared" si="54"/>
        <v>7.15</v>
      </c>
      <c r="AK1748" s="3">
        <f t="shared" si="55"/>
        <v>2.0100000000000007</v>
      </c>
    </row>
    <row r="1749" spans="1:37">
      <c r="A1749">
        <v>10375502</v>
      </c>
      <c r="B1749" t="s">
        <v>37</v>
      </c>
      <c r="C1749" t="s">
        <v>11544</v>
      </c>
      <c r="E1749" t="s">
        <v>11545</v>
      </c>
      <c r="F1749" t="s">
        <v>11546</v>
      </c>
      <c r="G1749" t="s">
        <v>11547</v>
      </c>
      <c r="H1749" t="s">
        <v>42</v>
      </c>
      <c r="I1749" t="s">
        <v>11548</v>
      </c>
      <c r="J1749" t="s">
        <v>11549</v>
      </c>
      <c r="K1749">
        <v>58636</v>
      </c>
      <c r="L1749" t="s">
        <v>71</v>
      </c>
      <c r="M1749" t="s">
        <v>46</v>
      </c>
      <c r="N1749" t="s">
        <v>47</v>
      </c>
      <c r="O1749">
        <v>4</v>
      </c>
      <c r="P1749">
        <v>1</v>
      </c>
      <c r="Q1749">
        <v>4</v>
      </c>
      <c r="R1749" t="s">
        <v>48</v>
      </c>
      <c r="S1749" t="s">
        <v>49</v>
      </c>
      <c r="T1749" s="3">
        <v>0.84</v>
      </c>
      <c r="U1749" s="3">
        <v>0.23</v>
      </c>
      <c r="V1749" s="3">
        <v>3.55</v>
      </c>
      <c r="W1749">
        <v>1.56</v>
      </c>
      <c r="X1749" t="s">
        <v>108</v>
      </c>
      <c r="Y1749" s="3">
        <v>5.14</v>
      </c>
      <c r="Z1749" t="s">
        <v>9686</v>
      </c>
      <c r="AA1749" t="s">
        <v>583</v>
      </c>
      <c r="AB1749" t="s">
        <v>53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f t="shared" si="54"/>
        <v>9.76</v>
      </c>
      <c r="AK1749" s="3">
        <f t="shared" si="55"/>
        <v>4.62</v>
      </c>
    </row>
    <row r="1750" spans="1:37">
      <c r="A1750">
        <v>10364214</v>
      </c>
      <c r="B1750" t="s">
        <v>37</v>
      </c>
      <c r="C1750" t="s">
        <v>11550</v>
      </c>
      <c r="E1750" t="s">
        <v>4676</v>
      </c>
      <c r="F1750" t="s">
        <v>11551</v>
      </c>
      <c r="G1750" t="s">
        <v>11552</v>
      </c>
      <c r="H1750" t="s">
        <v>42</v>
      </c>
      <c r="I1750" t="s">
        <v>11553</v>
      </c>
      <c r="J1750" t="s">
        <v>11554</v>
      </c>
      <c r="K1750" t="s">
        <v>11555</v>
      </c>
      <c r="L1750" t="s">
        <v>82</v>
      </c>
      <c r="M1750" t="s">
        <v>46</v>
      </c>
      <c r="N1750" t="s">
        <v>47</v>
      </c>
      <c r="O1750">
        <v>12</v>
      </c>
      <c r="P1750">
        <v>1</v>
      </c>
      <c r="Q1750">
        <v>12</v>
      </c>
      <c r="R1750" t="s">
        <v>48</v>
      </c>
      <c r="S1750" t="s">
        <v>49</v>
      </c>
      <c r="T1750" s="3">
        <v>7</v>
      </c>
      <c r="U1750" s="3">
        <v>0.23</v>
      </c>
      <c r="V1750" s="3">
        <v>15.82</v>
      </c>
      <c r="W1750">
        <v>5.98</v>
      </c>
      <c r="X1750" t="s">
        <v>50</v>
      </c>
      <c r="Y1750" s="3">
        <v>9.19</v>
      </c>
      <c r="Z1750" t="s">
        <v>51</v>
      </c>
      <c r="AA1750" t="s">
        <v>11232</v>
      </c>
      <c r="AB1750" t="s">
        <v>53</v>
      </c>
      <c r="AC1750" s="3">
        <v>1.87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f t="shared" si="54"/>
        <v>34.11</v>
      </c>
      <c r="AK1750" s="3">
        <f t="shared" si="55"/>
        <v>24.92</v>
      </c>
    </row>
    <row r="1751" spans="1:37">
      <c r="A1751">
        <v>10377277</v>
      </c>
      <c r="B1751" t="s">
        <v>37</v>
      </c>
      <c r="C1751" t="s">
        <v>11556</v>
      </c>
      <c r="E1751" t="s">
        <v>6594</v>
      </c>
      <c r="F1751" t="s">
        <v>11557</v>
      </c>
      <c r="G1751" t="s">
        <v>11558</v>
      </c>
      <c r="H1751" t="s">
        <v>42</v>
      </c>
      <c r="I1751" t="s">
        <v>11559</v>
      </c>
      <c r="J1751" t="s">
        <v>11560</v>
      </c>
      <c r="K1751">
        <v>81677</v>
      </c>
      <c r="L1751" t="s">
        <v>71</v>
      </c>
      <c r="M1751" t="s">
        <v>46</v>
      </c>
      <c r="N1751" t="s">
        <v>47</v>
      </c>
      <c r="O1751">
        <v>2</v>
      </c>
      <c r="P1751">
        <v>1</v>
      </c>
      <c r="Q1751">
        <v>2</v>
      </c>
      <c r="R1751" t="s">
        <v>48</v>
      </c>
      <c r="S1751" t="s">
        <v>49</v>
      </c>
      <c r="T1751" s="3">
        <v>0.84</v>
      </c>
      <c r="U1751" s="3">
        <v>0.23</v>
      </c>
      <c r="V1751" s="3">
        <v>1.81</v>
      </c>
      <c r="W1751">
        <v>0.78</v>
      </c>
      <c r="X1751" t="s">
        <v>108</v>
      </c>
      <c r="Y1751" s="3">
        <v>5.14</v>
      </c>
      <c r="Z1751" t="s">
        <v>9850</v>
      </c>
      <c r="AA1751" t="s">
        <v>11561</v>
      </c>
      <c r="AB1751" t="s">
        <v>53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f t="shared" si="54"/>
        <v>8.02</v>
      </c>
      <c r="AK1751" s="3">
        <f t="shared" si="55"/>
        <v>2.88</v>
      </c>
    </row>
    <row r="1752" spans="1:37">
      <c r="A1752">
        <v>10374571</v>
      </c>
      <c r="B1752" t="s">
        <v>37</v>
      </c>
      <c r="C1752" t="s">
        <v>11562</v>
      </c>
      <c r="E1752" t="s">
        <v>186</v>
      </c>
      <c r="F1752" t="s">
        <v>11563</v>
      </c>
      <c r="G1752" t="s">
        <v>11564</v>
      </c>
      <c r="H1752" t="s">
        <v>42</v>
      </c>
      <c r="I1752" t="s">
        <v>11565</v>
      </c>
      <c r="J1752" t="s">
        <v>11566</v>
      </c>
      <c r="K1752">
        <v>95703</v>
      </c>
      <c r="L1752" t="s">
        <v>71</v>
      </c>
      <c r="M1752" t="s">
        <v>46</v>
      </c>
      <c r="N1752" t="s">
        <v>47</v>
      </c>
      <c r="O1752">
        <v>2</v>
      </c>
      <c r="P1752">
        <v>1</v>
      </c>
      <c r="Q1752">
        <v>2</v>
      </c>
      <c r="R1752" t="s">
        <v>48</v>
      </c>
      <c r="S1752" t="s">
        <v>49</v>
      </c>
      <c r="T1752" s="3">
        <v>0.84</v>
      </c>
      <c r="U1752" s="3">
        <v>0.23</v>
      </c>
      <c r="V1752" s="3">
        <v>1.81</v>
      </c>
      <c r="W1752">
        <v>0.98</v>
      </c>
      <c r="X1752" t="s">
        <v>108</v>
      </c>
      <c r="Y1752" s="3">
        <v>5.14</v>
      </c>
      <c r="Z1752" t="s">
        <v>9850</v>
      </c>
      <c r="AA1752" t="s">
        <v>11567</v>
      </c>
      <c r="AB1752" t="s">
        <v>53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f t="shared" si="54"/>
        <v>8.02</v>
      </c>
      <c r="AK1752" s="3">
        <f t="shared" si="55"/>
        <v>2.88</v>
      </c>
    </row>
    <row r="1753" spans="1:37">
      <c r="A1753">
        <v>10374843</v>
      </c>
      <c r="B1753" t="s">
        <v>37</v>
      </c>
      <c r="C1753" t="s">
        <v>11568</v>
      </c>
      <c r="E1753" t="s">
        <v>11569</v>
      </c>
      <c r="F1753" t="s">
        <v>11570</v>
      </c>
      <c r="G1753" t="s">
        <v>11571</v>
      </c>
      <c r="H1753" t="s">
        <v>42</v>
      </c>
      <c r="I1753" t="s">
        <v>11572</v>
      </c>
      <c r="J1753" t="s">
        <v>11573</v>
      </c>
      <c r="K1753">
        <v>98597</v>
      </c>
      <c r="L1753" t="s">
        <v>71</v>
      </c>
      <c r="M1753" t="s">
        <v>46</v>
      </c>
      <c r="N1753" t="s">
        <v>47</v>
      </c>
      <c r="O1753">
        <v>2</v>
      </c>
      <c r="P1753">
        <v>1</v>
      </c>
      <c r="Q1753">
        <v>2</v>
      </c>
      <c r="R1753" t="s">
        <v>48</v>
      </c>
      <c r="S1753" t="s">
        <v>49</v>
      </c>
      <c r="T1753" s="3">
        <v>0.84</v>
      </c>
      <c r="U1753" s="3">
        <v>0.23</v>
      </c>
      <c r="V1753" s="3">
        <v>1.81</v>
      </c>
      <c r="W1753">
        <v>0.98</v>
      </c>
      <c r="X1753" t="s">
        <v>108</v>
      </c>
      <c r="Y1753" s="3">
        <v>5.14</v>
      </c>
      <c r="Z1753" t="s">
        <v>9850</v>
      </c>
      <c r="AA1753" t="s">
        <v>11574</v>
      </c>
      <c r="AB1753" t="s">
        <v>53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f t="shared" si="54"/>
        <v>8.02</v>
      </c>
      <c r="AK1753" s="3">
        <f t="shared" si="55"/>
        <v>2.88</v>
      </c>
    </row>
    <row r="1754" spans="1:37">
      <c r="A1754">
        <v>10376196</v>
      </c>
      <c r="B1754" t="s">
        <v>37</v>
      </c>
      <c r="C1754" t="s">
        <v>11575</v>
      </c>
      <c r="D1754" t="s">
        <v>11576</v>
      </c>
      <c r="E1754" t="s">
        <v>11577</v>
      </c>
      <c r="F1754" t="s">
        <v>11578</v>
      </c>
      <c r="G1754" t="s">
        <v>11579</v>
      </c>
      <c r="H1754" t="s">
        <v>42</v>
      </c>
      <c r="I1754" t="s">
        <v>11580</v>
      </c>
      <c r="J1754" t="s">
        <v>11581</v>
      </c>
      <c r="K1754" t="s">
        <v>11582</v>
      </c>
      <c r="L1754" t="s">
        <v>82</v>
      </c>
      <c r="M1754" t="s">
        <v>46</v>
      </c>
      <c r="N1754" t="s">
        <v>47</v>
      </c>
      <c r="O1754">
        <v>2</v>
      </c>
      <c r="P1754">
        <v>1</v>
      </c>
      <c r="Q1754">
        <v>2</v>
      </c>
      <c r="R1754" t="s">
        <v>48</v>
      </c>
      <c r="S1754" t="s">
        <v>49</v>
      </c>
      <c r="T1754" s="3">
        <v>0.84</v>
      </c>
      <c r="U1754" s="3">
        <v>0.23</v>
      </c>
      <c r="V1754" s="3">
        <v>1.81</v>
      </c>
      <c r="W1754">
        <v>0.98</v>
      </c>
      <c r="X1754" t="s">
        <v>50</v>
      </c>
      <c r="Y1754" s="3">
        <v>9.19</v>
      </c>
      <c r="Z1754" t="s">
        <v>9850</v>
      </c>
      <c r="AA1754" t="s">
        <v>10737</v>
      </c>
      <c r="AB1754" t="s">
        <v>53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f t="shared" si="54"/>
        <v>12.07</v>
      </c>
      <c r="AK1754" s="3">
        <f t="shared" si="55"/>
        <v>2.8800000000000008</v>
      </c>
    </row>
    <row r="1755" spans="1:37">
      <c r="A1755">
        <v>10376928</v>
      </c>
      <c r="B1755" t="s">
        <v>37</v>
      </c>
      <c r="C1755" t="s">
        <v>11583</v>
      </c>
      <c r="E1755" t="s">
        <v>3310</v>
      </c>
      <c r="F1755" t="s">
        <v>11584</v>
      </c>
      <c r="G1755" t="s">
        <v>11585</v>
      </c>
      <c r="H1755" t="s">
        <v>42</v>
      </c>
      <c r="I1755" t="s">
        <v>11586</v>
      </c>
      <c r="J1755" t="s">
        <v>11587</v>
      </c>
      <c r="K1755">
        <v>30916</v>
      </c>
      <c r="L1755" t="s">
        <v>71</v>
      </c>
      <c r="M1755" t="s">
        <v>46</v>
      </c>
      <c r="N1755" t="s">
        <v>47</v>
      </c>
      <c r="O1755">
        <v>2</v>
      </c>
      <c r="P1755">
        <v>1</v>
      </c>
      <c r="Q1755">
        <v>2</v>
      </c>
      <c r="R1755" t="s">
        <v>48</v>
      </c>
      <c r="S1755" t="s">
        <v>49</v>
      </c>
      <c r="T1755" s="3">
        <v>0.84</v>
      </c>
      <c r="U1755" s="3">
        <v>0.23</v>
      </c>
      <c r="V1755" s="3">
        <v>1.81</v>
      </c>
      <c r="W1755">
        <v>0.98</v>
      </c>
      <c r="X1755" t="s">
        <v>108</v>
      </c>
      <c r="Y1755" s="3">
        <v>5.14</v>
      </c>
      <c r="Z1755" t="s">
        <v>9850</v>
      </c>
      <c r="AA1755" t="s">
        <v>2199</v>
      </c>
      <c r="AB1755" t="s">
        <v>53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f t="shared" si="54"/>
        <v>8.02</v>
      </c>
      <c r="AK1755" s="3">
        <f t="shared" si="55"/>
        <v>2.88</v>
      </c>
    </row>
    <row r="1756" spans="1:37">
      <c r="A1756">
        <v>10375086</v>
      </c>
      <c r="B1756" t="s">
        <v>37</v>
      </c>
      <c r="C1756" t="s">
        <v>11588</v>
      </c>
      <c r="E1756" t="s">
        <v>2955</v>
      </c>
      <c r="F1756" t="s">
        <v>11589</v>
      </c>
      <c r="G1756" t="s">
        <v>11590</v>
      </c>
      <c r="H1756" t="s">
        <v>42</v>
      </c>
      <c r="I1756" t="s">
        <v>11591</v>
      </c>
      <c r="J1756" t="s">
        <v>11592</v>
      </c>
      <c r="K1756">
        <v>50374</v>
      </c>
      <c r="L1756" t="s">
        <v>71</v>
      </c>
      <c r="M1756" t="s">
        <v>46</v>
      </c>
      <c r="N1756" t="s">
        <v>47</v>
      </c>
      <c r="O1756">
        <v>2</v>
      </c>
      <c r="P1756">
        <v>1</v>
      </c>
      <c r="Q1756">
        <v>2</v>
      </c>
      <c r="R1756" t="s">
        <v>48</v>
      </c>
      <c r="S1756" t="s">
        <v>49</v>
      </c>
      <c r="T1756" s="3">
        <v>0.84</v>
      </c>
      <c r="U1756" s="3">
        <v>0.23</v>
      </c>
      <c r="V1756" s="3">
        <v>1.81</v>
      </c>
      <c r="W1756">
        <v>1.54</v>
      </c>
      <c r="X1756" t="s">
        <v>108</v>
      </c>
      <c r="Y1756" s="3">
        <v>5.44</v>
      </c>
      <c r="Z1756" t="s">
        <v>9686</v>
      </c>
      <c r="AA1756" t="s">
        <v>11593</v>
      </c>
      <c r="AB1756" t="s">
        <v>53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f t="shared" si="54"/>
        <v>8.32</v>
      </c>
      <c r="AK1756" s="3">
        <f t="shared" si="55"/>
        <v>2.88</v>
      </c>
    </row>
    <row r="1757" spans="1:37">
      <c r="A1757">
        <v>10376194</v>
      </c>
      <c r="B1757" t="s">
        <v>37</v>
      </c>
      <c r="C1757" t="s">
        <v>11594</v>
      </c>
      <c r="E1757" t="s">
        <v>10813</v>
      </c>
      <c r="F1757" t="s">
        <v>11595</v>
      </c>
      <c r="G1757" t="s">
        <v>11596</v>
      </c>
      <c r="H1757" t="s">
        <v>42</v>
      </c>
      <c r="I1757" t="s">
        <v>11597</v>
      </c>
      <c r="J1757" t="s">
        <v>11598</v>
      </c>
      <c r="K1757" t="s">
        <v>11599</v>
      </c>
      <c r="L1757" t="s">
        <v>82</v>
      </c>
      <c r="M1757" t="s">
        <v>46</v>
      </c>
      <c r="N1757" t="s">
        <v>47</v>
      </c>
      <c r="O1757">
        <v>6</v>
      </c>
      <c r="P1757">
        <v>1</v>
      </c>
      <c r="Q1757">
        <v>6</v>
      </c>
      <c r="R1757" t="s">
        <v>48</v>
      </c>
      <c r="S1757" t="s">
        <v>49</v>
      </c>
      <c r="T1757" s="3">
        <v>0.84</v>
      </c>
      <c r="U1757" s="3">
        <v>0.23</v>
      </c>
      <c r="V1757" s="3">
        <v>5.29</v>
      </c>
      <c r="W1757">
        <v>3.04</v>
      </c>
      <c r="X1757" t="s">
        <v>50</v>
      </c>
      <c r="Y1757" s="3">
        <v>9.19</v>
      </c>
      <c r="Z1757" t="s">
        <v>83</v>
      </c>
      <c r="AA1757" t="s">
        <v>11600</v>
      </c>
      <c r="AB1757" t="s">
        <v>53</v>
      </c>
      <c r="AC1757" s="3">
        <v>1.27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f t="shared" si="54"/>
        <v>16.82</v>
      </c>
      <c r="AK1757" s="3">
        <f t="shared" si="55"/>
        <v>7.6300000000000008</v>
      </c>
    </row>
    <row r="1758" spans="1:37">
      <c r="A1758">
        <v>10376197</v>
      </c>
      <c r="B1758" t="s">
        <v>37</v>
      </c>
      <c r="C1758" t="s">
        <v>11601</v>
      </c>
      <c r="D1758" t="s">
        <v>11602</v>
      </c>
      <c r="E1758" t="s">
        <v>5547</v>
      </c>
      <c r="F1758" t="s">
        <v>1447</v>
      </c>
      <c r="G1758" t="s">
        <v>11603</v>
      </c>
      <c r="H1758" t="s">
        <v>42</v>
      </c>
      <c r="I1758" t="s">
        <v>11604</v>
      </c>
      <c r="J1758" t="s">
        <v>11605</v>
      </c>
      <c r="K1758" t="s">
        <v>11606</v>
      </c>
      <c r="L1758" t="s">
        <v>142</v>
      </c>
      <c r="M1758" t="s">
        <v>46</v>
      </c>
      <c r="N1758" t="s">
        <v>47</v>
      </c>
      <c r="O1758">
        <v>4</v>
      </c>
      <c r="P1758">
        <v>1</v>
      </c>
      <c r="Q1758">
        <v>4</v>
      </c>
      <c r="R1758" t="s">
        <v>48</v>
      </c>
      <c r="S1758" t="s">
        <v>49</v>
      </c>
      <c r="T1758" s="3">
        <v>0.84</v>
      </c>
      <c r="U1758" s="3">
        <v>0.23</v>
      </c>
      <c r="V1758" s="3">
        <v>3.55</v>
      </c>
      <c r="W1758">
        <v>1.96</v>
      </c>
      <c r="X1758" t="s">
        <v>50</v>
      </c>
      <c r="Y1758" s="3">
        <v>16.43</v>
      </c>
      <c r="Z1758" t="s">
        <v>9686</v>
      </c>
      <c r="AA1758" t="s">
        <v>11607</v>
      </c>
      <c r="AB1758" t="s">
        <v>53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f t="shared" si="54"/>
        <v>21.05</v>
      </c>
      <c r="AK1758" s="3">
        <f t="shared" si="55"/>
        <v>4.620000000000001</v>
      </c>
    </row>
    <row r="1759" spans="1:37">
      <c r="A1759">
        <v>10373718</v>
      </c>
      <c r="B1759" t="s">
        <v>37</v>
      </c>
      <c r="C1759" t="s">
        <v>11608</v>
      </c>
      <c r="E1759" t="s">
        <v>11609</v>
      </c>
      <c r="F1759" t="s">
        <v>934</v>
      </c>
      <c r="G1759" t="s">
        <v>11610</v>
      </c>
      <c r="H1759" t="s">
        <v>42</v>
      </c>
      <c r="I1759" t="s">
        <v>11611</v>
      </c>
      <c r="J1759" t="s">
        <v>11612</v>
      </c>
      <c r="K1759">
        <v>86825</v>
      </c>
      <c r="L1759" t="s">
        <v>71</v>
      </c>
      <c r="M1759" t="s">
        <v>46</v>
      </c>
      <c r="N1759" t="s">
        <v>47</v>
      </c>
      <c r="O1759">
        <v>4</v>
      </c>
      <c r="P1759">
        <v>1</v>
      </c>
      <c r="Q1759">
        <v>4</v>
      </c>
      <c r="R1759" t="s">
        <v>48</v>
      </c>
      <c r="S1759" t="s">
        <v>49</v>
      </c>
      <c r="T1759" s="3">
        <v>0.84</v>
      </c>
      <c r="U1759" s="3">
        <v>0.23</v>
      </c>
      <c r="V1759" s="3">
        <v>3.55</v>
      </c>
      <c r="W1759">
        <v>3.08</v>
      </c>
      <c r="X1759" t="s">
        <v>72</v>
      </c>
      <c r="Y1759" s="3">
        <v>6.61</v>
      </c>
      <c r="Z1759" t="s">
        <v>83</v>
      </c>
      <c r="AA1759" t="s">
        <v>11613</v>
      </c>
      <c r="AB1759" t="s">
        <v>53</v>
      </c>
      <c r="AC1759" s="3">
        <v>1.27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f t="shared" si="54"/>
        <v>12.5</v>
      </c>
      <c r="AK1759" s="3">
        <f t="shared" si="55"/>
        <v>5.89</v>
      </c>
    </row>
    <row r="1760" spans="1:37">
      <c r="A1760">
        <v>10376618</v>
      </c>
      <c r="B1760" t="s">
        <v>37</v>
      </c>
      <c r="C1760" t="s">
        <v>11614</v>
      </c>
      <c r="E1760" t="s">
        <v>11615</v>
      </c>
      <c r="F1760" t="s">
        <v>11616</v>
      </c>
      <c r="G1760" t="s">
        <v>11617</v>
      </c>
      <c r="H1760" t="s">
        <v>42</v>
      </c>
      <c r="I1760" t="s">
        <v>11618</v>
      </c>
      <c r="J1760" t="s">
        <v>11619</v>
      </c>
      <c r="K1760">
        <v>92210</v>
      </c>
      <c r="L1760" t="s">
        <v>130</v>
      </c>
      <c r="M1760" t="s">
        <v>46</v>
      </c>
      <c r="N1760" t="s">
        <v>47</v>
      </c>
      <c r="O1760">
        <v>3</v>
      </c>
      <c r="P1760">
        <v>1</v>
      </c>
      <c r="Q1760">
        <v>3</v>
      </c>
      <c r="R1760" t="s">
        <v>48</v>
      </c>
      <c r="S1760" t="s">
        <v>49</v>
      </c>
      <c r="T1760" s="3">
        <v>0.84</v>
      </c>
      <c r="U1760" s="3">
        <v>0.23</v>
      </c>
      <c r="V1760" s="3">
        <v>2.68</v>
      </c>
      <c r="W1760">
        <v>1.37</v>
      </c>
      <c r="X1760" t="s">
        <v>50</v>
      </c>
      <c r="Y1760" s="3">
        <v>14.26</v>
      </c>
      <c r="Z1760" t="s">
        <v>9686</v>
      </c>
      <c r="AA1760" t="s">
        <v>11620</v>
      </c>
      <c r="AB1760" t="s">
        <v>53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f t="shared" si="54"/>
        <v>18.010000000000002</v>
      </c>
      <c r="AK1760" s="3">
        <f t="shared" si="55"/>
        <v>3.7500000000000018</v>
      </c>
    </row>
    <row r="1761" spans="1:37">
      <c r="A1761">
        <v>10376418</v>
      </c>
      <c r="B1761" t="s">
        <v>37</v>
      </c>
      <c r="C1761" t="s">
        <v>11621</v>
      </c>
      <c r="E1761" t="s">
        <v>11622</v>
      </c>
      <c r="F1761" t="s">
        <v>11623</v>
      </c>
      <c r="G1761" t="s">
        <v>11624</v>
      </c>
      <c r="H1761" t="s">
        <v>42</v>
      </c>
      <c r="I1761" t="s">
        <v>11625</v>
      </c>
      <c r="J1761" t="s">
        <v>11626</v>
      </c>
      <c r="K1761">
        <v>60488</v>
      </c>
      <c r="L1761" t="s">
        <v>71</v>
      </c>
      <c r="M1761" t="s">
        <v>46</v>
      </c>
      <c r="N1761" t="s">
        <v>47</v>
      </c>
      <c r="O1761">
        <v>5</v>
      </c>
      <c r="P1761">
        <v>1</v>
      </c>
      <c r="Q1761">
        <v>5</v>
      </c>
      <c r="R1761" t="s">
        <v>48</v>
      </c>
      <c r="S1761" t="s">
        <v>49</v>
      </c>
      <c r="T1761" s="3">
        <v>0.84</v>
      </c>
      <c r="U1761" s="3">
        <v>0.23</v>
      </c>
      <c r="V1761" s="3">
        <v>4.42</v>
      </c>
      <c r="W1761">
        <v>2.5099999999999998</v>
      </c>
      <c r="X1761" t="s">
        <v>72</v>
      </c>
      <c r="Y1761" s="3">
        <v>5.44</v>
      </c>
      <c r="Z1761" t="s">
        <v>83</v>
      </c>
      <c r="AA1761" t="s">
        <v>11627</v>
      </c>
      <c r="AB1761" t="s">
        <v>53</v>
      </c>
      <c r="AC1761" s="3">
        <v>1.27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f t="shared" si="54"/>
        <v>12.200000000000001</v>
      </c>
      <c r="AK1761" s="3">
        <f t="shared" si="55"/>
        <v>6.7600000000000007</v>
      </c>
    </row>
    <row r="1762" spans="1:37">
      <c r="A1762">
        <v>10376419</v>
      </c>
      <c r="B1762" t="s">
        <v>37</v>
      </c>
      <c r="C1762" t="s">
        <v>11628</v>
      </c>
      <c r="E1762" t="s">
        <v>11629</v>
      </c>
      <c r="F1762" t="s">
        <v>11630</v>
      </c>
      <c r="G1762" t="s">
        <v>11631</v>
      </c>
      <c r="H1762" t="s">
        <v>42</v>
      </c>
      <c r="I1762" t="s">
        <v>11632</v>
      </c>
      <c r="J1762" t="s">
        <v>11633</v>
      </c>
      <c r="K1762">
        <v>63927</v>
      </c>
      <c r="L1762" t="s">
        <v>71</v>
      </c>
      <c r="M1762" t="s">
        <v>46</v>
      </c>
      <c r="N1762" t="s">
        <v>47</v>
      </c>
      <c r="O1762">
        <v>1</v>
      </c>
      <c r="P1762">
        <v>1</v>
      </c>
      <c r="Q1762">
        <v>1</v>
      </c>
      <c r="R1762" t="s">
        <v>48</v>
      </c>
      <c r="S1762" t="s">
        <v>49</v>
      </c>
      <c r="T1762" s="3">
        <v>0.84</v>
      </c>
      <c r="U1762" s="3">
        <v>0.23</v>
      </c>
      <c r="V1762" s="3">
        <v>0.94</v>
      </c>
      <c r="W1762">
        <v>1.02</v>
      </c>
      <c r="X1762" t="s">
        <v>108</v>
      </c>
      <c r="Y1762" s="3">
        <v>18.59</v>
      </c>
      <c r="Z1762" t="s">
        <v>9686</v>
      </c>
      <c r="AA1762" t="s">
        <v>9992</v>
      </c>
      <c r="AB1762" t="s">
        <v>53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f t="shared" si="54"/>
        <v>20.6</v>
      </c>
      <c r="AK1762" s="3">
        <f t="shared" si="55"/>
        <v>2.0100000000000016</v>
      </c>
    </row>
    <row r="1763" spans="1:37">
      <c r="A1763">
        <v>10375503</v>
      </c>
      <c r="B1763" t="s">
        <v>37</v>
      </c>
      <c r="C1763" t="s">
        <v>11634</v>
      </c>
      <c r="E1763" t="s">
        <v>11635</v>
      </c>
      <c r="F1763" t="s">
        <v>11636</v>
      </c>
      <c r="G1763" t="s">
        <v>11637</v>
      </c>
      <c r="H1763" t="s">
        <v>42</v>
      </c>
      <c r="I1763" t="s">
        <v>11638</v>
      </c>
      <c r="J1763" t="s">
        <v>11639</v>
      </c>
      <c r="K1763">
        <v>33000</v>
      </c>
      <c r="L1763" t="s">
        <v>130</v>
      </c>
      <c r="M1763" t="s">
        <v>46</v>
      </c>
      <c r="N1763" t="s">
        <v>47</v>
      </c>
      <c r="O1763">
        <v>1</v>
      </c>
      <c r="P1763">
        <v>1</v>
      </c>
      <c r="Q1763">
        <v>1</v>
      </c>
      <c r="R1763" t="s">
        <v>48</v>
      </c>
      <c r="S1763" t="s">
        <v>49</v>
      </c>
      <c r="T1763" s="3">
        <v>0.84</v>
      </c>
      <c r="U1763" s="3">
        <v>0.23</v>
      </c>
      <c r="V1763" s="3">
        <v>0.94</v>
      </c>
      <c r="W1763">
        <v>1.4</v>
      </c>
      <c r="X1763" t="s">
        <v>50</v>
      </c>
      <c r="Y1763" s="3">
        <v>14.26</v>
      </c>
      <c r="Z1763" t="s">
        <v>9686</v>
      </c>
      <c r="AA1763" t="s">
        <v>178</v>
      </c>
      <c r="AB1763" t="s">
        <v>53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f t="shared" si="54"/>
        <v>16.27</v>
      </c>
      <c r="AK1763" s="3">
        <f t="shared" si="55"/>
        <v>2.0099999999999998</v>
      </c>
    </row>
    <row r="1764" spans="1:37">
      <c r="A1764">
        <v>10376620</v>
      </c>
      <c r="B1764" t="s">
        <v>37</v>
      </c>
      <c r="C1764" t="s">
        <v>11640</v>
      </c>
      <c r="E1764" t="s">
        <v>11641</v>
      </c>
      <c r="F1764" t="s">
        <v>599</v>
      </c>
      <c r="G1764" t="s">
        <v>11642</v>
      </c>
      <c r="H1764" t="s">
        <v>42</v>
      </c>
      <c r="I1764" t="s">
        <v>11643</v>
      </c>
      <c r="J1764" t="s">
        <v>11644</v>
      </c>
      <c r="K1764">
        <v>4532</v>
      </c>
      <c r="L1764" t="s">
        <v>369</v>
      </c>
      <c r="M1764" t="s">
        <v>46</v>
      </c>
      <c r="N1764" t="s">
        <v>47</v>
      </c>
      <c r="O1764">
        <v>2</v>
      </c>
      <c r="P1764">
        <v>1</v>
      </c>
      <c r="Q1764">
        <v>2</v>
      </c>
      <c r="R1764" t="s">
        <v>48</v>
      </c>
      <c r="S1764" t="s">
        <v>49</v>
      </c>
      <c r="T1764" s="3">
        <v>0.84</v>
      </c>
      <c r="U1764" s="3">
        <v>0.23</v>
      </c>
      <c r="V1764" s="3">
        <v>1.81</v>
      </c>
      <c r="W1764">
        <v>1.89</v>
      </c>
      <c r="X1764" t="s">
        <v>50</v>
      </c>
      <c r="Y1764" s="3">
        <v>9.19</v>
      </c>
      <c r="Z1764" t="s">
        <v>9686</v>
      </c>
      <c r="AA1764" t="s">
        <v>11645</v>
      </c>
      <c r="AB1764" t="s">
        <v>53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f t="shared" si="54"/>
        <v>12.07</v>
      </c>
      <c r="AK1764" s="3">
        <f t="shared" si="55"/>
        <v>2.8800000000000008</v>
      </c>
    </row>
    <row r="1765" spans="1:37">
      <c r="A1765">
        <v>10375501</v>
      </c>
      <c r="B1765" t="s">
        <v>37</v>
      </c>
      <c r="C1765" t="s">
        <v>11646</v>
      </c>
      <c r="E1765" t="s">
        <v>11647</v>
      </c>
      <c r="F1765" t="s">
        <v>11648</v>
      </c>
      <c r="G1765" t="s">
        <v>11649</v>
      </c>
      <c r="H1765" t="s">
        <v>42</v>
      </c>
      <c r="I1765" t="s">
        <v>11650</v>
      </c>
      <c r="J1765" t="s">
        <v>11651</v>
      </c>
      <c r="K1765">
        <v>1981</v>
      </c>
      <c r="L1765" t="s">
        <v>505</v>
      </c>
      <c r="M1765" t="s">
        <v>46</v>
      </c>
      <c r="N1765" t="s">
        <v>47</v>
      </c>
      <c r="O1765">
        <v>2</v>
      </c>
      <c r="P1765">
        <v>1</v>
      </c>
      <c r="Q1765">
        <v>2</v>
      </c>
      <c r="R1765" t="s">
        <v>48</v>
      </c>
      <c r="S1765" t="s">
        <v>49</v>
      </c>
      <c r="T1765" s="3">
        <v>0.84</v>
      </c>
      <c r="U1765" s="3">
        <v>0.23</v>
      </c>
      <c r="V1765" s="3">
        <v>1.81</v>
      </c>
      <c r="W1765">
        <v>2.64</v>
      </c>
      <c r="X1765" t="s">
        <v>50</v>
      </c>
      <c r="Y1765" s="3">
        <v>9.19</v>
      </c>
      <c r="Z1765" t="s">
        <v>83</v>
      </c>
      <c r="AA1765" t="s">
        <v>11652</v>
      </c>
      <c r="AB1765" t="s">
        <v>53</v>
      </c>
      <c r="AC1765" s="3">
        <v>1.27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f t="shared" si="54"/>
        <v>13.34</v>
      </c>
      <c r="AK1765" s="3">
        <f t="shared" si="55"/>
        <v>4.1500000000000004</v>
      </c>
    </row>
    <row r="1766" spans="1:37">
      <c r="A1766">
        <v>10373441</v>
      </c>
      <c r="B1766" t="s">
        <v>111</v>
      </c>
      <c r="C1766" t="s">
        <v>11653</v>
      </c>
      <c r="D1766" t="s">
        <v>11654</v>
      </c>
      <c r="E1766" t="s">
        <v>11655</v>
      </c>
      <c r="F1766" t="s">
        <v>11656</v>
      </c>
      <c r="G1766" t="s">
        <v>11657</v>
      </c>
      <c r="H1766" t="s">
        <v>117</v>
      </c>
      <c r="I1766" t="s">
        <v>11658</v>
      </c>
      <c r="J1766" t="s">
        <v>11659</v>
      </c>
      <c r="K1766">
        <v>6035</v>
      </c>
      <c r="L1766" t="s">
        <v>1701</v>
      </c>
      <c r="M1766" t="s">
        <v>46</v>
      </c>
      <c r="N1766" t="s">
        <v>47</v>
      </c>
      <c r="O1766">
        <v>30</v>
      </c>
      <c r="P1766">
        <v>1</v>
      </c>
      <c r="Q1766">
        <v>30</v>
      </c>
      <c r="R1766" t="s">
        <v>48</v>
      </c>
      <c r="S1766" t="s">
        <v>49</v>
      </c>
      <c r="T1766" s="3">
        <v>7</v>
      </c>
      <c r="U1766" s="3">
        <v>0.23</v>
      </c>
      <c r="V1766" s="3">
        <v>32.65</v>
      </c>
      <c r="W1766">
        <v>15</v>
      </c>
      <c r="X1766" t="s">
        <v>1702</v>
      </c>
      <c r="Y1766" s="3">
        <v>269.2</v>
      </c>
      <c r="Z1766" t="s">
        <v>11352</v>
      </c>
      <c r="AA1766" t="s">
        <v>11660</v>
      </c>
      <c r="AB1766" t="s">
        <v>53</v>
      </c>
      <c r="AC1766" s="3">
        <v>4.21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f t="shared" si="54"/>
        <v>313.28999999999996</v>
      </c>
      <c r="AK1766" s="3">
        <f t="shared" si="55"/>
        <v>44.089999999999975</v>
      </c>
    </row>
    <row r="1767" spans="1:37">
      <c r="A1767">
        <v>10376192</v>
      </c>
      <c r="B1767" t="s">
        <v>37</v>
      </c>
      <c r="C1767" t="s">
        <v>11661</v>
      </c>
      <c r="E1767" t="s">
        <v>11662</v>
      </c>
      <c r="F1767" t="s">
        <v>11663</v>
      </c>
      <c r="G1767" t="s">
        <v>11664</v>
      </c>
      <c r="H1767" t="s">
        <v>42</v>
      </c>
      <c r="I1767" t="s">
        <v>11665</v>
      </c>
      <c r="J1767" t="s">
        <v>11666</v>
      </c>
      <c r="K1767">
        <v>86340</v>
      </c>
      <c r="L1767" t="s">
        <v>130</v>
      </c>
      <c r="M1767" t="s">
        <v>46</v>
      </c>
      <c r="N1767" t="s">
        <v>47</v>
      </c>
      <c r="O1767">
        <v>2</v>
      </c>
      <c r="P1767">
        <v>1</v>
      </c>
      <c r="Q1767">
        <v>2</v>
      </c>
      <c r="R1767" t="s">
        <v>48</v>
      </c>
      <c r="S1767" t="s">
        <v>49</v>
      </c>
      <c r="T1767" s="3">
        <v>0.84</v>
      </c>
      <c r="U1767" s="3">
        <v>0.23</v>
      </c>
      <c r="V1767" s="3">
        <v>1.81</v>
      </c>
      <c r="W1767">
        <v>0.78</v>
      </c>
      <c r="X1767" t="s">
        <v>50</v>
      </c>
      <c r="Y1767" s="3">
        <v>14.26</v>
      </c>
      <c r="Z1767" t="s">
        <v>9850</v>
      </c>
      <c r="AA1767" t="s">
        <v>11667</v>
      </c>
      <c r="AB1767" t="s">
        <v>53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f t="shared" si="54"/>
        <v>17.14</v>
      </c>
      <c r="AK1767" s="3">
        <f t="shared" si="55"/>
        <v>2.8800000000000008</v>
      </c>
    </row>
    <row r="1768" spans="1:37">
      <c r="A1768">
        <v>10375296</v>
      </c>
      <c r="B1768" t="s">
        <v>37</v>
      </c>
      <c r="C1768" t="s">
        <v>11668</v>
      </c>
      <c r="E1768" t="s">
        <v>8024</v>
      </c>
      <c r="F1768" t="s">
        <v>9833</v>
      </c>
      <c r="G1768" t="s">
        <v>11669</v>
      </c>
      <c r="H1768" t="s">
        <v>42</v>
      </c>
      <c r="I1768" t="s">
        <v>11670</v>
      </c>
      <c r="J1768" t="s">
        <v>11671</v>
      </c>
      <c r="K1768">
        <v>1030</v>
      </c>
      <c r="L1768" t="s">
        <v>505</v>
      </c>
      <c r="M1768" t="s">
        <v>46</v>
      </c>
      <c r="N1768" t="s">
        <v>47</v>
      </c>
      <c r="O1768">
        <v>2</v>
      </c>
      <c r="P1768">
        <v>1</v>
      </c>
      <c r="Q1768">
        <v>2</v>
      </c>
      <c r="R1768" t="s">
        <v>48</v>
      </c>
      <c r="S1768" t="s">
        <v>49</v>
      </c>
      <c r="T1768" s="3">
        <v>0.84</v>
      </c>
      <c r="U1768" s="3">
        <v>0.23</v>
      </c>
      <c r="V1768" s="3">
        <v>1.81</v>
      </c>
      <c r="W1768">
        <v>0.78</v>
      </c>
      <c r="X1768" t="s">
        <v>50</v>
      </c>
      <c r="Y1768" s="3">
        <v>9.19</v>
      </c>
      <c r="Z1768" t="s">
        <v>9850</v>
      </c>
      <c r="AA1768" t="s">
        <v>6804</v>
      </c>
      <c r="AB1768" t="s">
        <v>53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f t="shared" si="54"/>
        <v>12.07</v>
      </c>
      <c r="AK1768" s="3">
        <f t="shared" si="55"/>
        <v>2.8800000000000008</v>
      </c>
    </row>
    <row r="1769" spans="1:37">
      <c r="A1769">
        <v>10369484</v>
      </c>
      <c r="B1769" t="s">
        <v>111</v>
      </c>
      <c r="C1769" t="s">
        <v>11672</v>
      </c>
      <c r="D1769" t="s">
        <v>3495</v>
      </c>
      <c r="E1769" t="s">
        <v>3496</v>
      </c>
      <c r="F1769" t="s">
        <v>3497</v>
      </c>
      <c r="G1769" t="s">
        <v>11673</v>
      </c>
      <c r="H1769" t="s">
        <v>117</v>
      </c>
      <c r="I1769" t="s">
        <v>11674</v>
      </c>
      <c r="J1769" t="s">
        <v>3500</v>
      </c>
      <c r="K1769" t="s">
        <v>3501</v>
      </c>
      <c r="L1769" t="s">
        <v>229</v>
      </c>
      <c r="M1769" t="s">
        <v>46</v>
      </c>
      <c r="N1769" t="s">
        <v>47</v>
      </c>
      <c r="O1769">
        <v>66</v>
      </c>
      <c r="P1769">
        <v>1</v>
      </c>
      <c r="Q1769">
        <v>66</v>
      </c>
      <c r="R1769" t="s">
        <v>48</v>
      </c>
      <c r="S1769" t="s">
        <v>49</v>
      </c>
      <c r="T1769" s="3">
        <v>7</v>
      </c>
      <c r="U1769" s="3">
        <v>0.23</v>
      </c>
      <c r="V1769" s="3">
        <v>59.29</v>
      </c>
      <c r="W1769">
        <v>18</v>
      </c>
      <c r="X1769" t="s">
        <v>50</v>
      </c>
      <c r="Y1769" s="3">
        <v>16.260000000000002</v>
      </c>
      <c r="Z1769" t="s">
        <v>11352</v>
      </c>
      <c r="AA1769" t="s">
        <v>11675</v>
      </c>
      <c r="AB1769" t="s">
        <v>53</v>
      </c>
      <c r="AC1769" s="3">
        <v>4.21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f t="shared" si="54"/>
        <v>86.990000000000009</v>
      </c>
      <c r="AK1769" s="3">
        <f t="shared" si="55"/>
        <v>70.73</v>
      </c>
    </row>
    <row r="1770" spans="1:37">
      <c r="A1770">
        <v>10377577</v>
      </c>
      <c r="B1770" t="s">
        <v>37</v>
      </c>
      <c r="C1770" t="s">
        <v>11676</v>
      </c>
      <c r="E1770" t="s">
        <v>11677</v>
      </c>
      <c r="F1770" t="s">
        <v>11678</v>
      </c>
      <c r="G1770" t="s">
        <v>11679</v>
      </c>
      <c r="H1770" t="s">
        <v>42</v>
      </c>
      <c r="I1770" t="s">
        <v>11680</v>
      </c>
      <c r="J1770" t="s">
        <v>11681</v>
      </c>
      <c r="K1770" t="s">
        <v>11682</v>
      </c>
      <c r="L1770" t="s">
        <v>82</v>
      </c>
      <c r="M1770" t="s">
        <v>46</v>
      </c>
      <c r="N1770" t="s">
        <v>47</v>
      </c>
      <c r="O1770">
        <v>1</v>
      </c>
      <c r="P1770">
        <v>1</v>
      </c>
      <c r="Q1770">
        <v>1</v>
      </c>
      <c r="R1770" t="s">
        <v>48</v>
      </c>
      <c r="S1770" t="s">
        <v>49</v>
      </c>
      <c r="T1770" s="3">
        <v>0.84</v>
      </c>
      <c r="U1770" s="3">
        <v>0.23</v>
      </c>
      <c r="V1770" s="3">
        <v>0.94</v>
      </c>
      <c r="W1770">
        <v>0.39</v>
      </c>
      <c r="X1770" t="s">
        <v>50</v>
      </c>
      <c r="Y1770" s="3">
        <v>9.19</v>
      </c>
      <c r="Z1770" t="s">
        <v>9850</v>
      </c>
      <c r="AA1770" t="s">
        <v>3348</v>
      </c>
      <c r="AB1770" t="s">
        <v>53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f t="shared" si="54"/>
        <v>11.2</v>
      </c>
      <c r="AK1770" s="3">
        <f t="shared" si="55"/>
        <v>2.0099999999999998</v>
      </c>
    </row>
    <row r="1771" spans="1:37">
      <c r="A1771">
        <v>10377575</v>
      </c>
      <c r="B1771" t="s">
        <v>37</v>
      </c>
      <c r="C1771" t="s">
        <v>11683</v>
      </c>
      <c r="E1771" t="s">
        <v>2534</v>
      </c>
      <c r="F1771" t="s">
        <v>11684</v>
      </c>
      <c r="G1771" t="s">
        <v>11685</v>
      </c>
      <c r="H1771" t="s">
        <v>42</v>
      </c>
      <c r="I1771" t="s">
        <v>11686</v>
      </c>
      <c r="J1771" t="s">
        <v>11687</v>
      </c>
      <c r="K1771">
        <v>82211</v>
      </c>
      <c r="L1771" t="s">
        <v>71</v>
      </c>
      <c r="M1771" t="s">
        <v>46</v>
      </c>
      <c r="N1771" t="s">
        <v>47</v>
      </c>
      <c r="O1771">
        <v>1</v>
      </c>
      <c r="P1771">
        <v>1</v>
      </c>
      <c r="Q1771">
        <v>1</v>
      </c>
      <c r="R1771" t="s">
        <v>48</v>
      </c>
      <c r="S1771" t="s">
        <v>49</v>
      </c>
      <c r="T1771" s="3">
        <v>0.84</v>
      </c>
      <c r="U1771" s="3">
        <v>0.23</v>
      </c>
      <c r="V1771" s="3">
        <v>0.94</v>
      </c>
      <c r="W1771">
        <v>1.4</v>
      </c>
      <c r="X1771" t="s">
        <v>108</v>
      </c>
      <c r="Y1771" s="3">
        <v>5.14</v>
      </c>
      <c r="Z1771" t="s">
        <v>9686</v>
      </c>
      <c r="AA1771" t="s">
        <v>8500</v>
      </c>
      <c r="AB1771" t="s">
        <v>53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f t="shared" si="54"/>
        <v>7.15</v>
      </c>
      <c r="AK1771" s="3">
        <f t="shared" si="55"/>
        <v>2.0100000000000007</v>
      </c>
    </row>
    <row r="1772" spans="1:37">
      <c r="A1772">
        <v>10375688</v>
      </c>
      <c r="B1772" t="s">
        <v>111</v>
      </c>
      <c r="C1772" t="s">
        <v>11688</v>
      </c>
      <c r="E1772" t="s">
        <v>2071</v>
      </c>
      <c r="F1772" t="s">
        <v>3053</v>
      </c>
      <c r="G1772" t="s">
        <v>11689</v>
      </c>
      <c r="H1772" t="s">
        <v>117</v>
      </c>
      <c r="I1772" t="s">
        <v>11690</v>
      </c>
      <c r="J1772" t="s">
        <v>3056</v>
      </c>
      <c r="K1772">
        <v>90451</v>
      </c>
      <c r="L1772" t="s">
        <v>71</v>
      </c>
      <c r="M1772" t="s">
        <v>46</v>
      </c>
      <c r="N1772" t="s">
        <v>47</v>
      </c>
      <c r="O1772">
        <v>180</v>
      </c>
      <c r="P1772">
        <v>6</v>
      </c>
      <c r="Q1772">
        <v>6</v>
      </c>
      <c r="R1772" t="s">
        <v>48</v>
      </c>
      <c r="S1772" t="s">
        <v>49</v>
      </c>
      <c r="T1772" s="3">
        <v>7</v>
      </c>
      <c r="U1772" s="3">
        <v>0.23</v>
      </c>
      <c r="V1772" s="3">
        <v>7.96</v>
      </c>
      <c r="W1772">
        <v>108</v>
      </c>
      <c r="X1772" t="s">
        <v>72</v>
      </c>
      <c r="Y1772" s="3">
        <v>59.98</v>
      </c>
      <c r="Z1772" t="s">
        <v>4298</v>
      </c>
      <c r="AA1772" t="s">
        <v>11691</v>
      </c>
      <c r="AB1772" t="s">
        <v>53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f t="shared" si="54"/>
        <v>75.17</v>
      </c>
      <c r="AK1772" s="3">
        <f t="shared" si="55"/>
        <v>15.190000000000005</v>
      </c>
    </row>
    <row r="1773" spans="1:37">
      <c r="A1773">
        <v>10377572</v>
      </c>
      <c r="B1773" t="s">
        <v>37</v>
      </c>
      <c r="C1773" t="s">
        <v>11692</v>
      </c>
      <c r="E1773" t="s">
        <v>7360</v>
      </c>
      <c r="F1773" t="s">
        <v>11693</v>
      </c>
      <c r="G1773" t="s">
        <v>11694</v>
      </c>
      <c r="H1773" t="s">
        <v>42</v>
      </c>
      <c r="I1773" t="s">
        <v>11695</v>
      </c>
      <c r="J1773" t="s">
        <v>11696</v>
      </c>
      <c r="K1773">
        <v>70173</v>
      </c>
      <c r="L1773" t="s">
        <v>71</v>
      </c>
      <c r="M1773" t="s">
        <v>46</v>
      </c>
      <c r="N1773" t="s">
        <v>47</v>
      </c>
      <c r="O1773">
        <v>3</v>
      </c>
      <c r="P1773">
        <v>1</v>
      </c>
      <c r="Q1773">
        <v>3</v>
      </c>
      <c r="R1773" t="s">
        <v>48</v>
      </c>
      <c r="S1773" t="s">
        <v>49</v>
      </c>
      <c r="T1773" s="3">
        <v>0.84</v>
      </c>
      <c r="U1773" s="3">
        <v>0.23</v>
      </c>
      <c r="V1773" s="3">
        <v>2.68</v>
      </c>
      <c r="W1773">
        <v>1.48</v>
      </c>
      <c r="X1773" t="s">
        <v>108</v>
      </c>
      <c r="Y1773" s="3">
        <v>5.14</v>
      </c>
      <c r="Z1773" t="s">
        <v>9686</v>
      </c>
      <c r="AA1773" t="s">
        <v>11697</v>
      </c>
      <c r="AB1773" t="s">
        <v>53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f t="shared" si="54"/>
        <v>8.89</v>
      </c>
      <c r="AK1773" s="3">
        <f t="shared" si="55"/>
        <v>3.7500000000000009</v>
      </c>
    </row>
    <row r="1774" spans="1:37">
      <c r="A1774">
        <v>10377578</v>
      </c>
      <c r="B1774" t="s">
        <v>37</v>
      </c>
      <c r="C1774" t="s">
        <v>11698</v>
      </c>
      <c r="E1774" t="s">
        <v>3746</v>
      </c>
      <c r="F1774" t="s">
        <v>11699</v>
      </c>
      <c r="G1774" t="s">
        <v>11700</v>
      </c>
      <c r="H1774" t="s">
        <v>42</v>
      </c>
      <c r="I1774" t="s">
        <v>11701</v>
      </c>
      <c r="J1774" t="s">
        <v>11702</v>
      </c>
      <c r="K1774" t="s">
        <v>11703</v>
      </c>
      <c r="L1774" t="s">
        <v>71</v>
      </c>
      <c r="M1774" t="s">
        <v>46</v>
      </c>
      <c r="N1774" t="s">
        <v>47</v>
      </c>
      <c r="O1774">
        <v>3</v>
      </c>
      <c r="P1774">
        <v>1</v>
      </c>
      <c r="Q1774">
        <v>3</v>
      </c>
      <c r="R1774" t="s">
        <v>48</v>
      </c>
      <c r="S1774" t="s">
        <v>49</v>
      </c>
      <c r="T1774" s="3">
        <v>0.84</v>
      </c>
      <c r="U1774" s="3">
        <v>0.23</v>
      </c>
      <c r="V1774" s="3">
        <v>2.68</v>
      </c>
      <c r="W1774">
        <v>1.65</v>
      </c>
      <c r="X1774" t="s">
        <v>108</v>
      </c>
      <c r="Y1774" s="3">
        <v>5.14</v>
      </c>
      <c r="Z1774" t="s">
        <v>9686</v>
      </c>
      <c r="AA1774" t="s">
        <v>11704</v>
      </c>
      <c r="AB1774" t="s">
        <v>53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f t="shared" si="54"/>
        <v>8.89</v>
      </c>
      <c r="AK1774" s="3">
        <f t="shared" si="55"/>
        <v>3.7500000000000009</v>
      </c>
    </row>
    <row r="1775" spans="1:37">
      <c r="A1775">
        <v>10377573</v>
      </c>
      <c r="B1775" t="s">
        <v>37</v>
      </c>
      <c r="C1775" t="s">
        <v>11705</v>
      </c>
      <c r="E1775" t="s">
        <v>5128</v>
      </c>
      <c r="F1775" t="s">
        <v>11706</v>
      </c>
      <c r="G1775" t="s">
        <v>11707</v>
      </c>
      <c r="H1775" t="s">
        <v>42</v>
      </c>
      <c r="I1775" t="s">
        <v>11708</v>
      </c>
      <c r="J1775" t="s">
        <v>11709</v>
      </c>
      <c r="K1775" t="s">
        <v>11710</v>
      </c>
      <c r="L1775" t="s">
        <v>283</v>
      </c>
      <c r="M1775" t="s">
        <v>46</v>
      </c>
      <c r="N1775" t="s">
        <v>47</v>
      </c>
      <c r="O1775">
        <v>2</v>
      </c>
      <c r="P1775">
        <v>1</v>
      </c>
      <c r="Q1775">
        <v>2</v>
      </c>
      <c r="R1775" t="s">
        <v>48</v>
      </c>
      <c r="S1775" t="s">
        <v>49</v>
      </c>
      <c r="T1775" s="3">
        <v>0.84</v>
      </c>
      <c r="U1775" s="3">
        <v>0.23</v>
      </c>
      <c r="V1775" s="3">
        <v>1.81</v>
      </c>
      <c r="W1775">
        <v>0.98</v>
      </c>
      <c r="X1775" t="s">
        <v>50</v>
      </c>
      <c r="Y1775" s="3">
        <v>14.98</v>
      </c>
      <c r="Z1775" t="s">
        <v>9850</v>
      </c>
      <c r="AA1775" t="s">
        <v>11711</v>
      </c>
      <c r="AB1775" t="s">
        <v>53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f t="shared" si="54"/>
        <v>17.86</v>
      </c>
      <c r="AK1775" s="3">
        <f t="shared" si="55"/>
        <v>2.879999999999999</v>
      </c>
    </row>
    <row r="1776" spans="1:37">
      <c r="A1776">
        <v>10366824</v>
      </c>
      <c r="B1776" t="s">
        <v>37</v>
      </c>
      <c r="C1776" t="s">
        <v>11712</v>
      </c>
      <c r="D1776" t="s">
        <v>11713</v>
      </c>
      <c r="E1776" t="s">
        <v>11714</v>
      </c>
      <c r="F1776" t="s">
        <v>11715</v>
      </c>
      <c r="G1776" t="s">
        <v>11716</v>
      </c>
      <c r="H1776" t="s">
        <v>42</v>
      </c>
      <c r="I1776" t="s">
        <v>11717</v>
      </c>
      <c r="J1776" t="s">
        <v>11718</v>
      </c>
      <c r="K1776">
        <v>1000</v>
      </c>
      <c r="L1776" t="s">
        <v>505</v>
      </c>
      <c r="M1776" t="s">
        <v>46</v>
      </c>
      <c r="N1776" t="s">
        <v>47</v>
      </c>
      <c r="O1776">
        <v>2</v>
      </c>
      <c r="P1776">
        <v>1</v>
      </c>
      <c r="Q1776">
        <v>2</v>
      </c>
      <c r="R1776" t="s">
        <v>48</v>
      </c>
      <c r="S1776" t="s">
        <v>49</v>
      </c>
      <c r="T1776" s="3">
        <v>0.84</v>
      </c>
      <c r="U1776" s="3">
        <v>0.23</v>
      </c>
      <c r="V1776" s="3">
        <v>1.81</v>
      </c>
      <c r="W1776">
        <v>0.63</v>
      </c>
      <c r="X1776" t="s">
        <v>50</v>
      </c>
      <c r="Y1776" s="3">
        <v>9.19</v>
      </c>
      <c r="Z1776" t="s">
        <v>9850</v>
      </c>
      <c r="AA1776" t="s">
        <v>729</v>
      </c>
      <c r="AB1776" t="s">
        <v>53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f t="shared" si="54"/>
        <v>12.07</v>
      </c>
      <c r="AK1776" s="3">
        <f t="shared" si="55"/>
        <v>2.8800000000000008</v>
      </c>
    </row>
    <row r="1777" spans="1:37">
      <c r="A1777">
        <v>10375686</v>
      </c>
      <c r="B1777" t="s">
        <v>37</v>
      </c>
      <c r="C1777" t="s">
        <v>11719</v>
      </c>
      <c r="E1777" t="s">
        <v>11720</v>
      </c>
      <c r="F1777" t="s">
        <v>11721</v>
      </c>
      <c r="G1777" t="s">
        <v>11722</v>
      </c>
      <c r="H1777" t="s">
        <v>42</v>
      </c>
      <c r="I1777" t="s">
        <v>11723</v>
      </c>
      <c r="J1777" t="s">
        <v>11724</v>
      </c>
      <c r="K1777" t="s">
        <v>11725</v>
      </c>
      <c r="L1777" t="s">
        <v>82</v>
      </c>
      <c r="M1777" t="s">
        <v>46</v>
      </c>
      <c r="N1777" t="s">
        <v>47</v>
      </c>
      <c r="O1777">
        <v>2</v>
      </c>
      <c r="P1777">
        <v>1</v>
      </c>
      <c r="Q1777">
        <v>2</v>
      </c>
      <c r="R1777" t="s">
        <v>48</v>
      </c>
      <c r="S1777" t="s">
        <v>49</v>
      </c>
      <c r="T1777" s="3">
        <v>0.84</v>
      </c>
      <c r="U1777" s="3">
        <v>0.23</v>
      </c>
      <c r="V1777" s="3">
        <v>1.81</v>
      </c>
      <c r="W1777">
        <v>0.98</v>
      </c>
      <c r="X1777" t="s">
        <v>50</v>
      </c>
      <c r="Y1777" s="3">
        <v>9.19</v>
      </c>
      <c r="Z1777" t="s">
        <v>9850</v>
      </c>
      <c r="AA1777" t="s">
        <v>1652</v>
      </c>
      <c r="AB1777" t="s">
        <v>53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f t="shared" si="54"/>
        <v>12.07</v>
      </c>
      <c r="AK1777" s="3">
        <f t="shared" si="55"/>
        <v>2.8800000000000008</v>
      </c>
    </row>
    <row r="1778" spans="1:37">
      <c r="A1778">
        <v>10374028</v>
      </c>
      <c r="B1778" t="s">
        <v>111</v>
      </c>
      <c r="C1778" t="s">
        <v>11726</v>
      </c>
      <c r="D1778" t="s">
        <v>11727</v>
      </c>
      <c r="E1778" t="s">
        <v>11728</v>
      </c>
      <c r="F1778" t="s">
        <v>11729</v>
      </c>
      <c r="G1778" t="s">
        <v>11730</v>
      </c>
      <c r="H1778" t="s">
        <v>117</v>
      </c>
      <c r="I1778" t="s">
        <v>11731</v>
      </c>
      <c r="J1778" t="s">
        <v>11732</v>
      </c>
      <c r="K1778">
        <v>69009</v>
      </c>
      <c r="L1778" t="s">
        <v>130</v>
      </c>
      <c r="M1778" t="s">
        <v>46</v>
      </c>
      <c r="N1778" t="s">
        <v>47</v>
      </c>
      <c r="O1778">
        <v>76</v>
      </c>
      <c r="P1778">
        <v>2</v>
      </c>
      <c r="Q1778">
        <v>76</v>
      </c>
      <c r="R1778" t="s">
        <v>48</v>
      </c>
      <c r="S1778" t="s">
        <v>49</v>
      </c>
      <c r="T1778" s="3">
        <v>7</v>
      </c>
      <c r="U1778" s="3">
        <v>0.23</v>
      </c>
      <c r="V1778" s="3">
        <v>65.19</v>
      </c>
      <c r="W1778">
        <v>32</v>
      </c>
      <c r="X1778" t="s">
        <v>50</v>
      </c>
      <c r="Y1778" s="3">
        <v>32.69</v>
      </c>
      <c r="Z1778" t="s">
        <v>5916</v>
      </c>
      <c r="AA1778" t="s">
        <v>11733</v>
      </c>
      <c r="AB1778" t="s">
        <v>53</v>
      </c>
      <c r="AC1778" s="3">
        <v>6.08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f t="shared" si="54"/>
        <v>111.19</v>
      </c>
      <c r="AK1778" s="3">
        <f t="shared" si="55"/>
        <v>78.5</v>
      </c>
    </row>
    <row r="1779" spans="1:37">
      <c r="A1779">
        <v>10358584</v>
      </c>
      <c r="B1779" t="s">
        <v>37</v>
      </c>
      <c r="C1779" t="s">
        <v>11734</v>
      </c>
      <c r="E1779" t="s">
        <v>6151</v>
      </c>
      <c r="F1779" t="s">
        <v>11735</v>
      </c>
      <c r="G1779" t="s">
        <v>11736</v>
      </c>
      <c r="H1779" t="s">
        <v>42</v>
      </c>
      <c r="I1779" t="s">
        <v>11737</v>
      </c>
      <c r="J1779" t="s">
        <v>11738</v>
      </c>
      <c r="K1779">
        <v>55201</v>
      </c>
      <c r="L1779" t="s">
        <v>9511</v>
      </c>
      <c r="M1779" t="s">
        <v>46</v>
      </c>
      <c r="N1779" t="s">
        <v>47</v>
      </c>
      <c r="O1779">
        <v>3</v>
      </c>
      <c r="P1779">
        <v>1</v>
      </c>
      <c r="Q1779">
        <v>3</v>
      </c>
      <c r="R1779" t="s">
        <v>48</v>
      </c>
      <c r="S1779" t="s">
        <v>49</v>
      </c>
      <c r="T1779" s="3">
        <v>0.84</v>
      </c>
      <c r="U1779" s="3">
        <v>0.23</v>
      </c>
      <c r="V1779" s="3">
        <v>2.68</v>
      </c>
      <c r="W1779">
        <v>1.47</v>
      </c>
      <c r="X1779" t="s">
        <v>131</v>
      </c>
      <c r="Y1779" s="3">
        <v>9.73</v>
      </c>
      <c r="Z1779" t="s">
        <v>9686</v>
      </c>
      <c r="AA1779" t="s">
        <v>2623</v>
      </c>
      <c r="AB1779" t="s">
        <v>53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5</v>
      </c>
      <c r="AI1779" s="3">
        <v>0</v>
      </c>
      <c r="AJ1779" s="3">
        <f t="shared" si="54"/>
        <v>18.48</v>
      </c>
      <c r="AK1779" s="3">
        <f t="shared" si="55"/>
        <v>8.75</v>
      </c>
    </row>
    <row r="1780" spans="1:37">
      <c r="A1780">
        <v>10375500</v>
      </c>
      <c r="B1780" t="s">
        <v>111</v>
      </c>
      <c r="C1780" t="s">
        <v>11739</v>
      </c>
      <c r="D1780" t="s">
        <v>1107</v>
      </c>
      <c r="E1780" t="s">
        <v>1108</v>
      </c>
      <c r="F1780" t="s">
        <v>1109</v>
      </c>
      <c r="G1780" t="s">
        <v>11740</v>
      </c>
      <c r="H1780" t="s">
        <v>117</v>
      </c>
      <c r="I1780" t="s">
        <v>11741</v>
      </c>
      <c r="J1780" t="s">
        <v>1112</v>
      </c>
      <c r="K1780">
        <v>92100</v>
      </c>
      <c r="L1780" t="s">
        <v>130</v>
      </c>
      <c r="M1780" t="s">
        <v>46</v>
      </c>
      <c r="N1780" t="s">
        <v>47</v>
      </c>
      <c r="O1780">
        <v>54</v>
      </c>
      <c r="P1780">
        <v>1</v>
      </c>
      <c r="Q1780">
        <v>54</v>
      </c>
      <c r="R1780" t="s">
        <v>48</v>
      </c>
      <c r="S1780" t="s">
        <v>49</v>
      </c>
      <c r="T1780" s="3">
        <v>7</v>
      </c>
      <c r="U1780" s="3">
        <v>0.23</v>
      </c>
      <c r="V1780" s="3">
        <v>52.21</v>
      </c>
      <c r="W1780">
        <v>17</v>
      </c>
      <c r="X1780" t="s">
        <v>50</v>
      </c>
      <c r="Y1780" s="3">
        <v>19.82</v>
      </c>
      <c r="Z1780" t="s">
        <v>11352</v>
      </c>
      <c r="AA1780" t="s">
        <v>11742</v>
      </c>
      <c r="AB1780" t="s">
        <v>53</v>
      </c>
      <c r="AC1780" s="3">
        <v>4.21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f t="shared" si="54"/>
        <v>83.470000000000013</v>
      </c>
      <c r="AK1780" s="3">
        <f t="shared" si="55"/>
        <v>63.650000000000013</v>
      </c>
    </row>
    <row r="1781" spans="1:37">
      <c r="A1781">
        <v>10373175</v>
      </c>
      <c r="B1781" t="s">
        <v>111</v>
      </c>
      <c r="C1781" t="s">
        <v>11743</v>
      </c>
      <c r="D1781" t="s">
        <v>11744</v>
      </c>
      <c r="E1781" t="s">
        <v>1101</v>
      </c>
      <c r="F1781" t="s">
        <v>11745</v>
      </c>
      <c r="G1781" t="s">
        <v>11746</v>
      </c>
      <c r="H1781" t="s">
        <v>117</v>
      </c>
      <c r="I1781" t="s">
        <v>11747</v>
      </c>
      <c r="J1781" t="s">
        <v>11748</v>
      </c>
      <c r="K1781">
        <v>1060</v>
      </c>
      <c r="L1781" t="s">
        <v>618</v>
      </c>
      <c r="M1781" t="s">
        <v>46</v>
      </c>
      <c r="N1781" t="s">
        <v>47</v>
      </c>
      <c r="O1781">
        <v>144</v>
      </c>
      <c r="P1781">
        <v>3</v>
      </c>
      <c r="Q1781">
        <v>144</v>
      </c>
      <c r="R1781" t="s">
        <v>48</v>
      </c>
      <c r="S1781" t="s">
        <v>49</v>
      </c>
      <c r="T1781" s="3">
        <v>7</v>
      </c>
      <c r="U1781" s="3">
        <v>0.23</v>
      </c>
      <c r="V1781" s="3">
        <v>95.19</v>
      </c>
      <c r="W1781">
        <v>42</v>
      </c>
      <c r="X1781" t="s">
        <v>50</v>
      </c>
      <c r="Y1781" s="3">
        <v>31.74</v>
      </c>
      <c r="Z1781" t="s">
        <v>132</v>
      </c>
      <c r="AA1781" t="s">
        <v>11749</v>
      </c>
      <c r="AB1781" t="s">
        <v>53</v>
      </c>
      <c r="AC1781" s="3">
        <v>5.61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f t="shared" si="54"/>
        <v>139.76999999999998</v>
      </c>
      <c r="AK1781" s="3">
        <f t="shared" si="55"/>
        <v>108.02999999999999</v>
      </c>
    </row>
    <row r="1782" spans="1:37">
      <c r="A1782">
        <v>10378282</v>
      </c>
      <c r="B1782" t="s">
        <v>37</v>
      </c>
      <c r="C1782" t="s">
        <v>11750</v>
      </c>
      <c r="E1782" t="s">
        <v>11751</v>
      </c>
      <c r="F1782" t="s">
        <v>11752</v>
      </c>
      <c r="G1782" t="s">
        <v>11753</v>
      </c>
      <c r="H1782" t="s">
        <v>42</v>
      </c>
      <c r="I1782" t="s">
        <v>11754</v>
      </c>
      <c r="J1782" t="s">
        <v>11755</v>
      </c>
      <c r="K1782">
        <v>2000</v>
      </c>
      <c r="L1782" t="s">
        <v>505</v>
      </c>
      <c r="M1782" t="s">
        <v>46</v>
      </c>
      <c r="N1782" t="s">
        <v>47</v>
      </c>
      <c r="O1782">
        <v>2</v>
      </c>
      <c r="P1782">
        <v>1</v>
      </c>
      <c r="Q1782">
        <v>2</v>
      </c>
      <c r="R1782" t="s">
        <v>48</v>
      </c>
      <c r="S1782" t="s">
        <v>49</v>
      </c>
      <c r="T1782" s="3">
        <v>0.84</v>
      </c>
      <c r="U1782" s="3">
        <v>0.23</v>
      </c>
      <c r="V1782" s="3">
        <v>1.81</v>
      </c>
      <c r="W1782">
        <v>0.98</v>
      </c>
      <c r="X1782" t="s">
        <v>50</v>
      </c>
      <c r="Y1782" s="3">
        <v>9.19</v>
      </c>
      <c r="Z1782" t="s">
        <v>9686</v>
      </c>
      <c r="AA1782" t="s">
        <v>11756</v>
      </c>
      <c r="AB1782" t="s">
        <v>53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f t="shared" si="54"/>
        <v>12.07</v>
      </c>
      <c r="AK1782" s="3">
        <f t="shared" si="55"/>
        <v>2.8800000000000008</v>
      </c>
    </row>
    <row r="1783" spans="1:37">
      <c r="A1783">
        <v>10378285</v>
      </c>
      <c r="B1783" t="s">
        <v>37</v>
      </c>
      <c r="C1783" t="s">
        <v>11757</v>
      </c>
      <c r="E1783" t="s">
        <v>1968</v>
      </c>
      <c r="F1783" t="s">
        <v>11758</v>
      </c>
      <c r="G1783" t="s">
        <v>11759</v>
      </c>
      <c r="H1783" t="s">
        <v>42</v>
      </c>
      <c r="I1783" t="s">
        <v>11760</v>
      </c>
      <c r="J1783" t="s">
        <v>11761</v>
      </c>
      <c r="K1783" t="s">
        <v>11762</v>
      </c>
      <c r="L1783" t="s">
        <v>142</v>
      </c>
      <c r="M1783" t="s">
        <v>46</v>
      </c>
      <c r="N1783" t="s">
        <v>47</v>
      </c>
      <c r="O1783">
        <v>4</v>
      </c>
      <c r="P1783">
        <v>1</v>
      </c>
      <c r="Q1783">
        <v>4</v>
      </c>
      <c r="R1783" t="s">
        <v>48</v>
      </c>
      <c r="S1783" t="s">
        <v>49</v>
      </c>
      <c r="T1783" s="3">
        <v>0.84</v>
      </c>
      <c r="U1783" s="3">
        <v>0.23</v>
      </c>
      <c r="V1783" s="3">
        <v>3.55</v>
      </c>
      <c r="W1783">
        <v>1.04</v>
      </c>
      <c r="X1783" t="s">
        <v>50</v>
      </c>
      <c r="Y1783" s="3">
        <v>16.43</v>
      </c>
      <c r="Z1783" t="s">
        <v>9686</v>
      </c>
      <c r="AA1783" t="s">
        <v>11322</v>
      </c>
      <c r="AB1783" t="s">
        <v>53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f t="shared" si="54"/>
        <v>21.05</v>
      </c>
      <c r="AK1783" s="3">
        <f t="shared" si="55"/>
        <v>4.620000000000001</v>
      </c>
    </row>
    <row r="1784" spans="1:37">
      <c r="A1784">
        <v>10378273</v>
      </c>
      <c r="B1784" t="s">
        <v>37</v>
      </c>
      <c r="C1784" t="s">
        <v>11763</v>
      </c>
      <c r="E1784" t="s">
        <v>5103</v>
      </c>
      <c r="F1784" t="s">
        <v>11764</v>
      </c>
      <c r="G1784" t="s">
        <v>11765</v>
      </c>
      <c r="H1784" t="s">
        <v>42</v>
      </c>
      <c r="I1784" t="s">
        <v>11766</v>
      </c>
      <c r="J1784" t="s">
        <v>11767</v>
      </c>
      <c r="K1784">
        <v>22767</v>
      </c>
      <c r="L1784" t="s">
        <v>71</v>
      </c>
      <c r="M1784" t="s">
        <v>46</v>
      </c>
      <c r="N1784" t="s">
        <v>47</v>
      </c>
      <c r="O1784">
        <v>1</v>
      </c>
      <c r="P1784">
        <v>1</v>
      </c>
      <c r="Q1784">
        <v>1</v>
      </c>
      <c r="R1784" t="s">
        <v>48</v>
      </c>
      <c r="S1784" t="s">
        <v>49</v>
      </c>
      <c r="T1784" s="3">
        <v>0.84</v>
      </c>
      <c r="U1784" s="3">
        <v>0.23</v>
      </c>
      <c r="V1784" s="3">
        <v>0.94</v>
      </c>
      <c r="W1784">
        <v>0.49</v>
      </c>
      <c r="X1784" t="s">
        <v>108</v>
      </c>
      <c r="Y1784" s="3">
        <v>5.14</v>
      </c>
      <c r="Z1784" t="s">
        <v>9850</v>
      </c>
      <c r="AA1784" t="s">
        <v>7163</v>
      </c>
      <c r="AB1784" t="s">
        <v>53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f t="shared" si="54"/>
        <v>7.15</v>
      </c>
      <c r="AK1784" s="3">
        <f t="shared" si="55"/>
        <v>2.0100000000000007</v>
      </c>
    </row>
    <row r="1785" spans="1:37">
      <c r="A1785">
        <v>10378274</v>
      </c>
      <c r="B1785" t="s">
        <v>37</v>
      </c>
      <c r="C1785" t="s">
        <v>11768</v>
      </c>
      <c r="E1785" t="s">
        <v>11769</v>
      </c>
      <c r="F1785" t="s">
        <v>11770</v>
      </c>
      <c r="G1785" t="s">
        <v>11771</v>
      </c>
      <c r="H1785" t="s">
        <v>42</v>
      </c>
      <c r="I1785" t="s">
        <v>11772</v>
      </c>
      <c r="J1785" t="s">
        <v>11773</v>
      </c>
      <c r="K1785" t="s">
        <v>11774</v>
      </c>
      <c r="L1785" t="s">
        <v>82</v>
      </c>
      <c r="M1785" t="s">
        <v>46</v>
      </c>
      <c r="N1785" t="s">
        <v>47</v>
      </c>
      <c r="O1785">
        <v>3</v>
      </c>
      <c r="P1785">
        <v>1</v>
      </c>
      <c r="Q1785">
        <v>3</v>
      </c>
      <c r="R1785" t="s">
        <v>48</v>
      </c>
      <c r="S1785" t="s">
        <v>49</v>
      </c>
      <c r="T1785" s="3">
        <v>0.84</v>
      </c>
      <c r="U1785" s="3">
        <v>0.23</v>
      </c>
      <c r="V1785" s="3">
        <v>2.68</v>
      </c>
      <c r="W1785">
        <v>0.92</v>
      </c>
      <c r="X1785" t="s">
        <v>50</v>
      </c>
      <c r="Y1785" s="3">
        <v>9.19</v>
      </c>
      <c r="Z1785" t="s">
        <v>9686</v>
      </c>
      <c r="AA1785" t="s">
        <v>11775</v>
      </c>
      <c r="AB1785" t="s">
        <v>53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f t="shared" si="54"/>
        <v>12.94</v>
      </c>
      <c r="AK1785" s="3">
        <f t="shared" si="55"/>
        <v>3.75</v>
      </c>
    </row>
    <row r="1786" spans="1:37">
      <c r="A1786">
        <v>10378279</v>
      </c>
      <c r="B1786" t="s">
        <v>37</v>
      </c>
      <c r="C1786" t="s">
        <v>11776</v>
      </c>
      <c r="E1786" t="s">
        <v>11777</v>
      </c>
      <c r="F1786" t="s">
        <v>11778</v>
      </c>
      <c r="G1786" t="s">
        <v>11779</v>
      </c>
      <c r="H1786" t="s">
        <v>42</v>
      </c>
      <c r="I1786" t="s">
        <v>11780</v>
      </c>
      <c r="J1786" t="s">
        <v>11781</v>
      </c>
      <c r="K1786" t="s">
        <v>11782</v>
      </c>
      <c r="L1786" t="s">
        <v>142</v>
      </c>
      <c r="M1786" t="s">
        <v>46</v>
      </c>
      <c r="N1786" t="s">
        <v>47</v>
      </c>
      <c r="O1786">
        <v>1</v>
      </c>
      <c r="P1786">
        <v>1</v>
      </c>
      <c r="Q1786">
        <v>1</v>
      </c>
      <c r="R1786" t="s">
        <v>48</v>
      </c>
      <c r="S1786" t="s">
        <v>49</v>
      </c>
      <c r="T1786" s="3">
        <v>0.84</v>
      </c>
      <c r="U1786" s="3">
        <v>0.23</v>
      </c>
      <c r="V1786" s="3">
        <v>0.94</v>
      </c>
      <c r="W1786">
        <v>0.45</v>
      </c>
      <c r="X1786" t="s">
        <v>50</v>
      </c>
      <c r="Y1786" s="3">
        <v>16.43</v>
      </c>
      <c r="Z1786" t="s">
        <v>9850</v>
      </c>
      <c r="AA1786" t="s">
        <v>7388</v>
      </c>
      <c r="AB1786" t="s">
        <v>53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f t="shared" si="54"/>
        <v>18.440000000000001</v>
      </c>
      <c r="AK1786" s="3">
        <f t="shared" si="55"/>
        <v>2.0100000000000016</v>
      </c>
    </row>
    <row r="1787" spans="1:37">
      <c r="A1787">
        <v>10378275</v>
      </c>
      <c r="B1787" t="s">
        <v>37</v>
      </c>
      <c r="C1787" t="s">
        <v>11783</v>
      </c>
      <c r="E1787" t="s">
        <v>2012</v>
      </c>
      <c r="F1787" t="s">
        <v>11784</v>
      </c>
      <c r="G1787" t="s">
        <v>11785</v>
      </c>
      <c r="H1787" t="s">
        <v>42</v>
      </c>
      <c r="I1787" t="s">
        <v>11786</v>
      </c>
      <c r="J1787" t="s">
        <v>11787</v>
      </c>
      <c r="K1787">
        <v>22549</v>
      </c>
      <c r="L1787" t="s">
        <v>71</v>
      </c>
      <c r="M1787" t="s">
        <v>46</v>
      </c>
      <c r="N1787" t="s">
        <v>47</v>
      </c>
      <c r="O1787">
        <v>1</v>
      </c>
      <c r="P1787">
        <v>1</v>
      </c>
      <c r="Q1787">
        <v>1</v>
      </c>
      <c r="R1787" t="s">
        <v>48</v>
      </c>
      <c r="S1787" t="s">
        <v>49</v>
      </c>
      <c r="T1787" s="3">
        <v>0.84</v>
      </c>
      <c r="U1787" s="3">
        <v>0.23</v>
      </c>
      <c r="V1787" s="3">
        <v>0.94</v>
      </c>
      <c r="W1787">
        <v>0.14000000000000001</v>
      </c>
      <c r="X1787" t="s">
        <v>108</v>
      </c>
      <c r="Y1787" s="3">
        <v>5.13</v>
      </c>
      <c r="Z1787" t="s">
        <v>9850</v>
      </c>
      <c r="AA1787" t="s">
        <v>213</v>
      </c>
      <c r="AB1787" t="s">
        <v>53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f t="shared" si="54"/>
        <v>7.1400000000000006</v>
      </c>
      <c r="AK1787" s="3">
        <f t="shared" si="55"/>
        <v>2.0100000000000007</v>
      </c>
    </row>
    <row r="1788" spans="1:37">
      <c r="A1788">
        <v>10378277</v>
      </c>
      <c r="B1788" t="s">
        <v>37</v>
      </c>
      <c r="C1788" t="s">
        <v>11788</v>
      </c>
      <c r="E1788" t="s">
        <v>215</v>
      </c>
      <c r="F1788" t="s">
        <v>11789</v>
      </c>
      <c r="G1788" t="s">
        <v>11790</v>
      </c>
      <c r="H1788" t="s">
        <v>42</v>
      </c>
      <c r="I1788" t="s">
        <v>11791</v>
      </c>
      <c r="J1788" t="s">
        <v>11792</v>
      </c>
      <c r="K1788">
        <v>88699</v>
      </c>
      <c r="L1788" t="s">
        <v>71</v>
      </c>
      <c r="M1788" t="s">
        <v>46</v>
      </c>
      <c r="N1788" t="s">
        <v>47</v>
      </c>
      <c r="O1788">
        <v>1</v>
      </c>
      <c r="P1788">
        <v>1</v>
      </c>
      <c r="Q1788">
        <v>1</v>
      </c>
      <c r="R1788" t="s">
        <v>48</v>
      </c>
      <c r="S1788" t="s">
        <v>49</v>
      </c>
      <c r="T1788" s="3">
        <v>0.84</v>
      </c>
      <c r="U1788" s="3">
        <v>0.23</v>
      </c>
      <c r="V1788" s="3">
        <v>0.94</v>
      </c>
      <c r="W1788">
        <v>0.14000000000000001</v>
      </c>
      <c r="X1788" t="s">
        <v>108</v>
      </c>
      <c r="Y1788" s="3">
        <v>5.14</v>
      </c>
      <c r="Z1788" t="s">
        <v>9850</v>
      </c>
      <c r="AA1788" t="s">
        <v>213</v>
      </c>
      <c r="AB1788" t="s">
        <v>53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f t="shared" si="54"/>
        <v>7.15</v>
      </c>
      <c r="AK1788" s="3">
        <f t="shared" si="55"/>
        <v>2.0100000000000007</v>
      </c>
    </row>
    <row r="1789" spans="1:37">
      <c r="A1789">
        <v>10377842</v>
      </c>
      <c r="B1789" t="s">
        <v>37</v>
      </c>
      <c r="C1789" t="s">
        <v>11793</v>
      </c>
      <c r="E1789" t="s">
        <v>650</v>
      </c>
      <c r="F1789" t="s">
        <v>11794</v>
      </c>
      <c r="G1789" t="s">
        <v>11795</v>
      </c>
      <c r="H1789" t="s">
        <v>42</v>
      </c>
      <c r="I1789" t="s">
        <v>11796</v>
      </c>
      <c r="J1789" t="s">
        <v>11797</v>
      </c>
      <c r="K1789" t="s">
        <v>11798</v>
      </c>
      <c r="L1789" t="s">
        <v>82</v>
      </c>
      <c r="M1789" t="s">
        <v>46</v>
      </c>
      <c r="N1789" t="s">
        <v>47</v>
      </c>
      <c r="O1789">
        <v>8</v>
      </c>
      <c r="P1789">
        <v>1</v>
      </c>
      <c r="Q1789">
        <v>8</v>
      </c>
      <c r="R1789" t="s">
        <v>48</v>
      </c>
      <c r="S1789" t="s">
        <v>49</v>
      </c>
      <c r="T1789" s="3">
        <v>0.84</v>
      </c>
      <c r="U1789" s="3">
        <v>0.23</v>
      </c>
      <c r="V1789" s="3">
        <v>7.03</v>
      </c>
      <c r="W1789">
        <v>3.62</v>
      </c>
      <c r="X1789" t="s">
        <v>50</v>
      </c>
      <c r="Y1789" s="3">
        <v>9.19</v>
      </c>
      <c r="Z1789" t="s">
        <v>73</v>
      </c>
      <c r="AA1789" t="s">
        <v>11799</v>
      </c>
      <c r="AB1789" t="s">
        <v>53</v>
      </c>
      <c r="AC1789" s="3">
        <v>1.29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f t="shared" si="54"/>
        <v>18.580000000000002</v>
      </c>
      <c r="AK1789" s="3">
        <f t="shared" si="55"/>
        <v>9.3900000000000023</v>
      </c>
    </row>
    <row r="1790" spans="1:37">
      <c r="A1790">
        <v>10377843</v>
      </c>
      <c r="B1790" t="s">
        <v>37</v>
      </c>
      <c r="C1790" t="s">
        <v>11800</v>
      </c>
      <c r="E1790" t="s">
        <v>2284</v>
      </c>
      <c r="F1790" t="s">
        <v>10834</v>
      </c>
      <c r="G1790" t="s">
        <v>11801</v>
      </c>
      <c r="H1790" t="s">
        <v>42</v>
      </c>
      <c r="I1790" t="s">
        <v>11802</v>
      </c>
      <c r="J1790" t="s">
        <v>11803</v>
      </c>
      <c r="K1790" t="s">
        <v>11804</v>
      </c>
      <c r="L1790" t="s">
        <v>142</v>
      </c>
      <c r="M1790" t="s">
        <v>46</v>
      </c>
      <c r="N1790" t="s">
        <v>47</v>
      </c>
      <c r="O1790">
        <v>2</v>
      </c>
      <c r="P1790">
        <v>1</v>
      </c>
      <c r="Q1790">
        <v>2</v>
      </c>
      <c r="R1790" t="s">
        <v>48</v>
      </c>
      <c r="S1790" t="s">
        <v>49</v>
      </c>
      <c r="T1790" s="3">
        <v>0.84</v>
      </c>
      <c r="U1790" s="3">
        <v>0.23</v>
      </c>
      <c r="V1790" s="3">
        <v>1.81</v>
      </c>
      <c r="W1790">
        <v>0.98</v>
      </c>
      <c r="X1790" t="s">
        <v>50</v>
      </c>
      <c r="Y1790" s="3">
        <v>16.43</v>
      </c>
      <c r="Z1790" t="s">
        <v>9850</v>
      </c>
      <c r="AA1790" t="s">
        <v>6918</v>
      </c>
      <c r="AB1790" t="s">
        <v>53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f t="shared" si="54"/>
        <v>19.309999999999999</v>
      </c>
      <c r="AK1790" s="3">
        <f t="shared" si="55"/>
        <v>2.879999999999999</v>
      </c>
    </row>
    <row r="1791" spans="1:37">
      <c r="A1791">
        <v>10377844</v>
      </c>
      <c r="B1791" t="s">
        <v>37</v>
      </c>
      <c r="C1791" t="s">
        <v>11805</v>
      </c>
      <c r="E1791" t="s">
        <v>146</v>
      </c>
      <c r="F1791" t="s">
        <v>11806</v>
      </c>
      <c r="G1791" t="s">
        <v>11807</v>
      </c>
      <c r="H1791" t="s">
        <v>42</v>
      </c>
      <c r="I1791" t="s">
        <v>11808</v>
      </c>
      <c r="J1791" t="s">
        <v>11809</v>
      </c>
      <c r="K1791" t="s">
        <v>11810</v>
      </c>
      <c r="L1791" t="s">
        <v>142</v>
      </c>
      <c r="M1791" t="s">
        <v>46</v>
      </c>
      <c r="N1791" t="s">
        <v>47</v>
      </c>
      <c r="O1791">
        <v>4</v>
      </c>
      <c r="P1791">
        <v>1</v>
      </c>
      <c r="Q1791">
        <v>4</v>
      </c>
      <c r="R1791" t="s">
        <v>48</v>
      </c>
      <c r="S1791" t="s">
        <v>49</v>
      </c>
      <c r="T1791" s="3">
        <v>0.84</v>
      </c>
      <c r="U1791" s="3">
        <v>0.23</v>
      </c>
      <c r="V1791" s="3">
        <v>3.55</v>
      </c>
      <c r="W1791">
        <v>1.96</v>
      </c>
      <c r="X1791" t="s">
        <v>50</v>
      </c>
      <c r="Y1791" s="3">
        <v>16.43</v>
      </c>
      <c r="Z1791" t="s">
        <v>9686</v>
      </c>
      <c r="AA1791" t="s">
        <v>11811</v>
      </c>
      <c r="AB1791" t="s">
        <v>53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f t="shared" si="54"/>
        <v>21.05</v>
      </c>
      <c r="AK1791" s="3">
        <f t="shared" si="55"/>
        <v>4.620000000000001</v>
      </c>
    </row>
    <row r="1792" spans="1:37">
      <c r="A1792">
        <v>10377840</v>
      </c>
      <c r="B1792" t="s">
        <v>37</v>
      </c>
      <c r="C1792" t="s">
        <v>11812</v>
      </c>
      <c r="E1792" t="s">
        <v>11018</v>
      </c>
      <c r="F1792" t="s">
        <v>11813</v>
      </c>
      <c r="G1792" t="s">
        <v>11814</v>
      </c>
      <c r="H1792" t="s">
        <v>42</v>
      </c>
      <c r="I1792" t="s">
        <v>11815</v>
      </c>
      <c r="J1792" t="s">
        <v>11816</v>
      </c>
      <c r="K1792">
        <v>53343</v>
      </c>
      <c r="L1792" t="s">
        <v>71</v>
      </c>
      <c r="M1792" t="s">
        <v>46</v>
      </c>
      <c r="N1792" t="s">
        <v>47</v>
      </c>
      <c r="O1792">
        <v>3</v>
      </c>
      <c r="P1792">
        <v>1</v>
      </c>
      <c r="Q1792">
        <v>3</v>
      </c>
      <c r="R1792" t="s">
        <v>48</v>
      </c>
      <c r="S1792" t="s">
        <v>49</v>
      </c>
      <c r="T1792" s="3">
        <v>0.84</v>
      </c>
      <c r="U1792" s="3">
        <v>0.23</v>
      </c>
      <c r="V1792" s="3">
        <v>2.68</v>
      </c>
      <c r="W1792">
        <v>0.45</v>
      </c>
      <c r="X1792" t="s">
        <v>108</v>
      </c>
      <c r="Y1792" s="3">
        <v>5.14</v>
      </c>
      <c r="Z1792" t="s">
        <v>9850</v>
      </c>
      <c r="AA1792" t="s">
        <v>11817</v>
      </c>
      <c r="AB1792" t="s">
        <v>53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f t="shared" si="54"/>
        <v>8.89</v>
      </c>
      <c r="AK1792" s="3">
        <f t="shared" si="55"/>
        <v>3.7500000000000009</v>
      </c>
    </row>
    <row r="1793" spans="1:37">
      <c r="A1793">
        <v>10373178</v>
      </c>
      <c r="B1793" t="s">
        <v>37</v>
      </c>
      <c r="C1793" t="s">
        <v>11818</v>
      </c>
      <c r="E1793" t="s">
        <v>3681</v>
      </c>
      <c r="F1793" t="s">
        <v>8185</v>
      </c>
      <c r="G1793" t="s">
        <v>11819</v>
      </c>
      <c r="H1793" t="s">
        <v>42</v>
      </c>
      <c r="I1793" t="s">
        <v>11820</v>
      </c>
      <c r="J1793" t="s">
        <v>8188</v>
      </c>
      <c r="K1793" t="s">
        <v>8189</v>
      </c>
      <c r="L1793" t="s">
        <v>142</v>
      </c>
      <c r="M1793" t="s">
        <v>46</v>
      </c>
      <c r="N1793" t="s">
        <v>47</v>
      </c>
      <c r="O1793">
        <v>8</v>
      </c>
      <c r="P1793">
        <v>1</v>
      </c>
      <c r="Q1793">
        <v>8</v>
      </c>
      <c r="R1793" t="s">
        <v>48</v>
      </c>
      <c r="S1793" t="s">
        <v>49</v>
      </c>
      <c r="T1793" s="3">
        <v>0.84</v>
      </c>
      <c r="U1793" s="3">
        <v>0.23</v>
      </c>
      <c r="V1793" s="3">
        <v>7.03</v>
      </c>
      <c r="W1793">
        <v>1.56</v>
      </c>
      <c r="X1793" t="s">
        <v>50</v>
      </c>
      <c r="Y1793" s="3">
        <v>16.43</v>
      </c>
      <c r="Z1793" t="s">
        <v>73</v>
      </c>
      <c r="AA1793" t="s">
        <v>11821</v>
      </c>
      <c r="AB1793" t="s">
        <v>53</v>
      </c>
      <c r="AC1793" s="3">
        <v>1.29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f t="shared" si="54"/>
        <v>25.82</v>
      </c>
      <c r="AK1793" s="3">
        <f t="shared" si="55"/>
        <v>9.39</v>
      </c>
    </row>
    <row r="1794" spans="1:37">
      <c r="A1794">
        <v>10378939</v>
      </c>
      <c r="B1794" t="s">
        <v>37</v>
      </c>
      <c r="C1794" t="s">
        <v>11822</v>
      </c>
      <c r="E1794" t="s">
        <v>1135</v>
      </c>
      <c r="F1794" t="s">
        <v>11823</v>
      </c>
      <c r="G1794" t="s">
        <v>11824</v>
      </c>
      <c r="H1794" t="s">
        <v>42</v>
      </c>
      <c r="I1794" t="s">
        <v>11825</v>
      </c>
      <c r="J1794" t="s">
        <v>11826</v>
      </c>
      <c r="K1794">
        <v>47058</v>
      </c>
      <c r="L1794" t="s">
        <v>71</v>
      </c>
      <c r="M1794" t="s">
        <v>46</v>
      </c>
      <c r="N1794" t="s">
        <v>47</v>
      </c>
      <c r="O1794">
        <v>2</v>
      </c>
      <c r="P1794">
        <v>1</v>
      </c>
      <c r="Q1794">
        <v>2</v>
      </c>
      <c r="R1794" t="s">
        <v>48</v>
      </c>
      <c r="S1794" t="s">
        <v>49</v>
      </c>
      <c r="T1794" s="3">
        <v>0.84</v>
      </c>
      <c r="U1794" s="3">
        <v>0.23</v>
      </c>
      <c r="V1794" s="3">
        <v>1.81</v>
      </c>
      <c r="W1794">
        <v>0.98</v>
      </c>
      <c r="X1794" t="s">
        <v>108</v>
      </c>
      <c r="Y1794" s="3">
        <v>5.14</v>
      </c>
      <c r="Z1794" t="s">
        <v>9850</v>
      </c>
      <c r="AA1794" t="s">
        <v>11827</v>
      </c>
      <c r="AB1794" t="s">
        <v>53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f t="shared" ref="AJ1794:AJ1857" si="56">AI1794+AH1794+AG1794+AF1794+AE1794+AD1794+AC1794+Y1794+V1794+U1794+T1794</f>
        <v>8.02</v>
      </c>
      <c r="AK1794" s="3">
        <f t="shared" ref="AK1794:AK1857" si="57">AJ1794-Y1794</f>
        <v>2.88</v>
      </c>
    </row>
    <row r="1795" spans="1:37">
      <c r="A1795">
        <v>10378931</v>
      </c>
      <c r="B1795" t="s">
        <v>37</v>
      </c>
      <c r="C1795" t="s">
        <v>11828</v>
      </c>
      <c r="E1795" t="s">
        <v>7599</v>
      </c>
      <c r="F1795" t="s">
        <v>3993</v>
      </c>
      <c r="G1795" t="s">
        <v>11829</v>
      </c>
      <c r="H1795" t="s">
        <v>42</v>
      </c>
      <c r="I1795" t="s">
        <v>11830</v>
      </c>
      <c r="J1795" t="s">
        <v>11831</v>
      </c>
      <c r="K1795" t="s">
        <v>11832</v>
      </c>
      <c r="L1795" t="s">
        <v>142</v>
      </c>
      <c r="M1795" t="s">
        <v>46</v>
      </c>
      <c r="N1795" t="s">
        <v>47</v>
      </c>
      <c r="O1795">
        <v>1</v>
      </c>
      <c r="P1795">
        <v>1</v>
      </c>
      <c r="Q1795">
        <v>1</v>
      </c>
      <c r="R1795" t="s">
        <v>48</v>
      </c>
      <c r="S1795" t="s">
        <v>49</v>
      </c>
      <c r="T1795" s="3">
        <v>0.84</v>
      </c>
      <c r="U1795" s="3">
        <v>0.23</v>
      </c>
      <c r="V1795" s="3">
        <v>0.94</v>
      </c>
      <c r="W1795">
        <v>1.6</v>
      </c>
      <c r="X1795" t="s">
        <v>50</v>
      </c>
      <c r="Y1795" s="3">
        <v>16.43</v>
      </c>
      <c r="Z1795" t="s">
        <v>9770</v>
      </c>
      <c r="AA1795" t="s">
        <v>3025</v>
      </c>
      <c r="AB1795" t="s">
        <v>53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f t="shared" si="56"/>
        <v>18.440000000000001</v>
      </c>
      <c r="AK1795" s="3">
        <f t="shared" si="57"/>
        <v>2.0100000000000016</v>
      </c>
    </row>
    <row r="1796" spans="1:37">
      <c r="A1796">
        <v>10378612</v>
      </c>
      <c r="B1796" t="s">
        <v>37</v>
      </c>
      <c r="C1796" t="s">
        <v>11833</v>
      </c>
      <c r="E1796" t="s">
        <v>11834</v>
      </c>
      <c r="F1796" t="s">
        <v>11835</v>
      </c>
      <c r="G1796" t="s">
        <v>11836</v>
      </c>
      <c r="H1796" t="s">
        <v>42</v>
      </c>
      <c r="I1796" t="s">
        <v>11837</v>
      </c>
      <c r="J1796" t="s">
        <v>11838</v>
      </c>
      <c r="K1796">
        <v>65366</v>
      </c>
      <c r="L1796" t="s">
        <v>71</v>
      </c>
      <c r="M1796" t="s">
        <v>46</v>
      </c>
      <c r="N1796" t="s">
        <v>47</v>
      </c>
      <c r="O1796">
        <v>4</v>
      </c>
      <c r="P1796">
        <v>1</v>
      </c>
      <c r="Q1796">
        <v>4</v>
      </c>
      <c r="R1796" t="s">
        <v>48</v>
      </c>
      <c r="S1796" t="s">
        <v>49</v>
      </c>
      <c r="T1796" s="3">
        <v>0.84</v>
      </c>
      <c r="U1796" s="3">
        <v>0.23</v>
      </c>
      <c r="V1796" s="3">
        <v>3.55</v>
      </c>
      <c r="W1796">
        <v>3.07</v>
      </c>
      <c r="X1796" t="s">
        <v>72</v>
      </c>
      <c r="Y1796" s="3">
        <v>8</v>
      </c>
      <c r="Z1796" t="s">
        <v>83</v>
      </c>
      <c r="AA1796" t="s">
        <v>11839</v>
      </c>
      <c r="AB1796" t="s">
        <v>53</v>
      </c>
      <c r="AC1796" s="3">
        <v>1.27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f t="shared" si="56"/>
        <v>13.89</v>
      </c>
      <c r="AK1796" s="3">
        <f t="shared" si="57"/>
        <v>5.8900000000000006</v>
      </c>
    </row>
    <row r="1797" spans="1:37">
      <c r="A1797">
        <v>10378614</v>
      </c>
      <c r="B1797" t="s">
        <v>37</v>
      </c>
      <c r="C1797" t="s">
        <v>11840</v>
      </c>
      <c r="E1797" t="s">
        <v>11841</v>
      </c>
      <c r="F1797" t="s">
        <v>11842</v>
      </c>
      <c r="G1797" t="s">
        <v>11843</v>
      </c>
      <c r="H1797" t="s">
        <v>42</v>
      </c>
      <c r="I1797" t="s">
        <v>11844</v>
      </c>
      <c r="J1797" t="s">
        <v>11845</v>
      </c>
      <c r="K1797">
        <v>48993</v>
      </c>
      <c r="L1797" t="s">
        <v>91</v>
      </c>
      <c r="M1797" t="s">
        <v>46</v>
      </c>
      <c r="N1797" t="s">
        <v>47</v>
      </c>
      <c r="O1797">
        <v>3</v>
      </c>
      <c r="P1797">
        <v>1</v>
      </c>
      <c r="Q1797">
        <v>3</v>
      </c>
      <c r="R1797" t="s">
        <v>48</v>
      </c>
      <c r="S1797" t="s">
        <v>49</v>
      </c>
      <c r="T1797" s="3">
        <v>0.84</v>
      </c>
      <c r="U1797" s="3">
        <v>0.23</v>
      </c>
      <c r="V1797" s="3">
        <v>2.68</v>
      </c>
      <c r="W1797">
        <v>1.35</v>
      </c>
      <c r="X1797" t="s">
        <v>50</v>
      </c>
      <c r="Y1797" s="3">
        <v>16.43</v>
      </c>
      <c r="Z1797" t="s">
        <v>9686</v>
      </c>
      <c r="AA1797" t="s">
        <v>11846</v>
      </c>
      <c r="AB1797" t="s">
        <v>53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5</v>
      </c>
      <c r="AI1797" s="3">
        <v>0</v>
      </c>
      <c r="AJ1797" s="3">
        <f t="shared" si="56"/>
        <v>25.18</v>
      </c>
      <c r="AK1797" s="3">
        <f t="shared" si="57"/>
        <v>8.75</v>
      </c>
    </row>
    <row r="1798" spans="1:37">
      <c r="A1798">
        <v>10378615</v>
      </c>
      <c r="B1798" t="s">
        <v>37</v>
      </c>
      <c r="C1798" t="s">
        <v>11847</v>
      </c>
      <c r="E1798" t="s">
        <v>6846</v>
      </c>
      <c r="F1798" t="s">
        <v>11848</v>
      </c>
      <c r="G1798" t="s">
        <v>11849</v>
      </c>
      <c r="H1798" t="s">
        <v>42</v>
      </c>
      <c r="I1798" t="s">
        <v>11850</v>
      </c>
      <c r="J1798" t="s">
        <v>11851</v>
      </c>
      <c r="K1798">
        <v>25474</v>
      </c>
      <c r="L1798" t="s">
        <v>71</v>
      </c>
      <c r="M1798" t="s">
        <v>46</v>
      </c>
      <c r="N1798" t="s">
        <v>47</v>
      </c>
      <c r="O1798">
        <v>1</v>
      </c>
      <c r="P1798">
        <v>1</v>
      </c>
      <c r="Q1798">
        <v>1</v>
      </c>
      <c r="R1798" t="s">
        <v>48</v>
      </c>
      <c r="S1798" t="s">
        <v>49</v>
      </c>
      <c r="T1798" s="3">
        <v>0.84</v>
      </c>
      <c r="U1798" s="3">
        <v>0.23</v>
      </c>
      <c r="V1798" s="3">
        <v>0.94</v>
      </c>
      <c r="W1798">
        <v>0.39</v>
      </c>
      <c r="X1798" t="s">
        <v>108</v>
      </c>
      <c r="Y1798" s="3">
        <v>5.14</v>
      </c>
      <c r="Z1798" t="s">
        <v>9850</v>
      </c>
      <c r="AA1798" t="s">
        <v>714</v>
      </c>
      <c r="AB1798" t="s">
        <v>53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f t="shared" si="56"/>
        <v>7.15</v>
      </c>
      <c r="AK1798" s="3">
        <f t="shared" si="57"/>
        <v>2.0100000000000007</v>
      </c>
    </row>
    <row r="1799" spans="1:37">
      <c r="A1799">
        <v>10376417</v>
      </c>
      <c r="B1799" t="s">
        <v>37</v>
      </c>
      <c r="C1799" t="s">
        <v>11852</v>
      </c>
      <c r="D1799" t="s">
        <v>11853</v>
      </c>
      <c r="E1799" t="s">
        <v>11854</v>
      </c>
      <c r="F1799" t="s">
        <v>11855</v>
      </c>
      <c r="G1799" t="s">
        <v>11856</v>
      </c>
      <c r="H1799" t="s">
        <v>42</v>
      </c>
      <c r="I1799" t="s">
        <v>11857</v>
      </c>
      <c r="J1799" t="s">
        <v>11858</v>
      </c>
      <c r="K1799">
        <v>1050</v>
      </c>
      <c r="L1799" t="s">
        <v>505</v>
      </c>
      <c r="M1799" t="s">
        <v>46</v>
      </c>
      <c r="N1799" t="s">
        <v>47</v>
      </c>
      <c r="O1799">
        <v>1</v>
      </c>
      <c r="P1799">
        <v>1</v>
      </c>
      <c r="Q1799">
        <v>1</v>
      </c>
      <c r="R1799" t="s">
        <v>48</v>
      </c>
      <c r="S1799" t="s">
        <v>49</v>
      </c>
      <c r="T1799" s="3">
        <v>0.84</v>
      </c>
      <c r="U1799" s="3">
        <v>0.23</v>
      </c>
      <c r="V1799" s="3">
        <v>0.94</v>
      </c>
      <c r="W1799">
        <v>0.49</v>
      </c>
      <c r="X1799" t="s">
        <v>50</v>
      </c>
      <c r="Y1799" s="3">
        <v>9.19</v>
      </c>
      <c r="Z1799" t="s">
        <v>9850</v>
      </c>
      <c r="AA1799" t="s">
        <v>10333</v>
      </c>
      <c r="AB1799" t="s">
        <v>53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5</v>
      </c>
      <c r="AI1799" s="3">
        <v>0</v>
      </c>
      <c r="AJ1799" s="3">
        <f t="shared" si="56"/>
        <v>16.2</v>
      </c>
      <c r="AK1799" s="3">
        <f t="shared" si="57"/>
        <v>7.01</v>
      </c>
    </row>
    <row r="1800" spans="1:37">
      <c r="A1800">
        <v>10380041</v>
      </c>
      <c r="B1800" t="s">
        <v>37</v>
      </c>
      <c r="C1800" t="s">
        <v>11859</v>
      </c>
      <c r="E1800" t="s">
        <v>11860</v>
      </c>
      <c r="F1800" t="s">
        <v>11861</v>
      </c>
      <c r="G1800" t="s">
        <v>11862</v>
      </c>
      <c r="H1800" t="s">
        <v>42</v>
      </c>
      <c r="I1800" t="s">
        <v>11863</v>
      </c>
      <c r="J1800" t="s">
        <v>11864</v>
      </c>
      <c r="K1800">
        <v>80999</v>
      </c>
      <c r="L1800" t="s">
        <v>71</v>
      </c>
      <c r="M1800" t="s">
        <v>46</v>
      </c>
      <c r="N1800" t="s">
        <v>47</v>
      </c>
      <c r="O1800">
        <v>1</v>
      </c>
      <c r="P1800">
        <v>1</v>
      </c>
      <c r="Q1800">
        <v>1</v>
      </c>
      <c r="R1800" t="s">
        <v>48</v>
      </c>
      <c r="S1800" t="s">
        <v>49</v>
      </c>
      <c r="T1800" s="3">
        <v>0.84</v>
      </c>
      <c r="U1800" s="3">
        <v>0.23</v>
      </c>
      <c r="V1800" s="3">
        <v>0.94</v>
      </c>
      <c r="W1800">
        <v>1.4</v>
      </c>
      <c r="X1800" t="s">
        <v>108</v>
      </c>
      <c r="Y1800" s="3">
        <v>14.44</v>
      </c>
      <c r="Z1800" t="s">
        <v>9686</v>
      </c>
      <c r="AA1800" t="s">
        <v>178</v>
      </c>
      <c r="AB1800" t="s">
        <v>53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f t="shared" si="56"/>
        <v>16.45</v>
      </c>
      <c r="AK1800" s="3">
        <f t="shared" si="57"/>
        <v>2.0099999999999998</v>
      </c>
    </row>
    <row r="1801" spans="1:37">
      <c r="A1801">
        <v>10380923</v>
      </c>
      <c r="B1801" t="s">
        <v>37</v>
      </c>
      <c r="C1801" t="s">
        <v>11865</v>
      </c>
      <c r="E1801" t="s">
        <v>11866</v>
      </c>
      <c r="F1801" t="s">
        <v>11867</v>
      </c>
      <c r="G1801" t="s">
        <v>11868</v>
      </c>
      <c r="H1801" t="s">
        <v>42</v>
      </c>
      <c r="I1801" t="s">
        <v>11869</v>
      </c>
      <c r="J1801" t="s">
        <v>11870</v>
      </c>
      <c r="K1801">
        <v>76676</v>
      </c>
      <c r="L1801" t="s">
        <v>71</v>
      </c>
      <c r="M1801" t="s">
        <v>46</v>
      </c>
      <c r="N1801" t="s">
        <v>47</v>
      </c>
      <c r="O1801">
        <v>1</v>
      </c>
      <c r="P1801">
        <v>1</v>
      </c>
      <c r="Q1801">
        <v>1</v>
      </c>
      <c r="R1801" t="s">
        <v>48</v>
      </c>
      <c r="S1801" t="s">
        <v>49</v>
      </c>
      <c r="T1801" s="3">
        <v>0.84</v>
      </c>
      <c r="U1801" s="3">
        <v>0.23</v>
      </c>
      <c r="V1801" s="3">
        <v>0.94</v>
      </c>
      <c r="W1801">
        <v>1.4</v>
      </c>
      <c r="X1801" t="s">
        <v>108</v>
      </c>
      <c r="Y1801" s="3">
        <v>5.14</v>
      </c>
      <c r="Z1801" t="s">
        <v>9686</v>
      </c>
      <c r="AA1801" t="s">
        <v>198</v>
      </c>
      <c r="AB1801" t="s">
        <v>53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f t="shared" si="56"/>
        <v>7.15</v>
      </c>
      <c r="AK1801" s="3">
        <f t="shared" si="57"/>
        <v>2.0100000000000007</v>
      </c>
    </row>
    <row r="1802" spans="1:37">
      <c r="A1802">
        <v>10379162</v>
      </c>
      <c r="B1802" t="s">
        <v>37</v>
      </c>
      <c r="C1802" t="s">
        <v>11871</v>
      </c>
      <c r="E1802" t="s">
        <v>11872</v>
      </c>
      <c r="F1802" t="s">
        <v>11873</v>
      </c>
      <c r="G1802" t="s">
        <v>11874</v>
      </c>
      <c r="H1802" t="s">
        <v>42</v>
      </c>
      <c r="I1802" t="s">
        <v>11875</v>
      </c>
      <c r="J1802" t="s">
        <v>11876</v>
      </c>
      <c r="K1802">
        <v>13357</v>
      </c>
      <c r="L1802" t="s">
        <v>71</v>
      </c>
      <c r="M1802" t="s">
        <v>46</v>
      </c>
      <c r="N1802" t="s">
        <v>47</v>
      </c>
      <c r="O1802">
        <v>1</v>
      </c>
      <c r="P1802">
        <v>1</v>
      </c>
      <c r="Q1802">
        <v>1</v>
      </c>
      <c r="R1802" t="s">
        <v>48</v>
      </c>
      <c r="S1802" t="s">
        <v>49</v>
      </c>
      <c r="T1802" s="3">
        <v>0.84</v>
      </c>
      <c r="U1802" s="3">
        <v>0.23</v>
      </c>
      <c r="V1802" s="3">
        <v>0.94</v>
      </c>
      <c r="W1802">
        <v>1.02</v>
      </c>
      <c r="X1802" t="s">
        <v>108</v>
      </c>
      <c r="Y1802" s="3">
        <v>5.14</v>
      </c>
      <c r="Z1802" t="s">
        <v>9686</v>
      </c>
      <c r="AA1802" t="s">
        <v>1625</v>
      </c>
      <c r="AB1802" t="s">
        <v>53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f t="shared" si="56"/>
        <v>7.15</v>
      </c>
      <c r="AK1802" s="3">
        <f t="shared" si="57"/>
        <v>2.0100000000000007</v>
      </c>
    </row>
    <row r="1803" spans="1:37">
      <c r="A1803">
        <v>10380039</v>
      </c>
      <c r="B1803" t="s">
        <v>37</v>
      </c>
      <c r="C1803" t="s">
        <v>11877</v>
      </c>
      <c r="E1803" t="s">
        <v>657</v>
      </c>
      <c r="F1803" t="s">
        <v>11878</v>
      </c>
      <c r="G1803" t="s">
        <v>11879</v>
      </c>
      <c r="H1803" t="s">
        <v>42</v>
      </c>
      <c r="I1803" t="s">
        <v>11880</v>
      </c>
      <c r="J1803" t="s">
        <v>11881</v>
      </c>
      <c r="K1803">
        <v>10409</v>
      </c>
      <c r="L1803" t="s">
        <v>71</v>
      </c>
      <c r="M1803" t="s">
        <v>46</v>
      </c>
      <c r="N1803" t="s">
        <v>47</v>
      </c>
      <c r="O1803">
        <v>1</v>
      </c>
      <c r="P1803">
        <v>1</v>
      </c>
      <c r="Q1803">
        <v>1</v>
      </c>
      <c r="R1803" t="s">
        <v>48</v>
      </c>
      <c r="S1803" t="s">
        <v>49</v>
      </c>
      <c r="T1803" s="3">
        <v>0.84</v>
      </c>
      <c r="U1803" s="3">
        <v>0.23</v>
      </c>
      <c r="V1803" s="3">
        <v>0.94</v>
      </c>
      <c r="W1803">
        <v>1.02</v>
      </c>
      <c r="X1803" t="s">
        <v>108</v>
      </c>
      <c r="Y1803" s="3">
        <v>9.3000000000000007</v>
      </c>
      <c r="Z1803" t="s">
        <v>9686</v>
      </c>
      <c r="AA1803" t="s">
        <v>1625</v>
      </c>
      <c r="AB1803" t="s">
        <v>53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f t="shared" si="56"/>
        <v>11.31</v>
      </c>
      <c r="AK1803" s="3">
        <f t="shared" si="57"/>
        <v>2.0099999999999998</v>
      </c>
    </row>
    <row r="1804" spans="1:37">
      <c r="A1804">
        <v>10380037</v>
      </c>
      <c r="B1804" t="s">
        <v>37</v>
      </c>
      <c r="C1804" t="s">
        <v>11882</v>
      </c>
      <c r="E1804" t="s">
        <v>809</v>
      </c>
      <c r="F1804" t="s">
        <v>11883</v>
      </c>
      <c r="G1804" t="s">
        <v>11884</v>
      </c>
      <c r="H1804" t="s">
        <v>42</v>
      </c>
      <c r="I1804" t="s">
        <v>11885</v>
      </c>
      <c r="J1804" t="s">
        <v>11886</v>
      </c>
      <c r="K1804">
        <v>3010</v>
      </c>
      <c r="L1804" t="s">
        <v>505</v>
      </c>
      <c r="M1804" t="s">
        <v>46</v>
      </c>
      <c r="N1804" t="s">
        <v>47</v>
      </c>
      <c r="O1804">
        <v>1</v>
      </c>
      <c r="P1804">
        <v>1</v>
      </c>
      <c r="Q1804">
        <v>1</v>
      </c>
      <c r="R1804" t="s">
        <v>48</v>
      </c>
      <c r="S1804" t="s">
        <v>49</v>
      </c>
      <c r="T1804" s="3">
        <v>0.84</v>
      </c>
      <c r="U1804" s="3">
        <v>0.23</v>
      </c>
      <c r="V1804" s="3">
        <v>0.94</v>
      </c>
      <c r="W1804">
        <v>1.6</v>
      </c>
      <c r="X1804" t="s">
        <v>50</v>
      </c>
      <c r="Y1804" s="3">
        <v>9.19</v>
      </c>
      <c r="Z1804" t="s">
        <v>9770</v>
      </c>
      <c r="AA1804" t="s">
        <v>490</v>
      </c>
      <c r="AB1804" t="s">
        <v>53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f t="shared" si="56"/>
        <v>11.2</v>
      </c>
      <c r="AK1804" s="3">
        <f t="shared" si="57"/>
        <v>2.0099999999999998</v>
      </c>
    </row>
    <row r="1805" spans="1:37">
      <c r="A1805">
        <v>10380247</v>
      </c>
      <c r="B1805" t="s">
        <v>37</v>
      </c>
      <c r="C1805" t="s">
        <v>11887</v>
      </c>
      <c r="E1805" t="s">
        <v>11888</v>
      </c>
      <c r="F1805" t="s">
        <v>11889</v>
      </c>
      <c r="G1805" t="s">
        <v>11890</v>
      </c>
      <c r="H1805" t="s">
        <v>42</v>
      </c>
      <c r="I1805" t="s">
        <v>11891</v>
      </c>
      <c r="J1805" t="s">
        <v>11892</v>
      </c>
      <c r="K1805">
        <v>78467</v>
      </c>
      <c r="L1805" t="s">
        <v>71</v>
      </c>
      <c r="M1805" t="s">
        <v>46</v>
      </c>
      <c r="N1805" t="s">
        <v>47</v>
      </c>
      <c r="O1805">
        <v>1</v>
      </c>
      <c r="P1805">
        <v>1</v>
      </c>
      <c r="Q1805">
        <v>1</v>
      </c>
      <c r="R1805" t="s">
        <v>48</v>
      </c>
      <c r="S1805" t="s">
        <v>49</v>
      </c>
      <c r="T1805" s="3">
        <v>0.84</v>
      </c>
      <c r="U1805" s="3">
        <v>0.23</v>
      </c>
      <c r="V1805" s="3">
        <v>0.94</v>
      </c>
      <c r="W1805">
        <v>1.4</v>
      </c>
      <c r="X1805" t="s">
        <v>108</v>
      </c>
      <c r="Y1805" s="3">
        <v>5.14</v>
      </c>
      <c r="Z1805" t="s">
        <v>9686</v>
      </c>
      <c r="AA1805" t="s">
        <v>297</v>
      </c>
      <c r="AB1805" t="s">
        <v>53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f t="shared" si="56"/>
        <v>7.15</v>
      </c>
      <c r="AK1805" s="3">
        <f t="shared" si="57"/>
        <v>2.0100000000000007</v>
      </c>
    </row>
    <row r="1806" spans="1:37">
      <c r="A1806">
        <v>10379600</v>
      </c>
      <c r="B1806" t="s">
        <v>37</v>
      </c>
      <c r="C1806" t="s">
        <v>11893</v>
      </c>
      <c r="E1806" t="s">
        <v>2853</v>
      </c>
      <c r="F1806" t="s">
        <v>2175</v>
      </c>
      <c r="G1806" t="s">
        <v>11894</v>
      </c>
      <c r="H1806" t="s">
        <v>42</v>
      </c>
      <c r="I1806" t="s">
        <v>11895</v>
      </c>
      <c r="J1806" t="s">
        <v>11896</v>
      </c>
      <c r="K1806" t="s">
        <v>11897</v>
      </c>
      <c r="L1806" t="s">
        <v>142</v>
      </c>
      <c r="M1806" t="s">
        <v>46</v>
      </c>
      <c r="N1806" t="s">
        <v>47</v>
      </c>
      <c r="O1806">
        <v>1</v>
      </c>
      <c r="P1806">
        <v>1</v>
      </c>
      <c r="Q1806">
        <v>1</v>
      </c>
      <c r="R1806" t="s">
        <v>48</v>
      </c>
      <c r="S1806" t="s">
        <v>49</v>
      </c>
      <c r="T1806" s="3">
        <v>0.84</v>
      </c>
      <c r="U1806" s="3">
        <v>0.23</v>
      </c>
      <c r="V1806" s="3">
        <v>0.94</v>
      </c>
      <c r="W1806">
        <v>0.49</v>
      </c>
      <c r="X1806" t="s">
        <v>50</v>
      </c>
      <c r="Y1806" s="3">
        <v>16.43</v>
      </c>
      <c r="Z1806" t="s">
        <v>9850</v>
      </c>
      <c r="AA1806" t="s">
        <v>267</v>
      </c>
      <c r="AB1806" t="s">
        <v>53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f t="shared" si="56"/>
        <v>18.440000000000001</v>
      </c>
      <c r="AK1806" s="3">
        <f t="shared" si="57"/>
        <v>2.0100000000000016</v>
      </c>
    </row>
    <row r="1807" spans="1:37">
      <c r="A1807">
        <v>10380922</v>
      </c>
      <c r="B1807" t="s">
        <v>37</v>
      </c>
      <c r="C1807" t="s">
        <v>11898</v>
      </c>
      <c r="E1807" t="s">
        <v>3681</v>
      </c>
      <c r="F1807" t="s">
        <v>11899</v>
      </c>
      <c r="G1807" t="s">
        <v>11900</v>
      </c>
      <c r="H1807" t="s">
        <v>42</v>
      </c>
      <c r="I1807" t="s">
        <v>11901</v>
      </c>
      <c r="J1807" t="s">
        <v>11902</v>
      </c>
      <c r="K1807">
        <v>50677</v>
      </c>
      <c r="L1807" t="s">
        <v>71</v>
      </c>
      <c r="M1807" t="s">
        <v>46</v>
      </c>
      <c r="N1807" t="s">
        <v>47</v>
      </c>
      <c r="O1807">
        <v>1</v>
      </c>
      <c r="P1807">
        <v>1</v>
      </c>
      <c r="Q1807">
        <v>1</v>
      </c>
      <c r="R1807" t="s">
        <v>48</v>
      </c>
      <c r="S1807" t="s">
        <v>49</v>
      </c>
      <c r="T1807" s="3">
        <v>0.84</v>
      </c>
      <c r="U1807" s="3">
        <v>0.23</v>
      </c>
      <c r="V1807" s="3">
        <v>0.94</v>
      </c>
      <c r="W1807">
        <v>0.49</v>
      </c>
      <c r="X1807" t="s">
        <v>108</v>
      </c>
      <c r="Y1807" s="3">
        <v>5.14</v>
      </c>
      <c r="Z1807" t="s">
        <v>9850</v>
      </c>
      <c r="AA1807" t="s">
        <v>5153</v>
      </c>
      <c r="AB1807" t="s">
        <v>53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f t="shared" si="56"/>
        <v>7.15</v>
      </c>
      <c r="AK1807" s="3">
        <f t="shared" si="57"/>
        <v>2.0100000000000007</v>
      </c>
    </row>
    <row r="1808" spans="1:37">
      <c r="A1808">
        <v>10381190</v>
      </c>
      <c r="B1808" t="s">
        <v>37</v>
      </c>
      <c r="C1808" t="s">
        <v>11903</v>
      </c>
      <c r="E1808" t="s">
        <v>11904</v>
      </c>
      <c r="F1808" t="s">
        <v>11905</v>
      </c>
      <c r="G1808" t="s">
        <v>11906</v>
      </c>
      <c r="H1808" t="s">
        <v>42</v>
      </c>
      <c r="I1808" t="s">
        <v>11907</v>
      </c>
      <c r="J1808" t="s">
        <v>11908</v>
      </c>
      <c r="K1808">
        <v>2800</v>
      </c>
      <c r="L1808" t="s">
        <v>505</v>
      </c>
      <c r="M1808" t="s">
        <v>46</v>
      </c>
      <c r="N1808" t="s">
        <v>47</v>
      </c>
      <c r="O1808">
        <v>1</v>
      </c>
      <c r="P1808">
        <v>1</v>
      </c>
      <c r="Q1808">
        <v>1</v>
      </c>
      <c r="R1808" t="s">
        <v>48</v>
      </c>
      <c r="S1808" t="s">
        <v>49</v>
      </c>
      <c r="T1808" s="3">
        <v>0.84</v>
      </c>
      <c r="U1808" s="3">
        <v>0.23</v>
      </c>
      <c r="V1808" s="3">
        <v>0.94</v>
      </c>
      <c r="W1808">
        <v>0.49</v>
      </c>
      <c r="X1808" t="s">
        <v>50</v>
      </c>
      <c r="Y1808" s="3">
        <v>9.19</v>
      </c>
      <c r="Z1808" t="s">
        <v>9850</v>
      </c>
      <c r="AA1808" t="s">
        <v>267</v>
      </c>
      <c r="AB1808" t="s">
        <v>53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f t="shared" si="56"/>
        <v>11.2</v>
      </c>
      <c r="AK1808" s="3">
        <f t="shared" si="57"/>
        <v>2.0099999999999998</v>
      </c>
    </row>
    <row r="1809" spans="1:37">
      <c r="A1809">
        <v>10381389</v>
      </c>
      <c r="B1809" t="s">
        <v>37</v>
      </c>
      <c r="C1809" t="s">
        <v>11909</v>
      </c>
      <c r="E1809" t="s">
        <v>11910</v>
      </c>
      <c r="F1809" t="s">
        <v>11911</v>
      </c>
      <c r="G1809" t="s">
        <v>11912</v>
      </c>
      <c r="H1809" t="s">
        <v>42</v>
      </c>
      <c r="I1809" t="s">
        <v>11913</v>
      </c>
      <c r="J1809" t="s">
        <v>11914</v>
      </c>
      <c r="K1809">
        <v>37230</v>
      </c>
      <c r="L1809" t="s">
        <v>130</v>
      </c>
      <c r="M1809" t="s">
        <v>46</v>
      </c>
      <c r="N1809" t="s">
        <v>47</v>
      </c>
      <c r="O1809">
        <v>1</v>
      </c>
      <c r="P1809">
        <v>1</v>
      </c>
      <c r="Q1809">
        <v>1</v>
      </c>
      <c r="R1809" t="s">
        <v>48</v>
      </c>
      <c r="S1809" t="s">
        <v>49</v>
      </c>
      <c r="T1809" s="3">
        <v>0.84</v>
      </c>
      <c r="U1809" s="3">
        <v>0.23</v>
      </c>
      <c r="V1809" s="3">
        <v>0.94</v>
      </c>
      <c r="W1809">
        <v>0.49</v>
      </c>
      <c r="X1809" t="s">
        <v>50</v>
      </c>
      <c r="Y1809" s="3">
        <v>14.26</v>
      </c>
      <c r="Z1809" t="s">
        <v>9850</v>
      </c>
      <c r="AA1809" t="s">
        <v>5153</v>
      </c>
      <c r="AB1809" t="s">
        <v>53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f t="shared" si="56"/>
        <v>16.27</v>
      </c>
      <c r="AK1809" s="3">
        <f t="shared" si="57"/>
        <v>2.0099999999999998</v>
      </c>
    </row>
    <row r="1810" spans="1:37">
      <c r="A1810">
        <v>10380925</v>
      </c>
      <c r="B1810" t="s">
        <v>37</v>
      </c>
      <c r="C1810" t="s">
        <v>11915</v>
      </c>
      <c r="D1810" t="s">
        <v>11916</v>
      </c>
      <c r="E1810" t="s">
        <v>1343</v>
      </c>
      <c r="F1810" t="s">
        <v>11917</v>
      </c>
      <c r="G1810" t="s">
        <v>11918</v>
      </c>
      <c r="H1810" t="s">
        <v>42</v>
      </c>
      <c r="I1810" t="s">
        <v>11919</v>
      </c>
      <c r="J1810" t="s">
        <v>11920</v>
      </c>
      <c r="K1810">
        <v>31029</v>
      </c>
      <c r="L1810" t="s">
        <v>283</v>
      </c>
      <c r="M1810" t="s">
        <v>46</v>
      </c>
      <c r="N1810" t="s">
        <v>47</v>
      </c>
      <c r="O1810">
        <v>1</v>
      </c>
      <c r="P1810">
        <v>1</v>
      </c>
      <c r="Q1810">
        <v>1</v>
      </c>
      <c r="R1810" t="s">
        <v>48</v>
      </c>
      <c r="S1810" t="s">
        <v>49</v>
      </c>
      <c r="T1810" s="3">
        <v>0.84</v>
      </c>
      <c r="U1810" s="3">
        <v>0.23</v>
      </c>
      <c r="V1810" s="3">
        <v>0.94</v>
      </c>
      <c r="W1810">
        <v>0.39</v>
      </c>
      <c r="X1810" t="s">
        <v>50</v>
      </c>
      <c r="Y1810" s="3">
        <v>14.98</v>
      </c>
      <c r="Z1810" t="s">
        <v>9850</v>
      </c>
      <c r="AA1810" t="s">
        <v>11921</v>
      </c>
      <c r="AB1810" t="s">
        <v>53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f t="shared" si="56"/>
        <v>16.989999999999998</v>
      </c>
      <c r="AK1810" s="3">
        <f t="shared" si="57"/>
        <v>2.009999999999998</v>
      </c>
    </row>
    <row r="1811" spans="1:37">
      <c r="A1811">
        <v>10379828</v>
      </c>
      <c r="B1811" t="s">
        <v>37</v>
      </c>
      <c r="C1811" t="s">
        <v>11922</v>
      </c>
      <c r="E1811" t="s">
        <v>11923</v>
      </c>
      <c r="F1811" t="s">
        <v>11924</v>
      </c>
      <c r="G1811" t="s">
        <v>11925</v>
      </c>
      <c r="H1811" t="s">
        <v>42</v>
      </c>
      <c r="I1811" t="s">
        <v>11926</v>
      </c>
      <c r="J1811" t="s">
        <v>11927</v>
      </c>
      <c r="K1811" t="s">
        <v>11928</v>
      </c>
      <c r="L1811" t="s">
        <v>82</v>
      </c>
      <c r="M1811" t="s">
        <v>46</v>
      </c>
      <c r="N1811" t="s">
        <v>47</v>
      </c>
      <c r="O1811">
        <v>1</v>
      </c>
      <c r="P1811">
        <v>1</v>
      </c>
      <c r="Q1811">
        <v>1</v>
      </c>
      <c r="R1811" t="s">
        <v>48</v>
      </c>
      <c r="S1811" t="s">
        <v>49</v>
      </c>
      <c r="T1811" s="3">
        <v>0.84</v>
      </c>
      <c r="U1811" s="3">
        <v>0.23</v>
      </c>
      <c r="V1811" s="3">
        <v>0.94</v>
      </c>
      <c r="W1811">
        <v>0.49</v>
      </c>
      <c r="X1811" t="s">
        <v>50</v>
      </c>
      <c r="Y1811" s="3">
        <v>9.19</v>
      </c>
      <c r="Z1811" t="s">
        <v>9850</v>
      </c>
      <c r="AA1811" t="s">
        <v>1652</v>
      </c>
      <c r="AB1811" t="s">
        <v>53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f t="shared" si="56"/>
        <v>11.2</v>
      </c>
      <c r="AK1811" s="3">
        <f t="shared" si="57"/>
        <v>2.0099999999999998</v>
      </c>
    </row>
    <row r="1812" spans="1:37">
      <c r="A1812">
        <v>10381193</v>
      </c>
      <c r="B1812" t="s">
        <v>37</v>
      </c>
      <c r="C1812" t="s">
        <v>11929</v>
      </c>
      <c r="E1812" t="s">
        <v>1438</v>
      </c>
      <c r="F1812" t="s">
        <v>11930</v>
      </c>
      <c r="G1812" t="s">
        <v>11931</v>
      </c>
      <c r="H1812" t="s">
        <v>42</v>
      </c>
      <c r="I1812" t="s">
        <v>11932</v>
      </c>
      <c r="J1812" t="s">
        <v>11933</v>
      </c>
      <c r="K1812" t="s">
        <v>11934</v>
      </c>
      <c r="L1812" t="s">
        <v>142</v>
      </c>
      <c r="M1812" t="s">
        <v>46</v>
      </c>
      <c r="N1812" t="s">
        <v>47</v>
      </c>
      <c r="O1812">
        <v>1</v>
      </c>
      <c r="P1812">
        <v>1</v>
      </c>
      <c r="Q1812">
        <v>1</v>
      </c>
      <c r="R1812" t="s">
        <v>48</v>
      </c>
      <c r="S1812" t="s">
        <v>49</v>
      </c>
      <c r="T1812" s="3">
        <v>0.84</v>
      </c>
      <c r="U1812" s="3">
        <v>0.23</v>
      </c>
      <c r="V1812" s="3">
        <v>0.94</v>
      </c>
      <c r="W1812">
        <v>0.49</v>
      </c>
      <c r="X1812" t="s">
        <v>50</v>
      </c>
      <c r="Y1812" s="3">
        <v>16.43</v>
      </c>
      <c r="Z1812" t="s">
        <v>9850</v>
      </c>
      <c r="AA1812" t="s">
        <v>10333</v>
      </c>
      <c r="AB1812" t="s">
        <v>53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f t="shared" si="56"/>
        <v>18.440000000000001</v>
      </c>
      <c r="AK1812" s="3">
        <f t="shared" si="57"/>
        <v>2.0100000000000016</v>
      </c>
    </row>
    <row r="1813" spans="1:37">
      <c r="A1813">
        <v>10379375</v>
      </c>
      <c r="B1813" t="s">
        <v>37</v>
      </c>
      <c r="C1813" t="s">
        <v>11935</v>
      </c>
      <c r="E1813" t="s">
        <v>11936</v>
      </c>
      <c r="F1813" t="s">
        <v>11937</v>
      </c>
      <c r="G1813" t="s">
        <v>11938</v>
      </c>
      <c r="H1813" t="s">
        <v>42</v>
      </c>
      <c r="I1813" t="s">
        <v>11939</v>
      </c>
      <c r="J1813" t="s">
        <v>11940</v>
      </c>
      <c r="K1813">
        <v>25365</v>
      </c>
      <c r="L1813" t="s">
        <v>71</v>
      </c>
      <c r="M1813" t="s">
        <v>46</v>
      </c>
      <c r="N1813" t="s">
        <v>47</v>
      </c>
      <c r="O1813">
        <v>1</v>
      </c>
      <c r="P1813">
        <v>1</v>
      </c>
      <c r="Q1813">
        <v>1</v>
      </c>
      <c r="R1813" t="s">
        <v>48</v>
      </c>
      <c r="S1813" t="s">
        <v>49</v>
      </c>
      <c r="T1813" s="3">
        <v>0.84</v>
      </c>
      <c r="U1813" s="3">
        <v>0.23</v>
      </c>
      <c r="V1813" s="3">
        <v>0.94</v>
      </c>
      <c r="W1813">
        <v>0.14000000000000001</v>
      </c>
      <c r="X1813" t="s">
        <v>108</v>
      </c>
      <c r="Y1813" s="3">
        <v>5.14</v>
      </c>
      <c r="Z1813" t="s">
        <v>9850</v>
      </c>
      <c r="AA1813" t="s">
        <v>11941</v>
      </c>
      <c r="AB1813" t="s">
        <v>53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f t="shared" si="56"/>
        <v>7.15</v>
      </c>
      <c r="AK1813" s="3">
        <f t="shared" si="57"/>
        <v>2.0100000000000007</v>
      </c>
    </row>
    <row r="1814" spans="1:37">
      <c r="A1814">
        <v>10380614</v>
      </c>
      <c r="B1814" t="s">
        <v>37</v>
      </c>
      <c r="C1814" t="s">
        <v>11942</v>
      </c>
      <c r="E1814" t="s">
        <v>5555</v>
      </c>
      <c r="F1814" t="s">
        <v>11943</v>
      </c>
      <c r="G1814" t="s">
        <v>11944</v>
      </c>
      <c r="H1814" t="s">
        <v>42</v>
      </c>
      <c r="I1814" t="s">
        <v>11945</v>
      </c>
      <c r="J1814" t="s">
        <v>11946</v>
      </c>
      <c r="K1814">
        <v>29640</v>
      </c>
      <c r="L1814" t="s">
        <v>71</v>
      </c>
      <c r="M1814" t="s">
        <v>46</v>
      </c>
      <c r="N1814" t="s">
        <v>47</v>
      </c>
      <c r="O1814">
        <v>1</v>
      </c>
      <c r="P1814">
        <v>1</v>
      </c>
      <c r="Q1814">
        <v>1</v>
      </c>
      <c r="R1814" t="s">
        <v>48</v>
      </c>
      <c r="S1814" t="s">
        <v>49</v>
      </c>
      <c r="T1814" s="3">
        <v>0.84</v>
      </c>
      <c r="U1814" s="3">
        <v>0.23</v>
      </c>
      <c r="V1814" s="3">
        <v>0.94</v>
      </c>
      <c r="W1814">
        <v>0.39</v>
      </c>
      <c r="X1814" t="s">
        <v>108</v>
      </c>
      <c r="Y1814" s="3">
        <v>5.14</v>
      </c>
      <c r="Z1814" t="s">
        <v>9850</v>
      </c>
      <c r="AA1814" t="s">
        <v>1802</v>
      </c>
      <c r="AB1814" t="s">
        <v>53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f t="shared" si="56"/>
        <v>7.15</v>
      </c>
      <c r="AK1814" s="3">
        <f t="shared" si="57"/>
        <v>2.0100000000000007</v>
      </c>
    </row>
    <row r="1815" spans="1:37">
      <c r="A1815">
        <v>10379827</v>
      </c>
      <c r="B1815" t="s">
        <v>37</v>
      </c>
      <c r="C1815" t="s">
        <v>11947</v>
      </c>
      <c r="E1815" t="s">
        <v>8204</v>
      </c>
      <c r="F1815" t="s">
        <v>11948</v>
      </c>
      <c r="G1815" t="s">
        <v>11949</v>
      </c>
      <c r="H1815" t="s">
        <v>42</v>
      </c>
      <c r="I1815" t="s">
        <v>11950</v>
      </c>
      <c r="J1815" t="s">
        <v>11951</v>
      </c>
      <c r="K1815" t="s">
        <v>11952</v>
      </c>
      <c r="L1815" t="s">
        <v>142</v>
      </c>
      <c r="M1815" t="s">
        <v>46</v>
      </c>
      <c r="N1815" t="s">
        <v>47</v>
      </c>
      <c r="O1815">
        <v>1</v>
      </c>
      <c r="P1815">
        <v>1</v>
      </c>
      <c r="Q1815">
        <v>1</v>
      </c>
      <c r="R1815" t="s">
        <v>48</v>
      </c>
      <c r="S1815" t="s">
        <v>49</v>
      </c>
      <c r="T1815" s="3">
        <v>0.84</v>
      </c>
      <c r="U1815" s="3">
        <v>0.23</v>
      </c>
      <c r="V1815" s="3">
        <v>0.94</v>
      </c>
      <c r="W1815">
        <v>0.49</v>
      </c>
      <c r="X1815" t="s">
        <v>50</v>
      </c>
      <c r="Y1815" s="3">
        <v>16.43</v>
      </c>
      <c r="Z1815" t="s">
        <v>9850</v>
      </c>
      <c r="AA1815" t="s">
        <v>2623</v>
      </c>
      <c r="AB1815" t="s">
        <v>53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f t="shared" si="56"/>
        <v>18.440000000000001</v>
      </c>
      <c r="AK1815" s="3">
        <f t="shared" si="57"/>
        <v>2.0100000000000016</v>
      </c>
    </row>
    <row r="1816" spans="1:37">
      <c r="A1816">
        <v>10379378</v>
      </c>
      <c r="B1816" t="s">
        <v>37</v>
      </c>
      <c r="C1816" t="s">
        <v>11953</v>
      </c>
      <c r="E1816" t="s">
        <v>11954</v>
      </c>
      <c r="F1816" t="s">
        <v>11955</v>
      </c>
      <c r="G1816" t="s">
        <v>11956</v>
      </c>
      <c r="H1816" t="s">
        <v>42</v>
      </c>
      <c r="I1816" t="s">
        <v>11957</v>
      </c>
      <c r="J1816" t="s">
        <v>11958</v>
      </c>
      <c r="K1816">
        <v>48145</v>
      </c>
      <c r="L1816" t="s">
        <v>71</v>
      </c>
      <c r="M1816" t="s">
        <v>46</v>
      </c>
      <c r="N1816" t="s">
        <v>47</v>
      </c>
      <c r="O1816">
        <v>7</v>
      </c>
      <c r="P1816">
        <v>1</v>
      </c>
      <c r="Q1816">
        <v>7</v>
      </c>
      <c r="R1816" t="s">
        <v>48</v>
      </c>
      <c r="S1816" t="s">
        <v>49</v>
      </c>
      <c r="T1816" s="3">
        <v>0.84</v>
      </c>
      <c r="U1816" s="3">
        <v>0.23</v>
      </c>
      <c r="V1816" s="3">
        <v>6.16</v>
      </c>
      <c r="W1816">
        <v>2.34</v>
      </c>
      <c r="X1816" t="s">
        <v>72</v>
      </c>
      <c r="Y1816" s="3">
        <v>5.44</v>
      </c>
      <c r="Z1816" t="s">
        <v>73</v>
      </c>
      <c r="AA1816" t="s">
        <v>11959</v>
      </c>
      <c r="AB1816" t="s">
        <v>53</v>
      </c>
      <c r="AC1816" s="3">
        <v>1.29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f t="shared" si="56"/>
        <v>13.96</v>
      </c>
      <c r="AK1816" s="3">
        <f t="shared" si="57"/>
        <v>8.52</v>
      </c>
    </row>
    <row r="1817" spans="1:37">
      <c r="A1817">
        <v>10365874</v>
      </c>
      <c r="B1817" t="s">
        <v>37</v>
      </c>
      <c r="C1817" t="s">
        <v>11960</v>
      </c>
      <c r="E1817" t="s">
        <v>4455</v>
      </c>
      <c r="F1817" t="s">
        <v>8701</v>
      </c>
      <c r="G1817" t="s">
        <v>11961</v>
      </c>
      <c r="H1817" t="s">
        <v>42</v>
      </c>
      <c r="I1817" t="s">
        <v>11962</v>
      </c>
      <c r="J1817" t="s">
        <v>11963</v>
      </c>
      <c r="K1817">
        <v>4981</v>
      </c>
      <c r="L1817" t="s">
        <v>369</v>
      </c>
      <c r="M1817" t="s">
        <v>46</v>
      </c>
      <c r="N1817" t="s">
        <v>47</v>
      </c>
      <c r="O1817">
        <v>3</v>
      </c>
      <c r="P1817">
        <v>1</v>
      </c>
      <c r="Q1817">
        <v>3</v>
      </c>
      <c r="R1817" t="s">
        <v>48</v>
      </c>
      <c r="S1817" t="s">
        <v>49</v>
      </c>
      <c r="T1817" s="3">
        <v>0.84</v>
      </c>
      <c r="U1817" s="3">
        <v>0.23</v>
      </c>
      <c r="V1817" s="3">
        <v>2.68</v>
      </c>
      <c r="W1817">
        <v>1.35</v>
      </c>
      <c r="X1817" t="s">
        <v>50</v>
      </c>
      <c r="Y1817" s="3">
        <v>9.19</v>
      </c>
      <c r="Z1817" t="s">
        <v>9686</v>
      </c>
      <c r="AA1817" t="s">
        <v>11964</v>
      </c>
      <c r="AB1817" t="s">
        <v>53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5</v>
      </c>
      <c r="AI1817" s="3">
        <v>0</v>
      </c>
      <c r="AJ1817" s="3">
        <f t="shared" si="56"/>
        <v>17.940000000000001</v>
      </c>
      <c r="AK1817" s="3">
        <f t="shared" si="57"/>
        <v>8.7500000000000018</v>
      </c>
    </row>
    <row r="1818" spans="1:37">
      <c r="A1818">
        <v>10379159</v>
      </c>
      <c r="B1818" t="s">
        <v>37</v>
      </c>
      <c r="C1818" t="s">
        <v>11965</v>
      </c>
      <c r="E1818" t="s">
        <v>1373</v>
      </c>
      <c r="F1818" t="s">
        <v>11966</v>
      </c>
      <c r="G1818" t="s">
        <v>11967</v>
      </c>
      <c r="H1818" t="s">
        <v>42</v>
      </c>
      <c r="I1818" t="s">
        <v>11968</v>
      </c>
      <c r="J1818" t="s">
        <v>11969</v>
      </c>
      <c r="K1818">
        <v>34582</v>
      </c>
      <c r="L1818" t="s">
        <v>71</v>
      </c>
      <c r="M1818" t="s">
        <v>46</v>
      </c>
      <c r="N1818" t="s">
        <v>47</v>
      </c>
      <c r="O1818">
        <v>4</v>
      </c>
      <c r="P1818">
        <v>1</v>
      </c>
      <c r="Q1818">
        <v>4</v>
      </c>
      <c r="R1818" t="s">
        <v>48</v>
      </c>
      <c r="S1818" t="s">
        <v>49</v>
      </c>
      <c r="T1818" s="3">
        <v>0.84</v>
      </c>
      <c r="U1818" s="3">
        <v>0.23</v>
      </c>
      <c r="V1818" s="3">
        <v>3.55</v>
      </c>
      <c r="W1818">
        <v>3.12</v>
      </c>
      <c r="X1818" t="s">
        <v>72</v>
      </c>
      <c r="Y1818" s="3">
        <v>6.61</v>
      </c>
      <c r="Z1818" t="s">
        <v>83</v>
      </c>
      <c r="AA1818" t="s">
        <v>11970</v>
      </c>
      <c r="AB1818" t="s">
        <v>53</v>
      </c>
      <c r="AC1818" s="3">
        <v>1.27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f t="shared" si="56"/>
        <v>12.5</v>
      </c>
      <c r="AK1818" s="3">
        <f t="shared" si="57"/>
        <v>5.89</v>
      </c>
    </row>
    <row r="1819" spans="1:37">
      <c r="A1819">
        <v>10379603</v>
      </c>
      <c r="B1819" t="s">
        <v>37</v>
      </c>
      <c r="C1819" t="s">
        <v>11971</v>
      </c>
      <c r="E1819" t="s">
        <v>650</v>
      </c>
      <c r="F1819" t="s">
        <v>11972</v>
      </c>
      <c r="G1819" t="s">
        <v>11973</v>
      </c>
      <c r="H1819" t="s">
        <v>42</v>
      </c>
      <c r="I1819" t="s">
        <v>11974</v>
      </c>
      <c r="J1819" t="s">
        <v>11975</v>
      </c>
      <c r="K1819" t="s">
        <v>11976</v>
      </c>
      <c r="L1819" t="s">
        <v>142</v>
      </c>
      <c r="M1819" t="s">
        <v>46</v>
      </c>
      <c r="N1819" t="s">
        <v>47</v>
      </c>
      <c r="O1819">
        <v>4</v>
      </c>
      <c r="P1819">
        <v>1</v>
      </c>
      <c r="Q1819">
        <v>4</v>
      </c>
      <c r="R1819" t="s">
        <v>48</v>
      </c>
      <c r="S1819" t="s">
        <v>49</v>
      </c>
      <c r="T1819" s="3">
        <v>0.84</v>
      </c>
      <c r="U1819" s="3">
        <v>0.23</v>
      </c>
      <c r="V1819" s="3">
        <v>3.55</v>
      </c>
      <c r="W1819">
        <v>1.96</v>
      </c>
      <c r="X1819" t="s">
        <v>50</v>
      </c>
      <c r="Y1819" s="3">
        <v>16.43</v>
      </c>
      <c r="Z1819" t="s">
        <v>9686</v>
      </c>
      <c r="AA1819" t="s">
        <v>11977</v>
      </c>
      <c r="AB1819" t="s">
        <v>53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f t="shared" si="56"/>
        <v>21.05</v>
      </c>
      <c r="AK1819" s="3">
        <f t="shared" si="57"/>
        <v>4.620000000000001</v>
      </c>
    </row>
    <row r="1820" spans="1:37">
      <c r="A1820">
        <v>10379607</v>
      </c>
      <c r="B1820" t="s">
        <v>37</v>
      </c>
      <c r="C1820" t="s">
        <v>11978</v>
      </c>
      <c r="E1820" t="s">
        <v>11979</v>
      </c>
      <c r="F1820" t="s">
        <v>11980</v>
      </c>
      <c r="G1820" t="s">
        <v>11981</v>
      </c>
      <c r="H1820" t="s">
        <v>42</v>
      </c>
      <c r="I1820" t="s">
        <v>11982</v>
      </c>
      <c r="J1820" t="s">
        <v>11983</v>
      </c>
      <c r="K1820">
        <v>25566</v>
      </c>
      <c r="L1820" t="s">
        <v>71</v>
      </c>
      <c r="M1820" t="s">
        <v>46</v>
      </c>
      <c r="N1820" t="s">
        <v>47</v>
      </c>
      <c r="O1820">
        <v>4</v>
      </c>
      <c r="P1820">
        <v>1</v>
      </c>
      <c r="Q1820">
        <v>4</v>
      </c>
      <c r="R1820" t="s">
        <v>48</v>
      </c>
      <c r="S1820" t="s">
        <v>49</v>
      </c>
      <c r="T1820" s="3">
        <v>0.84</v>
      </c>
      <c r="U1820" s="3">
        <v>0.23</v>
      </c>
      <c r="V1820" s="3">
        <v>3.55</v>
      </c>
      <c r="W1820">
        <v>1.78</v>
      </c>
      <c r="X1820" t="s">
        <v>108</v>
      </c>
      <c r="Y1820" s="3">
        <v>5.14</v>
      </c>
      <c r="Z1820" t="s">
        <v>9686</v>
      </c>
      <c r="AA1820" t="s">
        <v>11984</v>
      </c>
      <c r="AB1820" t="s">
        <v>53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f t="shared" si="56"/>
        <v>9.76</v>
      </c>
      <c r="AK1820" s="3">
        <f t="shared" si="57"/>
        <v>4.62</v>
      </c>
    </row>
    <row r="1821" spans="1:37">
      <c r="A1821">
        <v>10377841</v>
      </c>
      <c r="B1821" t="s">
        <v>37</v>
      </c>
      <c r="C1821" t="s">
        <v>11985</v>
      </c>
      <c r="D1821" t="s">
        <v>5030</v>
      </c>
      <c r="E1821" t="s">
        <v>5031</v>
      </c>
      <c r="F1821" t="s">
        <v>5032</v>
      </c>
      <c r="G1821" t="s">
        <v>11986</v>
      </c>
      <c r="H1821" t="s">
        <v>42</v>
      </c>
      <c r="I1821" t="s">
        <v>11987</v>
      </c>
      <c r="J1821" t="s">
        <v>5035</v>
      </c>
      <c r="K1821">
        <v>79576</v>
      </c>
      <c r="L1821" t="s">
        <v>71</v>
      </c>
      <c r="M1821" t="s">
        <v>46</v>
      </c>
      <c r="N1821" t="s">
        <v>47</v>
      </c>
      <c r="O1821">
        <v>3</v>
      </c>
      <c r="P1821">
        <v>1</v>
      </c>
      <c r="Q1821">
        <v>3</v>
      </c>
      <c r="R1821" t="s">
        <v>48</v>
      </c>
      <c r="S1821" t="s">
        <v>49</v>
      </c>
      <c r="T1821" s="3">
        <v>0.84</v>
      </c>
      <c r="U1821" s="3">
        <v>0.23</v>
      </c>
      <c r="V1821" s="3">
        <v>2.68</v>
      </c>
      <c r="W1821">
        <v>1.5</v>
      </c>
      <c r="X1821" t="s">
        <v>72</v>
      </c>
      <c r="Y1821" s="3">
        <v>5.44</v>
      </c>
      <c r="Z1821" t="s">
        <v>73</v>
      </c>
      <c r="AA1821" t="s">
        <v>11988</v>
      </c>
      <c r="AB1821" t="s">
        <v>53</v>
      </c>
      <c r="AC1821" s="3">
        <v>1.29</v>
      </c>
      <c r="AD1821" s="3">
        <v>0</v>
      </c>
      <c r="AE1821" s="3">
        <v>0</v>
      </c>
      <c r="AF1821" s="3">
        <v>0</v>
      </c>
      <c r="AG1821" s="3">
        <v>0</v>
      </c>
      <c r="AH1821" s="3">
        <v>5</v>
      </c>
      <c r="AI1821" s="3">
        <v>0</v>
      </c>
      <c r="AJ1821" s="3">
        <f t="shared" si="56"/>
        <v>15.48</v>
      </c>
      <c r="AK1821" s="3">
        <f t="shared" si="57"/>
        <v>10.039999999999999</v>
      </c>
    </row>
    <row r="1822" spans="1:37">
      <c r="A1822">
        <v>10380044</v>
      </c>
      <c r="B1822" t="s">
        <v>37</v>
      </c>
      <c r="C1822" t="s">
        <v>11989</v>
      </c>
      <c r="E1822" t="s">
        <v>532</v>
      </c>
      <c r="F1822" t="s">
        <v>11990</v>
      </c>
      <c r="G1822" t="s">
        <v>11991</v>
      </c>
      <c r="H1822" t="s">
        <v>42</v>
      </c>
      <c r="I1822" t="s">
        <v>11992</v>
      </c>
      <c r="J1822" t="s">
        <v>11993</v>
      </c>
      <c r="K1822" t="s">
        <v>11994</v>
      </c>
      <c r="L1822" t="s">
        <v>142</v>
      </c>
      <c r="M1822" t="s">
        <v>46</v>
      </c>
      <c r="N1822" t="s">
        <v>47</v>
      </c>
      <c r="O1822">
        <v>2</v>
      </c>
      <c r="P1822">
        <v>1</v>
      </c>
      <c r="Q1822">
        <v>2</v>
      </c>
      <c r="R1822" t="s">
        <v>48</v>
      </c>
      <c r="S1822" t="s">
        <v>49</v>
      </c>
      <c r="T1822" s="3">
        <v>0.84</v>
      </c>
      <c r="U1822" s="3">
        <v>0.23</v>
      </c>
      <c r="V1822" s="3">
        <v>1.81</v>
      </c>
      <c r="W1822">
        <v>3.52</v>
      </c>
      <c r="X1822" t="s">
        <v>50</v>
      </c>
      <c r="Y1822" s="3">
        <v>16.43</v>
      </c>
      <c r="Z1822" t="s">
        <v>83</v>
      </c>
      <c r="AA1822" t="s">
        <v>11995</v>
      </c>
      <c r="AB1822" t="s">
        <v>53</v>
      </c>
      <c r="AC1822" s="3">
        <v>1.27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f t="shared" si="56"/>
        <v>20.58</v>
      </c>
      <c r="AK1822" s="3">
        <f t="shared" si="57"/>
        <v>4.1499999999999986</v>
      </c>
    </row>
    <row r="1823" spans="1:37">
      <c r="A1823">
        <v>10379161</v>
      </c>
      <c r="B1823" t="s">
        <v>37</v>
      </c>
      <c r="C1823" t="s">
        <v>11996</v>
      </c>
      <c r="E1823" t="s">
        <v>7621</v>
      </c>
      <c r="F1823" t="s">
        <v>11997</v>
      </c>
      <c r="G1823" t="s">
        <v>11998</v>
      </c>
      <c r="H1823" t="s">
        <v>42</v>
      </c>
      <c r="I1823" t="s">
        <v>11999</v>
      </c>
      <c r="J1823" t="s">
        <v>12000</v>
      </c>
      <c r="K1823">
        <v>20146</v>
      </c>
      <c r="L1823" t="s">
        <v>71</v>
      </c>
      <c r="M1823" t="s">
        <v>46</v>
      </c>
      <c r="N1823" t="s">
        <v>47</v>
      </c>
      <c r="O1823">
        <v>2</v>
      </c>
      <c r="P1823">
        <v>1</v>
      </c>
      <c r="Q1823">
        <v>2</v>
      </c>
      <c r="R1823" t="s">
        <v>48</v>
      </c>
      <c r="S1823" t="s">
        <v>49</v>
      </c>
      <c r="T1823" s="3">
        <v>0.84</v>
      </c>
      <c r="U1823" s="3">
        <v>0.23</v>
      </c>
      <c r="V1823" s="3">
        <v>1.81</v>
      </c>
      <c r="W1823">
        <v>2.15</v>
      </c>
      <c r="X1823" t="s">
        <v>72</v>
      </c>
      <c r="Y1823" s="3">
        <v>5.44</v>
      </c>
      <c r="Z1823" t="s">
        <v>83</v>
      </c>
      <c r="AA1823" t="s">
        <v>12001</v>
      </c>
      <c r="AB1823" t="s">
        <v>53</v>
      </c>
      <c r="AC1823" s="3">
        <v>1.27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f t="shared" si="56"/>
        <v>9.5900000000000016</v>
      </c>
      <c r="AK1823" s="3">
        <f t="shared" si="57"/>
        <v>4.1500000000000012</v>
      </c>
    </row>
    <row r="1824" spans="1:37">
      <c r="A1824">
        <v>10379158</v>
      </c>
      <c r="B1824" t="s">
        <v>37</v>
      </c>
      <c r="C1824" t="s">
        <v>12002</v>
      </c>
      <c r="E1824" t="s">
        <v>12003</v>
      </c>
      <c r="F1824" t="s">
        <v>4548</v>
      </c>
      <c r="G1824" t="s">
        <v>12004</v>
      </c>
      <c r="H1824" t="s">
        <v>42</v>
      </c>
      <c r="I1824" t="s">
        <v>12005</v>
      </c>
      <c r="J1824" t="s">
        <v>12006</v>
      </c>
      <c r="K1824" t="s">
        <v>12007</v>
      </c>
      <c r="L1824" t="s">
        <v>142</v>
      </c>
      <c r="M1824" t="s">
        <v>46</v>
      </c>
      <c r="N1824" t="s">
        <v>47</v>
      </c>
      <c r="O1824">
        <v>2</v>
      </c>
      <c r="P1824">
        <v>1</v>
      </c>
      <c r="Q1824">
        <v>2</v>
      </c>
      <c r="R1824" t="s">
        <v>48</v>
      </c>
      <c r="S1824" t="s">
        <v>49</v>
      </c>
      <c r="T1824" s="3">
        <v>0.84</v>
      </c>
      <c r="U1824" s="3">
        <v>0.23</v>
      </c>
      <c r="V1824" s="3">
        <v>1.81</v>
      </c>
      <c r="W1824">
        <v>0.98</v>
      </c>
      <c r="X1824" t="s">
        <v>50</v>
      </c>
      <c r="Y1824" s="3">
        <v>16.43</v>
      </c>
      <c r="Z1824" t="s">
        <v>9850</v>
      </c>
      <c r="AA1824" t="s">
        <v>2233</v>
      </c>
      <c r="AB1824" t="s">
        <v>53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f t="shared" si="56"/>
        <v>19.309999999999999</v>
      </c>
      <c r="AK1824" s="3">
        <f t="shared" si="57"/>
        <v>2.879999999999999</v>
      </c>
    </row>
    <row r="1825" spans="1:37">
      <c r="A1825">
        <v>10379160</v>
      </c>
      <c r="B1825" t="s">
        <v>37</v>
      </c>
      <c r="C1825" t="s">
        <v>12008</v>
      </c>
      <c r="E1825" t="s">
        <v>1135</v>
      </c>
      <c r="F1825" t="s">
        <v>12009</v>
      </c>
      <c r="G1825" t="s">
        <v>12010</v>
      </c>
      <c r="H1825" t="s">
        <v>42</v>
      </c>
      <c r="I1825" t="s">
        <v>12011</v>
      </c>
      <c r="J1825" t="s">
        <v>12012</v>
      </c>
      <c r="K1825">
        <v>39043</v>
      </c>
      <c r="L1825" t="s">
        <v>283</v>
      </c>
      <c r="M1825" t="s">
        <v>46</v>
      </c>
      <c r="N1825" t="s">
        <v>47</v>
      </c>
      <c r="O1825">
        <v>2</v>
      </c>
      <c r="P1825">
        <v>1</v>
      </c>
      <c r="Q1825">
        <v>2</v>
      </c>
      <c r="R1825" t="s">
        <v>48</v>
      </c>
      <c r="S1825" t="s">
        <v>49</v>
      </c>
      <c r="T1825" s="3">
        <v>0.84</v>
      </c>
      <c r="U1825" s="3">
        <v>0.23</v>
      </c>
      <c r="V1825" s="3">
        <v>1.81</v>
      </c>
      <c r="W1825">
        <v>0.98</v>
      </c>
      <c r="X1825" t="s">
        <v>50</v>
      </c>
      <c r="Y1825" s="3">
        <v>14.98</v>
      </c>
      <c r="Z1825" t="s">
        <v>9850</v>
      </c>
      <c r="AA1825" t="s">
        <v>1066</v>
      </c>
      <c r="AB1825" t="s">
        <v>53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f t="shared" si="56"/>
        <v>17.86</v>
      </c>
      <c r="AK1825" s="3">
        <f t="shared" si="57"/>
        <v>2.879999999999999</v>
      </c>
    </row>
    <row r="1826" spans="1:37">
      <c r="A1826">
        <v>10379377</v>
      </c>
      <c r="B1826" t="s">
        <v>37</v>
      </c>
      <c r="C1826" t="s">
        <v>12013</v>
      </c>
      <c r="E1826" t="s">
        <v>12014</v>
      </c>
      <c r="F1826" t="s">
        <v>12015</v>
      </c>
      <c r="G1826" t="s">
        <v>12016</v>
      </c>
      <c r="H1826" t="s">
        <v>42</v>
      </c>
      <c r="I1826" t="s">
        <v>12017</v>
      </c>
      <c r="J1826" t="s">
        <v>12018</v>
      </c>
      <c r="K1826">
        <v>60486</v>
      </c>
      <c r="L1826" t="s">
        <v>71</v>
      </c>
      <c r="M1826" t="s">
        <v>46</v>
      </c>
      <c r="N1826" t="s">
        <v>47</v>
      </c>
      <c r="O1826">
        <v>2</v>
      </c>
      <c r="P1826">
        <v>1</v>
      </c>
      <c r="Q1826">
        <v>2</v>
      </c>
      <c r="R1826" t="s">
        <v>48</v>
      </c>
      <c r="S1826" t="s">
        <v>49</v>
      </c>
      <c r="T1826" s="3">
        <v>0.84</v>
      </c>
      <c r="U1826" s="3">
        <v>0.23</v>
      </c>
      <c r="V1826" s="3">
        <v>1.81</v>
      </c>
      <c r="W1826">
        <v>0.98</v>
      </c>
      <c r="X1826" t="s">
        <v>108</v>
      </c>
      <c r="Y1826" s="3">
        <v>14.44</v>
      </c>
      <c r="Z1826" t="s">
        <v>9850</v>
      </c>
      <c r="AA1826" t="s">
        <v>12019</v>
      </c>
      <c r="AB1826" t="s">
        <v>53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f t="shared" si="56"/>
        <v>17.32</v>
      </c>
      <c r="AK1826" s="3">
        <f t="shared" si="57"/>
        <v>2.8800000000000008</v>
      </c>
    </row>
    <row r="1827" spans="1:37">
      <c r="A1827">
        <v>10379164</v>
      </c>
      <c r="B1827" t="s">
        <v>37</v>
      </c>
      <c r="C1827" t="s">
        <v>12020</v>
      </c>
      <c r="E1827" t="s">
        <v>12021</v>
      </c>
      <c r="F1827" t="s">
        <v>12022</v>
      </c>
      <c r="G1827" t="s">
        <v>12023</v>
      </c>
      <c r="H1827" t="s">
        <v>42</v>
      </c>
      <c r="I1827" t="s">
        <v>12024</v>
      </c>
      <c r="J1827" t="s">
        <v>12025</v>
      </c>
      <c r="K1827">
        <v>1200</v>
      </c>
      <c r="L1827" t="s">
        <v>505</v>
      </c>
      <c r="M1827" t="s">
        <v>46</v>
      </c>
      <c r="N1827" t="s">
        <v>47</v>
      </c>
      <c r="O1827">
        <v>2</v>
      </c>
      <c r="P1827">
        <v>1</v>
      </c>
      <c r="Q1827">
        <v>2</v>
      </c>
      <c r="R1827" t="s">
        <v>48</v>
      </c>
      <c r="S1827" t="s">
        <v>49</v>
      </c>
      <c r="T1827" s="3">
        <v>0.84</v>
      </c>
      <c r="U1827" s="3">
        <v>0.23</v>
      </c>
      <c r="V1827" s="3">
        <v>1.81</v>
      </c>
      <c r="W1827">
        <v>0.98</v>
      </c>
      <c r="X1827" t="s">
        <v>50</v>
      </c>
      <c r="Y1827" s="3">
        <v>9.19</v>
      </c>
      <c r="Z1827" t="s">
        <v>9850</v>
      </c>
      <c r="AA1827" t="s">
        <v>2199</v>
      </c>
      <c r="AB1827" t="s">
        <v>53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f t="shared" si="56"/>
        <v>12.07</v>
      </c>
      <c r="AK1827" s="3">
        <f t="shared" si="57"/>
        <v>2.8800000000000008</v>
      </c>
    </row>
    <row r="1828" spans="1:37">
      <c r="A1828">
        <v>10379163</v>
      </c>
      <c r="B1828" t="s">
        <v>37</v>
      </c>
      <c r="C1828" t="s">
        <v>12026</v>
      </c>
      <c r="E1828" t="s">
        <v>12027</v>
      </c>
      <c r="F1828" t="s">
        <v>12028</v>
      </c>
      <c r="G1828" t="s">
        <v>12029</v>
      </c>
      <c r="H1828" t="s">
        <v>42</v>
      </c>
      <c r="I1828" t="s">
        <v>12030</v>
      </c>
      <c r="J1828" t="s">
        <v>12031</v>
      </c>
      <c r="K1828">
        <v>33129</v>
      </c>
      <c r="L1828" t="s">
        <v>71</v>
      </c>
      <c r="M1828" t="s">
        <v>46</v>
      </c>
      <c r="N1828" t="s">
        <v>47</v>
      </c>
      <c r="O1828">
        <v>2</v>
      </c>
      <c r="P1828">
        <v>1</v>
      </c>
      <c r="Q1828">
        <v>2</v>
      </c>
      <c r="R1828" t="s">
        <v>48</v>
      </c>
      <c r="S1828" t="s">
        <v>49</v>
      </c>
      <c r="T1828" s="3">
        <v>0.84</v>
      </c>
      <c r="U1828" s="3">
        <v>0.23</v>
      </c>
      <c r="V1828" s="3">
        <v>1.81</v>
      </c>
      <c r="W1828">
        <v>0.98</v>
      </c>
      <c r="X1828" t="s">
        <v>108</v>
      </c>
      <c r="Y1828" s="3">
        <v>5.14</v>
      </c>
      <c r="Z1828" t="s">
        <v>9850</v>
      </c>
      <c r="AA1828" t="s">
        <v>12032</v>
      </c>
      <c r="AB1828" t="s">
        <v>53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f t="shared" si="56"/>
        <v>8.02</v>
      </c>
      <c r="AK1828" s="3">
        <f t="shared" si="57"/>
        <v>2.88</v>
      </c>
    </row>
    <row r="1829" spans="1:37">
      <c r="A1829">
        <v>10379594</v>
      </c>
      <c r="B1829" t="s">
        <v>37</v>
      </c>
      <c r="C1829" t="s">
        <v>12033</v>
      </c>
      <c r="E1829" t="s">
        <v>5371</v>
      </c>
      <c r="F1829" t="s">
        <v>12034</v>
      </c>
      <c r="G1829" t="s">
        <v>12035</v>
      </c>
      <c r="H1829" t="s">
        <v>42</v>
      </c>
      <c r="I1829" t="s">
        <v>12036</v>
      </c>
      <c r="J1829" t="s">
        <v>12037</v>
      </c>
      <c r="K1829">
        <v>2344</v>
      </c>
      <c r="L1829" t="s">
        <v>618</v>
      </c>
      <c r="M1829" t="s">
        <v>46</v>
      </c>
      <c r="N1829" t="s">
        <v>47</v>
      </c>
      <c r="O1829">
        <v>2</v>
      </c>
      <c r="P1829">
        <v>1</v>
      </c>
      <c r="Q1829">
        <v>2</v>
      </c>
      <c r="R1829" t="s">
        <v>48</v>
      </c>
      <c r="S1829" t="s">
        <v>49</v>
      </c>
      <c r="T1829" s="3">
        <v>0.84</v>
      </c>
      <c r="U1829" s="3">
        <v>0.23</v>
      </c>
      <c r="V1829" s="3">
        <v>1.81</v>
      </c>
      <c r="W1829">
        <v>0.88</v>
      </c>
      <c r="X1829" t="s">
        <v>50</v>
      </c>
      <c r="Y1829" s="3">
        <v>9.19</v>
      </c>
      <c r="Z1829" t="s">
        <v>83</v>
      </c>
      <c r="AA1829" t="s">
        <v>1385</v>
      </c>
      <c r="AB1829" t="s">
        <v>53</v>
      </c>
      <c r="AC1829" s="3">
        <v>1.27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f t="shared" si="56"/>
        <v>13.34</v>
      </c>
      <c r="AK1829" s="3">
        <f t="shared" si="57"/>
        <v>4.1500000000000004</v>
      </c>
    </row>
    <row r="1830" spans="1:37">
      <c r="A1830">
        <v>10379597</v>
      </c>
      <c r="B1830" t="s">
        <v>37</v>
      </c>
      <c r="C1830" t="s">
        <v>12038</v>
      </c>
      <c r="E1830" t="s">
        <v>9493</v>
      </c>
      <c r="F1830" t="s">
        <v>12039</v>
      </c>
      <c r="G1830" t="s">
        <v>12040</v>
      </c>
      <c r="H1830" t="s">
        <v>42</v>
      </c>
      <c r="I1830" t="s">
        <v>12041</v>
      </c>
      <c r="J1830" t="s">
        <v>12042</v>
      </c>
      <c r="K1830">
        <v>8800</v>
      </c>
      <c r="L1830" t="s">
        <v>505</v>
      </c>
      <c r="M1830" t="s">
        <v>46</v>
      </c>
      <c r="N1830" t="s">
        <v>47</v>
      </c>
      <c r="O1830">
        <v>2</v>
      </c>
      <c r="P1830">
        <v>1</v>
      </c>
      <c r="Q1830">
        <v>2</v>
      </c>
      <c r="R1830" t="s">
        <v>48</v>
      </c>
      <c r="S1830" t="s">
        <v>49</v>
      </c>
      <c r="T1830" s="3">
        <v>0.84</v>
      </c>
      <c r="U1830" s="3">
        <v>0.23</v>
      </c>
      <c r="V1830" s="3">
        <v>1.81</v>
      </c>
      <c r="W1830">
        <v>0.98</v>
      </c>
      <c r="X1830" t="s">
        <v>50</v>
      </c>
      <c r="Y1830" s="3">
        <v>9.19</v>
      </c>
      <c r="Z1830" t="s">
        <v>9850</v>
      </c>
      <c r="AA1830" t="s">
        <v>10245</v>
      </c>
      <c r="AB1830" t="s">
        <v>53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f t="shared" si="56"/>
        <v>12.07</v>
      </c>
      <c r="AK1830" s="3">
        <f t="shared" si="57"/>
        <v>2.8800000000000008</v>
      </c>
    </row>
    <row r="1831" spans="1:37">
      <c r="A1831">
        <v>10379825</v>
      </c>
      <c r="B1831" t="s">
        <v>37</v>
      </c>
      <c r="C1831" t="s">
        <v>12043</v>
      </c>
      <c r="E1831" t="s">
        <v>336</v>
      </c>
      <c r="F1831" t="s">
        <v>12044</v>
      </c>
      <c r="G1831" t="s">
        <v>12045</v>
      </c>
      <c r="H1831" t="s">
        <v>42</v>
      </c>
      <c r="I1831" t="s">
        <v>12046</v>
      </c>
      <c r="J1831" t="s">
        <v>12047</v>
      </c>
      <c r="K1831" t="s">
        <v>12048</v>
      </c>
      <c r="L1831" t="s">
        <v>142</v>
      </c>
      <c r="M1831" t="s">
        <v>46</v>
      </c>
      <c r="N1831" t="s">
        <v>47</v>
      </c>
      <c r="O1831">
        <v>2</v>
      </c>
      <c r="P1831">
        <v>1</v>
      </c>
      <c r="Q1831">
        <v>2</v>
      </c>
      <c r="R1831" t="s">
        <v>48</v>
      </c>
      <c r="S1831" t="s">
        <v>49</v>
      </c>
      <c r="T1831" s="3">
        <v>0.84</v>
      </c>
      <c r="U1831" s="3">
        <v>0.23</v>
      </c>
      <c r="V1831" s="3">
        <v>1.81</v>
      </c>
      <c r="W1831">
        <v>0.53</v>
      </c>
      <c r="X1831" t="s">
        <v>50</v>
      </c>
      <c r="Y1831" s="3">
        <v>16.43</v>
      </c>
      <c r="Z1831" t="s">
        <v>9850</v>
      </c>
      <c r="AA1831" t="s">
        <v>12049</v>
      </c>
      <c r="AB1831" t="s">
        <v>53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f t="shared" si="56"/>
        <v>19.309999999999999</v>
      </c>
      <c r="AK1831" s="3">
        <f t="shared" si="57"/>
        <v>2.879999999999999</v>
      </c>
    </row>
    <row r="1832" spans="1:37">
      <c r="A1832">
        <v>10369017</v>
      </c>
      <c r="B1832" t="s">
        <v>37</v>
      </c>
      <c r="C1832" t="s">
        <v>12050</v>
      </c>
      <c r="E1832" t="s">
        <v>476</v>
      </c>
      <c r="F1832" t="s">
        <v>12051</v>
      </c>
      <c r="G1832" t="s">
        <v>12052</v>
      </c>
      <c r="H1832" t="s">
        <v>42</v>
      </c>
      <c r="I1832" t="s">
        <v>12053</v>
      </c>
      <c r="J1832" t="s">
        <v>12054</v>
      </c>
      <c r="K1832">
        <v>2910</v>
      </c>
      <c r="L1832" t="s">
        <v>505</v>
      </c>
      <c r="M1832" t="s">
        <v>46</v>
      </c>
      <c r="N1832" t="s">
        <v>47</v>
      </c>
      <c r="O1832">
        <v>3</v>
      </c>
      <c r="P1832">
        <v>1</v>
      </c>
      <c r="Q1832">
        <v>3</v>
      </c>
      <c r="R1832" t="s">
        <v>48</v>
      </c>
      <c r="S1832" t="s">
        <v>49</v>
      </c>
      <c r="T1832" s="3">
        <v>0.84</v>
      </c>
      <c r="U1832" s="3">
        <v>0.23</v>
      </c>
      <c r="V1832" s="3">
        <v>2.68</v>
      </c>
      <c r="W1832">
        <v>1.35</v>
      </c>
      <c r="X1832" t="s">
        <v>50</v>
      </c>
      <c r="Y1832" s="3">
        <v>9.19</v>
      </c>
      <c r="Z1832" t="s">
        <v>9686</v>
      </c>
      <c r="AA1832" t="s">
        <v>12055</v>
      </c>
      <c r="AB1832" t="s">
        <v>53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5</v>
      </c>
      <c r="AI1832" s="3">
        <v>0</v>
      </c>
      <c r="AJ1832" s="3">
        <f t="shared" si="56"/>
        <v>17.940000000000001</v>
      </c>
      <c r="AK1832" s="3">
        <f t="shared" si="57"/>
        <v>8.7500000000000018</v>
      </c>
    </row>
    <row r="1833" spans="1:37">
      <c r="A1833">
        <v>10368336</v>
      </c>
      <c r="B1833" t="s">
        <v>37</v>
      </c>
      <c r="C1833" t="s">
        <v>12056</v>
      </c>
      <c r="E1833" t="s">
        <v>3681</v>
      </c>
      <c r="F1833" t="s">
        <v>12057</v>
      </c>
      <c r="G1833" t="s">
        <v>12058</v>
      </c>
      <c r="H1833" t="s">
        <v>42</v>
      </c>
      <c r="I1833" t="s">
        <v>12059</v>
      </c>
      <c r="J1833" t="s">
        <v>12060</v>
      </c>
      <c r="K1833">
        <v>7522</v>
      </c>
      <c r="L1833" t="s">
        <v>369</v>
      </c>
      <c r="M1833" t="s">
        <v>46</v>
      </c>
      <c r="N1833" t="s">
        <v>47</v>
      </c>
      <c r="O1833">
        <v>3</v>
      </c>
      <c r="P1833">
        <v>1</v>
      </c>
      <c r="Q1833">
        <v>3</v>
      </c>
      <c r="R1833" t="s">
        <v>48</v>
      </c>
      <c r="S1833" t="s">
        <v>49</v>
      </c>
      <c r="T1833" s="3">
        <v>0.84</v>
      </c>
      <c r="U1833" s="3">
        <v>0.23</v>
      </c>
      <c r="V1833" s="3">
        <v>2.68</v>
      </c>
      <c r="W1833">
        <v>1.4</v>
      </c>
      <c r="X1833" t="s">
        <v>50</v>
      </c>
      <c r="Y1833" s="3">
        <v>9.19</v>
      </c>
      <c r="Z1833" t="s">
        <v>9686</v>
      </c>
      <c r="AA1833" t="s">
        <v>12061</v>
      </c>
      <c r="AB1833" t="s">
        <v>53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5</v>
      </c>
      <c r="AI1833" s="3">
        <v>0</v>
      </c>
      <c r="AJ1833" s="3">
        <f t="shared" si="56"/>
        <v>17.940000000000001</v>
      </c>
      <c r="AK1833" s="3">
        <f t="shared" si="57"/>
        <v>8.7500000000000018</v>
      </c>
    </row>
    <row r="1834" spans="1:37">
      <c r="A1834">
        <v>10380045</v>
      </c>
      <c r="B1834" t="s">
        <v>37</v>
      </c>
      <c r="C1834" t="s">
        <v>12062</v>
      </c>
      <c r="E1834" t="s">
        <v>11097</v>
      </c>
      <c r="F1834" t="s">
        <v>1852</v>
      </c>
      <c r="G1834" t="s">
        <v>12063</v>
      </c>
      <c r="H1834" t="s">
        <v>42</v>
      </c>
      <c r="I1834" t="s">
        <v>12064</v>
      </c>
      <c r="J1834" t="s">
        <v>12065</v>
      </c>
      <c r="K1834" t="s">
        <v>12066</v>
      </c>
      <c r="L1834" t="s">
        <v>142</v>
      </c>
      <c r="M1834" t="s">
        <v>46</v>
      </c>
      <c r="N1834" t="s">
        <v>47</v>
      </c>
      <c r="O1834">
        <v>4</v>
      </c>
      <c r="P1834">
        <v>1</v>
      </c>
      <c r="Q1834">
        <v>4</v>
      </c>
      <c r="R1834" t="s">
        <v>48</v>
      </c>
      <c r="S1834" t="s">
        <v>49</v>
      </c>
      <c r="T1834" s="3">
        <v>0.84</v>
      </c>
      <c r="U1834" s="3">
        <v>0.23</v>
      </c>
      <c r="V1834" s="3">
        <v>3.55</v>
      </c>
      <c r="W1834">
        <v>1.56</v>
      </c>
      <c r="X1834" t="s">
        <v>50</v>
      </c>
      <c r="Y1834" s="3">
        <v>16.43</v>
      </c>
      <c r="Z1834" t="s">
        <v>9686</v>
      </c>
      <c r="AA1834" t="s">
        <v>538</v>
      </c>
      <c r="AB1834" t="s">
        <v>53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f t="shared" si="56"/>
        <v>21.05</v>
      </c>
      <c r="AK1834" s="3">
        <f t="shared" si="57"/>
        <v>4.620000000000001</v>
      </c>
    </row>
    <row r="1835" spans="1:37">
      <c r="A1835">
        <v>10380250</v>
      </c>
      <c r="B1835" t="s">
        <v>37</v>
      </c>
      <c r="C1835" t="s">
        <v>12067</v>
      </c>
      <c r="E1835" t="s">
        <v>6085</v>
      </c>
      <c r="F1835" t="s">
        <v>8220</v>
      </c>
      <c r="G1835" t="s">
        <v>12068</v>
      </c>
      <c r="H1835" t="s">
        <v>42</v>
      </c>
      <c r="I1835" t="s">
        <v>12069</v>
      </c>
      <c r="J1835" t="s">
        <v>12070</v>
      </c>
      <c r="K1835" t="s">
        <v>12071</v>
      </c>
      <c r="L1835" t="s">
        <v>142</v>
      </c>
      <c r="M1835" t="s">
        <v>46</v>
      </c>
      <c r="N1835" t="s">
        <v>47</v>
      </c>
      <c r="O1835">
        <v>4</v>
      </c>
      <c r="P1835">
        <v>1</v>
      </c>
      <c r="Q1835">
        <v>4</v>
      </c>
      <c r="R1835" t="s">
        <v>48</v>
      </c>
      <c r="S1835" t="s">
        <v>49</v>
      </c>
      <c r="T1835" s="3">
        <v>0.84</v>
      </c>
      <c r="U1835" s="3">
        <v>0.23</v>
      </c>
      <c r="V1835" s="3">
        <v>3.55</v>
      </c>
      <c r="W1835">
        <v>1.56</v>
      </c>
      <c r="X1835" t="s">
        <v>50</v>
      </c>
      <c r="Y1835" s="3">
        <v>16.43</v>
      </c>
      <c r="Z1835" t="s">
        <v>9686</v>
      </c>
      <c r="AA1835" t="s">
        <v>1878</v>
      </c>
      <c r="AB1835" t="s">
        <v>53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f t="shared" si="56"/>
        <v>21.05</v>
      </c>
      <c r="AK1835" s="3">
        <f t="shared" si="57"/>
        <v>4.620000000000001</v>
      </c>
    </row>
    <row r="1836" spans="1:37">
      <c r="A1836">
        <v>10380928</v>
      </c>
      <c r="B1836" t="s">
        <v>37</v>
      </c>
      <c r="C1836" t="s">
        <v>12072</v>
      </c>
      <c r="E1836" t="s">
        <v>12073</v>
      </c>
      <c r="F1836" t="s">
        <v>12074</v>
      </c>
      <c r="G1836" t="s">
        <v>12075</v>
      </c>
      <c r="H1836" t="s">
        <v>42</v>
      </c>
      <c r="I1836" t="s">
        <v>12076</v>
      </c>
      <c r="J1836" t="s">
        <v>12077</v>
      </c>
      <c r="K1836" t="s">
        <v>12078</v>
      </c>
      <c r="L1836" t="s">
        <v>82</v>
      </c>
      <c r="M1836" t="s">
        <v>46</v>
      </c>
      <c r="N1836" t="s">
        <v>47</v>
      </c>
      <c r="O1836">
        <v>3</v>
      </c>
      <c r="P1836">
        <v>1</v>
      </c>
      <c r="Q1836">
        <v>3</v>
      </c>
      <c r="R1836" t="s">
        <v>48</v>
      </c>
      <c r="S1836" t="s">
        <v>49</v>
      </c>
      <c r="T1836" s="3">
        <v>0.84</v>
      </c>
      <c r="U1836" s="3">
        <v>0.23</v>
      </c>
      <c r="V1836" s="3">
        <v>2.68</v>
      </c>
      <c r="W1836">
        <v>1.47</v>
      </c>
      <c r="X1836" t="s">
        <v>50</v>
      </c>
      <c r="Y1836" s="3">
        <v>9.19</v>
      </c>
      <c r="Z1836" t="s">
        <v>9686</v>
      </c>
      <c r="AA1836" t="s">
        <v>10865</v>
      </c>
      <c r="AB1836" t="s">
        <v>53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f t="shared" si="56"/>
        <v>12.94</v>
      </c>
      <c r="AK1836" s="3">
        <f t="shared" si="57"/>
        <v>3.75</v>
      </c>
    </row>
    <row r="1837" spans="1:37">
      <c r="A1837">
        <v>10380625</v>
      </c>
      <c r="B1837" t="s">
        <v>37</v>
      </c>
      <c r="C1837" t="s">
        <v>12079</v>
      </c>
      <c r="E1837" t="s">
        <v>12080</v>
      </c>
      <c r="F1837" t="s">
        <v>12081</v>
      </c>
      <c r="G1837" t="s">
        <v>12082</v>
      </c>
      <c r="H1837" t="s">
        <v>42</v>
      </c>
      <c r="I1837" t="s">
        <v>12083</v>
      </c>
      <c r="J1837" t="s">
        <v>12084</v>
      </c>
      <c r="K1837">
        <v>40476</v>
      </c>
      <c r="L1837" t="s">
        <v>71</v>
      </c>
      <c r="M1837" t="s">
        <v>46</v>
      </c>
      <c r="N1837" t="s">
        <v>47</v>
      </c>
      <c r="O1837">
        <v>4</v>
      </c>
      <c r="P1837">
        <v>1</v>
      </c>
      <c r="Q1837">
        <v>4</v>
      </c>
      <c r="R1837" t="s">
        <v>48</v>
      </c>
      <c r="S1837" t="s">
        <v>49</v>
      </c>
      <c r="T1837" s="3">
        <v>0.84</v>
      </c>
      <c r="U1837" s="3">
        <v>0.23</v>
      </c>
      <c r="V1837" s="3">
        <v>3.55</v>
      </c>
      <c r="W1837">
        <v>1.56</v>
      </c>
      <c r="X1837" t="s">
        <v>108</v>
      </c>
      <c r="Y1837" s="3">
        <v>5.14</v>
      </c>
      <c r="Z1837" t="s">
        <v>9686</v>
      </c>
      <c r="AA1837" t="s">
        <v>12085</v>
      </c>
      <c r="AB1837" t="s">
        <v>53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f t="shared" si="56"/>
        <v>9.76</v>
      </c>
      <c r="AK1837" s="3">
        <f t="shared" si="57"/>
        <v>4.62</v>
      </c>
    </row>
    <row r="1838" spans="1:37">
      <c r="A1838">
        <v>10380926</v>
      </c>
      <c r="B1838" t="s">
        <v>37</v>
      </c>
      <c r="C1838" t="s">
        <v>12086</v>
      </c>
      <c r="E1838" t="s">
        <v>12087</v>
      </c>
      <c r="F1838" t="s">
        <v>12088</v>
      </c>
      <c r="G1838" t="s">
        <v>12089</v>
      </c>
      <c r="H1838" t="s">
        <v>42</v>
      </c>
      <c r="I1838" t="s">
        <v>12090</v>
      </c>
      <c r="J1838" t="s">
        <v>12091</v>
      </c>
      <c r="K1838" t="s">
        <v>12092</v>
      </c>
      <c r="L1838" t="s">
        <v>82</v>
      </c>
      <c r="M1838" t="s">
        <v>46</v>
      </c>
      <c r="N1838" t="s">
        <v>47</v>
      </c>
      <c r="O1838">
        <v>3</v>
      </c>
      <c r="P1838">
        <v>1</v>
      </c>
      <c r="Q1838">
        <v>3</v>
      </c>
      <c r="R1838" t="s">
        <v>48</v>
      </c>
      <c r="S1838" t="s">
        <v>49</v>
      </c>
      <c r="T1838" s="3">
        <v>0.84</v>
      </c>
      <c r="U1838" s="3">
        <v>0.23</v>
      </c>
      <c r="V1838" s="3">
        <v>2.68</v>
      </c>
      <c r="W1838">
        <v>1.1200000000000001</v>
      </c>
      <c r="X1838" t="s">
        <v>50</v>
      </c>
      <c r="Y1838" s="3">
        <v>9.19</v>
      </c>
      <c r="Z1838" t="s">
        <v>9686</v>
      </c>
      <c r="AA1838" t="s">
        <v>12093</v>
      </c>
      <c r="AB1838" t="s">
        <v>53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f t="shared" si="56"/>
        <v>12.94</v>
      </c>
      <c r="AK1838" s="3">
        <f t="shared" si="57"/>
        <v>3.75</v>
      </c>
    </row>
    <row r="1839" spans="1:37">
      <c r="A1839">
        <v>10379829</v>
      </c>
      <c r="B1839" t="s">
        <v>37</v>
      </c>
      <c r="C1839" t="s">
        <v>12094</v>
      </c>
      <c r="E1839" t="s">
        <v>12095</v>
      </c>
      <c r="F1839" t="s">
        <v>12096</v>
      </c>
      <c r="G1839" t="s">
        <v>12097</v>
      </c>
      <c r="H1839" t="s">
        <v>42</v>
      </c>
      <c r="I1839" t="s">
        <v>12098</v>
      </c>
      <c r="J1839" t="s">
        <v>12099</v>
      </c>
      <c r="K1839">
        <v>90482</v>
      </c>
      <c r="L1839" t="s">
        <v>71</v>
      </c>
      <c r="M1839" t="s">
        <v>46</v>
      </c>
      <c r="N1839" t="s">
        <v>47</v>
      </c>
      <c r="O1839">
        <v>4</v>
      </c>
      <c r="P1839">
        <v>1</v>
      </c>
      <c r="Q1839">
        <v>4</v>
      </c>
      <c r="R1839" t="s">
        <v>48</v>
      </c>
      <c r="S1839" t="s">
        <v>49</v>
      </c>
      <c r="T1839" s="3">
        <v>0.84</v>
      </c>
      <c r="U1839" s="3">
        <v>0.23</v>
      </c>
      <c r="V1839" s="3">
        <v>3.55</v>
      </c>
      <c r="W1839">
        <v>1.96</v>
      </c>
      <c r="X1839" t="s">
        <v>108</v>
      </c>
      <c r="Y1839" s="3">
        <v>5.14</v>
      </c>
      <c r="Z1839" t="s">
        <v>9686</v>
      </c>
      <c r="AA1839" t="s">
        <v>12100</v>
      </c>
      <c r="AB1839" t="s">
        <v>53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f t="shared" si="56"/>
        <v>9.76</v>
      </c>
      <c r="AK1839" s="3">
        <f t="shared" si="57"/>
        <v>4.62</v>
      </c>
    </row>
    <row r="1840" spans="1:37">
      <c r="A1840">
        <v>10379826</v>
      </c>
      <c r="B1840" t="s">
        <v>37</v>
      </c>
      <c r="C1840" t="s">
        <v>12101</v>
      </c>
      <c r="E1840" t="s">
        <v>10841</v>
      </c>
      <c r="F1840" t="s">
        <v>12102</v>
      </c>
      <c r="G1840" t="s">
        <v>12103</v>
      </c>
      <c r="H1840" t="s">
        <v>42</v>
      </c>
      <c r="I1840" t="s">
        <v>12104</v>
      </c>
      <c r="J1840" t="s">
        <v>12105</v>
      </c>
      <c r="K1840">
        <v>3990</v>
      </c>
      <c r="L1840" t="s">
        <v>505</v>
      </c>
      <c r="M1840" t="s">
        <v>46</v>
      </c>
      <c r="N1840" t="s">
        <v>47</v>
      </c>
      <c r="O1840">
        <v>4</v>
      </c>
      <c r="P1840">
        <v>1</v>
      </c>
      <c r="Q1840">
        <v>4</v>
      </c>
      <c r="R1840" t="s">
        <v>48</v>
      </c>
      <c r="S1840" t="s">
        <v>49</v>
      </c>
      <c r="T1840" s="3">
        <v>0.84</v>
      </c>
      <c r="U1840" s="3">
        <v>0.23</v>
      </c>
      <c r="V1840" s="3">
        <v>3.55</v>
      </c>
      <c r="W1840">
        <v>1.56</v>
      </c>
      <c r="X1840" t="s">
        <v>50</v>
      </c>
      <c r="Y1840" s="3">
        <v>9.19</v>
      </c>
      <c r="Z1840" t="s">
        <v>9686</v>
      </c>
      <c r="AA1840" t="s">
        <v>459</v>
      </c>
      <c r="AB1840" t="s">
        <v>53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f t="shared" si="56"/>
        <v>13.809999999999999</v>
      </c>
      <c r="AK1840" s="3">
        <f t="shared" si="57"/>
        <v>4.6199999999999992</v>
      </c>
    </row>
    <row r="1841" spans="1:37">
      <c r="A1841">
        <v>10380042</v>
      </c>
      <c r="B1841" t="s">
        <v>37</v>
      </c>
      <c r="C1841" t="s">
        <v>12106</v>
      </c>
      <c r="E1841" t="s">
        <v>694</v>
      </c>
      <c r="F1841" t="s">
        <v>12107</v>
      </c>
      <c r="G1841" t="s">
        <v>12108</v>
      </c>
      <c r="H1841" t="s">
        <v>42</v>
      </c>
      <c r="I1841" t="s">
        <v>12109</v>
      </c>
      <c r="J1841" t="s">
        <v>12110</v>
      </c>
      <c r="K1841" t="s">
        <v>12111</v>
      </c>
      <c r="L1841" t="s">
        <v>142</v>
      </c>
      <c r="M1841" t="s">
        <v>46</v>
      </c>
      <c r="N1841" t="s">
        <v>47</v>
      </c>
      <c r="O1841">
        <v>4</v>
      </c>
      <c r="P1841">
        <v>1</v>
      </c>
      <c r="Q1841">
        <v>4</v>
      </c>
      <c r="R1841" t="s">
        <v>48</v>
      </c>
      <c r="S1841" t="s">
        <v>49</v>
      </c>
      <c r="T1841" s="3">
        <v>0.84</v>
      </c>
      <c r="U1841" s="3">
        <v>0.23</v>
      </c>
      <c r="V1841" s="3">
        <v>3.55</v>
      </c>
      <c r="W1841">
        <v>1.327</v>
      </c>
      <c r="X1841" t="s">
        <v>50</v>
      </c>
      <c r="Y1841" s="3">
        <v>16.43</v>
      </c>
      <c r="Z1841" t="s">
        <v>9686</v>
      </c>
      <c r="AA1841" t="s">
        <v>12112</v>
      </c>
      <c r="AB1841" t="s">
        <v>53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f t="shared" si="56"/>
        <v>21.05</v>
      </c>
      <c r="AK1841" s="3">
        <f t="shared" si="57"/>
        <v>4.620000000000001</v>
      </c>
    </row>
    <row r="1842" spans="1:37">
      <c r="A1842">
        <v>10380034</v>
      </c>
      <c r="B1842" t="s">
        <v>37</v>
      </c>
      <c r="C1842" t="s">
        <v>12113</v>
      </c>
      <c r="E1842" t="s">
        <v>321</v>
      </c>
      <c r="F1842" t="s">
        <v>11295</v>
      </c>
      <c r="G1842" t="s">
        <v>12114</v>
      </c>
      <c r="H1842" t="s">
        <v>42</v>
      </c>
      <c r="I1842" t="s">
        <v>12115</v>
      </c>
      <c r="J1842" t="s">
        <v>12116</v>
      </c>
      <c r="K1842" t="s">
        <v>12117</v>
      </c>
      <c r="L1842" t="s">
        <v>142</v>
      </c>
      <c r="M1842" t="s">
        <v>46</v>
      </c>
      <c r="N1842" t="s">
        <v>47</v>
      </c>
      <c r="O1842">
        <v>6</v>
      </c>
      <c r="P1842">
        <v>1</v>
      </c>
      <c r="Q1842">
        <v>6</v>
      </c>
      <c r="R1842" t="s">
        <v>48</v>
      </c>
      <c r="S1842" t="s">
        <v>49</v>
      </c>
      <c r="T1842" s="3">
        <v>0.84</v>
      </c>
      <c r="U1842" s="3">
        <v>0.23</v>
      </c>
      <c r="V1842" s="3">
        <v>5.29</v>
      </c>
      <c r="W1842">
        <v>2.19</v>
      </c>
      <c r="X1842" t="s">
        <v>50</v>
      </c>
      <c r="Y1842" s="3">
        <v>16.43</v>
      </c>
      <c r="Z1842" t="s">
        <v>73</v>
      </c>
      <c r="AA1842" t="s">
        <v>12118</v>
      </c>
      <c r="AB1842" t="s">
        <v>53</v>
      </c>
      <c r="AC1842" s="3">
        <v>1.29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f t="shared" si="56"/>
        <v>24.08</v>
      </c>
      <c r="AK1842" s="3">
        <f t="shared" si="57"/>
        <v>7.6499999999999986</v>
      </c>
    </row>
    <row r="1843" spans="1:37">
      <c r="A1843">
        <v>10381906</v>
      </c>
      <c r="B1843" t="s">
        <v>37</v>
      </c>
      <c r="C1843" t="s">
        <v>12119</v>
      </c>
      <c r="E1843" t="s">
        <v>731</v>
      </c>
      <c r="F1843" t="s">
        <v>12120</v>
      </c>
      <c r="G1843" t="s">
        <v>12121</v>
      </c>
      <c r="H1843" t="s">
        <v>42</v>
      </c>
      <c r="I1843" t="s">
        <v>12122</v>
      </c>
      <c r="J1843" t="s">
        <v>12123</v>
      </c>
      <c r="K1843">
        <v>61200</v>
      </c>
      <c r="L1843" t="s">
        <v>71</v>
      </c>
      <c r="M1843" t="s">
        <v>46</v>
      </c>
      <c r="N1843" t="s">
        <v>47</v>
      </c>
      <c r="O1843">
        <v>9</v>
      </c>
      <c r="P1843">
        <v>1</v>
      </c>
      <c r="Q1843">
        <v>9</v>
      </c>
      <c r="R1843" t="s">
        <v>48</v>
      </c>
      <c r="S1843" t="s">
        <v>49</v>
      </c>
      <c r="T1843" s="3">
        <v>0.84</v>
      </c>
      <c r="U1843" s="3">
        <v>0.23</v>
      </c>
      <c r="V1843" s="3">
        <v>7.9</v>
      </c>
      <c r="W1843">
        <v>3.06</v>
      </c>
      <c r="X1843" t="s">
        <v>72</v>
      </c>
      <c r="Y1843" s="3">
        <v>6.61</v>
      </c>
      <c r="Z1843" t="s">
        <v>73</v>
      </c>
      <c r="AA1843" t="s">
        <v>12124</v>
      </c>
      <c r="AB1843" t="s">
        <v>53</v>
      </c>
      <c r="AC1843" s="3">
        <v>1.29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f t="shared" si="56"/>
        <v>16.87</v>
      </c>
      <c r="AK1843" s="3">
        <f t="shared" si="57"/>
        <v>10.260000000000002</v>
      </c>
    </row>
    <row r="1844" spans="1:37">
      <c r="A1844">
        <v>10381194</v>
      </c>
      <c r="B1844" t="s">
        <v>37</v>
      </c>
      <c r="C1844" t="s">
        <v>12125</v>
      </c>
      <c r="E1844" t="s">
        <v>5128</v>
      </c>
      <c r="F1844" t="s">
        <v>12126</v>
      </c>
      <c r="G1844" t="s">
        <v>12127</v>
      </c>
      <c r="H1844" t="s">
        <v>42</v>
      </c>
      <c r="I1844" t="s">
        <v>12128</v>
      </c>
      <c r="J1844" t="s">
        <v>12129</v>
      </c>
      <c r="K1844" t="s">
        <v>12130</v>
      </c>
      <c r="L1844" t="s">
        <v>142</v>
      </c>
      <c r="M1844" t="s">
        <v>46</v>
      </c>
      <c r="N1844" t="s">
        <v>47</v>
      </c>
      <c r="O1844">
        <v>4</v>
      </c>
      <c r="P1844">
        <v>1</v>
      </c>
      <c r="Q1844">
        <v>4</v>
      </c>
      <c r="R1844" t="s">
        <v>48</v>
      </c>
      <c r="S1844" t="s">
        <v>49</v>
      </c>
      <c r="T1844" s="3">
        <v>0.84</v>
      </c>
      <c r="U1844" s="3">
        <v>0.23</v>
      </c>
      <c r="V1844" s="3">
        <v>3.55</v>
      </c>
      <c r="W1844">
        <v>1.56</v>
      </c>
      <c r="X1844" t="s">
        <v>50</v>
      </c>
      <c r="Y1844" s="3">
        <v>16.43</v>
      </c>
      <c r="Z1844" t="s">
        <v>9686</v>
      </c>
      <c r="AA1844" t="s">
        <v>2255</v>
      </c>
      <c r="AB1844" t="s">
        <v>53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f t="shared" si="56"/>
        <v>21.05</v>
      </c>
      <c r="AK1844" s="3">
        <f t="shared" si="57"/>
        <v>4.620000000000001</v>
      </c>
    </row>
    <row r="1845" spans="1:37">
      <c r="A1845">
        <v>10381534</v>
      </c>
      <c r="B1845" t="s">
        <v>37</v>
      </c>
      <c r="C1845" t="s">
        <v>12131</v>
      </c>
      <c r="E1845" t="s">
        <v>2913</v>
      </c>
      <c r="F1845" t="s">
        <v>12132</v>
      </c>
      <c r="G1845" t="s">
        <v>12133</v>
      </c>
      <c r="H1845" t="s">
        <v>42</v>
      </c>
      <c r="I1845" t="s">
        <v>12134</v>
      </c>
      <c r="J1845" t="s">
        <v>12135</v>
      </c>
      <c r="K1845" t="s">
        <v>12136</v>
      </c>
      <c r="L1845" t="s">
        <v>142</v>
      </c>
      <c r="M1845" t="s">
        <v>46</v>
      </c>
      <c r="N1845" t="s">
        <v>47</v>
      </c>
      <c r="O1845">
        <v>4</v>
      </c>
      <c r="P1845">
        <v>1</v>
      </c>
      <c r="Q1845">
        <v>4</v>
      </c>
      <c r="R1845" t="s">
        <v>48</v>
      </c>
      <c r="S1845" t="s">
        <v>49</v>
      </c>
      <c r="T1845" s="3">
        <v>0.84</v>
      </c>
      <c r="U1845" s="3">
        <v>0.23</v>
      </c>
      <c r="V1845" s="3">
        <v>3.55</v>
      </c>
      <c r="W1845">
        <v>1.56</v>
      </c>
      <c r="X1845" t="s">
        <v>50</v>
      </c>
      <c r="Y1845" s="3">
        <v>16.43</v>
      </c>
      <c r="Z1845" t="s">
        <v>9686</v>
      </c>
      <c r="AA1845" t="s">
        <v>429</v>
      </c>
      <c r="AB1845" t="s">
        <v>53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f t="shared" si="56"/>
        <v>21.05</v>
      </c>
      <c r="AK1845" s="3">
        <f t="shared" si="57"/>
        <v>4.620000000000001</v>
      </c>
    </row>
    <row r="1846" spans="1:37">
      <c r="A1846">
        <v>10381188</v>
      </c>
      <c r="B1846" t="s">
        <v>37</v>
      </c>
      <c r="C1846" t="s">
        <v>12137</v>
      </c>
      <c r="E1846" t="s">
        <v>12138</v>
      </c>
      <c r="F1846" t="s">
        <v>12139</v>
      </c>
      <c r="G1846" t="s">
        <v>12140</v>
      </c>
      <c r="H1846" t="s">
        <v>42</v>
      </c>
      <c r="I1846" t="s">
        <v>12141</v>
      </c>
      <c r="J1846" t="s">
        <v>12142</v>
      </c>
      <c r="K1846" t="s">
        <v>12143</v>
      </c>
      <c r="L1846" t="s">
        <v>142</v>
      </c>
      <c r="M1846" t="s">
        <v>46</v>
      </c>
      <c r="N1846" t="s">
        <v>47</v>
      </c>
      <c r="O1846">
        <v>4</v>
      </c>
      <c r="P1846">
        <v>1</v>
      </c>
      <c r="Q1846">
        <v>4</v>
      </c>
      <c r="R1846" t="s">
        <v>48</v>
      </c>
      <c r="S1846" t="s">
        <v>49</v>
      </c>
      <c r="T1846" s="3">
        <v>0.84</v>
      </c>
      <c r="U1846" s="3">
        <v>0.23</v>
      </c>
      <c r="V1846" s="3">
        <v>3.55</v>
      </c>
      <c r="W1846">
        <v>1.56</v>
      </c>
      <c r="X1846" t="s">
        <v>50</v>
      </c>
      <c r="Y1846" s="3">
        <v>16.43</v>
      </c>
      <c r="Z1846" t="s">
        <v>9686</v>
      </c>
      <c r="AA1846" t="s">
        <v>459</v>
      </c>
      <c r="AB1846" t="s">
        <v>53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f t="shared" si="56"/>
        <v>21.05</v>
      </c>
      <c r="AK1846" s="3">
        <f t="shared" si="57"/>
        <v>4.620000000000001</v>
      </c>
    </row>
    <row r="1847" spans="1:37">
      <c r="A1847">
        <v>10381391</v>
      </c>
      <c r="B1847" t="s">
        <v>37</v>
      </c>
      <c r="C1847" t="s">
        <v>12144</v>
      </c>
      <c r="E1847" t="s">
        <v>12145</v>
      </c>
      <c r="F1847" t="s">
        <v>12146</v>
      </c>
      <c r="G1847" t="s">
        <v>12147</v>
      </c>
      <c r="H1847" t="s">
        <v>42</v>
      </c>
      <c r="I1847" t="s">
        <v>12148</v>
      </c>
      <c r="J1847" t="s">
        <v>12149</v>
      </c>
      <c r="K1847" t="s">
        <v>12150</v>
      </c>
      <c r="L1847" t="s">
        <v>82</v>
      </c>
      <c r="M1847" t="s">
        <v>46</v>
      </c>
      <c r="N1847" t="s">
        <v>47</v>
      </c>
      <c r="O1847">
        <v>7</v>
      </c>
      <c r="P1847">
        <v>1</v>
      </c>
      <c r="Q1847">
        <v>7</v>
      </c>
      <c r="R1847" t="s">
        <v>48</v>
      </c>
      <c r="S1847" t="s">
        <v>49</v>
      </c>
      <c r="T1847" s="3">
        <v>0.84</v>
      </c>
      <c r="U1847" s="3">
        <v>0.23</v>
      </c>
      <c r="V1847" s="3">
        <v>6.16</v>
      </c>
      <c r="W1847">
        <v>2.33</v>
      </c>
      <c r="X1847" t="s">
        <v>50</v>
      </c>
      <c r="Y1847" s="3">
        <v>9.19</v>
      </c>
      <c r="Z1847" t="s">
        <v>73</v>
      </c>
      <c r="AA1847" t="s">
        <v>12151</v>
      </c>
      <c r="AB1847" t="s">
        <v>53</v>
      </c>
      <c r="AC1847" s="3">
        <v>1.29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f t="shared" si="56"/>
        <v>17.71</v>
      </c>
      <c r="AK1847" s="3">
        <f t="shared" si="57"/>
        <v>8.5200000000000014</v>
      </c>
    </row>
    <row r="1848" spans="1:37">
      <c r="A1848">
        <v>10382120</v>
      </c>
      <c r="B1848" t="s">
        <v>37</v>
      </c>
      <c r="C1848" t="s">
        <v>12152</v>
      </c>
      <c r="E1848" t="s">
        <v>1608</v>
      </c>
      <c r="F1848" t="s">
        <v>12153</v>
      </c>
      <c r="G1848" t="s">
        <v>12154</v>
      </c>
      <c r="H1848" t="s">
        <v>42</v>
      </c>
      <c r="I1848" t="s">
        <v>12155</v>
      </c>
      <c r="J1848" t="s">
        <v>12156</v>
      </c>
      <c r="K1848" t="s">
        <v>12157</v>
      </c>
      <c r="L1848" t="s">
        <v>82</v>
      </c>
      <c r="M1848" t="s">
        <v>46</v>
      </c>
      <c r="N1848" t="s">
        <v>47</v>
      </c>
      <c r="O1848">
        <v>4</v>
      </c>
      <c r="P1848">
        <v>1</v>
      </c>
      <c r="Q1848">
        <v>4</v>
      </c>
      <c r="R1848" t="s">
        <v>48</v>
      </c>
      <c r="S1848" t="s">
        <v>49</v>
      </c>
      <c r="T1848" s="3">
        <v>0.84</v>
      </c>
      <c r="U1848" s="3">
        <v>0.23</v>
      </c>
      <c r="V1848" s="3">
        <v>3.55</v>
      </c>
      <c r="W1848">
        <v>1.97</v>
      </c>
      <c r="X1848" t="s">
        <v>50</v>
      </c>
      <c r="Y1848" s="3">
        <v>9.19</v>
      </c>
      <c r="Z1848" t="s">
        <v>9686</v>
      </c>
      <c r="AA1848" t="s">
        <v>12158</v>
      </c>
      <c r="AB1848" t="s">
        <v>53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f t="shared" si="56"/>
        <v>13.809999999999999</v>
      </c>
      <c r="AK1848" s="3">
        <f t="shared" si="57"/>
        <v>4.6199999999999992</v>
      </c>
    </row>
    <row r="1849" spans="1:37">
      <c r="A1849">
        <v>10380920</v>
      </c>
      <c r="B1849" t="s">
        <v>37</v>
      </c>
      <c r="C1849" t="s">
        <v>12159</v>
      </c>
      <c r="E1849" t="s">
        <v>4062</v>
      </c>
      <c r="F1849" t="s">
        <v>12160</v>
      </c>
      <c r="G1849" t="s">
        <v>12161</v>
      </c>
      <c r="H1849" t="s">
        <v>42</v>
      </c>
      <c r="I1849" t="s">
        <v>12162</v>
      </c>
      <c r="J1849" t="s">
        <v>12163</v>
      </c>
      <c r="K1849">
        <v>80807</v>
      </c>
      <c r="L1849" t="s">
        <v>71</v>
      </c>
      <c r="M1849" t="s">
        <v>46</v>
      </c>
      <c r="N1849" t="s">
        <v>47</v>
      </c>
      <c r="O1849">
        <v>2</v>
      </c>
      <c r="P1849">
        <v>1</v>
      </c>
      <c r="Q1849">
        <v>2</v>
      </c>
      <c r="R1849" t="s">
        <v>48</v>
      </c>
      <c r="S1849" t="s">
        <v>49</v>
      </c>
      <c r="T1849" s="3">
        <v>0.84</v>
      </c>
      <c r="U1849" s="3">
        <v>0.23</v>
      </c>
      <c r="V1849" s="3">
        <v>1.81</v>
      </c>
      <c r="W1849">
        <v>1.6</v>
      </c>
      <c r="X1849" t="s">
        <v>108</v>
      </c>
      <c r="Y1849" s="3">
        <v>5.14</v>
      </c>
      <c r="Z1849" t="s">
        <v>9686</v>
      </c>
      <c r="AA1849" t="s">
        <v>12164</v>
      </c>
      <c r="AB1849" t="s">
        <v>53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f t="shared" si="56"/>
        <v>8.02</v>
      </c>
      <c r="AK1849" s="3">
        <f t="shared" si="57"/>
        <v>2.88</v>
      </c>
    </row>
    <row r="1850" spans="1:37">
      <c r="A1850">
        <v>10382025</v>
      </c>
      <c r="B1850" t="s">
        <v>37</v>
      </c>
      <c r="C1850" t="s">
        <v>12165</v>
      </c>
      <c r="E1850" t="s">
        <v>1108</v>
      </c>
      <c r="F1850" t="s">
        <v>12166</v>
      </c>
      <c r="G1850" t="s">
        <v>12167</v>
      </c>
      <c r="H1850" t="s">
        <v>42</v>
      </c>
      <c r="I1850" t="s">
        <v>12168</v>
      </c>
      <c r="J1850" t="s">
        <v>12169</v>
      </c>
      <c r="K1850">
        <v>20259</v>
      </c>
      <c r="L1850" t="s">
        <v>71</v>
      </c>
      <c r="M1850" t="s">
        <v>46</v>
      </c>
      <c r="N1850" t="s">
        <v>47</v>
      </c>
      <c r="O1850">
        <v>5</v>
      </c>
      <c r="P1850">
        <v>1</v>
      </c>
      <c r="Q1850">
        <v>5</v>
      </c>
      <c r="R1850" t="s">
        <v>48</v>
      </c>
      <c r="S1850" t="s">
        <v>49</v>
      </c>
      <c r="T1850" s="3">
        <v>0.84</v>
      </c>
      <c r="U1850" s="3">
        <v>0.23</v>
      </c>
      <c r="V1850" s="3">
        <v>4.42</v>
      </c>
      <c r="W1850">
        <v>2.33</v>
      </c>
      <c r="X1850" t="s">
        <v>108</v>
      </c>
      <c r="Y1850" s="3">
        <v>5.14</v>
      </c>
      <c r="Z1850" t="s">
        <v>9686</v>
      </c>
      <c r="AA1850" t="s">
        <v>12170</v>
      </c>
      <c r="AB1850" t="s">
        <v>53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f t="shared" si="56"/>
        <v>10.629999999999999</v>
      </c>
      <c r="AK1850" s="3">
        <f t="shared" si="57"/>
        <v>5.4899999999999993</v>
      </c>
    </row>
    <row r="1851" spans="1:37">
      <c r="A1851">
        <v>10381192</v>
      </c>
      <c r="B1851" t="s">
        <v>37</v>
      </c>
      <c r="C1851" t="s">
        <v>12171</v>
      </c>
      <c r="E1851" t="s">
        <v>12172</v>
      </c>
      <c r="F1851" t="s">
        <v>12173</v>
      </c>
      <c r="G1851" t="s">
        <v>12174</v>
      </c>
      <c r="H1851" t="s">
        <v>42</v>
      </c>
      <c r="I1851" t="s">
        <v>12175</v>
      </c>
      <c r="J1851" t="s">
        <v>12176</v>
      </c>
      <c r="K1851" t="s">
        <v>12177</v>
      </c>
      <c r="L1851" t="s">
        <v>82</v>
      </c>
      <c r="M1851" t="s">
        <v>46</v>
      </c>
      <c r="N1851" t="s">
        <v>47</v>
      </c>
      <c r="O1851">
        <v>2</v>
      </c>
      <c r="P1851">
        <v>1</v>
      </c>
      <c r="Q1851">
        <v>2</v>
      </c>
      <c r="R1851" t="s">
        <v>48</v>
      </c>
      <c r="S1851" t="s">
        <v>49</v>
      </c>
      <c r="T1851" s="3">
        <v>0.84</v>
      </c>
      <c r="U1851" s="3">
        <v>0.23</v>
      </c>
      <c r="V1851" s="3">
        <v>1.81</v>
      </c>
      <c r="W1851">
        <v>0.53</v>
      </c>
      <c r="X1851" t="s">
        <v>50</v>
      </c>
      <c r="Y1851" s="3">
        <v>9.19</v>
      </c>
      <c r="Z1851" t="s">
        <v>9850</v>
      </c>
      <c r="AA1851" t="s">
        <v>12178</v>
      </c>
      <c r="AB1851" t="s">
        <v>53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f t="shared" si="56"/>
        <v>12.07</v>
      </c>
      <c r="AK1851" s="3">
        <f t="shared" si="57"/>
        <v>2.8800000000000008</v>
      </c>
    </row>
    <row r="1852" spans="1:37">
      <c r="A1852">
        <v>10380249</v>
      </c>
      <c r="B1852" t="s">
        <v>37</v>
      </c>
      <c r="C1852" t="s">
        <v>12179</v>
      </c>
      <c r="E1852" t="s">
        <v>12180</v>
      </c>
      <c r="F1852" t="s">
        <v>12181</v>
      </c>
      <c r="G1852" t="s">
        <v>12182</v>
      </c>
      <c r="H1852" t="s">
        <v>42</v>
      </c>
      <c r="I1852" t="s">
        <v>12183</v>
      </c>
      <c r="J1852" t="s">
        <v>12184</v>
      </c>
      <c r="K1852" t="s">
        <v>12185</v>
      </c>
      <c r="L1852" t="s">
        <v>142</v>
      </c>
      <c r="M1852" t="s">
        <v>46</v>
      </c>
      <c r="N1852" t="s">
        <v>47</v>
      </c>
      <c r="O1852">
        <v>2</v>
      </c>
      <c r="P1852">
        <v>1</v>
      </c>
      <c r="Q1852">
        <v>2</v>
      </c>
      <c r="R1852" t="s">
        <v>48</v>
      </c>
      <c r="S1852" t="s">
        <v>49</v>
      </c>
      <c r="T1852" s="3">
        <v>0.84</v>
      </c>
      <c r="U1852" s="3">
        <v>0.23</v>
      </c>
      <c r="V1852" s="3">
        <v>1.81</v>
      </c>
      <c r="W1852">
        <v>0.98</v>
      </c>
      <c r="X1852" t="s">
        <v>50</v>
      </c>
      <c r="Y1852" s="3">
        <v>16.43</v>
      </c>
      <c r="Z1852" t="s">
        <v>9850</v>
      </c>
      <c r="AA1852" t="s">
        <v>2199</v>
      </c>
      <c r="AB1852" t="s">
        <v>53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f t="shared" si="56"/>
        <v>19.309999999999999</v>
      </c>
      <c r="AK1852" s="3">
        <f t="shared" si="57"/>
        <v>2.879999999999999</v>
      </c>
    </row>
    <row r="1853" spans="1:37">
      <c r="A1853">
        <v>10382377</v>
      </c>
      <c r="B1853" t="s">
        <v>37</v>
      </c>
      <c r="C1853" t="s">
        <v>12186</v>
      </c>
      <c r="E1853" t="s">
        <v>12187</v>
      </c>
      <c r="F1853" t="s">
        <v>12188</v>
      </c>
      <c r="G1853" t="s">
        <v>12189</v>
      </c>
      <c r="H1853" t="s">
        <v>42</v>
      </c>
      <c r="I1853" t="s">
        <v>12190</v>
      </c>
      <c r="J1853" t="s">
        <v>12191</v>
      </c>
      <c r="K1853">
        <v>5895</v>
      </c>
      <c r="L1853" t="s">
        <v>369</v>
      </c>
      <c r="M1853" t="s">
        <v>46</v>
      </c>
      <c r="N1853" t="s">
        <v>47</v>
      </c>
      <c r="O1853">
        <v>4</v>
      </c>
      <c r="P1853">
        <v>1</v>
      </c>
      <c r="Q1853">
        <v>4</v>
      </c>
      <c r="R1853" t="s">
        <v>48</v>
      </c>
      <c r="S1853" t="s">
        <v>49</v>
      </c>
      <c r="T1853" s="3">
        <v>0.84</v>
      </c>
      <c r="U1853" s="3">
        <v>0.23</v>
      </c>
      <c r="V1853" s="3">
        <v>3.55</v>
      </c>
      <c r="W1853">
        <v>1.82</v>
      </c>
      <c r="X1853" t="s">
        <v>50</v>
      </c>
      <c r="Y1853" s="3">
        <v>9.19</v>
      </c>
      <c r="Z1853" t="s">
        <v>9686</v>
      </c>
      <c r="AA1853" t="s">
        <v>12192</v>
      </c>
      <c r="AB1853" t="s">
        <v>53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f t="shared" si="56"/>
        <v>13.809999999999999</v>
      </c>
      <c r="AK1853" s="3">
        <f t="shared" si="57"/>
        <v>4.6199999999999992</v>
      </c>
    </row>
    <row r="1854" spans="1:37">
      <c r="A1854">
        <v>10380617</v>
      </c>
      <c r="B1854" t="s">
        <v>37</v>
      </c>
      <c r="C1854" t="s">
        <v>12193</v>
      </c>
      <c r="E1854" t="s">
        <v>12194</v>
      </c>
      <c r="F1854" t="s">
        <v>12195</v>
      </c>
      <c r="G1854" t="s">
        <v>12196</v>
      </c>
      <c r="H1854" t="s">
        <v>42</v>
      </c>
      <c r="I1854" t="s">
        <v>12197</v>
      </c>
      <c r="J1854" t="s">
        <v>12198</v>
      </c>
      <c r="K1854" t="s">
        <v>12199</v>
      </c>
      <c r="L1854" t="s">
        <v>82</v>
      </c>
      <c r="M1854" t="s">
        <v>46</v>
      </c>
      <c r="N1854" t="s">
        <v>47</v>
      </c>
      <c r="O1854">
        <v>2</v>
      </c>
      <c r="P1854">
        <v>1</v>
      </c>
      <c r="Q1854">
        <v>2</v>
      </c>
      <c r="R1854" t="s">
        <v>48</v>
      </c>
      <c r="S1854" t="s">
        <v>49</v>
      </c>
      <c r="T1854" s="3">
        <v>0.84</v>
      </c>
      <c r="U1854" s="3">
        <v>0.23</v>
      </c>
      <c r="V1854" s="3">
        <v>1.81</v>
      </c>
      <c r="W1854">
        <v>0.98</v>
      </c>
      <c r="X1854" t="s">
        <v>50</v>
      </c>
      <c r="Y1854" s="3">
        <v>9.19</v>
      </c>
      <c r="Z1854" t="s">
        <v>9850</v>
      </c>
      <c r="AA1854" t="s">
        <v>12200</v>
      </c>
      <c r="AB1854" t="s">
        <v>53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f t="shared" si="56"/>
        <v>12.07</v>
      </c>
      <c r="AK1854" s="3">
        <f t="shared" si="57"/>
        <v>2.8800000000000008</v>
      </c>
    </row>
    <row r="1855" spans="1:37">
      <c r="A1855">
        <v>10380918</v>
      </c>
      <c r="B1855" t="s">
        <v>37</v>
      </c>
      <c r="C1855" t="s">
        <v>12201</v>
      </c>
      <c r="D1855" t="s">
        <v>12202</v>
      </c>
      <c r="E1855" t="s">
        <v>8292</v>
      </c>
      <c r="F1855" t="s">
        <v>12203</v>
      </c>
      <c r="G1855" t="s">
        <v>12204</v>
      </c>
      <c r="H1855" t="s">
        <v>42</v>
      </c>
      <c r="I1855" t="s">
        <v>12205</v>
      </c>
      <c r="J1855" t="s">
        <v>12206</v>
      </c>
      <c r="K1855" t="s">
        <v>12207</v>
      </c>
      <c r="L1855" t="s">
        <v>82</v>
      </c>
      <c r="M1855" t="s">
        <v>46</v>
      </c>
      <c r="N1855" t="s">
        <v>47</v>
      </c>
      <c r="O1855">
        <v>2</v>
      </c>
      <c r="P1855">
        <v>1</v>
      </c>
      <c r="Q1855">
        <v>2</v>
      </c>
      <c r="R1855" t="s">
        <v>48</v>
      </c>
      <c r="S1855" t="s">
        <v>49</v>
      </c>
      <c r="T1855" s="3">
        <v>0.84</v>
      </c>
      <c r="U1855" s="3">
        <v>0.23</v>
      </c>
      <c r="V1855" s="3">
        <v>1.81</v>
      </c>
      <c r="W1855">
        <v>0.98</v>
      </c>
      <c r="X1855" t="s">
        <v>50</v>
      </c>
      <c r="Y1855" s="3">
        <v>9.19</v>
      </c>
      <c r="Z1855" t="s">
        <v>9850</v>
      </c>
      <c r="AA1855" t="s">
        <v>10758</v>
      </c>
      <c r="AB1855" t="s">
        <v>53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f t="shared" si="56"/>
        <v>12.07</v>
      </c>
      <c r="AK1855" s="3">
        <f t="shared" si="57"/>
        <v>2.8800000000000008</v>
      </c>
    </row>
    <row r="1856" spans="1:37">
      <c r="A1856">
        <v>10382024</v>
      </c>
      <c r="B1856" t="s">
        <v>37</v>
      </c>
      <c r="C1856" t="s">
        <v>12208</v>
      </c>
      <c r="E1856" t="s">
        <v>1817</v>
      </c>
      <c r="F1856" t="s">
        <v>12209</v>
      </c>
      <c r="G1856" t="s">
        <v>12210</v>
      </c>
      <c r="H1856" t="s">
        <v>42</v>
      </c>
      <c r="I1856" t="s">
        <v>12211</v>
      </c>
      <c r="J1856" t="s">
        <v>12212</v>
      </c>
      <c r="K1856" t="s">
        <v>12213</v>
      </c>
      <c r="L1856" t="s">
        <v>82</v>
      </c>
      <c r="M1856" t="s">
        <v>46</v>
      </c>
      <c r="N1856" t="s">
        <v>47</v>
      </c>
      <c r="O1856">
        <v>3</v>
      </c>
      <c r="P1856">
        <v>1</v>
      </c>
      <c r="Q1856">
        <v>3</v>
      </c>
      <c r="R1856" t="s">
        <v>48</v>
      </c>
      <c r="S1856" t="s">
        <v>49</v>
      </c>
      <c r="T1856" s="3">
        <v>0.84</v>
      </c>
      <c r="U1856" s="3">
        <v>0.23</v>
      </c>
      <c r="V1856" s="3">
        <v>2.68</v>
      </c>
      <c r="W1856">
        <v>1.47</v>
      </c>
      <c r="X1856" t="s">
        <v>50</v>
      </c>
      <c r="Y1856" s="3">
        <v>9.19</v>
      </c>
      <c r="Z1856" t="s">
        <v>9686</v>
      </c>
      <c r="AA1856" t="s">
        <v>12214</v>
      </c>
      <c r="AB1856" t="s">
        <v>53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f t="shared" si="56"/>
        <v>12.94</v>
      </c>
      <c r="AK1856" s="3">
        <f t="shared" si="57"/>
        <v>3.75</v>
      </c>
    </row>
    <row r="1857" spans="1:37">
      <c r="A1857">
        <v>10381789</v>
      </c>
      <c r="B1857" t="s">
        <v>37</v>
      </c>
      <c r="C1857" t="s">
        <v>12215</v>
      </c>
      <c r="E1857" t="s">
        <v>4729</v>
      </c>
      <c r="F1857" t="s">
        <v>12216</v>
      </c>
      <c r="G1857" t="s">
        <v>12217</v>
      </c>
      <c r="H1857" t="s">
        <v>42</v>
      </c>
      <c r="I1857" t="s">
        <v>12218</v>
      </c>
      <c r="J1857" t="s">
        <v>12219</v>
      </c>
      <c r="K1857" t="s">
        <v>12220</v>
      </c>
      <c r="L1857" t="s">
        <v>2198</v>
      </c>
      <c r="M1857" t="s">
        <v>46</v>
      </c>
      <c r="N1857" t="s">
        <v>47</v>
      </c>
      <c r="O1857">
        <v>2</v>
      </c>
      <c r="P1857">
        <v>1</v>
      </c>
      <c r="Q1857">
        <v>2</v>
      </c>
      <c r="R1857" t="s">
        <v>48</v>
      </c>
      <c r="S1857" t="s">
        <v>49</v>
      </c>
      <c r="T1857" s="3">
        <v>0.84</v>
      </c>
      <c r="U1857" s="3">
        <v>0.23</v>
      </c>
      <c r="V1857" s="3">
        <v>1.81</v>
      </c>
      <c r="W1857">
        <v>0.98</v>
      </c>
      <c r="X1857" t="s">
        <v>50</v>
      </c>
      <c r="Y1857" s="3">
        <v>16.43</v>
      </c>
      <c r="Z1857" t="s">
        <v>9686</v>
      </c>
      <c r="AA1857" t="s">
        <v>12221</v>
      </c>
      <c r="AB1857" t="s">
        <v>53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f t="shared" si="56"/>
        <v>19.309999999999999</v>
      </c>
      <c r="AK1857" s="3">
        <f t="shared" si="57"/>
        <v>2.879999999999999</v>
      </c>
    </row>
    <row r="1858" spans="1:37">
      <c r="A1858">
        <v>10380248</v>
      </c>
      <c r="B1858" t="s">
        <v>37</v>
      </c>
      <c r="C1858" t="s">
        <v>12222</v>
      </c>
      <c r="E1858" t="s">
        <v>7985</v>
      </c>
      <c r="F1858" t="s">
        <v>12223</v>
      </c>
      <c r="G1858" t="s">
        <v>12224</v>
      </c>
      <c r="H1858" t="s">
        <v>42</v>
      </c>
      <c r="I1858" t="s">
        <v>12225</v>
      </c>
      <c r="J1858" t="s">
        <v>12226</v>
      </c>
      <c r="K1858" t="s">
        <v>12227</v>
      </c>
      <c r="L1858" t="s">
        <v>71</v>
      </c>
      <c r="M1858" t="s">
        <v>46</v>
      </c>
      <c r="N1858" t="s">
        <v>47</v>
      </c>
      <c r="O1858">
        <v>2</v>
      </c>
      <c r="P1858">
        <v>1</v>
      </c>
      <c r="Q1858">
        <v>2</v>
      </c>
      <c r="R1858" t="s">
        <v>48</v>
      </c>
      <c r="S1858" t="s">
        <v>49</v>
      </c>
      <c r="T1858" s="3">
        <v>0.84</v>
      </c>
      <c r="U1858" s="3">
        <v>0.23</v>
      </c>
      <c r="V1858" s="3">
        <v>1.81</v>
      </c>
      <c r="W1858">
        <v>0.78</v>
      </c>
      <c r="X1858" t="s">
        <v>108</v>
      </c>
      <c r="Y1858" s="3">
        <v>5.14</v>
      </c>
      <c r="Z1858" t="s">
        <v>9850</v>
      </c>
      <c r="AA1858" t="s">
        <v>12228</v>
      </c>
      <c r="AB1858" t="s">
        <v>53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f t="shared" ref="AJ1858:AJ1921" si="58">AI1858+AH1858+AG1858+AF1858+AE1858+AD1858+AC1858+Y1858+V1858+U1858+T1858</f>
        <v>8.02</v>
      </c>
      <c r="AK1858" s="3">
        <f t="shared" ref="AK1858:AK1921" si="59">AJ1858-Y1858</f>
        <v>2.88</v>
      </c>
    </row>
    <row r="1859" spans="1:37">
      <c r="A1859">
        <v>10382022</v>
      </c>
      <c r="B1859" t="s">
        <v>37</v>
      </c>
      <c r="C1859" t="s">
        <v>12229</v>
      </c>
      <c r="E1859" t="s">
        <v>12230</v>
      </c>
      <c r="F1859" t="s">
        <v>12231</v>
      </c>
      <c r="G1859" t="s">
        <v>12232</v>
      </c>
      <c r="H1859" t="s">
        <v>42</v>
      </c>
      <c r="I1859" t="s">
        <v>12233</v>
      </c>
      <c r="J1859" t="s">
        <v>12234</v>
      </c>
      <c r="K1859">
        <v>76829</v>
      </c>
      <c r="L1859" t="s">
        <v>71</v>
      </c>
      <c r="M1859" t="s">
        <v>46</v>
      </c>
      <c r="N1859" t="s">
        <v>47</v>
      </c>
      <c r="O1859">
        <v>4</v>
      </c>
      <c r="P1859">
        <v>1</v>
      </c>
      <c r="Q1859">
        <v>4</v>
      </c>
      <c r="R1859" t="s">
        <v>48</v>
      </c>
      <c r="S1859" t="s">
        <v>49</v>
      </c>
      <c r="T1859" s="3">
        <v>0.84</v>
      </c>
      <c r="U1859" s="3">
        <v>0.23</v>
      </c>
      <c r="V1859" s="3">
        <v>3.55</v>
      </c>
      <c r="W1859">
        <v>1.45</v>
      </c>
      <c r="X1859" t="s">
        <v>108</v>
      </c>
      <c r="Y1859" s="3">
        <v>5.14</v>
      </c>
      <c r="Z1859" t="s">
        <v>9686</v>
      </c>
      <c r="AA1859" t="s">
        <v>12235</v>
      </c>
      <c r="AB1859" t="s">
        <v>53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f t="shared" si="58"/>
        <v>9.76</v>
      </c>
      <c r="AK1859" s="3">
        <f t="shared" si="59"/>
        <v>4.62</v>
      </c>
    </row>
    <row r="1860" spans="1:37">
      <c r="A1860">
        <v>10380622</v>
      </c>
      <c r="B1860" t="s">
        <v>37</v>
      </c>
      <c r="C1860" t="s">
        <v>12236</v>
      </c>
      <c r="E1860" t="s">
        <v>12237</v>
      </c>
      <c r="F1860" t="s">
        <v>12238</v>
      </c>
      <c r="G1860" t="s">
        <v>12239</v>
      </c>
      <c r="H1860" t="s">
        <v>42</v>
      </c>
      <c r="I1860" t="s">
        <v>12240</v>
      </c>
      <c r="J1860" t="s">
        <v>12241</v>
      </c>
      <c r="K1860">
        <v>10119</v>
      </c>
      <c r="L1860" t="s">
        <v>71</v>
      </c>
      <c r="M1860" t="s">
        <v>46</v>
      </c>
      <c r="N1860" t="s">
        <v>47</v>
      </c>
      <c r="O1860">
        <v>2</v>
      </c>
      <c r="P1860">
        <v>1</v>
      </c>
      <c r="Q1860">
        <v>2</v>
      </c>
      <c r="R1860" t="s">
        <v>48</v>
      </c>
      <c r="S1860" t="s">
        <v>49</v>
      </c>
      <c r="T1860" s="3">
        <v>0.84</v>
      </c>
      <c r="U1860" s="3">
        <v>0.23</v>
      </c>
      <c r="V1860" s="3">
        <v>1.81</v>
      </c>
      <c r="W1860">
        <v>0.98</v>
      </c>
      <c r="X1860" t="s">
        <v>108</v>
      </c>
      <c r="Y1860" s="3">
        <v>6.53</v>
      </c>
      <c r="Z1860" t="s">
        <v>9850</v>
      </c>
      <c r="AA1860" t="s">
        <v>2851</v>
      </c>
      <c r="AB1860" t="s">
        <v>53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f t="shared" si="58"/>
        <v>9.41</v>
      </c>
      <c r="AK1860" s="3">
        <f t="shared" si="59"/>
        <v>2.88</v>
      </c>
    </row>
    <row r="1861" spans="1:37">
      <c r="A1861">
        <v>10380619</v>
      </c>
      <c r="B1861" t="s">
        <v>37</v>
      </c>
      <c r="C1861" t="s">
        <v>12242</v>
      </c>
      <c r="D1861" t="s">
        <v>12243</v>
      </c>
      <c r="E1861" t="s">
        <v>12244</v>
      </c>
      <c r="F1861" t="s">
        <v>12244</v>
      </c>
      <c r="G1861" t="s">
        <v>12245</v>
      </c>
      <c r="H1861" t="s">
        <v>42</v>
      </c>
      <c r="I1861" t="s">
        <v>12246</v>
      </c>
      <c r="J1861" t="s">
        <v>12247</v>
      </c>
      <c r="K1861" t="s">
        <v>12248</v>
      </c>
      <c r="L1861" t="s">
        <v>142</v>
      </c>
      <c r="M1861" t="s">
        <v>46</v>
      </c>
      <c r="N1861" t="s">
        <v>47</v>
      </c>
      <c r="O1861">
        <v>2</v>
      </c>
      <c r="P1861">
        <v>1</v>
      </c>
      <c r="Q1861">
        <v>2</v>
      </c>
      <c r="R1861" t="s">
        <v>48</v>
      </c>
      <c r="S1861" t="s">
        <v>49</v>
      </c>
      <c r="T1861" s="3">
        <v>0.84</v>
      </c>
      <c r="U1861" s="3">
        <v>0.23</v>
      </c>
      <c r="V1861" s="3">
        <v>1.81</v>
      </c>
      <c r="W1861">
        <v>0.98</v>
      </c>
      <c r="X1861" t="s">
        <v>50</v>
      </c>
      <c r="Y1861" s="3">
        <v>16.43</v>
      </c>
      <c r="Z1861" t="s">
        <v>9850</v>
      </c>
      <c r="AA1861" t="s">
        <v>12249</v>
      </c>
      <c r="AB1861" t="s">
        <v>53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f t="shared" si="58"/>
        <v>19.309999999999999</v>
      </c>
      <c r="AK1861" s="3">
        <f t="shared" si="59"/>
        <v>2.879999999999999</v>
      </c>
    </row>
    <row r="1862" spans="1:37">
      <c r="A1862">
        <v>10382023</v>
      </c>
      <c r="B1862" t="s">
        <v>37</v>
      </c>
      <c r="C1862" t="s">
        <v>12250</v>
      </c>
      <c r="E1862" t="s">
        <v>391</v>
      </c>
      <c r="F1862" t="s">
        <v>12251</v>
      </c>
      <c r="G1862" t="s">
        <v>12252</v>
      </c>
      <c r="H1862" t="s">
        <v>42</v>
      </c>
      <c r="I1862" t="s">
        <v>12253</v>
      </c>
      <c r="J1862" t="s">
        <v>12254</v>
      </c>
      <c r="K1862">
        <v>97941</v>
      </c>
      <c r="L1862" t="s">
        <v>71</v>
      </c>
      <c r="M1862" t="s">
        <v>46</v>
      </c>
      <c r="N1862" t="s">
        <v>47</v>
      </c>
      <c r="O1862">
        <v>1</v>
      </c>
      <c r="P1862">
        <v>1</v>
      </c>
      <c r="Q1862">
        <v>1</v>
      </c>
      <c r="R1862" t="s">
        <v>48</v>
      </c>
      <c r="S1862" t="s">
        <v>49</v>
      </c>
      <c r="T1862" s="3">
        <v>0.84</v>
      </c>
      <c r="U1862" s="3">
        <v>0.23</v>
      </c>
      <c r="V1862" s="3">
        <v>0.94</v>
      </c>
      <c r="W1862">
        <v>1.02</v>
      </c>
      <c r="X1862" t="s">
        <v>108</v>
      </c>
      <c r="Y1862" s="3">
        <v>5.14</v>
      </c>
      <c r="Z1862" t="s">
        <v>9686</v>
      </c>
      <c r="AA1862" t="s">
        <v>9992</v>
      </c>
      <c r="AB1862" t="s">
        <v>53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f t="shared" si="58"/>
        <v>7.15</v>
      </c>
      <c r="AK1862" s="3">
        <f t="shared" si="59"/>
        <v>2.0100000000000007</v>
      </c>
    </row>
    <row r="1863" spans="1:37">
      <c r="A1863">
        <v>10382376</v>
      </c>
      <c r="B1863" t="s">
        <v>37</v>
      </c>
      <c r="C1863" t="s">
        <v>12255</v>
      </c>
      <c r="E1863" t="s">
        <v>9023</v>
      </c>
      <c r="F1863" t="s">
        <v>12256</v>
      </c>
      <c r="G1863" t="s">
        <v>12257</v>
      </c>
      <c r="H1863" t="s">
        <v>42</v>
      </c>
      <c r="I1863" t="s">
        <v>12258</v>
      </c>
      <c r="J1863" t="s">
        <v>12259</v>
      </c>
      <c r="K1863">
        <v>95444</v>
      </c>
      <c r="L1863" t="s">
        <v>71</v>
      </c>
      <c r="M1863" t="s">
        <v>46</v>
      </c>
      <c r="N1863" t="s">
        <v>47</v>
      </c>
      <c r="O1863">
        <v>1</v>
      </c>
      <c r="P1863">
        <v>1</v>
      </c>
      <c r="Q1863">
        <v>1</v>
      </c>
      <c r="R1863" t="s">
        <v>48</v>
      </c>
      <c r="S1863" t="s">
        <v>49</v>
      </c>
      <c r="T1863" s="3">
        <v>0.84</v>
      </c>
      <c r="U1863" s="3">
        <v>0.23</v>
      </c>
      <c r="V1863" s="3">
        <v>0.94</v>
      </c>
      <c r="W1863">
        <v>0.39</v>
      </c>
      <c r="X1863" t="s">
        <v>108</v>
      </c>
      <c r="Y1863" s="3">
        <v>5.14</v>
      </c>
      <c r="Z1863" t="s">
        <v>9686</v>
      </c>
      <c r="AA1863" t="s">
        <v>8514</v>
      </c>
      <c r="AB1863" t="s">
        <v>53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f t="shared" si="58"/>
        <v>7.15</v>
      </c>
      <c r="AK1863" s="3">
        <f t="shared" si="59"/>
        <v>2.0100000000000007</v>
      </c>
    </row>
    <row r="1864" spans="1:37">
      <c r="A1864">
        <v>10382227</v>
      </c>
      <c r="B1864" t="s">
        <v>37</v>
      </c>
      <c r="C1864" t="s">
        <v>12260</v>
      </c>
      <c r="E1864" t="s">
        <v>8782</v>
      </c>
      <c r="F1864" t="s">
        <v>12261</v>
      </c>
      <c r="G1864" t="s">
        <v>12262</v>
      </c>
      <c r="H1864" t="s">
        <v>42</v>
      </c>
      <c r="I1864" t="s">
        <v>12263</v>
      </c>
      <c r="J1864" t="s">
        <v>12264</v>
      </c>
      <c r="K1864">
        <v>83043</v>
      </c>
      <c r="L1864" t="s">
        <v>71</v>
      </c>
      <c r="M1864" t="s">
        <v>46</v>
      </c>
      <c r="N1864" t="s">
        <v>47</v>
      </c>
      <c r="O1864">
        <v>1</v>
      </c>
      <c r="P1864">
        <v>1</v>
      </c>
      <c r="Q1864">
        <v>1</v>
      </c>
      <c r="R1864" t="s">
        <v>48</v>
      </c>
      <c r="S1864" t="s">
        <v>49</v>
      </c>
      <c r="T1864" s="3">
        <v>0.84</v>
      </c>
      <c r="U1864" s="3">
        <v>0.23</v>
      </c>
      <c r="V1864" s="3">
        <v>0.94</v>
      </c>
      <c r="W1864">
        <v>0.49</v>
      </c>
      <c r="X1864" t="s">
        <v>108</v>
      </c>
      <c r="Y1864" s="3">
        <v>5.14</v>
      </c>
      <c r="Z1864" t="s">
        <v>9850</v>
      </c>
      <c r="AA1864" t="s">
        <v>5186</v>
      </c>
      <c r="AB1864" t="s">
        <v>53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f t="shared" si="58"/>
        <v>7.15</v>
      </c>
      <c r="AK1864" s="3">
        <f t="shared" si="59"/>
        <v>2.0100000000000007</v>
      </c>
    </row>
    <row r="1865" spans="1:37">
      <c r="A1865">
        <v>10378936</v>
      </c>
      <c r="B1865" t="s">
        <v>37</v>
      </c>
      <c r="C1865" t="s">
        <v>12265</v>
      </c>
      <c r="D1865" t="s">
        <v>12266</v>
      </c>
      <c r="E1865" t="s">
        <v>6893</v>
      </c>
      <c r="F1865" t="s">
        <v>12267</v>
      </c>
      <c r="G1865" t="s">
        <v>12268</v>
      </c>
      <c r="H1865" t="s">
        <v>42</v>
      </c>
      <c r="I1865" t="s">
        <v>12269</v>
      </c>
      <c r="J1865" t="s">
        <v>12270</v>
      </c>
      <c r="K1865" t="s">
        <v>12271</v>
      </c>
      <c r="L1865" t="s">
        <v>82</v>
      </c>
      <c r="M1865" t="s">
        <v>46</v>
      </c>
      <c r="N1865" t="s">
        <v>47</v>
      </c>
      <c r="O1865">
        <v>1</v>
      </c>
      <c r="P1865">
        <v>1</v>
      </c>
      <c r="Q1865">
        <v>1</v>
      </c>
      <c r="R1865" t="s">
        <v>48</v>
      </c>
      <c r="S1865" t="s">
        <v>49</v>
      </c>
      <c r="T1865" s="3">
        <v>0.84</v>
      </c>
      <c r="U1865" s="3">
        <v>0.23</v>
      </c>
      <c r="V1865" s="3">
        <v>0.94</v>
      </c>
      <c r="W1865">
        <v>0.49</v>
      </c>
      <c r="X1865" t="s">
        <v>50</v>
      </c>
      <c r="Y1865" s="3">
        <v>9.1999999999999993</v>
      </c>
      <c r="Z1865" t="s">
        <v>9850</v>
      </c>
      <c r="AA1865" t="s">
        <v>10333</v>
      </c>
      <c r="AB1865" t="s">
        <v>53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f t="shared" si="58"/>
        <v>11.209999999999999</v>
      </c>
      <c r="AK1865" s="3">
        <f t="shared" si="59"/>
        <v>2.0099999999999998</v>
      </c>
    </row>
    <row r="1866" spans="1:37">
      <c r="A1866">
        <v>10381390</v>
      </c>
      <c r="B1866" t="s">
        <v>37</v>
      </c>
      <c r="C1866" t="s">
        <v>12272</v>
      </c>
      <c r="D1866" t="s">
        <v>12273</v>
      </c>
      <c r="E1866" t="s">
        <v>12274</v>
      </c>
      <c r="F1866" t="s">
        <v>12275</v>
      </c>
      <c r="G1866" t="s">
        <v>12276</v>
      </c>
      <c r="H1866" t="s">
        <v>42</v>
      </c>
      <c r="I1866" t="s">
        <v>12277</v>
      </c>
      <c r="J1866" t="s">
        <v>12278</v>
      </c>
      <c r="K1866" t="s">
        <v>12279</v>
      </c>
      <c r="L1866" t="s">
        <v>82</v>
      </c>
      <c r="M1866" t="s">
        <v>46</v>
      </c>
      <c r="N1866" t="s">
        <v>47</v>
      </c>
      <c r="O1866">
        <v>1</v>
      </c>
      <c r="P1866">
        <v>1</v>
      </c>
      <c r="Q1866">
        <v>1</v>
      </c>
      <c r="R1866" t="s">
        <v>48</v>
      </c>
      <c r="S1866" t="s">
        <v>49</v>
      </c>
      <c r="T1866" s="3">
        <v>0.84</v>
      </c>
      <c r="U1866" s="3">
        <v>0.23</v>
      </c>
      <c r="V1866" s="3">
        <v>0.94</v>
      </c>
      <c r="W1866">
        <v>0.49</v>
      </c>
      <c r="X1866" t="s">
        <v>50</v>
      </c>
      <c r="Y1866" s="3">
        <v>9.1999999999999993</v>
      </c>
      <c r="Z1866" t="s">
        <v>9850</v>
      </c>
      <c r="AA1866" t="s">
        <v>10333</v>
      </c>
      <c r="AB1866" t="s">
        <v>53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f t="shared" si="58"/>
        <v>11.209999999999999</v>
      </c>
      <c r="AK1866" s="3">
        <f t="shared" si="59"/>
        <v>2.0099999999999998</v>
      </c>
    </row>
    <row r="1867" spans="1:37">
      <c r="A1867">
        <v>10381392</v>
      </c>
      <c r="B1867" t="s">
        <v>37</v>
      </c>
      <c r="C1867" t="s">
        <v>12280</v>
      </c>
      <c r="D1867" t="s">
        <v>12281</v>
      </c>
      <c r="E1867" t="s">
        <v>2306</v>
      </c>
      <c r="F1867" t="s">
        <v>12282</v>
      </c>
      <c r="G1867" t="s">
        <v>12283</v>
      </c>
      <c r="H1867" t="s">
        <v>42</v>
      </c>
      <c r="I1867" t="s">
        <v>12284</v>
      </c>
      <c r="J1867" t="s">
        <v>12285</v>
      </c>
      <c r="K1867" t="s">
        <v>12286</v>
      </c>
      <c r="L1867" t="s">
        <v>82</v>
      </c>
      <c r="M1867" t="s">
        <v>46</v>
      </c>
      <c r="N1867" t="s">
        <v>47</v>
      </c>
      <c r="O1867">
        <v>1</v>
      </c>
      <c r="P1867">
        <v>1</v>
      </c>
      <c r="Q1867">
        <v>1</v>
      </c>
      <c r="R1867" t="s">
        <v>48</v>
      </c>
      <c r="S1867" t="s">
        <v>49</v>
      </c>
      <c r="T1867" s="3">
        <v>0.84</v>
      </c>
      <c r="U1867" s="3">
        <v>0.23</v>
      </c>
      <c r="V1867" s="3">
        <v>0.94</v>
      </c>
      <c r="W1867">
        <v>0.49</v>
      </c>
      <c r="X1867" t="s">
        <v>50</v>
      </c>
      <c r="Y1867" s="3">
        <v>9.1999999999999993</v>
      </c>
      <c r="Z1867" t="s">
        <v>9850</v>
      </c>
      <c r="AA1867" t="s">
        <v>10333</v>
      </c>
      <c r="AB1867" t="s">
        <v>53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f t="shared" si="58"/>
        <v>11.209999999999999</v>
      </c>
      <c r="AK1867" s="3">
        <f t="shared" si="59"/>
        <v>2.0099999999999998</v>
      </c>
    </row>
    <row r="1868" spans="1:37">
      <c r="A1868">
        <v>10381393</v>
      </c>
      <c r="B1868" t="s">
        <v>37</v>
      </c>
      <c r="C1868" t="s">
        <v>12287</v>
      </c>
      <c r="D1868" t="s">
        <v>12288</v>
      </c>
      <c r="E1868" t="s">
        <v>12289</v>
      </c>
      <c r="F1868" t="s">
        <v>12290</v>
      </c>
      <c r="G1868" t="s">
        <v>12291</v>
      </c>
      <c r="H1868" t="s">
        <v>42</v>
      </c>
      <c r="I1868" t="s">
        <v>12292</v>
      </c>
      <c r="J1868" t="s">
        <v>12293</v>
      </c>
      <c r="K1868" t="s">
        <v>12294</v>
      </c>
      <c r="L1868" t="s">
        <v>82</v>
      </c>
      <c r="M1868" t="s">
        <v>46</v>
      </c>
      <c r="N1868" t="s">
        <v>47</v>
      </c>
      <c r="O1868">
        <v>1</v>
      </c>
      <c r="P1868">
        <v>1</v>
      </c>
      <c r="Q1868">
        <v>1</v>
      </c>
      <c r="R1868" t="s">
        <v>48</v>
      </c>
      <c r="S1868" t="s">
        <v>49</v>
      </c>
      <c r="T1868" s="3">
        <v>0.84</v>
      </c>
      <c r="U1868" s="3">
        <v>0.23</v>
      </c>
      <c r="V1868" s="3">
        <v>0.94</v>
      </c>
      <c r="W1868">
        <v>0.49</v>
      </c>
      <c r="X1868" t="s">
        <v>50</v>
      </c>
      <c r="Y1868" s="3">
        <v>9.1999999999999993</v>
      </c>
      <c r="Z1868" t="s">
        <v>9850</v>
      </c>
      <c r="AA1868" t="s">
        <v>10333</v>
      </c>
      <c r="AB1868" t="s">
        <v>53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f t="shared" si="58"/>
        <v>11.209999999999999</v>
      </c>
      <c r="AK1868" s="3">
        <f t="shared" si="59"/>
        <v>2.0099999999999998</v>
      </c>
    </row>
    <row r="1869" spans="1:37">
      <c r="A1869">
        <v>10382666</v>
      </c>
      <c r="B1869" t="s">
        <v>37</v>
      </c>
      <c r="C1869" t="s">
        <v>12295</v>
      </c>
      <c r="E1869" t="s">
        <v>12296</v>
      </c>
      <c r="F1869" t="s">
        <v>12297</v>
      </c>
      <c r="G1869" t="s">
        <v>12298</v>
      </c>
      <c r="H1869" t="s">
        <v>42</v>
      </c>
      <c r="I1869" t="s">
        <v>12299</v>
      </c>
      <c r="J1869" t="s">
        <v>12300</v>
      </c>
      <c r="K1869">
        <v>3001</v>
      </c>
      <c r="L1869" t="s">
        <v>505</v>
      </c>
      <c r="M1869" t="s">
        <v>46</v>
      </c>
      <c r="N1869" t="s">
        <v>47</v>
      </c>
      <c r="O1869">
        <v>1</v>
      </c>
      <c r="P1869">
        <v>1</v>
      </c>
      <c r="Q1869">
        <v>1</v>
      </c>
      <c r="R1869" t="s">
        <v>48</v>
      </c>
      <c r="S1869" t="s">
        <v>49</v>
      </c>
      <c r="T1869" s="3">
        <v>0.84</v>
      </c>
      <c r="U1869" s="3">
        <v>0.23</v>
      </c>
      <c r="V1869" s="3">
        <v>0.94</v>
      </c>
      <c r="W1869">
        <v>0.49</v>
      </c>
      <c r="X1869" t="s">
        <v>50</v>
      </c>
      <c r="Y1869" s="3">
        <v>9.1999999999999993</v>
      </c>
      <c r="Z1869" t="s">
        <v>9850</v>
      </c>
      <c r="AA1869" t="s">
        <v>1966</v>
      </c>
      <c r="AB1869" t="s">
        <v>53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f t="shared" si="58"/>
        <v>11.209999999999999</v>
      </c>
      <c r="AK1869" s="3">
        <f t="shared" si="59"/>
        <v>2.0099999999999998</v>
      </c>
    </row>
    <row r="1870" spans="1:37">
      <c r="A1870">
        <v>10382663</v>
      </c>
      <c r="B1870" t="s">
        <v>37</v>
      </c>
      <c r="C1870" t="s">
        <v>12301</v>
      </c>
      <c r="E1870" t="s">
        <v>6726</v>
      </c>
      <c r="F1870" t="s">
        <v>6727</v>
      </c>
      <c r="G1870" t="s">
        <v>12302</v>
      </c>
      <c r="H1870" t="s">
        <v>42</v>
      </c>
      <c r="I1870" t="s">
        <v>12303</v>
      </c>
      <c r="J1870" t="s">
        <v>6730</v>
      </c>
      <c r="K1870" t="s">
        <v>6731</v>
      </c>
      <c r="L1870" t="s">
        <v>142</v>
      </c>
      <c r="M1870" t="s">
        <v>46</v>
      </c>
      <c r="N1870" t="s">
        <v>47</v>
      </c>
      <c r="O1870">
        <v>1</v>
      </c>
      <c r="P1870">
        <v>1</v>
      </c>
      <c r="Q1870">
        <v>1</v>
      </c>
      <c r="R1870" t="s">
        <v>48</v>
      </c>
      <c r="S1870" t="s">
        <v>49</v>
      </c>
      <c r="T1870" s="3">
        <v>0.84</v>
      </c>
      <c r="U1870" s="3">
        <v>0.23</v>
      </c>
      <c r="V1870" s="3">
        <v>0.94</v>
      </c>
      <c r="W1870">
        <v>1.6</v>
      </c>
      <c r="X1870" t="s">
        <v>50</v>
      </c>
      <c r="Y1870" s="3">
        <v>16.43</v>
      </c>
      <c r="Z1870" t="s">
        <v>9686</v>
      </c>
      <c r="AA1870" t="s">
        <v>8731</v>
      </c>
      <c r="AB1870" t="s">
        <v>53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f t="shared" si="58"/>
        <v>18.440000000000001</v>
      </c>
      <c r="AK1870" s="3">
        <f t="shared" si="59"/>
        <v>2.0100000000000016</v>
      </c>
    </row>
    <row r="1871" spans="1:37">
      <c r="A1871">
        <v>10377838</v>
      </c>
      <c r="B1871" t="s">
        <v>111</v>
      </c>
      <c r="C1871" t="s">
        <v>12304</v>
      </c>
      <c r="D1871" t="s">
        <v>12305</v>
      </c>
      <c r="E1871" t="s">
        <v>2768</v>
      </c>
      <c r="F1871" t="s">
        <v>12306</v>
      </c>
      <c r="G1871" t="s">
        <v>12307</v>
      </c>
      <c r="H1871" t="s">
        <v>117</v>
      </c>
      <c r="I1871" t="s">
        <v>12308</v>
      </c>
      <c r="J1871" t="s">
        <v>12309</v>
      </c>
      <c r="K1871">
        <v>5700</v>
      </c>
      <c r="L1871" t="s">
        <v>618</v>
      </c>
      <c r="M1871" t="s">
        <v>46</v>
      </c>
      <c r="N1871" t="s">
        <v>47</v>
      </c>
      <c r="O1871">
        <v>132</v>
      </c>
      <c r="P1871">
        <v>2</v>
      </c>
      <c r="Q1871">
        <v>132</v>
      </c>
      <c r="R1871" t="s">
        <v>48</v>
      </c>
      <c r="S1871" t="s">
        <v>49</v>
      </c>
      <c r="T1871" s="3">
        <v>7</v>
      </c>
      <c r="U1871" s="3">
        <v>0.23</v>
      </c>
      <c r="V1871" s="3">
        <v>90.87</v>
      </c>
      <c r="W1871">
        <v>30</v>
      </c>
      <c r="X1871" t="s">
        <v>50</v>
      </c>
      <c r="Y1871" s="3">
        <v>22.55</v>
      </c>
      <c r="Z1871" t="s">
        <v>12310</v>
      </c>
      <c r="AA1871" t="s">
        <v>12311</v>
      </c>
      <c r="AB1871" t="s">
        <v>53</v>
      </c>
      <c r="AC1871" s="3">
        <v>8.42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f t="shared" si="58"/>
        <v>129.07</v>
      </c>
      <c r="AK1871" s="3">
        <f t="shared" si="59"/>
        <v>106.52</v>
      </c>
    </row>
    <row r="1872" spans="1:37">
      <c r="A1872">
        <v>10382665</v>
      </c>
      <c r="B1872" t="s">
        <v>37</v>
      </c>
      <c r="C1872" t="s">
        <v>12312</v>
      </c>
      <c r="E1872" t="s">
        <v>12313</v>
      </c>
      <c r="F1872" t="s">
        <v>12314</v>
      </c>
      <c r="G1872" t="s">
        <v>12315</v>
      </c>
      <c r="H1872" t="s">
        <v>42</v>
      </c>
      <c r="I1872" t="s">
        <v>12316</v>
      </c>
      <c r="J1872" t="s">
        <v>12317</v>
      </c>
      <c r="K1872" t="s">
        <v>12318</v>
      </c>
      <c r="L1872" t="s">
        <v>91</v>
      </c>
      <c r="M1872" t="s">
        <v>46</v>
      </c>
      <c r="N1872" t="s">
        <v>47</v>
      </c>
      <c r="O1872">
        <v>4</v>
      </c>
      <c r="P1872">
        <v>1</v>
      </c>
      <c r="Q1872">
        <v>4</v>
      </c>
      <c r="R1872" t="s">
        <v>48</v>
      </c>
      <c r="S1872" t="s">
        <v>49</v>
      </c>
      <c r="T1872" s="3">
        <v>0.84</v>
      </c>
      <c r="U1872" s="3">
        <v>0.23</v>
      </c>
      <c r="V1872" s="3">
        <v>3.55</v>
      </c>
      <c r="W1872">
        <v>1.96</v>
      </c>
      <c r="X1872" t="s">
        <v>50</v>
      </c>
      <c r="Y1872" s="3">
        <v>16.43</v>
      </c>
      <c r="Z1872" t="s">
        <v>9686</v>
      </c>
      <c r="AA1872" t="s">
        <v>12319</v>
      </c>
      <c r="AB1872" t="s">
        <v>53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f t="shared" si="58"/>
        <v>21.05</v>
      </c>
      <c r="AK1872" s="3">
        <f t="shared" si="59"/>
        <v>4.620000000000001</v>
      </c>
    </row>
    <row r="1873" spans="1:37">
      <c r="A1873">
        <v>10382378</v>
      </c>
      <c r="B1873" t="s">
        <v>37</v>
      </c>
      <c r="C1873" t="s">
        <v>12320</v>
      </c>
      <c r="E1873" t="s">
        <v>12321</v>
      </c>
      <c r="F1873" t="s">
        <v>12322</v>
      </c>
      <c r="G1873" t="s">
        <v>12323</v>
      </c>
      <c r="H1873" t="s">
        <v>42</v>
      </c>
      <c r="I1873" t="s">
        <v>12324</v>
      </c>
      <c r="J1873" t="s">
        <v>12325</v>
      </c>
      <c r="K1873">
        <v>22500</v>
      </c>
      <c r="L1873" t="s">
        <v>91</v>
      </c>
      <c r="M1873" t="s">
        <v>46</v>
      </c>
      <c r="N1873" t="s">
        <v>47</v>
      </c>
      <c r="O1873">
        <v>5</v>
      </c>
      <c r="P1873">
        <v>1</v>
      </c>
      <c r="Q1873">
        <v>5</v>
      </c>
      <c r="R1873" t="s">
        <v>48</v>
      </c>
      <c r="S1873" t="s">
        <v>49</v>
      </c>
      <c r="T1873" s="3">
        <v>0.84</v>
      </c>
      <c r="U1873" s="3">
        <v>0.23</v>
      </c>
      <c r="V1873" s="3">
        <v>4.42</v>
      </c>
      <c r="W1873">
        <v>2.04</v>
      </c>
      <c r="X1873" t="s">
        <v>50</v>
      </c>
      <c r="Y1873" s="3">
        <v>16.43</v>
      </c>
      <c r="Z1873" t="s">
        <v>73</v>
      </c>
      <c r="AA1873" t="s">
        <v>12326</v>
      </c>
      <c r="AB1873" t="s">
        <v>53</v>
      </c>
      <c r="AC1873" s="3">
        <v>1.29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f t="shared" si="58"/>
        <v>23.21</v>
      </c>
      <c r="AK1873" s="3">
        <f t="shared" si="59"/>
        <v>6.7800000000000011</v>
      </c>
    </row>
    <row r="1874" spans="1:37">
      <c r="A1874">
        <v>10382661</v>
      </c>
      <c r="B1874" t="s">
        <v>37</v>
      </c>
      <c r="C1874" t="s">
        <v>12327</v>
      </c>
      <c r="E1874" t="s">
        <v>1438</v>
      </c>
      <c r="F1874" t="s">
        <v>12328</v>
      </c>
      <c r="G1874" t="s">
        <v>12329</v>
      </c>
      <c r="H1874" t="s">
        <v>42</v>
      </c>
      <c r="I1874" t="s">
        <v>12330</v>
      </c>
      <c r="J1874" t="s">
        <v>12331</v>
      </c>
      <c r="K1874" t="s">
        <v>12332</v>
      </c>
      <c r="L1874" t="s">
        <v>142</v>
      </c>
      <c r="M1874" t="s">
        <v>46</v>
      </c>
      <c r="N1874" t="s">
        <v>47</v>
      </c>
      <c r="O1874">
        <v>5</v>
      </c>
      <c r="P1874">
        <v>1</v>
      </c>
      <c r="Q1874">
        <v>5</v>
      </c>
      <c r="R1874" t="s">
        <v>48</v>
      </c>
      <c r="S1874" t="s">
        <v>49</v>
      </c>
      <c r="T1874" s="3">
        <v>0.84</v>
      </c>
      <c r="U1874" s="3">
        <v>0.23</v>
      </c>
      <c r="V1874" s="3">
        <v>4.42</v>
      </c>
      <c r="W1874">
        <v>1.7</v>
      </c>
      <c r="X1874" t="s">
        <v>50</v>
      </c>
      <c r="Y1874" s="3">
        <v>16.43</v>
      </c>
      <c r="Z1874" t="s">
        <v>9686</v>
      </c>
      <c r="AA1874" t="s">
        <v>12333</v>
      </c>
      <c r="AB1874" t="s">
        <v>53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f t="shared" si="58"/>
        <v>21.92</v>
      </c>
      <c r="AK1874" s="3">
        <f t="shared" si="59"/>
        <v>5.490000000000002</v>
      </c>
    </row>
    <row r="1875" spans="1:37">
      <c r="A1875">
        <v>10382379</v>
      </c>
      <c r="B1875" t="s">
        <v>37</v>
      </c>
      <c r="C1875" t="s">
        <v>12334</v>
      </c>
      <c r="E1875" t="s">
        <v>2064</v>
      </c>
      <c r="F1875" t="s">
        <v>12335</v>
      </c>
      <c r="G1875" t="s">
        <v>12336</v>
      </c>
      <c r="H1875" t="s">
        <v>42</v>
      </c>
      <c r="I1875" t="s">
        <v>12337</v>
      </c>
      <c r="J1875" t="s">
        <v>12338</v>
      </c>
      <c r="K1875" t="s">
        <v>12339</v>
      </c>
      <c r="L1875" t="s">
        <v>142</v>
      </c>
      <c r="M1875" t="s">
        <v>46</v>
      </c>
      <c r="N1875" t="s">
        <v>47</v>
      </c>
      <c r="O1875">
        <v>3</v>
      </c>
      <c r="P1875">
        <v>1</v>
      </c>
      <c r="Q1875">
        <v>3</v>
      </c>
      <c r="R1875" t="s">
        <v>48</v>
      </c>
      <c r="S1875" t="s">
        <v>49</v>
      </c>
      <c r="T1875" s="3">
        <v>0.84</v>
      </c>
      <c r="U1875" s="3">
        <v>0.23</v>
      </c>
      <c r="V1875" s="3">
        <v>2.68</v>
      </c>
      <c r="W1875">
        <v>1.1200000000000001</v>
      </c>
      <c r="X1875" t="s">
        <v>50</v>
      </c>
      <c r="Y1875" s="3">
        <v>16.43</v>
      </c>
      <c r="Z1875" t="s">
        <v>9686</v>
      </c>
      <c r="AA1875" t="s">
        <v>12340</v>
      </c>
      <c r="AB1875" t="s">
        <v>53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f t="shared" si="58"/>
        <v>20.18</v>
      </c>
      <c r="AK1875" s="3">
        <f t="shared" si="59"/>
        <v>3.75</v>
      </c>
    </row>
    <row r="1876" spans="1:37">
      <c r="A1876">
        <v>10382664</v>
      </c>
      <c r="B1876" t="s">
        <v>37</v>
      </c>
      <c r="C1876" t="s">
        <v>12341</v>
      </c>
      <c r="E1876" t="s">
        <v>500</v>
      </c>
      <c r="F1876" t="s">
        <v>12342</v>
      </c>
      <c r="G1876" t="s">
        <v>12343</v>
      </c>
      <c r="H1876" t="s">
        <v>42</v>
      </c>
      <c r="I1876" t="s">
        <v>12344</v>
      </c>
      <c r="J1876" t="s">
        <v>12345</v>
      </c>
      <c r="K1876">
        <v>22299</v>
      </c>
      <c r="L1876" t="s">
        <v>71</v>
      </c>
      <c r="M1876" t="s">
        <v>46</v>
      </c>
      <c r="N1876" t="s">
        <v>47</v>
      </c>
      <c r="O1876">
        <v>4</v>
      </c>
      <c r="P1876">
        <v>1</v>
      </c>
      <c r="Q1876">
        <v>4</v>
      </c>
      <c r="R1876" t="s">
        <v>48</v>
      </c>
      <c r="S1876" t="s">
        <v>49</v>
      </c>
      <c r="T1876" s="3">
        <v>0.84</v>
      </c>
      <c r="U1876" s="3">
        <v>0.23</v>
      </c>
      <c r="V1876" s="3">
        <v>3.55</v>
      </c>
      <c r="W1876">
        <v>0.99</v>
      </c>
      <c r="X1876" t="s">
        <v>108</v>
      </c>
      <c r="Y1876" s="3">
        <v>6.54</v>
      </c>
      <c r="Z1876" t="s">
        <v>9850</v>
      </c>
      <c r="AA1876" t="s">
        <v>12346</v>
      </c>
      <c r="AB1876" t="s">
        <v>53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f t="shared" si="58"/>
        <v>11.16</v>
      </c>
      <c r="AK1876" s="3">
        <f t="shared" si="59"/>
        <v>4.62</v>
      </c>
    </row>
    <row r="1877" spans="1:37">
      <c r="A1877">
        <v>10382667</v>
      </c>
      <c r="B1877" t="s">
        <v>37</v>
      </c>
      <c r="C1877" t="s">
        <v>12347</v>
      </c>
      <c r="E1877" t="s">
        <v>12348</v>
      </c>
      <c r="F1877" t="s">
        <v>12349</v>
      </c>
      <c r="G1877" t="s">
        <v>12350</v>
      </c>
      <c r="H1877" t="s">
        <v>42</v>
      </c>
      <c r="I1877" t="s">
        <v>12351</v>
      </c>
      <c r="J1877" t="s">
        <v>12352</v>
      </c>
      <c r="K1877">
        <v>60388</v>
      </c>
      <c r="L1877" t="s">
        <v>71</v>
      </c>
      <c r="M1877" t="s">
        <v>46</v>
      </c>
      <c r="N1877" t="s">
        <v>47</v>
      </c>
      <c r="O1877">
        <v>3</v>
      </c>
      <c r="P1877">
        <v>1</v>
      </c>
      <c r="Q1877">
        <v>3</v>
      </c>
      <c r="R1877" t="s">
        <v>48</v>
      </c>
      <c r="S1877" t="s">
        <v>49</v>
      </c>
      <c r="T1877" s="3">
        <v>0.84</v>
      </c>
      <c r="U1877" s="3">
        <v>0.23</v>
      </c>
      <c r="V1877" s="3">
        <v>2.68</v>
      </c>
      <c r="W1877">
        <v>1.47</v>
      </c>
      <c r="X1877" t="s">
        <v>108</v>
      </c>
      <c r="Y1877" s="3">
        <v>5.14</v>
      </c>
      <c r="Z1877" t="s">
        <v>9686</v>
      </c>
      <c r="AA1877" t="s">
        <v>12353</v>
      </c>
      <c r="AB1877" t="s">
        <v>53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f t="shared" si="58"/>
        <v>8.89</v>
      </c>
      <c r="AK1877" s="3">
        <f t="shared" si="59"/>
        <v>3.7500000000000009</v>
      </c>
    </row>
    <row r="1878" spans="1:37">
      <c r="A1878">
        <v>10382668</v>
      </c>
      <c r="B1878" t="s">
        <v>37</v>
      </c>
      <c r="C1878" t="s">
        <v>12354</v>
      </c>
      <c r="E1878" t="s">
        <v>3361</v>
      </c>
      <c r="F1878" t="s">
        <v>12355</v>
      </c>
      <c r="G1878" t="s">
        <v>12356</v>
      </c>
      <c r="H1878" t="s">
        <v>42</v>
      </c>
      <c r="I1878" t="s">
        <v>12357</v>
      </c>
      <c r="J1878" t="s">
        <v>12358</v>
      </c>
      <c r="K1878" t="s">
        <v>12359</v>
      </c>
      <c r="L1878" t="s">
        <v>142</v>
      </c>
      <c r="M1878" t="s">
        <v>46</v>
      </c>
      <c r="N1878" t="s">
        <v>47</v>
      </c>
      <c r="O1878">
        <v>4</v>
      </c>
      <c r="P1878">
        <v>1</v>
      </c>
      <c r="Q1878">
        <v>4</v>
      </c>
      <c r="R1878" t="s">
        <v>48</v>
      </c>
      <c r="S1878" t="s">
        <v>49</v>
      </c>
      <c r="T1878" s="3">
        <v>0.84</v>
      </c>
      <c r="U1878" s="3">
        <v>0.23</v>
      </c>
      <c r="V1878" s="3">
        <v>3.55</v>
      </c>
      <c r="W1878">
        <v>1.56</v>
      </c>
      <c r="X1878" t="s">
        <v>50</v>
      </c>
      <c r="Y1878" s="3">
        <v>16.43</v>
      </c>
      <c r="Z1878" t="s">
        <v>9686</v>
      </c>
      <c r="AA1878" t="s">
        <v>429</v>
      </c>
      <c r="AB1878" t="s">
        <v>53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f t="shared" si="58"/>
        <v>21.05</v>
      </c>
      <c r="AK1878" s="3">
        <f t="shared" si="59"/>
        <v>4.620000000000001</v>
      </c>
    </row>
    <row r="1879" spans="1:37">
      <c r="A1879">
        <v>10375687</v>
      </c>
      <c r="B1879" t="s">
        <v>111</v>
      </c>
      <c r="C1879" t="s">
        <v>12360</v>
      </c>
      <c r="E1879" t="s">
        <v>2071</v>
      </c>
      <c r="F1879" t="s">
        <v>3470</v>
      </c>
      <c r="G1879" t="s">
        <v>12361</v>
      </c>
      <c r="H1879" t="s">
        <v>117</v>
      </c>
      <c r="I1879" t="s">
        <v>12362</v>
      </c>
      <c r="J1879" t="s">
        <v>1050</v>
      </c>
      <c r="K1879">
        <v>38350</v>
      </c>
      <c r="L1879" t="s">
        <v>71</v>
      </c>
      <c r="M1879" t="s">
        <v>46</v>
      </c>
      <c r="N1879" t="s">
        <v>47</v>
      </c>
      <c r="O1879">
        <v>93</v>
      </c>
      <c r="P1879">
        <v>3</v>
      </c>
      <c r="Q1879">
        <v>93</v>
      </c>
      <c r="R1879" t="s">
        <v>48</v>
      </c>
      <c r="S1879" t="s">
        <v>49</v>
      </c>
      <c r="T1879" s="3">
        <v>7</v>
      </c>
      <c r="U1879" s="3">
        <v>0.23</v>
      </c>
      <c r="V1879" s="3">
        <v>75.22</v>
      </c>
      <c r="W1879">
        <v>45</v>
      </c>
      <c r="X1879" t="s">
        <v>72</v>
      </c>
      <c r="Y1879" s="3">
        <v>27.59</v>
      </c>
      <c r="Z1879" t="s">
        <v>12363</v>
      </c>
      <c r="AA1879" t="s">
        <v>12364</v>
      </c>
      <c r="AB1879" t="s">
        <v>53</v>
      </c>
      <c r="AC1879" s="3">
        <v>10.29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f t="shared" si="58"/>
        <v>120.33</v>
      </c>
      <c r="AK1879" s="3">
        <f t="shared" si="59"/>
        <v>92.74</v>
      </c>
    </row>
    <row r="1880" spans="1:37">
      <c r="A1880">
        <v>10382669</v>
      </c>
      <c r="B1880" t="s">
        <v>37</v>
      </c>
      <c r="C1880" t="s">
        <v>12365</v>
      </c>
      <c r="E1880" t="s">
        <v>4729</v>
      </c>
      <c r="F1880" t="s">
        <v>10570</v>
      </c>
      <c r="G1880" t="s">
        <v>12366</v>
      </c>
      <c r="H1880" t="s">
        <v>42</v>
      </c>
      <c r="I1880" t="s">
        <v>12367</v>
      </c>
      <c r="J1880" t="s">
        <v>12368</v>
      </c>
      <c r="K1880" t="s">
        <v>10574</v>
      </c>
      <c r="L1880" t="s">
        <v>82</v>
      </c>
      <c r="M1880" t="s">
        <v>46</v>
      </c>
      <c r="N1880" t="s">
        <v>47</v>
      </c>
      <c r="O1880">
        <v>3</v>
      </c>
      <c r="P1880">
        <v>1</v>
      </c>
      <c r="Q1880">
        <v>3</v>
      </c>
      <c r="R1880" t="s">
        <v>48</v>
      </c>
      <c r="S1880" t="s">
        <v>49</v>
      </c>
      <c r="T1880" s="3">
        <v>0.84</v>
      </c>
      <c r="U1880" s="3">
        <v>0.23</v>
      </c>
      <c r="V1880" s="3">
        <v>2.68</v>
      </c>
      <c r="W1880">
        <v>1.08</v>
      </c>
      <c r="X1880" t="s">
        <v>50</v>
      </c>
      <c r="Y1880" s="3">
        <v>9.1999999999999993</v>
      </c>
      <c r="Z1880" t="s">
        <v>9686</v>
      </c>
      <c r="AA1880" t="s">
        <v>442</v>
      </c>
      <c r="AB1880" t="s">
        <v>53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f t="shared" si="58"/>
        <v>12.95</v>
      </c>
      <c r="AK1880" s="3">
        <f t="shared" si="59"/>
        <v>3.75</v>
      </c>
    </row>
    <row r="1881" spans="1:37">
      <c r="A1881">
        <v>10383297</v>
      </c>
      <c r="B1881" t="s">
        <v>37</v>
      </c>
      <c r="C1881" t="s">
        <v>12369</v>
      </c>
      <c r="E1881" t="s">
        <v>1094</v>
      </c>
      <c r="F1881" t="s">
        <v>12370</v>
      </c>
      <c r="G1881" t="s">
        <v>12371</v>
      </c>
      <c r="H1881" t="s">
        <v>42</v>
      </c>
      <c r="I1881" t="s">
        <v>12372</v>
      </c>
      <c r="J1881" t="s">
        <v>12373</v>
      </c>
      <c r="K1881">
        <v>85598</v>
      </c>
      <c r="L1881" t="s">
        <v>71</v>
      </c>
      <c r="M1881" t="s">
        <v>46</v>
      </c>
      <c r="N1881" t="s">
        <v>47</v>
      </c>
      <c r="O1881">
        <v>4</v>
      </c>
      <c r="P1881">
        <v>1</v>
      </c>
      <c r="Q1881">
        <v>4</v>
      </c>
      <c r="R1881" t="s">
        <v>48</v>
      </c>
      <c r="S1881" t="s">
        <v>49</v>
      </c>
      <c r="T1881" s="3">
        <v>0.84</v>
      </c>
      <c r="U1881" s="3">
        <v>0.23</v>
      </c>
      <c r="V1881" s="3">
        <v>3.55</v>
      </c>
      <c r="W1881">
        <v>1.96</v>
      </c>
      <c r="X1881" t="s">
        <v>108</v>
      </c>
      <c r="Y1881" s="3">
        <v>5.14</v>
      </c>
      <c r="Z1881" t="s">
        <v>9686</v>
      </c>
      <c r="AA1881" t="s">
        <v>5323</v>
      </c>
      <c r="AB1881" t="s">
        <v>53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f t="shared" si="58"/>
        <v>9.76</v>
      </c>
      <c r="AK1881" s="3">
        <f t="shared" si="59"/>
        <v>4.62</v>
      </c>
    </row>
    <row r="1882" spans="1:37">
      <c r="A1882">
        <v>10382670</v>
      </c>
      <c r="B1882" t="s">
        <v>37</v>
      </c>
      <c r="C1882" t="s">
        <v>12374</v>
      </c>
      <c r="E1882" t="s">
        <v>12375</v>
      </c>
      <c r="F1882" t="s">
        <v>12376</v>
      </c>
      <c r="G1882" t="s">
        <v>12377</v>
      </c>
      <c r="H1882" t="s">
        <v>42</v>
      </c>
      <c r="I1882" t="s">
        <v>12378</v>
      </c>
      <c r="J1882" t="s">
        <v>12379</v>
      </c>
      <c r="K1882">
        <v>8340</v>
      </c>
      <c r="L1882" t="s">
        <v>369</v>
      </c>
      <c r="M1882" t="s">
        <v>46</v>
      </c>
      <c r="N1882" t="s">
        <v>47</v>
      </c>
      <c r="O1882">
        <v>3</v>
      </c>
      <c r="P1882">
        <v>1</v>
      </c>
      <c r="Q1882">
        <v>3</v>
      </c>
      <c r="R1882" t="s">
        <v>48</v>
      </c>
      <c r="S1882" t="s">
        <v>49</v>
      </c>
      <c r="T1882" s="3">
        <v>0.84</v>
      </c>
      <c r="U1882" s="3">
        <v>0.23</v>
      </c>
      <c r="V1882" s="3">
        <v>2.68</v>
      </c>
      <c r="W1882">
        <v>0.83</v>
      </c>
      <c r="X1882" t="s">
        <v>50</v>
      </c>
      <c r="Y1882" s="3">
        <v>9.1999999999999993</v>
      </c>
      <c r="Z1882" t="s">
        <v>9850</v>
      </c>
      <c r="AA1882" t="s">
        <v>12380</v>
      </c>
      <c r="AB1882" t="s">
        <v>53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f t="shared" si="58"/>
        <v>12.95</v>
      </c>
      <c r="AK1882" s="3">
        <f t="shared" si="59"/>
        <v>3.75</v>
      </c>
    </row>
    <row r="1883" spans="1:37">
      <c r="A1883">
        <v>10383826</v>
      </c>
      <c r="B1883" t="s">
        <v>37</v>
      </c>
      <c r="C1883" t="s">
        <v>12381</v>
      </c>
      <c r="E1883" t="s">
        <v>11834</v>
      </c>
      <c r="F1883" t="s">
        <v>12382</v>
      </c>
      <c r="G1883" t="s">
        <v>12383</v>
      </c>
      <c r="H1883" t="s">
        <v>42</v>
      </c>
      <c r="I1883" t="s">
        <v>12384</v>
      </c>
      <c r="J1883" t="s">
        <v>12385</v>
      </c>
      <c r="K1883">
        <v>32369</v>
      </c>
      <c r="L1883" t="s">
        <v>71</v>
      </c>
      <c r="M1883" t="s">
        <v>46</v>
      </c>
      <c r="N1883" t="s">
        <v>47</v>
      </c>
      <c r="O1883">
        <v>1</v>
      </c>
      <c r="P1883">
        <v>1</v>
      </c>
      <c r="Q1883">
        <v>1</v>
      </c>
      <c r="R1883" t="s">
        <v>48</v>
      </c>
      <c r="S1883" t="s">
        <v>49</v>
      </c>
      <c r="T1883" s="3">
        <v>0.84</v>
      </c>
      <c r="U1883" s="3">
        <v>0.23</v>
      </c>
      <c r="V1883" s="3">
        <v>0.94</v>
      </c>
      <c r="W1883">
        <v>0.15</v>
      </c>
      <c r="X1883" t="s">
        <v>108</v>
      </c>
      <c r="Y1883" s="3">
        <v>5.14</v>
      </c>
      <c r="Z1883" t="s">
        <v>9850</v>
      </c>
      <c r="AA1883" t="s">
        <v>6464</v>
      </c>
      <c r="AB1883" t="s">
        <v>53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f t="shared" si="58"/>
        <v>7.15</v>
      </c>
      <c r="AK1883" s="3">
        <f t="shared" si="59"/>
        <v>2.0100000000000007</v>
      </c>
    </row>
    <row r="1884" spans="1:37">
      <c r="A1884">
        <v>10383814</v>
      </c>
      <c r="B1884" t="s">
        <v>37</v>
      </c>
      <c r="C1884" t="s">
        <v>12386</v>
      </c>
      <c r="E1884" t="s">
        <v>1470</v>
      </c>
      <c r="F1884" t="s">
        <v>12387</v>
      </c>
      <c r="G1884" t="s">
        <v>12388</v>
      </c>
      <c r="H1884" t="s">
        <v>42</v>
      </c>
      <c r="I1884" t="s">
        <v>12389</v>
      </c>
      <c r="J1884" t="s">
        <v>12390</v>
      </c>
      <c r="K1884">
        <v>93158</v>
      </c>
      <c r="L1884" t="s">
        <v>71</v>
      </c>
      <c r="M1884" t="s">
        <v>46</v>
      </c>
      <c r="N1884" t="s">
        <v>47</v>
      </c>
      <c r="O1884">
        <v>1</v>
      </c>
      <c r="P1884">
        <v>1</v>
      </c>
      <c r="Q1884">
        <v>1</v>
      </c>
      <c r="R1884" t="s">
        <v>48</v>
      </c>
      <c r="S1884" t="s">
        <v>49</v>
      </c>
      <c r="T1884" s="3">
        <v>0.84</v>
      </c>
      <c r="U1884" s="3">
        <v>0.23</v>
      </c>
      <c r="V1884" s="3">
        <v>0.94</v>
      </c>
      <c r="W1884">
        <v>0.15</v>
      </c>
      <c r="X1884" t="s">
        <v>108</v>
      </c>
      <c r="Y1884" s="3">
        <v>5.14</v>
      </c>
      <c r="Z1884" t="s">
        <v>9850</v>
      </c>
      <c r="AA1884" t="s">
        <v>12391</v>
      </c>
      <c r="AB1884" t="s">
        <v>53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f t="shared" si="58"/>
        <v>7.15</v>
      </c>
      <c r="AK1884" s="3">
        <f t="shared" si="59"/>
        <v>2.0100000000000007</v>
      </c>
    </row>
    <row r="1885" spans="1:37">
      <c r="A1885">
        <v>10383817</v>
      </c>
      <c r="B1885" t="s">
        <v>37</v>
      </c>
      <c r="C1885" t="s">
        <v>12392</v>
      </c>
      <c r="E1885" t="s">
        <v>157</v>
      </c>
      <c r="F1885" t="s">
        <v>12393</v>
      </c>
      <c r="G1885" t="s">
        <v>12394</v>
      </c>
      <c r="H1885" t="s">
        <v>42</v>
      </c>
      <c r="I1885" t="s">
        <v>12395</v>
      </c>
      <c r="J1885" t="s">
        <v>12396</v>
      </c>
      <c r="K1885">
        <v>33611</v>
      </c>
      <c r="L1885" t="s">
        <v>71</v>
      </c>
      <c r="M1885" t="s">
        <v>46</v>
      </c>
      <c r="N1885" t="s">
        <v>47</v>
      </c>
      <c r="O1885">
        <v>1</v>
      </c>
      <c r="P1885">
        <v>1</v>
      </c>
      <c r="Q1885">
        <v>1</v>
      </c>
      <c r="R1885" t="s">
        <v>48</v>
      </c>
      <c r="S1885" t="s">
        <v>49</v>
      </c>
      <c r="T1885" s="3">
        <v>0.84</v>
      </c>
      <c r="U1885" s="3">
        <v>0.23</v>
      </c>
      <c r="V1885" s="3">
        <v>0.94</v>
      </c>
      <c r="W1885">
        <v>0.15</v>
      </c>
      <c r="X1885" t="s">
        <v>108</v>
      </c>
      <c r="Y1885" s="3">
        <v>5.14</v>
      </c>
      <c r="Z1885" t="s">
        <v>9850</v>
      </c>
      <c r="AA1885" t="s">
        <v>12391</v>
      </c>
      <c r="AB1885" t="s">
        <v>53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f t="shared" si="58"/>
        <v>7.15</v>
      </c>
      <c r="AK1885" s="3">
        <f t="shared" si="59"/>
        <v>2.0100000000000007</v>
      </c>
    </row>
    <row r="1886" spans="1:37">
      <c r="A1886">
        <v>10383835</v>
      </c>
      <c r="B1886" t="s">
        <v>37</v>
      </c>
      <c r="C1886" t="s">
        <v>12397</v>
      </c>
      <c r="E1886" t="s">
        <v>12398</v>
      </c>
      <c r="F1886" t="s">
        <v>10004</v>
      </c>
      <c r="G1886" t="s">
        <v>12399</v>
      </c>
      <c r="H1886" t="s">
        <v>42</v>
      </c>
      <c r="I1886" t="s">
        <v>12400</v>
      </c>
      <c r="J1886" t="s">
        <v>12401</v>
      </c>
      <c r="K1886">
        <v>72461</v>
      </c>
      <c r="L1886" t="s">
        <v>71</v>
      </c>
      <c r="M1886" t="s">
        <v>46</v>
      </c>
      <c r="N1886" t="s">
        <v>47</v>
      </c>
      <c r="O1886">
        <v>1</v>
      </c>
      <c r="P1886">
        <v>1</v>
      </c>
      <c r="Q1886">
        <v>1</v>
      </c>
      <c r="R1886" t="s">
        <v>48</v>
      </c>
      <c r="S1886" t="s">
        <v>49</v>
      </c>
      <c r="T1886" s="3">
        <v>0.84</v>
      </c>
      <c r="U1886" s="3">
        <v>0.23</v>
      </c>
      <c r="V1886" s="3">
        <v>0.94</v>
      </c>
      <c r="W1886">
        <v>0.15</v>
      </c>
      <c r="X1886" t="s">
        <v>108</v>
      </c>
      <c r="Y1886" s="3">
        <v>5.14</v>
      </c>
      <c r="Z1886" t="s">
        <v>9850</v>
      </c>
      <c r="AA1886" t="s">
        <v>12391</v>
      </c>
      <c r="AB1886" t="s">
        <v>53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f t="shared" si="58"/>
        <v>7.15</v>
      </c>
      <c r="AK1886" s="3">
        <f t="shared" si="59"/>
        <v>2.0100000000000007</v>
      </c>
    </row>
    <row r="1887" spans="1:37">
      <c r="A1887">
        <v>10383820</v>
      </c>
      <c r="B1887" t="s">
        <v>37</v>
      </c>
      <c r="C1887" t="s">
        <v>12402</v>
      </c>
      <c r="E1887" t="s">
        <v>39</v>
      </c>
      <c r="F1887" t="s">
        <v>12403</v>
      </c>
      <c r="G1887" t="s">
        <v>12404</v>
      </c>
      <c r="H1887" t="s">
        <v>42</v>
      </c>
      <c r="I1887" t="s">
        <v>12405</v>
      </c>
      <c r="J1887" t="s">
        <v>12406</v>
      </c>
      <c r="K1887">
        <v>10965</v>
      </c>
      <c r="L1887" t="s">
        <v>71</v>
      </c>
      <c r="M1887" t="s">
        <v>46</v>
      </c>
      <c r="N1887" t="s">
        <v>47</v>
      </c>
      <c r="O1887">
        <v>1</v>
      </c>
      <c r="P1887">
        <v>1</v>
      </c>
      <c r="Q1887">
        <v>1</v>
      </c>
      <c r="R1887" t="s">
        <v>48</v>
      </c>
      <c r="S1887" t="s">
        <v>49</v>
      </c>
      <c r="T1887" s="3">
        <v>0.84</v>
      </c>
      <c r="U1887" s="3">
        <v>0.23</v>
      </c>
      <c r="V1887" s="3">
        <v>0.94</v>
      </c>
      <c r="W1887">
        <v>1.4</v>
      </c>
      <c r="X1887" t="s">
        <v>108</v>
      </c>
      <c r="Y1887" s="3">
        <v>5.14</v>
      </c>
      <c r="Z1887" t="s">
        <v>9686</v>
      </c>
      <c r="AA1887" t="s">
        <v>198</v>
      </c>
      <c r="AB1887" t="s">
        <v>53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f t="shared" si="58"/>
        <v>7.15</v>
      </c>
      <c r="AK1887" s="3">
        <f t="shared" si="59"/>
        <v>2.0100000000000007</v>
      </c>
    </row>
    <row r="1888" spans="1:37">
      <c r="A1888">
        <v>10383851</v>
      </c>
      <c r="B1888" t="s">
        <v>37</v>
      </c>
      <c r="C1888" t="s">
        <v>12407</v>
      </c>
      <c r="E1888" t="s">
        <v>2955</v>
      </c>
      <c r="F1888" t="s">
        <v>12408</v>
      </c>
      <c r="G1888" t="s">
        <v>12409</v>
      </c>
      <c r="H1888" t="s">
        <v>42</v>
      </c>
      <c r="I1888" t="s">
        <v>12410</v>
      </c>
      <c r="J1888" t="s">
        <v>12411</v>
      </c>
      <c r="K1888">
        <v>33615</v>
      </c>
      <c r="L1888" t="s">
        <v>71</v>
      </c>
      <c r="M1888" t="s">
        <v>46</v>
      </c>
      <c r="N1888" t="s">
        <v>47</v>
      </c>
      <c r="O1888">
        <v>1</v>
      </c>
      <c r="P1888">
        <v>1</v>
      </c>
      <c r="Q1888">
        <v>1</v>
      </c>
      <c r="R1888" t="s">
        <v>48</v>
      </c>
      <c r="S1888" t="s">
        <v>49</v>
      </c>
      <c r="T1888" s="3">
        <v>0.84</v>
      </c>
      <c r="U1888" s="3">
        <v>0.23</v>
      </c>
      <c r="V1888" s="3">
        <v>0.94</v>
      </c>
      <c r="W1888">
        <v>0.15</v>
      </c>
      <c r="X1888" t="s">
        <v>108</v>
      </c>
      <c r="Y1888" s="3">
        <v>5.14</v>
      </c>
      <c r="Z1888" t="s">
        <v>9850</v>
      </c>
      <c r="AA1888" t="s">
        <v>12391</v>
      </c>
      <c r="AB1888" t="s">
        <v>53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f t="shared" si="58"/>
        <v>7.15</v>
      </c>
      <c r="AK1888" s="3">
        <f t="shared" si="59"/>
        <v>2.0100000000000007</v>
      </c>
    </row>
    <row r="1889" spans="1:37">
      <c r="A1889">
        <v>10383852</v>
      </c>
      <c r="B1889" t="s">
        <v>37</v>
      </c>
      <c r="C1889" t="s">
        <v>12412</v>
      </c>
      <c r="E1889" t="s">
        <v>809</v>
      </c>
      <c r="F1889" t="s">
        <v>12413</v>
      </c>
      <c r="G1889" t="s">
        <v>12414</v>
      </c>
      <c r="H1889" t="s">
        <v>42</v>
      </c>
      <c r="I1889" t="s">
        <v>12415</v>
      </c>
      <c r="J1889" t="s">
        <v>12416</v>
      </c>
      <c r="K1889">
        <v>24943</v>
      </c>
      <c r="L1889" t="s">
        <v>71</v>
      </c>
      <c r="M1889" t="s">
        <v>46</v>
      </c>
      <c r="N1889" t="s">
        <v>47</v>
      </c>
      <c r="O1889">
        <v>1</v>
      </c>
      <c r="P1889">
        <v>1</v>
      </c>
      <c r="Q1889">
        <v>1</v>
      </c>
      <c r="R1889" t="s">
        <v>48</v>
      </c>
      <c r="S1889" t="s">
        <v>49</v>
      </c>
      <c r="T1889" s="3">
        <v>0.84</v>
      </c>
      <c r="U1889" s="3">
        <v>0.23</v>
      </c>
      <c r="V1889" s="3">
        <v>0.94</v>
      </c>
      <c r="W1889">
        <v>0.15</v>
      </c>
      <c r="X1889" t="s">
        <v>108</v>
      </c>
      <c r="Y1889" s="3">
        <v>5.14</v>
      </c>
      <c r="Z1889" t="s">
        <v>9850</v>
      </c>
      <c r="AA1889" t="s">
        <v>12391</v>
      </c>
      <c r="AB1889" t="s">
        <v>53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f t="shared" si="58"/>
        <v>7.15</v>
      </c>
      <c r="AK1889" s="3">
        <f t="shared" si="59"/>
        <v>2.0100000000000007</v>
      </c>
    </row>
    <row r="1890" spans="1:37">
      <c r="A1890">
        <v>10383849</v>
      </c>
      <c r="B1890" t="s">
        <v>37</v>
      </c>
      <c r="C1890" t="s">
        <v>12417</v>
      </c>
      <c r="E1890" t="s">
        <v>643</v>
      </c>
      <c r="F1890" t="s">
        <v>12418</v>
      </c>
      <c r="G1890" t="s">
        <v>12419</v>
      </c>
      <c r="H1890" t="s">
        <v>42</v>
      </c>
      <c r="I1890" t="s">
        <v>12420</v>
      </c>
      <c r="J1890" t="s">
        <v>12421</v>
      </c>
      <c r="K1890">
        <v>33330</v>
      </c>
      <c r="L1890" t="s">
        <v>71</v>
      </c>
      <c r="M1890" t="s">
        <v>46</v>
      </c>
      <c r="N1890" t="s">
        <v>47</v>
      </c>
      <c r="O1890">
        <v>1</v>
      </c>
      <c r="P1890">
        <v>1</v>
      </c>
      <c r="Q1890">
        <v>1</v>
      </c>
      <c r="R1890" t="s">
        <v>48</v>
      </c>
      <c r="S1890" t="s">
        <v>49</v>
      </c>
      <c r="T1890" s="3">
        <v>0.84</v>
      </c>
      <c r="U1890" s="3">
        <v>0.23</v>
      </c>
      <c r="V1890" s="3">
        <v>0.94</v>
      </c>
      <c r="W1890">
        <v>0.15</v>
      </c>
      <c r="X1890" t="s">
        <v>108</v>
      </c>
      <c r="Y1890" s="3">
        <v>5.14</v>
      </c>
      <c r="Z1890" t="s">
        <v>9850</v>
      </c>
      <c r="AA1890" t="s">
        <v>6464</v>
      </c>
      <c r="AB1890" t="s">
        <v>53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f t="shared" si="58"/>
        <v>7.15</v>
      </c>
      <c r="AK1890" s="3">
        <f t="shared" si="59"/>
        <v>2.0100000000000007</v>
      </c>
    </row>
    <row r="1891" spans="1:37">
      <c r="A1891">
        <v>10383855</v>
      </c>
      <c r="B1891" t="s">
        <v>37</v>
      </c>
      <c r="C1891" t="s">
        <v>12422</v>
      </c>
      <c r="E1891" t="s">
        <v>12423</v>
      </c>
      <c r="F1891" t="s">
        <v>12424</v>
      </c>
      <c r="G1891" t="s">
        <v>12425</v>
      </c>
      <c r="H1891" t="s">
        <v>42</v>
      </c>
      <c r="I1891" t="s">
        <v>12426</v>
      </c>
      <c r="J1891" t="s">
        <v>12427</v>
      </c>
      <c r="K1891">
        <v>33611</v>
      </c>
      <c r="L1891" t="s">
        <v>71</v>
      </c>
      <c r="M1891" t="s">
        <v>46</v>
      </c>
      <c r="N1891" t="s">
        <v>47</v>
      </c>
      <c r="O1891">
        <v>1</v>
      </c>
      <c r="P1891">
        <v>1</v>
      </c>
      <c r="Q1891">
        <v>1</v>
      </c>
      <c r="R1891" t="s">
        <v>48</v>
      </c>
      <c r="S1891" t="s">
        <v>49</v>
      </c>
      <c r="T1891" s="3">
        <v>0.84</v>
      </c>
      <c r="U1891" s="3">
        <v>0.23</v>
      </c>
      <c r="V1891" s="3">
        <v>0.94</v>
      </c>
      <c r="W1891">
        <v>0.15</v>
      </c>
      <c r="X1891" t="s">
        <v>108</v>
      </c>
      <c r="Y1891" s="3">
        <v>5.14</v>
      </c>
      <c r="Z1891" t="s">
        <v>9850</v>
      </c>
      <c r="AA1891" t="s">
        <v>12391</v>
      </c>
      <c r="AB1891" t="s">
        <v>53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f t="shared" si="58"/>
        <v>7.15</v>
      </c>
      <c r="AK1891" s="3">
        <f t="shared" si="59"/>
        <v>2.0100000000000007</v>
      </c>
    </row>
    <row r="1892" spans="1:37">
      <c r="A1892">
        <v>10383809</v>
      </c>
      <c r="B1892" t="s">
        <v>37</v>
      </c>
      <c r="C1892" t="s">
        <v>12428</v>
      </c>
      <c r="E1892" t="s">
        <v>12429</v>
      </c>
      <c r="F1892" t="s">
        <v>12430</v>
      </c>
      <c r="G1892" t="s">
        <v>12431</v>
      </c>
      <c r="H1892" t="s">
        <v>42</v>
      </c>
      <c r="I1892" t="s">
        <v>12432</v>
      </c>
      <c r="J1892" t="s">
        <v>12433</v>
      </c>
      <c r="K1892">
        <v>12347</v>
      </c>
      <c r="L1892" t="s">
        <v>71</v>
      </c>
      <c r="M1892" t="s">
        <v>46</v>
      </c>
      <c r="N1892" t="s">
        <v>47</v>
      </c>
      <c r="O1892">
        <v>1</v>
      </c>
      <c r="P1892">
        <v>1</v>
      </c>
      <c r="Q1892">
        <v>1</v>
      </c>
      <c r="R1892" t="s">
        <v>48</v>
      </c>
      <c r="S1892" t="s">
        <v>49</v>
      </c>
      <c r="T1892" s="3">
        <v>0.84</v>
      </c>
      <c r="U1892" s="3">
        <v>0.23</v>
      </c>
      <c r="V1892" s="3">
        <v>0.94</v>
      </c>
      <c r="W1892">
        <v>0.15</v>
      </c>
      <c r="X1892" t="s">
        <v>108</v>
      </c>
      <c r="Y1892" s="3">
        <v>5.14</v>
      </c>
      <c r="Z1892" t="s">
        <v>9850</v>
      </c>
      <c r="AA1892" t="s">
        <v>12434</v>
      </c>
      <c r="AB1892" t="s">
        <v>53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f t="shared" si="58"/>
        <v>7.15</v>
      </c>
      <c r="AK1892" s="3">
        <f t="shared" si="59"/>
        <v>2.0100000000000007</v>
      </c>
    </row>
    <row r="1893" spans="1:37">
      <c r="A1893">
        <v>10383832</v>
      </c>
      <c r="B1893" t="s">
        <v>37</v>
      </c>
      <c r="C1893" t="s">
        <v>12435</v>
      </c>
      <c r="E1893" t="s">
        <v>12436</v>
      </c>
      <c r="F1893" t="s">
        <v>12437</v>
      </c>
      <c r="G1893" t="s">
        <v>12438</v>
      </c>
      <c r="H1893" t="s">
        <v>42</v>
      </c>
      <c r="I1893" t="s">
        <v>12439</v>
      </c>
      <c r="J1893" t="s">
        <v>12440</v>
      </c>
      <c r="K1893">
        <v>40476</v>
      </c>
      <c r="L1893" t="s">
        <v>71</v>
      </c>
      <c r="M1893" t="s">
        <v>46</v>
      </c>
      <c r="N1893" t="s">
        <v>47</v>
      </c>
      <c r="O1893">
        <v>2</v>
      </c>
      <c r="P1893">
        <v>1</v>
      </c>
      <c r="Q1893">
        <v>2</v>
      </c>
      <c r="R1893" t="s">
        <v>48</v>
      </c>
      <c r="S1893" t="s">
        <v>49</v>
      </c>
      <c r="T1893" s="3">
        <v>0.84</v>
      </c>
      <c r="U1893" s="3">
        <v>0.23</v>
      </c>
      <c r="V1893" s="3">
        <v>1.81</v>
      </c>
      <c r="W1893">
        <v>0.3</v>
      </c>
      <c r="X1893" t="s">
        <v>108</v>
      </c>
      <c r="Y1893" s="3">
        <v>5.14</v>
      </c>
      <c r="Z1893" t="s">
        <v>9850</v>
      </c>
      <c r="AA1893" t="s">
        <v>12441</v>
      </c>
      <c r="AB1893" t="s">
        <v>53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f t="shared" si="58"/>
        <v>8.02</v>
      </c>
      <c r="AK1893" s="3">
        <f t="shared" si="59"/>
        <v>2.88</v>
      </c>
    </row>
    <row r="1894" spans="1:37">
      <c r="A1894">
        <v>10383799</v>
      </c>
      <c r="B1894" t="s">
        <v>37</v>
      </c>
      <c r="C1894" t="s">
        <v>12442</v>
      </c>
      <c r="E1894" t="s">
        <v>1593</v>
      </c>
      <c r="F1894" t="s">
        <v>12443</v>
      </c>
      <c r="G1894" t="s">
        <v>12444</v>
      </c>
      <c r="H1894" t="s">
        <v>42</v>
      </c>
      <c r="I1894" t="s">
        <v>12445</v>
      </c>
      <c r="J1894" t="s">
        <v>12446</v>
      </c>
      <c r="K1894">
        <v>18147</v>
      </c>
      <c r="L1894" t="s">
        <v>71</v>
      </c>
      <c r="M1894" t="s">
        <v>46</v>
      </c>
      <c r="N1894" t="s">
        <v>47</v>
      </c>
      <c r="O1894">
        <v>2</v>
      </c>
      <c r="P1894">
        <v>1</v>
      </c>
      <c r="Q1894">
        <v>2</v>
      </c>
      <c r="R1894" t="s">
        <v>48</v>
      </c>
      <c r="S1894" t="s">
        <v>49</v>
      </c>
      <c r="T1894" s="3">
        <v>0.84</v>
      </c>
      <c r="U1894" s="3">
        <v>0.23</v>
      </c>
      <c r="V1894" s="3">
        <v>1.81</v>
      </c>
      <c r="W1894">
        <v>0.3</v>
      </c>
      <c r="X1894" t="s">
        <v>108</v>
      </c>
      <c r="Y1894" s="3">
        <v>5.14</v>
      </c>
      <c r="Z1894" t="s">
        <v>9850</v>
      </c>
      <c r="AA1894" t="s">
        <v>12391</v>
      </c>
      <c r="AB1894" t="s">
        <v>53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f t="shared" si="58"/>
        <v>8.02</v>
      </c>
      <c r="AK1894" s="3">
        <f t="shared" si="59"/>
        <v>2.88</v>
      </c>
    </row>
    <row r="1895" spans="1:37">
      <c r="A1895">
        <v>10383822</v>
      </c>
      <c r="B1895" t="s">
        <v>37</v>
      </c>
      <c r="C1895" t="s">
        <v>12447</v>
      </c>
      <c r="E1895" t="s">
        <v>2684</v>
      </c>
      <c r="F1895" t="s">
        <v>12448</v>
      </c>
      <c r="G1895" t="s">
        <v>12449</v>
      </c>
      <c r="H1895" t="s">
        <v>42</v>
      </c>
      <c r="I1895" t="s">
        <v>12450</v>
      </c>
      <c r="J1895" t="s">
        <v>12451</v>
      </c>
      <c r="K1895">
        <v>33378</v>
      </c>
      <c r="L1895" t="s">
        <v>71</v>
      </c>
      <c r="M1895" t="s">
        <v>46</v>
      </c>
      <c r="N1895" t="s">
        <v>47</v>
      </c>
      <c r="O1895">
        <v>2</v>
      </c>
      <c r="P1895">
        <v>1</v>
      </c>
      <c r="Q1895">
        <v>2</v>
      </c>
      <c r="R1895" t="s">
        <v>48</v>
      </c>
      <c r="S1895" t="s">
        <v>49</v>
      </c>
      <c r="T1895" s="3">
        <v>0.84</v>
      </c>
      <c r="U1895" s="3">
        <v>0.23</v>
      </c>
      <c r="V1895" s="3">
        <v>1.81</v>
      </c>
      <c r="W1895">
        <v>0.3</v>
      </c>
      <c r="X1895" t="s">
        <v>108</v>
      </c>
      <c r="Y1895" s="3">
        <v>5.14</v>
      </c>
      <c r="Z1895" t="s">
        <v>9850</v>
      </c>
      <c r="AA1895" t="s">
        <v>12452</v>
      </c>
      <c r="AB1895" t="s">
        <v>53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f t="shared" si="58"/>
        <v>8.02</v>
      </c>
      <c r="AK1895" s="3">
        <f t="shared" si="59"/>
        <v>2.88</v>
      </c>
    </row>
    <row r="1896" spans="1:37">
      <c r="A1896">
        <v>10383840</v>
      </c>
      <c r="B1896" t="s">
        <v>37</v>
      </c>
      <c r="C1896" t="s">
        <v>12453</v>
      </c>
      <c r="E1896" t="s">
        <v>5135</v>
      </c>
      <c r="F1896" t="s">
        <v>12454</v>
      </c>
      <c r="G1896" t="s">
        <v>12455</v>
      </c>
      <c r="H1896" t="s">
        <v>42</v>
      </c>
      <c r="I1896" t="s">
        <v>12456</v>
      </c>
      <c r="J1896" t="s">
        <v>12457</v>
      </c>
      <c r="K1896">
        <v>22149</v>
      </c>
      <c r="L1896" t="s">
        <v>71</v>
      </c>
      <c r="M1896" t="s">
        <v>46</v>
      </c>
      <c r="N1896" t="s">
        <v>47</v>
      </c>
      <c r="O1896">
        <v>2</v>
      </c>
      <c r="P1896">
        <v>1</v>
      </c>
      <c r="Q1896">
        <v>2</v>
      </c>
      <c r="R1896" t="s">
        <v>48</v>
      </c>
      <c r="S1896" t="s">
        <v>49</v>
      </c>
      <c r="T1896" s="3">
        <v>0.84</v>
      </c>
      <c r="U1896" s="3">
        <v>0.23</v>
      </c>
      <c r="V1896" s="3">
        <v>1.81</v>
      </c>
      <c r="W1896">
        <v>0.3</v>
      </c>
      <c r="X1896" t="s">
        <v>108</v>
      </c>
      <c r="Y1896" s="3">
        <v>5.14</v>
      </c>
      <c r="Z1896" t="s">
        <v>9850</v>
      </c>
      <c r="AA1896" t="s">
        <v>12441</v>
      </c>
      <c r="AB1896" t="s">
        <v>53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f t="shared" si="58"/>
        <v>8.02</v>
      </c>
      <c r="AK1896" s="3">
        <f t="shared" si="59"/>
        <v>2.88</v>
      </c>
    </row>
    <row r="1897" spans="1:37">
      <c r="A1897">
        <v>10383829</v>
      </c>
      <c r="B1897" t="s">
        <v>37</v>
      </c>
      <c r="C1897" t="s">
        <v>12458</v>
      </c>
      <c r="E1897" t="s">
        <v>215</v>
      </c>
      <c r="F1897" t="s">
        <v>12459</v>
      </c>
      <c r="G1897" t="s">
        <v>12460</v>
      </c>
      <c r="H1897" t="s">
        <v>42</v>
      </c>
      <c r="I1897" t="s">
        <v>12461</v>
      </c>
      <c r="J1897" t="s">
        <v>12462</v>
      </c>
      <c r="K1897">
        <v>48432</v>
      </c>
      <c r="L1897" t="s">
        <v>71</v>
      </c>
      <c r="M1897" t="s">
        <v>46</v>
      </c>
      <c r="N1897" t="s">
        <v>47</v>
      </c>
      <c r="O1897">
        <v>2</v>
      </c>
      <c r="P1897">
        <v>1</v>
      </c>
      <c r="Q1897">
        <v>2</v>
      </c>
      <c r="R1897" t="s">
        <v>48</v>
      </c>
      <c r="S1897" t="s">
        <v>49</v>
      </c>
      <c r="T1897" s="3">
        <v>0.84</v>
      </c>
      <c r="U1897" s="3">
        <v>0.23</v>
      </c>
      <c r="V1897" s="3">
        <v>1.81</v>
      </c>
      <c r="W1897">
        <v>0.3</v>
      </c>
      <c r="X1897" t="s">
        <v>108</v>
      </c>
      <c r="Y1897" s="3">
        <v>5.14</v>
      </c>
      <c r="Z1897" t="s">
        <v>9850</v>
      </c>
      <c r="AA1897" t="s">
        <v>12391</v>
      </c>
      <c r="AB1897" t="s">
        <v>53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f t="shared" si="58"/>
        <v>8.02</v>
      </c>
      <c r="AK1897" s="3">
        <f t="shared" si="59"/>
        <v>2.88</v>
      </c>
    </row>
    <row r="1898" spans="1:37">
      <c r="A1898">
        <v>10384217</v>
      </c>
      <c r="B1898" t="s">
        <v>37</v>
      </c>
      <c r="C1898" t="s">
        <v>12463</v>
      </c>
      <c r="E1898" t="s">
        <v>351</v>
      </c>
      <c r="F1898" t="s">
        <v>12464</v>
      </c>
      <c r="G1898" t="s">
        <v>12465</v>
      </c>
      <c r="H1898" t="s">
        <v>42</v>
      </c>
      <c r="I1898" t="s">
        <v>12466</v>
      </c>
      <c r="J1898" t="s">
        <v>12467</v>
      </c>
      <c r="K1898">
        <v>80634</v>
      </c>
      <c r="L1898" t="s">
        <v>71</v>
      </c>
      <c r="M1898" t="s">
        <v>46</v>
      </c>
      <c r="N1898" t="s">
        <v>47</v>
      </c>
      <c r="O1898">
        <v>2</v>
      </c>
      <c r="P1898">
        <v>1</v>
      </c>
      <c r="Q1898">
        <v>2</v>
      </c>
      <c r="R1898" t="s">
        <v>48</v>
      </c>
      <c r="S1898" t="s">
        <v>49</v>
      </c>
      <c r="T1898" s="3">
        <v>0.84</v>
      </c>
      <c r="U1898" s="3">
        <v>0.23</v>
      </c>
      <c r="V1898" s="3">
        <v>1.81</v>
      </c>
      <c r="W1898">
        <v>0.3</v>
      </c>
      <c r="X1898" t="s">
        <v>108</v>
      </c>
      <c r="Y1898" s="3">
        <v>5.14</v>
      </c>
      <c r="Z1898" t="s">
        <v>9850</v>
      </c>
      <c r="AA1898" t="s">
        <v>12434</v>
      </c>
      <c r="AB1898" t="s">
        <v>53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f t="shared" si="58"/>
        <v>8.02</v>
      </c>
      <c r="AK1898" s="3">
        <f t="shared" si="59"/>
        <v>2.88</v>
      </c>
    </row>
    <row r="1899" spans="1:37">
      <c r="A1899">
        <v>10383846</v>
      </c>
      <c r="B1899" t="s">
        <v>37</v>
      </c>
      <c r="C1899" t="s">
        <v>12468</v>
      </c>
      <c r="E1899" t="s">
        <v>12469</v>
      </c>
      <c r="F1899" t="s">
        <v>12470</v>
      </c>
      <c r="G1899" t="s">
        <v>12471</v>
      </c>
      <c r="H1899" t="s">
        <v>42</v>
      </c>
      <c r="I1899" t="s">
        <v>12472</v>
      </c>
      <c r="J1899" t="s">
        <v>12473</v>
      </c>
      <c r="K1899">
        <v>48157</v>
      </c>
      <c r="L1899" t="s">
        <v>71</v>
      </c>
      <c r="M1899" t="s">
        <v>46</v>
      </c>
      <c r="N1899" t="s">
        <v>47</v>
      </c>
      <c r="O1899">
        <v>2</v>
      </c>
      <c r="P1899">
        <v>1</v>
      </c>
      <c r="Q1899">
        <v>2</v>
      </c>
      <c r="R1899" t="s">
        <v>48</v>
      </c>
      <c r="S1899" t="s">
        <v>49</v>
      </c>
      <c r="T1899" s="3">
        <v>0.84</v>
      </c>
      <c r="U1899" s="3">
        <v>0.23</v>
      </c>
      <c r="V1899" s="3">
        <v>1.81</v>
      </c>
      <c r="W1899">
        <v>0.3</v>
      </c>
      <c r="X1899" t="s">
        <v>108</v>
      </c>
      <c r="Y1899" s="3">
        <v>5.14</v>
      </c>
      <c r="Z1899" t="s">
        <v>9850</v>
      </c>
      <c r="AA1899" t="s">
        <v>12441</v>
      </c>
      <c r="AB1899" t="s">
        <v>53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f t="shared" si="58"/>
        <v>8.02</v>
      </c>
      <c r="AK1899" s="3">
        <f t="shared" si="59"/>
        <v>2.88</v>
      </c>
    </row>
    <row r="1900" spans="1:37">
      <c r="A1900">
        <v>10383842</v>
      </c>
      <c r="B1900" t="s">
        <v>37</v>
      </c>
      <c r="C1900" t="s">
        <v>12474</v>
      </c>
      <c r="E1900" t="s">
        <v>1330</v>
      </c>
      <c r="F1900" t="s">
        <v>12475</v>
      </c>
      <c r="G1900" t="s">
        <v>12476</v>
      </c>
      <c r="H1900" t="s">
        <v>42</v>
      </c>
      <c r="I1900" t="s">
        <v>12477</v>
      </c>
      <c r="J1900" t="s">
        <v>12478</v>
      </c>
      <c r="K1900">
        <v>33739</v>
      </c>
      <c r="L1900" t="s">
        <v>71</v>
      </c>
      <c r="M1900" t="s">
        <v>46</v>
      </c>
      <c r="N1900" t="s">
        <v>47</v>
      </c>
      <c r="O1900">
        <v>2</v>
      </c>
      <c r="P1900">
        <v>1</v>
      </c>
      <c r="Q1900">
        <v>2</v>
      </c>
      <c r="R1900" t="s">
        <v>48</v>
      </c>
      <c r="S1900" t="s">
        <v>49</v>
      </c>
      <c r="T1900" s="3">
        <v>0.84</v>
      </c>
      <c r="U1900" s="3">
        <v>0.23</v>
      </c>
      <c r="V1900" s="3">
        <v>1.81</v>
      </c>
      <c r="W1900">
        <v>0.3</v>
      </c>
      <c r="X1900" t="s">
        <v>108</v>
      </c>
      <c r="Y1900" s="3">
        <v>5.14</v>
      </c>
      <c r="Z1900" t="s">
        <v>9850</v>
      </c>
      <c r="AA1900" t="s">
        <v>12479</v>
      </c>
      <c r="AB1900" t="s">
        <v>53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f t="shared" si="58"/>
        <v>8.02</v>
      </c>
      <c r="AK1900" s="3">
        <f t="shared" si="59"/>
        <v>2.88</v>
      </c>
    </row>
    <row r="1901" spans="1:37">
      <c r="A1901">
        <v>10383848</v>
      </c>
      <c r="B1901" t="s">
        <v>37</v>
      </c>
      <c r="C1901" t="s">
        <v>12480</v>
      </c>
      <c r="E1901" t="s">
        <v>11954</v>
      </c>
      <c r="F1901" t="s">
        <v>12481</v>
      </c>
      <c r="G1901" t="s">
        <v>12482</v>
      </c>
      <c r="H1901" t="s">
        <v>42</v>
      </c>
      <c r="I1901" t="s">
        <v>12483</v>
      </c>
      <c r="J1901" t="s">
        <v>12484</v>
      </c>
      <c r="K1901">
        <v>47802</v>
      </c>
      <c r="L1901" t="s">
        <v>71</v>
      </c>
      <c r="M1901" t="s">
        <v>46</v>
      </c>
      <c r="N1901" t="s">
        <v>47</v>
      </c>
      <c r="O1901">
        <v>2</v>
      </c>
      <c r="P1901">
        <v>1</v>
      </c>
      <c r="Q1901">
        <v>2</v>
      </c>
      <c r="R1901" t="s">
        <v>48</v>
      </c>
      <c r="S1901" t="s">
        <v>49</v>
      </c>
      <c r="T1901" s="3">
        <v>0.84</v>
      </c>
      <c r="U1901" s="3">
        <v>0.23</v>
      </c>
      <c r="V1901" s="3">
        <v>1.81</v>
      </c>
      <c r="W1901">
        <v>0.3</v>
      </c>
      <c r="X1901" t="s">
        <v>108</v>
      </c>
      <c r="Y1901" s="3">
        <v>5.14</v>
      </c>
      <c r="Z1901" t="s">
        <v>9850</v>
      </c>
      <c r="AA1901" t="s">
        <v>12485</v>
      </c>
      <c r="AB1901" t="s">
        <v>53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f t="shared" si="58"/>
        <v>8.02</v>
      </c>
      <c r="AK1901" s="3">
        <f t="shared" si="59"/>
        <v>2.88</v>
      </c>
    </row>
    <row r="1902" spans="1:37">
      <c r="A1902">
        <v>10384222</v>
      </c>
      <c r="B1902" t="s">
        <v>37</v>
      </c>
      <c r="C1902" t="s">
        <v>12486</v>
      </c>
      <c r="E1902" t="s">
        <v>12487</v>
      </c>
      <c r="F1902" t="s">
        <v>12488</v>
      </c>
      <c r="G1902" t="s">
        <v>12489</v>
      </c>
      <c r="H1902" t="s">
        <v>42</v>
      </c>
      <c r="I1902" t="s">
        <v>12490</v>
      </c>
      <c r="J1902" t="s">
        <v>12491</v>
      </c>
      <c r="K1902" t="s">
        <v>12492</v>
      </c>
      <c r="L1902" t="s">
        <v>130</v>
      </c>
      <c r="M1902" t="s">
        <v>46</v>
      </c>
      <c r="N1902" t="s">
        <v>47</v>
      </c>
      <c r="O1902">
        <v>2</v>
      </c>
      <c r="P1902">
        <v>1</v>
      </c>
      <c r="Q1902">
        <v>2</v>
      </c>
      <c r="R1902" t="s">
        <v>48</v>
      </c>
      <c r="S1902" t="s">
        <v>49</v>
      </c>
      <c r="T1902" s="3">
        <v>0.84</v>
      </c>
      <c r="U1902" s="3">
        <v>0.23</v>
      </c>
      <c r="V1902" s="3">
        <v>1.81</v>
      </c>
      <c r="W1902">
        <v>1.04</v>
      </c>
      <c r="X1902" t="s">
        <v>50</v>
      </c>
      <c r="Y1902" s="3">
        <v>14.26</v>
      </c>
      <c r="Z1902" t="s">
        <v>9686</v>
      </c>
      <c r="AA1902" t="s">
        <v>12493</v>
      </c>
      <c r="AB1902" t="s">
        <v>53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f t="shared" si="58"/>
        <v>17.14</v>
      </c>
      <c r="AK1902" s="3">
        <f t="shared" si="59"/>
        <v>2.8800000000000008</v>
      </c>
    </row>
    <row r="1903" spans="1:37">
      <c r="A1903">
        <v>10383844</v>
      </c>
      <c r="B1903" t="s">
        <v>37</v>
      </c>
      <c r="C1903" t="s">
        <v>12494</v>
      </c>
      <c r="E1903" t="s">
        <v>39</v>
      </c>
      <c r="F1903" t="s">
        <v>12495</v>
      </c>
      <c r="G1903" t="s">
        <v>12496</v>
      </c>
      <c r="H1903" t="s">
        <v>42</v>
      </c>
      <c r="I1903" t="s">
        <v>12497</v>
      </c>
      <c r="J1903" t="s">
        <v>12498</v>
      </c>
      <c r="K1903">
        <v>58089</v>
      </c>
      <c r="L1903" t="s">
        <v>71</v>
      </c>
      <c r="M1903" t="s">
        <v>46</v>
      </c>
      <c r="N1903" t="s">
        <v>47</v>
      </c>
      <c r="O1903">
        <v>2</v>
      </c>
      <c r="P1903">
        <v>1</v>
      </c>
      <c r="Q1903">
        <v>2</v>
      </c>
      <c r="R1903" t="s">
        <v>48</v>
      </c>
      <c r="S1903" t="s">
        <v>49</v>
      </c>
      <c r="T1903" s="3">
        <v>0.84</v>
      </c>
      <c r="U1903" s="3">
        <v>0.23</v>
      </c>
      <c r="V1903" s="3">
        <v>1.81</v>
      </c>
      <c r="W1903">
        <v>0.3</v>
      </c>
      <c r="X1903" t="s">
        <v>108</v>
      </c>
      <c r="Y1903" s="3">
        <v>5.14</v>
      </c>
      <c r="Z1903" t="s">
        <v>9850</v>
      </c>
      <c r="AA1903" t="s">
        <v>12391</v>
      </c>
      <c r="AB1903" t="s">
        <v>53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f t="shared" si="58"/>
        <v>8.02</v>
      </c>
      <c r="AK1903" s="3">
        <f t="shared" si="59"/>
        <v>2.88</v>
      </c>
    </row>
    <row r="1904" spans="1:37">
      <c r="A1904">
        <v>10383854</v>
      </c>
      <c r="B1904" t="s">
        <v>37</v>
      </c>
      <c r="C1904" t="s">
        <v>12499</v>
      </c>
      <c r="E1904" t="s">
        <v>9023</v>
      </c>
      <c r="F1904" t="s">
        <v>12500</v>
      </c>
      <c r="G1904" t="s">
        <v>12501</v>
      </c>
      <c r="H1904" t="s">
        <v>42</v>
      </c>
      <c r="I1904" t="s">
        <v>12502</v>
      </c>
      <c r="J1904" t="s">
        <v>12503</v>
      </c>
      <c r="K1904">
        <v>67677</v>
      </c>
      <c r="L1904" t="s">
        <v>71</v>
      </c>
      <c r="M1904" t="s">
        <v>46</v>
      </c>
      <c r="N1904" t="s">
        <v>47</v>
      </c>
      <c r="O1904">
        <v>2</v>
      </c>
      <c r="P1904">
        <v>1</v>
      </c>
      <c r="Q1904">
        <v>2</v>
      </c>
      <c r="R1904" t="s">
        <v>48</v>
      </c>
      <c r="S1904" t="s">
        <v>49</v>
      </c>
      <c r="T1904" s="3">
        <v>0.84</v>
      </c>
      <c r="U1904" s="3">
        <v>0.23</v>
      </c>
      <c r="V1904" s="3">
        <v>1.81</v>
      </c>
      <c r="W1904">
        <v>0.3</v>
      </c>
      <c r="X1904" t="s">
        <v>108</v>
      </c>
      <c r="Y1904" s="3">
        <v>5.14</v>
      </c>
      <c r="Z1904" t="s">
        <v>9850</v>
      </c>
      <c r="AA1904" t="s">
        <v>12391</v>
      </c>
      <c r="AB1904" t="s">
        <v>53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f t="shared" si="58"/>
        <v>8.02</v>
      </c>
      <c r="AK1904" s="3">
        <f t="shared" si="59"/>
        <v>2.88</v>
      </c>
    </row>
    <row r="1905" spans="1:37">
      <c r="A1905">
        <v>10384214</v>
      </c>
      <c r="B1905" t="s">
        <v>37</v>
      </c>
      <c r="C1905" t="s">
        <v>12504</v>
      </c>
      <c r="E1905" t="s">
        <v>809</v>
      </c>
      <c r="F1905" t="s">
        <v>12505</v>
      </c>
      <c r="G1905" t="s">
        <v>12506</v>
      </c>
      <c r="H1905" t="s">
        <v>42</v>
      </c>
      <c r="I1905" t="s">
        <v>12507</v>
      </c>
      <c r="J1905" t="s">
        <v>12508</v>
      </c>
      <c r="K1905">
        <v>85235</v>
      </c>
      <c r="L1905" t="s">
        <v>71</v>
      </c>
      <c r="M1905" t="s">
        <v>46</v>
      </c>
      <c r="N1905" t="s">
        <v>47</v>
      </c>
      <c r="O1905">
        <v>2</v>
      </c>
      <c r="P1905">
        <v>1</v>
      </c>
      <c r="Q1905">
        <v>2</v>
      </c>
      <c r="R1905" t="s">
        <v>48</v>
      </c>
      <c r="S1905" t="s">
        <v>49</v>
      </c>
      <c r="T1905" s="3">
        <v>0.84</v>
      </c>
      <c r="U1905" s="3">
        <v>0.23</v>
      </c>
      <c r="V1905" s="3">
        <v>1.81</v>
      </c>
      <c r="W1905">
        <v>0.3</v>
      </c>
      <c r="X1905" t="s">
        <v>108</v>
      </c>
      <c r="Y1905" s="3">
        <v>5.14</v>
      </c>
      <c r="Z1905" t="s">
        <v>9850</v>
      </c>
      <c r="AA1905" t="s">
        <v>12452</v>
      </c>
      <c r="AB1905" t="s">
        <v>53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f t="shared" si="58"/>
        <v>8.02</v>
      </c>
      <c r="AK1905" s="3">
        <f t="shared" si="59"/>
        <v>2.88</v>
      </c>
    </row>
    <row r="1906" spans="1:37">
      <c r="A1906">
        <v>10384226</v>
      </c>
      <c r="B1906" t="s">
        <v>37</v>
      </c>
      <c r="C1906" t="s">
        <v>12509</v>
      </c>
      <c r="E1906" t="s">
        <v>5840</v>
      </c>
      <c r="F1906" t="s">
        <v>4890</v>
      </c>
      <c r="G1906" t="s">
        <v>12510</v>
      </c>
      <c r="H1906" t="s">
        <v>42</v>
      </c>
      <c r="I1906" t="s">
        <v>12511</v>
      </c>
      <c r="J1906" t="s">
        <v>12512</v>
      </c>
      <c r="K1906" t="s">
        <v>12513</v>
      </c>
      <c r="L1906" t="s">
        <v>142</v>
      </c>
      <c r="M1906" t="s">
        <v>46</v>
      </c>
      <c r="N1906" t="s">
        <v>47</v>
      </c>
      <c r="O1906">
        <v>1</v>
      </c>
      <c r="P1906">
        <v>1</v>
      </c>
      <c r="Q1906">
        <v>1</v>
      </c>
      <c r="R1906" t="s">
        <v>48</v>
      </c>
      <c r="S1906" t="s">
        <v>49</v>
      </c>
      <c r="T1906" s="3">
        <v>0.84</v>
      </c>
      <c r="U1906" s="3">
        <v>0.23</v>
      </c>
      <c r="V1906" s="3">
        <v>0.94</v>
      </c>
      <c r="W1906">
        <v>2.4</v>
      </c>
      <c r="X1906" t="s">
        <v>50</v>
      </c>
      <c r="Y1906" s="3">
        <v>16.43</v>
      </c>
      <c r="Z1906" t="s">
        <v>9770</v>
      </c>
      <c r="AA1906" t="s">
        <v>1272</v>
      </c>
      <c r="AB1906" t="s">
        <v>53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f t="shared" si="58"/>
        <v>18.440000000000001</v>
      </c>
      <c r="AK1906" s="3">
        <f t="shared" si="59"/>
        <v>2.0100000000000016</v>
      </c>
    </row>
    <row r="1907" spans="1:37">
      <c r="A1907">
        <v>10384215</v>
      </c>
      <c r="B1907" t="s">
        <v>37</v>
      </c>
      <c r="C1907" t="s">
        <v>12514</v>
      </c>
      <c r="E1907" t="s">
        <v>12515</v>
      </c>
      <c r="F1907" t="s">
        <v>12516</v>
      </c>
      <c r="G1907" t="s">
        <v>12517</v>
      </c>
      <c r="H1907" t="s">
        <v>42</v>
      </c>
      <c r="I1907" t="s">
        <v>12518</v>
      </c>
      <c r="J1907" t="s">
        <v>12519</v>
      </c>
      <c r="K1907">
        <v>33415</v>
      </c>
      <c r="L1907" t="s">
        <v>71</v>
      </c>
      <c r="M1907" t="s">
        <v>46</v>
      </c>
      <c r="N1907" t="s">
        <v>47</v>
      </c>
      <c r="O1907">
        <v>1</v>
      </c>
      <c r="P1907">
        <v>1</v>
      </c>
      <c r="Q1907">
        <v>1</v>
      </c>
      <c r="R1907" t="s">
        <v>48</v>
      </c>
      <c r="S1907" t="s">
        <v>49</v>
      </c>
      <c r="T1907" s="3">
        <v>0.84</v>
      </c>
      <c r="U1907" s="3">
        <v>0.23</v>
      </c>
      <c r="V1907" s="3">
        <v>0.94</v>
      </c>
      <c r="W1907">
        <v>0.15</v>
      </c>
      <c r="X1907" t="s">
        <v>108</v>
      </c>
      <c r="Y1907" s="3">
        <v>5.14</v>
      </c>
      <c r="Z1907" t="s">
        <v>9850</v>
      </c>
      <c r="AA1907" t="s">
        <v>12391</v>
      </c>
      <c r="AB1907" t="s">
        <v>53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f t="shared" si="58"/>
        <v>7.15</v>
      </c>
      <c r="AK1907" s="3">
        <f t="shared" si="59"/>
        <v>2.0100000000000007</v>
      </c>
    </row>
    <row r="1908" spans="1:37">
      <c r="A1908">
        <v>10384221</v>
      </c>
      <c r="B1908" t="s">
        <v>37</v>
      </c>
      <c r="C1908" t="s">
        <v>12520</v>
      </c>
      <c r="E1908" t="s">
        <v>12521</v>
      </c>
      <c r="F1908" t="s">
        <v>12522</v>
      </c>
      <c r="G1908" t="s">
        <v>12523</v>
      </c>
      <c r="H1908" t="s">
        <v>42</v>
      </c>
      <c r="I1908" t="s">
        <v>12524</v>
      </c>
      <c r="J1908" t="s">
        <v>12525</v>
      </c>
      <c r="K1908">
        <v>31275</v>
      </c>
      <c r="L1908" t="s">
        <v>71</v>
      </c>
      <c r="M1908" t="s">
        <v>46</v>
      </c>
      <c r="N1908" t="s">
        <v>47</v>
      </c>
      <c r="O1908">
        <v>1</v>
      </c>
      <c r="P1908">
        <v>1</v>
      </c>
      <c r="Q1908">
        <v>1</v>
      </c>
      <c r="R1908" t="s">
        <v>48</v>
      </c>
      <c r="S1908" t="s">
        <v>49</v>
      </c>
      <c r="T1908" s="3">
        <v>0.84</v>
      </c>
      <c r="U1908" s="3">
        <v>0.23</v>
      </c>
      <c r="V1908" s="3">
        <v>0.94</v>
      </c>
      <c r="W1908">
        <v>0.15</v>
      </c>
      <c r="X1908" t="s">
        <v>108</v>
      </c>
      <c r="Y1908" s="3">
        <v>5.14</v>
      </c>
      <c r="Z1908" t="s">
        <v>9850</v>
      </c>
      <c r="AA1908" t="s">
        <v>12434</v>
      </c>
      <c r="AB1908" t="s">
        <v>53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f t="shared" si="58"/>
        <v>7.15</v>
      </c>
      <c r="AK1908" s="3">
        <f t="shared" si="59"/>
        <v>2.0100000000000007</v>
      </c>
    </row>
    <row r="1909" spans="1:37">
      <c r="A1909">
        <v>10384216</v>
      </c>
      <c r="B1909" t="s">
        <v>37</v>
      </c>
      <c r="C1909" t="s">
        <v>12526</v>
      </c>
      <c r="E1909" t="s">
        <v>593</v>
      </c>
      <c r="F1909" t="s">
        <v>12527</v>
      </c>
      <c r="G1909" t="s">
        <v>12528</v>
      </c>
      <c r="H1909" t="s">
        <v>42</v>
      </c>
      <c r="I1909" t="s">
        <v>12529</v>
      </c>
      <c r="J1909" t="s">
        <v>12530</v>
      </c>
      <c r="K1909">
        <v>10825</v>
      </c>
      <c r="L1909" t="s">
        <v>71</v>
      </c>
      <c r="M1909" t="s">
        <v>46</v>
      </c>
      <c r="N1909" t="s">
        <v>47</v>
      </c>
      <c r="O1909">
        <v>1</v>
      </c>
      <c r="P1909">
        <v>1</v>
      </c>
      <c r="Q1909">
        <v>1</v>
      </c>
      <c r="R1909" t="s">
        <v>48</v>
      </c>
      <c r="S1909" t="s">
        <v>49</v>
      </c>
      <c r="T1909" s="3">
        <v>0.84</v>
      </c>
      <c r="U1909" s="3">
        <v>0.23</v>
      </c>
      <c r="V1909" s="3">
        <v>0.94</v>
      </c>
      <c r="W1909">
        <v>0.15</v>
      </c>
      <c r="X1909" t="s">
        <v>108</v>
      </c>
      <c r="Y1909" s="3">
        <v>5.14</v>
      </c>
      <c r="Z1909" t="s">
        <v>9850</v>
      </c>
      <c r="AA1909" t="s">
        <v>12391</v>
      </c>
      <c r="AB1909" t="s">
        <v>53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f t="shared" si="58"/>
        <v>7.15</v>
      </c>
      <c r="AK1909" s="3">
        <f t="shared" si="59"/>
        <v>2.0100000000000007</v>
      </c>
    </row>
    <row r="1910" spans="1:37">
      <c r="A1910">
        <v>10384229</v>
      </c>
      <c r="B1910" t="s">
        <v>37</v>
      </c>
      <c r="C1910" t="s">
        <v>12531</v>
      </c>
      <c r="E1910" t="s">
        <v>1135</v>
      </c>
      <c r="F1910" t="s">
        <v>4301</v>
      </c>
      <c r="G1910" t="s">
        <v>12532</v>
      </c>
      <c r="H1910" t="s">
        <v>42</v>
      </c>
      <c r="I1910" t="s">
        <v>12533</v>
      </c>
      <c r="J1910" t="s">
        <v>12534</v>
      </c>
      <c r="K1910">
        <v>49205</v>
      </c>
      <c r="L1910" t="s">
        <v>71</v>
      </c>
      <c r="M1910" t="s">
        <v>46</v>
      </c>
      <c r="N1910" t="s">
        <v>47</v>
      </c>
      <c r="O1910">
        <v>1</v>
      </c>
      <c r="P1910">
        <v>1</v>
      </c>
      <c r="Q1910">
        <v>1</v>
      </c>
      <c r="R1910" t="s">
        <v>48</v>
      </c>
      <c r="S1910" t="s">
        <v>49</v>
      </c>
      <c r="T1910" s="3">
        <v>0.84</v>
      </c>
      <c r="U1910" s="3">
        <v>0.23</v>
      </c>
      <c r="V1910" s="3">
        <v>0.94</v>
      </c>
      <c r="W1910">
        <v>0.15</v>
      </c>
      <c r="X1910" t="s">
        <v>108</v>
      </c>
      <c r="Y1910" s="3">
        <v>5.14</v>
      </c>
      <c r="Z1910" t="s">
        <v>9850</v>
      </c>
      <c r="AA1910" t="s">
        <v>12391</v>
      </c>
      <c r="AB1910" t="s">
        <v>53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f t="shared" si="58"/>
        <v>7.15</v>
      </c>
      <c r="AK1910" s="3">
        <f t="shared" si="59"/>
        <v>2.0100000000000007</v>
      </c>
    </row>
    <row r="1911" spans="1:37">
      <c r="A1911">
        <v>10384231</v>
      </c>
      <c r="B1911" t="s">
        <v>37</v>
      </c>
      <c r="C1911" t="s">
        <v>12535</v>
      </c>
      <c r="E1911" t="s">
        <v>12536</v>
      </c>
      <c r="F1911" t="s">
        <v>12537</v>
      </c>
      <c r="G1911" t="s">
        <v>12538</v>
      </c>
      <c r="H1911" t="s">
        <v>42</v>
      </c>
      <c r="I1911" t="s">
        <v>12539</v>
      </c>
      <c r="J1911" t="s">
        <v>12540</v>
      </c>
      <c r="K1911">
        <v>33102</v>
      </c>
      <c r="L1911" t="s">
        <v>71</v>
      </c>
      <c r="M1911" t="s">
        <v>46</v>
      </c>
      <c r="N1911" t="s">
        <v>47</v>
      </c>
      <c r="O1911">
        <v>1</v>
      </c>
      <c r="P1911">
        <v>1</v>
      </c>
      <c r="Q1911">
        <v>1</v>
      </c>
      <c r="R1911" t="s">
        <v>48</v>
      </c>
      <c r="S1911" t="s">
        <v>49</v>
      </c>
      <c r="T1911" s="3">
        <v>0.84</v>
      </c>
      <c r="U1911" s="3">
        <v>0.23</v>
      </c>
      <c r="V1911" s="3">
        <v>0.94</v>
      </c>
      <c r="W1911">
        <v>0.15</v>
      </c>
      <c r="X1911" t="s">
        <v>108</v>
      </c>
      <c r="Y1911" s="3">
        <v>5.14</v>
      </c>
      <c r="Z1911" t="s">
        <v>9850</v>
      </c>
      <c r="AA1911" t="s">
        <v>12391</v>
      </c>
      <c r="AB1911" t="s">
        <v>53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f t="shared" si="58"/>
        <v>7.15</v>
      </c>
      <c r="AK1911" s="3">
        <f t="shared" si="59"/>
        <v>2.0100000000000007</v>
      </c>
    </row>
    <row r="1912" spans="1:37">
      <c r="A1912">
        <v>10383771</v>
      </c>
      <c r="B1912" t="s">
        <v>37</v>
      </c>
      <c r="C1912" t="s">
        <v>12541</v>
      </c>
      <c r="E1912" t="s">
        <v>12542</v>
      </c>
      <c r="F1912" t="s">
        <v>12543</v>
      </c>
      <c r="G1912" t="s">
        <v>12544</v>
      </c>
      <c r="H1912" t="s">
        <v>42</v>
      </c>
      <c r="I1912" t="s">
        <v>12545</v>
      </c>
      <c r="J1912" t="s">
        <v>12546</v>
      </c>
      <c r="K1912">
        <v>94270</v>
      </c>
      <c r="L1912" t="s">
        <v>130</v>
      </c>
      <c r="M1912" t="s">
        <v>46</v>
      </c>
      <c r="N1912" t="s">
        <v>47</v>
      </c>
      <c r="O1912">
        <v>6</v>
      </c>
      <c r="P1912">
        <v>1</v>
      </c>
      <c r="Q1912">
        <v>6</v>
      </c>
      <c r="R1912" t="s">
        <v>48</v>
      </c>
      <c r="S1912" t="s">
        <v>49</v>
      </c>
      <c r="T1912" s="3">
        <v>0.84</v>
      </c>
      <c r="U1912" s="3">
        <v>0.23</v>
      </c>
      <c r="V1912" s="3">
        <v>5.29</v>
      </c>
      <c r="W1912">
        <v>2.8</v>
      </c>
      <c r="X1912" t="s">
        <v>50</v>
      </c>
      <c r="Y1912" s="3">
        <v>14.26</v>
      </c>
      <c r="Z1912" t="s">
        <v>83</v>
      </c>
      <c r="AA1912" t="s">
        <v>12547</v>
      </c>
      <c r="AB1912" t="s">
        <v>53</v>
      </c>
      <c r="AC1912" s="3">
        <v>1.27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f t="shared" si="58"/>
        <v>21.89</v>
      </c>
      <c r="AK1912" s="3">
        <f t="shared" si="59"/>
        <v>7.6300000000000008</v>
      </c>
    </row>
    <row r="1913" spans="1:37">
      <c r="A1913">
        <v>10383320</v>
      </c>
      <c r="B1913" t="s">
        <v>37</v>
      </c>
      <c r="C1913" t="s">
        <v>12548</v>
      </c>
      <c r="E1913" t="s">
        <v>12549</v>
      </c>
      <c r="F1913" t="s">
        <v>12550</v>
      </c>
      <c r="G1913" t="s">
        <v>12551</v>
      </c>
      <c r="H1913" t="s">
        <v>42</v>
      </c>
      <c r="I1913" t="s">
        <v>12552</v>
      </c>
      <c r="J1913" t="s">
        <v>12553</v>
      </c>
      <c r="K1913">
        <v>69151</v>
      </c>
      <c r="L1913" t="s">
        <v>71</v>
      </c>
      <c r="M1913" t="s">
        <v>46</v>
      </c>
      <c r="N1913" t="s">
        <v>47</v>
      </c>
      <c r="O1913">
        <v>4</v>
      </c>
      <c r="P1913">
        <v>1</v>
      </c>
      <c r="Q1913">
        <v>4</v>
      </c>
      <c r="R1913" t="s">
        <v>48</v>
      </c>
      <c r="S1913" t="s">
        <v>49</v>
      </c>
      <c r="T1913" s="3">
        <v>0.84</v>
      </c>
      <c r="U1913" s="3">
        <v>0.23</v>
      </c>
      <c r="V1913" s="3">
        <v>3.55</v>
      </c>
      <c r="W1913">
        <v>2.0299999999999998</v>
      </c>
      <c r="X1913" t="s">
        <v>72</v>
      </c>
      <c r="Y1913" s="3">
        <v>5.44</v>
      </c>
      <c r="Z1913" t="s">
        <v>83</v>
      </c>
      <c r="AA1913" t="s">
        <v>12554</v>
      </c>
      <c r="AB1913" t="s">
        <v>53</v>
      </c>
      <c r="AC1913" s="3">
        <v>1.27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f t="shared" si="58"/>
        <v>11.330000000000002</v>
      </c>
      <c r="AK1913" s="3">
        <f t="shared" si="59"/>
        <v>5.8900000000000015</v>
      </c>
    </row>
    <row r="1914" spans="1:37">
      <c r="A1914">
        <v>10383778</v>
      </c>
      <c r="B1914" t="s">
        <v>37</v>
      </c>
      <c r="C1914" t="s">
        <v>12555</v>
      </c>
      <c r="E1914" t="s">
        <v>12027</v>
      </c>
      <c r="F1914" t="s">
        <v>12556</v>
      </c>
      <c r="G1914" t="s">
        <v>12557</v>
      </c>
      <c r="H1914" t="s">
        <v>42</v>
      </c>
      <c r="I1914" t="s">
        <v>12558</v>
      </c>
      <c r="J1914" t="s">
        <v>12559</v>
      </c>
      <c r="K1914">
        <v>2560</v>
      </c>
      <c r="L1914" t="s">
        <v>505</v>
      </c>
      <c r="M1914" t="s">
        <v>46</v>
      </c>
      <c r="N1914" t="s">
        <v>47</v>
      </c>
      <c r="O1914">
        <v>4</v>
      </c>
      <c r="P1914">
        <v>1</v>
      </c>
      <c r="Q1914">
        <v>4</v>
      </c>
      <c r="R1914" t="s">
        <v>48</v>
      </c>
      <c r="S1914" t="s">
        <v>49</v>
      </c>
      <c r="T1914" s="3">
        <v>0.84</v>
      </c>
      <c r="U1914" s="3">
        <v>0.23</v>
      </c>
      <c r="V1914" s="3">
        <v>3.55</v>
      </c>
      <c r="W1914">
        <v>1.96</v>
      </c>
      <c r="X1914" t="s">
        <v>50</v>
      </c>
      <c r="Y1914" s="3">
        <v>9.1999999999999993</v>
      </c>
      <c r="Z1914" t="s">
        <v>9686</v>
      </c>
      <c r="AA1914" t="s">
        <v>5323</v>
      </c>
      <c r="AB1914" t="s">
        <v>53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f t="shared" si="58"/>
        <v>13.82</v>
      </c>
      <c r="AK1914" s="3">
        <f t="shared" si="59"/>
        <v>4.620000000000001</v>
      </c>
    </row>
    <row r="1915" spans="1:37">
      <c r="A1915">
        <v>10383306</v>
      </c>
      <c r="B1915" t="s">
        <v>37</v>
      </c>
      <c r="C1915" t="s">
        <v>12560</v>
      </c>
      <c r="E1915" t="s">
        <v>1886</v>
      </c>
      <c r="F1915" t="s">
        <v>12561</v>
      </c>
      <c r="G1915" t="s">
        <v>12562</v>
      </c>
      <c r="H1915" t="s">
        <v>42</v>
      </c>
      <c r="I1915" t="s">
        <v>12563</v>
      </c>
      <c r="J1915" t="s">
        <v>12564</v>
      </c>
      <c r="K1915">
        <v>60388</v>
      </c>
      <c r="L1915" t="s">
        <v>71</v>
      </c>
      <c r="M1915" t="s">
        <v>46</v>
      </c>
      <c r="N1915" t="s">
        <v>47</v>
      </c>
      <c r="O1915">
        <v>3</v>
      </c>
      <c r="P1915">
        <v>1</v>
      </c>
      <c r="Q1915">
        <v>3</v>
      </c>
      <c r="R1915" t="s">
        <v>48</v>
      </c>
      <c r="S1915" t="s">
        <v>49</v>
      </c>
      <c r="T1915" s="3">
        <v>0.84</v>
      </c>
      <c r="U1915" s="3">
        <v>0.23</v>
      </c>
      <c r="V1915" s="3">
        <v>2.68</v>
      </c>
      <c r="W1915">
        <v>0.45</v>
      </c>
      <c r="X1915" t="s">
        <v>108</v>
      </c>
      <c r="Y1915" s="3">
        <v>5.14</v>
      </c>
      <c r="Z1915" t="s">
        <v>9850</v>
      </c>
      <c r="AA1915" t="s">
        <v>855</v>
      </c>
      <c r="AB1915" t="s">
        <v>53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f t="shared" si="58"/>
        <v>8.89</v>
      </c>
      <c r="AK1915" s="3">
        <f t="shared" si="59"/>
        <v>3.7500000000000009</v>
      </c>
    </row>
    <row r="1916" spans="1:37">
      <c r="A1916">
        <v>10384699</v>
      </c>
      <c r="B1916" t="s">
        <v>37</v>
      </c>
      <c r="C1916" t="s">
        <v>12565</v>
      </c>
      <c r="E1916" t="s">
        <v>3946</v>
      </c>
      <c r="F1916" t="s">
        <v>12566</v>
      </c>
      <c r="G1916" t="s">
        <v>12567</v>
      </c>
      <c r="H1916" t="s">
        <v>42</v>
      </c>
      <c r="I1916" t="s">
        <v>12568</v>
      </c>
      <c r="J1916" t="s">
        <v>12569</v>
      </c>
      <c r="K1916">
        <v>33605</v>
      </c>
      <c r="L1916" t="s">
        <v>71</v>
      </c>
      <c r="M1916" t="s">
        <v>46</v>
      </c>
      <c r="N1916" t="s">
        <v>47</v>
      </c>
      <c r="O1916">
        <v>1</v>
      </c>
      <c r="P1916">
        <v>1</v>
      </c>
      <c r="Q1916">
        <v>1</v>
      </c>
      <c r="R1916" t="s">
        <v>48</v>
      </c>
      <c r="S1916" t="s">
        <v>49</v>
      </c>
      <c r="T1916" s="3">
        <v>0.84</v>
      </c>
      <c r="U1916" s="3">
        <v>0.23</v>
      </c>
      <c r="V1916" s="3">
        <v>0.94</v>
      </c>
      <c r="W1916">
        <v>0.15</v>
      </c>
      <c r="X1916" t="s">
        <v>108</v>
      </c>
      <c r="Y1916" s="3">
        <v>5.14</v>
      </c>
      <c r="Z1916" t="s">
        <v>9850</v>
      </c>
      <c r="AA1916" t="s">
        <v>9271</v>
      </c>
      <c r="AB1916" t="s">
        <v>53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f t="shared" si="58"/>
        <v>7.15</v>
      </c>
      <c r="AK1916" s="3">
        <f t="shared" si="59"/>
        <v>2.0100000000000007</v>
      </c>
    </row>
    <row r="1917" spans="1:37">
      <c r="A1917">
        <v>10384703</v>
      </c>
      <c r="B1917" t="s">
        <v>37</v>
      </c>
      <c r="C1917" t="s">
        <v>12570</v>
      </c>
      <c r="E1917" t="s">
        <v>186</v>
      </c>
      <c r="F1917" t="s">
        <v>12571</v>
      </c>
      <c r="G1917" t="s">
        <v>12572</v>
      </c>
      <c r="H1917" t="s">
        <v>42</v>
      </c>
      <c r="I1917" t="s">
        <v>12573</v>
      </c>
      <c r="J1917" t="s">
        <v>12574</v>
      </c>
      <c r="K1917">
        <v>45257</v>
      </c>
      <c r="L1917" t="s">
        <v>71</v>
      </c>
      <c r="M1917" t="s">
        <v>46</v>
      </c>
      <c r="N1917" t="s">
        <v>47</v>
      </c>
      <c r="O1917">
        <v>1</v>
      </c>
      <c r="P1917">
        <v>1</v>
      </c>
      <c r="Q1917">
        <v>1</v>
      </c>
      <c r="R1917" t="s">
        <v>48</v>
      </c>
      <c r="S1917" t="s">
        <v>49</v>
      </c>
      <c r="T1917" s="3">
        <v>0.84</v>
      </c>
      <c r="U1917" s="3">
        <v>0.23</v>
      </c>
      <c r="V1917" s="3">
        <v>0.94</v>
      </c>
      <c r="W1917">
        <v>0.15</v>
      </c>
      <c r="X1917" t="s">
        <v>108</v>
      </c>
      <c r="Y1917" s="3">
        <v>5.14</v>
      </c>
      <c r="Z1917" t="s">
        <v>9850</v>
      </c>
      <c r="AA1917" t="s">
        <v>9271</v>
      </c>
      <c r="AB1917" t="s">
        <v>53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f t="shared" si="58"/>
        <v>7.15</v>
      </c>
      <c r="AK1917" s="3">
        <f t="shared" si="59"/>
        <v>2.0100000000000007</v>
      </c>
    </row>
    <row r="1918" spans="1:37">
      <c r="A1918">
        <v>10385019</v>
      </c>
      <c r="B1918" t="s">
        <v>37</v>
      </c>
      <c r="C1918" t="s">
        <v>12575</v>
      </c>
      <c r="E1918" t="s">
        <v>254</v>
      </c>
      <c r="F1918" t="s">
        <v>12576</v>
      </c>
      <c r="G1918" t="s">
        <v>12577</v>
      </c>
      <c r="H1918" t="s">
        <v>42</v>
      </c>
      <c r="I1918" t="s">
        <v>12578</v>
      </c>
      <c r="J1918" t="s">
        <v>12579</v>
      </c>
      <c r="K1918">
        <v>48147</v>
      </c>
      <c r="L1918" t="s">
        <v>71</v>
      </c>
      <c r="M1918" t="s">
        <v>46</v>
      </c>
      <c r="N1918" t="s">
        <v>47</v>
      </c>
      <c r="O1918">
        <v>1</v>
      </c>
      <c r="P1918">
        <v>1</v>
      </c>
      <c r="Q1918">
        <v>1</v>
      </c>
      <c r="R1918" t="s">
        <v>48</v>
      </c>
      <c r="S1918" t="s">
        <v>49</v>
      </c>
      <c r="T1918" s="3">
        <v>0.84</v>
      </c>
      <c r="U1918" s="3">
        <v>0.23</v>
      </c>
      <c r="V1918" s="3">
        <v>0.94</v>
      </c>
      <c r="W1918">
        <v>0.15</v>
      </c>
      <c r="X1918" t="s">
        <v>108</v>
      </c>
      <c r="Y1918" s="3">
        <v>5.14</v>
      </c>
      <c r="Z1918" t="s">
        <v>9850</v>
      </c>
      <c r="AA1918" t="s">
        <v>9271</v>
      </c>
      <c r="AB1918" t="s">
        <v>53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f t="shared" si="58"/>
        <v>7.15</v>
      </c>
      <c r="AK1918" s="3">
        <f t="shared" si="59"/>
        <v>2.0100000000000007</v>
      </c>
    </row>
    <row r="1919" spans="1:37">
      <c r="A1919">
        <v>10385029</v>
      </c>
      <c r="B1919" t="s">
        <v>37</v>
      </c>
      <c r="C1919" t="s">
        <v>12580</v>
      </c>
      <c r="E1919" t="s">
        <v>4897</v>
      </c>
      <c r="F1919" t="s">
        <v>12581</v>
      </c>
      <c r="G1919" t="s">
        <v>12582</v>
      </c>
      <c r="H1919" t="s">
        <v>42</v>
      </c>
      <c r="I1919" t="s">
        <v>12583</v>
      </c>
      <c r="J1919" t="s">
        <v>12584</v>
      </c>
      <c r="K1919">
        <v>33659</v>
      </c>
      <c r="L1919" t="s">
        <v>71</v>
      </c>
      <c r="M1919" t="s">
        <v>46</v>
      </c>
      <c r="N1919" t="s">
        <v>47</v>
      </c>
      <c r="O1919">
        <v>1</v>
      </c>
      <c r="P1919">
        <v>1</v>
      </c>
      <c r="Q1919">
        <v>1</v>
      </c>
      <c r="R1919" t="s">
        <v>48</v>
      </c>
      <c r="S1919" t="s">
        <v>49</v>
      </c>
      <c r="T1919" s="3">
        <v>0.84</v>
      </c>
      <c r="U1919" s="3">
        <v>0.23</v>
      </c>
      <c r="V1919" s="3">
        <v>0.94</v>
      </c>
      <c r="W1919">
        <v>0.15</v>
      </c>
      <c r="X1919" t="s">
        <v>108</v>
      </c>
      <c r="Y1919" s="3">
        <v>5.14</v>
      </c>
      <c r="Z1919" t="s">
        <v>9850</v>
      </c>
      <c r="AA1919" t="s">
        <v>9271</v>
      </c>
      <c r="AB1919" t="s">
        <v>53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f t="shared" si="58"/>
        <v>7.15</v>
      </c>
      <c r="AK1919" s="3">
        <f t="shared" si="59"/>
        <v>2.0100000000000007</v>
      </c>
    </row>
    <row r="1920" spans="1:37">
      <c r="A1920">
        <v>10384691</v>
      </c>
      <c r="B1920" t="s">
        <v>37</v>
      </c>
      <c r="C1920" t="s">
        <v>12585</v>
      </c>
      <c r="E1920" t="s">
        <v>12586</v>
      </c>
      <c r="F1920" t="s">
        <v>12587</v>
      </c>
      <c r="G1920" t="s">
        <v>12588</v>
      </c>
      <c r="H1920" t="s">
        <v>42</v>
      </c>
      <c r="I1920" t="s">
        <v>12589</v>
      </c>
      <c r="J1920" t="s">
        <v>12590</v>
      </c>
      <c r="K1920">
        <v>52428</v>
      </c>
      <c r="L1920" t="s">
        <v>71</v>
      </c>
      <c r="M1920" t="s">
        <v>46</v>
      </c>
      <c r="N1920" t="s">
        <v>47</v>
      </c>
      <c r="O1920">
        <v>1</v>
      </c>
      <c r="P1920">
        <v>1</v>
      </c>
      <c r="Q1920">
        <v>1</v>
      </c>
      <c r="R1920" t="s">
        <v>48</v>
      </c>
      <c r="S1920" t="s">
        <v>49</v>
      </c>
      <c r="T1920" s="3">
        <v>0.84</v>
      </c>
      <c r="U1920" s="3">
        <v>0.23</v>
      </c>
      <c r="V1920" s="3">
        <v>0.94</v>
      </c>
      <c r="W1920">
        <v>0.15</v>
      </c>
      <c r="X1920" t="s">
        <v>108</v>
      </c>
      <c r="Y1920" s="3">
        <v>5.14</v>
      </c>
      <c r="Z1920" t="s">
        <v>9850</v>
      </c>
      <c r="AA1920" t="s">
        <v>12434</v>
      </c>
      <c r="AB1920" t="s">
        <v>53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f t="shared" si="58"/>
        <v>7.15</v>
      </c>
      <c r="AK1920" s="3">
        <f t="shared" si="59"/>
        <v>2.0100000000000007</v>
      </c>
    </row>
    <row r="1921" spans="1:37">
      <c r="A1921">
        <v>10385557</v>
      </c>
      <c r="B1921" t="s">
        <v>37</v>
      </c>
      <c r="C1921" t="s">
        <v>12591</v>
      </c>
      <c r="E1921" t="s">
        <v>12592</v>
      </c>
      <c r="F1921" t="s">
        <v>12593</v>
      </c>
      <c r="G1921" t="s">
        <v>12594</v>
      </c>
      <c r="H1921" t="s">
        <v>42</v>
      </c>
      <c r="I1921" t="s">
        <v>12595</v>
      </c>
      <c r="J1921" t="s">
        <v>12596</v>
      </c>
      <c r="K1921">
        <v>12059</v>
      </c>
      <c r="L1921" t="s">
        <v>71</v>
      </c>
      <c r="M1921" t="s">
        <v>46</v>
      </c>
      <c r="N1921" t="s">
        <v>47</v>
      </c>
      <c r="O1921">
        <v>1</v>
      </c>
      <c r="P1921">
        <v>1</v>
      </c>
      <c r="Q1921">
        <v>1</v>
      </c>
      <c r="R1921" t="s">
        <v>48</v>
      </c>
      <c r="S1921" t="s">
        <v>49</v>
      </c>
      <c r="T1921" s="3">
        <v>0.84</v>
      </c>
      <c r="U1921" s="3">
        <v>0.23</v>
      </c>
      <c r="V1921" s="3">
        <v>0.94</v>
      </c>
      <c r="W1921">
        <v>0.39</v>
      </c>
      <c r="X1921" t="s">
        <v>108</v>
      </c>
      <c r="Y1921" s="3">
        <v>5.14</v>
      </c>
      <c r="Z1921" t="s">
        <v>9850</v>
      </c>
      <c r="AA1921" t="s">
        <v>10327</v>
      </c>
      <c r="AB1921" t="s">
        <v>53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f t="shared" si="58"/>
        <v>7.15</v>
      </c>
      <c r="AK1921" s="3">
        <f t="shared" si="59"/>
        <v>2.0100000000000007</v>
      </c>
    </row>
    <row r="1922" spans="1:37">
      <c r="A1922">
        <v>10384693</v>
      </c>
      <c r="B1922" t="s">
        <v>37</v>
      </c>
      <c r="C1922" t="s">
        <v>12597</v>
      </c>
      <c r="E1922" t="s">
        <v>12598</v>
      </c>
      <c r="F1922" t="s">
        <v>12599</v>
      </c>
      <c r="G1922" t="s">
        <v>12600</v>
      </c>
      <c r="H1922" t="s">
        <v>42</v>
      </c>
      <c r="I1922" t="s">
        <v>12601</v>
      </c>
      <c r="J1922" t="s">
        <v>12602</v>
      </c>
      <c r="K1922">
        <v>67550</v>
      </c>
      <c r="L1922" t="s">
        <v>71</v>
      </c>
      <c r="M1922" t="s">
        <v>46</v>
      </c>
      <c r="N1922" t="s">
        <v>47</v>
      </c>
      <c r="O1922">
        <v>1</v>
      </c>
      <c r="P1922">
        <v>1</v>
      </c>
      <c r="Q1922">
        <v>1</v>
      </c>
      <c r="R1922" t="s">
        <v>48</v>
      </c>
      <c r="S1922" t="s">
        <v>49</v>
      </c>
      <c r="T1922" s="3">
        <v>0.84</v>
      </c>
      <c r="U1922" s="3">
        <v>0.23</v>
      </c>
      <c r="V1922" s="3">
        <v>0.94</v>
      </c>
      <c r="W1922">
        <v>0.15</v>
      </c>
      <c r="X1922" t="s">
        <v>108</v>
      </c>
      <c r="Y1922" s="3">
        <v>5.14</v>
      </c>
      <c r="Z1922" t="s">
        <v>9850</v>
      </c>
      <c r="AA1922" t="s">
        <v>12391</v>
      </c>
      <c r="AB1922" t="s">
        <v>53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f t="shared" ref="AJ1922:AJ1985" si="60">AI1922+AH1922+AG1922+AF1922+AE1922+AD1922+AC1922+Y1922+V1922+U1922+T1922</f>
        <v>7.15</v>
      </c>
      <c r="AK1922" s="3">
        <f t="shared" ref="AK1922:AK1985" si="61">AJ1922-Y1922</f>
        <v>2.0100000000000007</v>
      </c>
    </row>
    <row r="1923" spans="1:37">
      <c r="A1923">
        <v>10384695</v>
      </c>
      <c r="B1923" t="s">
        <v>37</v>
      </c>
      <c r="C1923" t="s">
        <v>12603</v>
      </c>
      <c r="E1923" t="s">
        <v>5103</v>
      </c>
      <c r="F1923" t="s">
        <v>12604</v>
      </c>
      <c r="G1923" t="s">
        <v>12605</v>
      </c>
      <c r="H1923" t="s">
        <v>42</v>
      </c>
      <c r="I1923" t="s">
        <v>12606</v>
      </c>
      <c r="J1923" t="s">
        <v>12607</v>
      </c>
      <c r="K1923">
        <v>33617</v>
      </c>
      <c r="L1923" t="s">
        <v>71</v>
      </c>
      <c r="M1923" t="s">
        <v>46</v>
      </c>
      <c r="N1923" t="s">
        <v>47</v>
      </c>
      <c r="O1923">
        <v>1</v>
      </c>
      <c r="P1923">
        <v>1</v>
      </c>
      <c r="Q1923">
        <v>1</v>
      </c>
      <c r="R1923" t="s">
        <v>48</v>
      </c>
      <c r="S1923" t="s">
        <v>49</v>
      </c>
      <c r="T1923" s="3">
        <v>0.84</v>
      </c>
      <c r="U1923" s="3">
        <v>0.23</v>
      </c>
      <c r="V1923" s="3">
        <v>0.94</v>
      </c>
      <c r="W1923">
        <v>0.15</v>
      </c>
      <c r="X1923" t="s">
        <v>108</v>
      </c>
      <c r="Y1923" s="3">
        <v>5.14</v>
      </c>
      <c r="Z1923" t="s">
        <v>9850</v>
      </c>
      <c r="AA1923" t="s">
        <v>12391</v>
      </c>
      <c r="AB1923" t="s">
        <v>53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f t="shared" si="60"/>
        <v>7.15</v>
      </c>
      <c r="AK1923" s="3">
        <f t="shared" si="61"/>
        <v>2.0100000000000007</v>
      </c>
    </row>
    <row r="1924" spans="1:37">
      <c r="A1924">
        <v>10385290</v>
      </c>
      <c r="B1924" t="s">
        <v>37</v>
      </c>
      <c r="C1924" t="s">
        <v>12608</v>
      </c>
      <c r="E1924" t="s">
        <v>1330</v>
      </c>
      <c r="F1924" t="s">
        <v>12609</v>
      </c>
      <c r="G1924" t="s">
        <v>12610</v>
      </c>
      <c r="H1924" t="s">
        <v>42</v>
      </c>
      <c r="I1924" t="s">
        <v>12611</v>
      </c>
      <c r="J1924" t="s">
        <v>12612</v>
      </c>
      <c r="K1924">
        <v>5280</v>
      </c>
      <c r="L1924" t="s">
        <v>618</v>
      </c>
      <c r="M1924" t="s">
        <v>46</v>
      </c>
      <c r="N1924" t="s">
        <v>47</v>
      </c>
      <c r="O1924">
        <v>1</v>
      </c>
      <c r="P1924">
        <v>1</v>
      </c>
      <c r="Q1924">
        <v>1</v>
      </c>
      <c r="R1924" t="s">
        <v>48</v>
      </c>
      <c r="S1924" t="s">
        <v>49</v>
      </c>
      <c r="T1924" s="3">
        <v>0.84</v>
      </c>
      <c r="U1924" s="3">
        <v>0.23</v>
      </c>
      <c r="V1924" s="3">
        <v>0.94</v>
      </c>
      <c r="W1924">
        <v>0.15</v>
      </c>
      <c r="X1924" t="s">
        <v>50</v>
      </c>
      <c r="Y1924" s="3">
        <v>9.1999999999999993</v>
      </c>
      <c r="Z1924" t="s">
        <v>9850</v>
      </c>
      <c r="AA1924" t="s">
        <v>9271</v>
      </c>
      <c r="AB1924" t="s">
        <v>53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f t="shared" si="60"/>
        <v>11.209999999999999</v>
      </c>
      <c r="AK1924" s="3">
        <f t="shared" si="61"/>
        <v>2.0099999999999998</v>
      </c>
    </row>
    <row r="1925" spans="1:37">
      <c r="A1925">
        <v>10385548</v>
      </c>
      <c r="B1925" t="s">
        <v>37</v>
      </c>
      <c r="C1925" t="s">
        <v>12613</v>
      </c>
      <c r="E1925" t="s">
        <v>461</v>
      </c>
      <c r="F1925" t="s">
        <v>12614</v>
      </c>
      <c r="G1925" t="s">
        <v>12615</v>
      </c>
      <c r="H1925" t="s">
        <v>42</v>
      </c>
      <c r="I1925" t="s">
        <v>12616</v>
      </c>
      <c r="J1925" t="s">
        <v>12617</v>
      </c>
      <c r="K1925">
        <v>84036</v>
      </c>
      <c r="L1925" t="s">
        <v>71</v>
      </c>
      <c r="M1925" t="s">
        <v>46</v>
      </c>
      <c r="N1925" t="s">
        <v>47</v>
      </c>
      <c r="O1925">
        <v>1</v>
      </c>
      <c r="P1925">
        <v>1</v>
      </c>
      <c r="Q1925">
        <v>1</v>
      </c>
      <c r="R1925" t="s">
        <v>48</v>
      </c>
      <c r="S1925" t="s">
        <v>49</v>
      </c>
      <c r="T1925" s="3">
        <v>0.84</v>
      </c>
      <c r="U1925" s="3">
        <v>0.23</v>
      </c>
      <c r="V1925" s="3">
        <v>0.94</v>
      </c>
      <c r="W1925">
        <v>0.15</v>
      </c>
      <c r="X1925" t="s">
        <v>108</v>
      </c>
      <c r="Y1925" s="3">
        <v>5.14</v>
      </c>
      <c r="Z1925" t="s">
        <v>9850</v>
      </c>
      <c r="AA1925" t="s">
        <v>9271</v>
      </c>
      <c r="AB1925" t="s">
        <v>53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f t="shared" si="60"/>
        <v>7.15</v>
      </c>
      <c r="AK1925" s="3">
        <f t="shared" si="61"/>
        <v>2.0100000000000007</v>
      </c>
    </row>
    <row r="1926" spans="1:37">
      <c r="A1926">
        <v>10384704</v>
      </c>
      <c r="B1926" t="s">
        <v>37</v>
      </c>
      <c r="C1926" t="s">
        <v>12618</v>
      </c>
      <c r="E1926" t="s">
        <v>10878</v>
      </c>
      <c r="F1926" t="s">
        <v>12619</v>
      </c>
      <c r="G1926" t="s">
        <v>12620</v>
      </c>
      <c r="H1926" t="s">
        <v>42</v>
      </c>
      <c r="I1926" t="s">
        <v>12621</v>
      </c>
      <c r="J1926" t="s">
        <v>12622</v>
      </c>
      <c r="K1926">
        <v>59457</v>
      </c>
      <c r="L1926" t="s">
        <v>71</v>
      </c>
      <c r="M1926" t="s">
        <v>46</v>
      </c>
      <c r="N1926" t="s">
        <v>47</v>
      </c>
      <c r="O1926">
        <v>1</v>
      </c>
      <c r="P1926">
        <v>1</v>
      </c>
      <c r="Q1926">
        <v>1</v>
      </c>
      <c r="R1926" t="s">
        <v>48</v>
      </c>
      <c r="S1926" t="s">
        <v>49</v>
      </c>
      <c r="T1926" s="3">
        <v>0.84</v>
      </c>
      <c r="U1926" s="3">
        <v>0.23</v>
      </c>
      <c r="V1926" s="3">
        <v>0.94</v>
      </c>
      <c r="W1926">
        <v>0.15</v>
      </c>
      <c r="X1926" t="s">
        <v>108</v>
      </c>
      <c r="Y1926" s="3">
        <v>5.14</v>
      </c>
      <c r="Z1926" t="s">
        <v>9850</v>
      </c>
      <c r="AA1926" t="s">
        <v>12391</v>
      </c>
      <c r="AB1926" t="s">
        <v>53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f t="shared" si="60"/>
        <v>7.15</v>
      </c>
      <c r="AK1926" s="3">
        <f t="shared" si="61"/>
        <v>2.0100000000000007</v>
      </c>
    </row>
    <row r="1927" spans="1:37">
      <c r="A1927">
        <v>10385017</v>
      </c>
      <c r="B1927" t="s">
        <v>37</v>
      </c>
      <c r="C1927" t="s">
        <v>12623</v>
      </c>
      <c r="E1927" t="s">
        <v>240</v>
      </c>
      <c r="F1927" t="s">
        <v>12624</v>
      </c>
      <c r="G1927" t="s">
        <v>12625</v>
      </c>
      <c r="H1927" t="s">
        <v>42</v>
      </c>
      <c r="I1927" t="s">
        <v>12626</v>
      </c>
      <c r="J1927" t="s">
        <v>12627</v>
      </c>
      <c r="K1927">
        <v>45277</v>
      </c>
      <c r="L1927" t="s">
        <v>71</v>
      </c>
      <c r="M1927" t="s">
        <v>46</v>
      </c>
      <c r="N1927" t="s">
        <v>47</v>
      </c>
      <c r="O1927">
        <v>1</v>
      </c>
      <c r="P1927">
        <v>1</v>
      </c>
      <c r="Q1927">
        <v>1</v>
      </c>
      <c r="R1927" t="s">
        <v>48</v>
      </c>
      <c r="S1927" t="s">
        <v>49</v>
      </c>
      <c r="T1927" s="3">
        <v>0.84</v>
      </c>
      <c r="U1927" s="3">
        <v>0.23</v>
      </c>
      <c r="V1927" s="3">
        <v>0.94</v>
      </c>
      <c r="W1927">
        <v>0.15</v>
      </c>
      <c r="X1927" t="s">
        <v>108</v>
      </c>
      <c r="Y1927" s="3">
        <v>5.14</v>
      </c>
      <c r="Z1927" t="s">
        <v>9850</v>
      </c>
      <c r="AA1927" t="s">
        <v>12391</v>
      </c>
      <c r="AB1927" t="s">
        <v>53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f t="shared" si="60"/>
        <v>7.15</v>
      </c>
      <c r="AK1927" s="3">
        <f t="shared" si="61"/>
        <v>2.0100000000000007</v>
      </c>
    </row>
    <row r="1928" spans="1:37">
      <c r="A1928">
        <v>10385551</v>
      </c>
      <c r="B1928" t="s">
        <v>37</v>
      </c>
      <c r="C1928" t="s">
        <v>12628</v>
      </c>
      <c r="E1928" t="s">
        <v>1307</v>
      </c>
      <c r="F1928" t="s">
        <v>12629</v>
      </c>
      <c r="G1928" t="s">
        <v>12630</v>
      </c>
      <c r="H1928" t="s">
        <v>42</v>
      </c>
      <c r="I1928" t="s">
        <v>12631</v>
      </c>
      <c r="J1928" t="s">
        <v>12632</v>
      </c>
      <c r="K1928">
        <v>49328</v>
      </c>
      <c r="L1928" t="s">
        <v>71</v>
      </c>
      <c r="M1928" t="s">
        <v>46</v>
      </c>
      <c r="N1928" t="s">
        <v>47</v>
      </c>
      <c r="O1928">
        <v>1</v>
      </c>
      <c r="P1928">
        <v>1</v>
      </c>
      <c r="Q1928">
        <v>1</v>
      </c>
      <c r="R1928" t="s">
        <v>48</v>
      </c>
      <c r="S1928" t="s">
        <v>49</v>
      </c>
      <c r="T1928" s="3">
        <v>0.84</v>
      </c>
      <c r="U1928" s="3">
        <v>0.23</v>
      </c>
      <c r="V1928" s="3">
        <v>0.94</v>
      </c>
      <c r="W1928">
        <v>0.15</v>
      </c>
      <c r="X1928" t="s">
        <v>108</v>
      </c>
      <c r="Y1928" s="3">
        <v>5.14</v>
      </c>
      <c r="Z1928" t="s">
        <v>9850</v>
      </c>
      <c r="AA1928" t="s">
        <v>12434</v>
      </c>
      <c r="AB1928" t="s">
        <v>53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f t="shared" si="60"/>
        <v>7.15</v>
      </c>
      <c r="AK1928" s="3">
        <f t="shared" si="61"/>
        <v>2.0100000000000007</v>
      </c>
    </row>
    <row r="1929" spans="1:37">
      <c r="A1929">
        <v>10385027</v>
      </c>
      <c r="B1929" t="s">
        <v>37</v>
      </c>
      <c r="C1929" t="s">
        <v>12633</v>
      </c>
      <c r="E1929" t="s">
        <v>12634</v>
      </c>
      <c r="F1929" t="s">
        <v>12635</v>
      </c>
      <c r="G1929" t="s">
        <v>12636</v>
      </c>
      <c r="H1929" t="s">
        <v>42</v>
      </c>
      <c r="I1929" t="s">
        <v>12637</v>
      </c>
      <c r="J1929" t="s">
        <v>12638</v>
      </c>
      <c r="K1929">
        <v>49163</v>
      </c>
      <c r="L1929" t="s">
        <v>71</v>
      </c>
      <c r="M1929" t="s">
        <v>46</v>
      </c>
      <c r="N1929" t="s">
        <v>47</v>
      </c>
      <c r="O1929">
        <v>1</v>
      </c>
      <c r="P1929">
        <v>1</v>
      </c>
      <c r="Q1929">
        <v>1</v>
      </c>
      <c r="R1929" t="s">
        <v>48</v>
      </c>
      <c r="S1929" t="s">
        <v>49</v>
      </c>
      <c r="T1929" s="3">
        <v>0.84</v>
      </c>
      <c r="U1929" s="3">
        <v>0.23</v>
      </c>
      <c r="V1929" s="3">
        <v>0.94</v>
      </c>
      <c r="W1929">
        <v>0.15</v>
      </c>
      <c r="X1929" t="s">
        <v>108</v>
      </c>
      <c r="Y1929" s="3">
        <v>5.14</v>
      </c>
      <c r="Z1929" t="s">
        <v>9850</v>
      </c>
      <c r="AA1929" t="s">
        <v>12391</v>
      </c>
      <c r="AB1929" t="s">
        <v>53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f t="shared" si="60"/>
        <v>7.15</v>
      </c>
      <c r="AK1929" s="3">
        <f t="shared" si="61"/>
        <v>2.0100000000000007</v>
      </c>
    </row>
    <row r="1930" spans="1:37">
      <c r="A1930">
        <v>10385552</v>
      </c>
      <c r="B1930" t="s">
        <v>37</v>
      </c>
      <c r="C1930" t="s">
        <v>12639</v>
      </c>
      <c r="E1930" t="s">
        <v>12640</v>
      </c>
      <c r="F1930" t="s">
        <v>12641</v>
      </c>
      <c r="G1930" t="s">
        <v>12642</v>
      </c>
      <c r="H1930" t="s">
        <v>42</v>
      </c>
      <c r="I1930" t="s">
        <v>12643</v>
      </c>
      <c r="J1930" t="s">
        <v>12644</v>
      </c>
      <c r="K1930">
        <v>32805</v>
      </c>
      <c r="L1930" t="s">
        <v>71</v>
      </c>
      <c r="M1930" t="s">
        <v>46</v>
      </c>
      <c r="N1930" t="s">
        <v>47</v>
      </c>
      <c r="O1930">
        <v>1</v>
      </c>
      <c r="P1930">
        <v>1</v>
      </c>
      <c r="Q1930">
        <v>1</v>
      </c>
      <c r="R1930" t="s">
        <v>48</v>
      </c>
      <c r="S1930" t="s">
        <v>49</v>
      </c>
      <c r="T1930" s="3">
        <v>0.84</v>
      </c>
      <c r="U1930" s="3">
        <v>0.23</v>
      </c>
      <c r="V1930" s="3">
        <v>0.94</v>
      </c>
      <c r="W1930">
        <v>0.15</v>
      </c>
      <c r="X1930" t="s">
        <v>108</v>
      </c>
      <c r="Y1930" s="3">
        <v>5.14</v>
      </c>
      <c r="Z1930" t="s">
        <v>9850</v>
      </c>
      <c r="AA1930" t="s">
        <v>12434</v>
      </c>
      <c r="AB1930" t="s">
        <v>53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f t="shared" si="60"/>
        <v>7.15</v>
      </c>
      <c r="AK1930" s="3">
        <f t="shared" si="61"/>
        <v>2.0100000000000007</v>
      </c>
    </row>
    <row r="1931" spans="1:37">
      <c r="A1931">
        <v>10385550</v>
      </c>
      <c r="B1931" t="s">
        <v>37</v>
      </c>
      <c r="C1931" t="s">
        <v>12645</v>
      </c>
      <c r="E1931" t="s">
        <v>12646</v>
      </c>
      <c r="F1931" t="s">
        <v>12647</v>
      </c>
      <c r="G1931" t="s">
        <v>12648</v>
      </c>
      <c r="H1931" t="s">
        <v>42</v>
      </c>
      <c r="I1931" t="s">
        <v>12649</v>
      </c>
      <c r="J1931" t="s">
        <v>12650</v>
      </c>
      <c r="K1931">
        <v>33617</v>
      </c>
      <c r="L1931" t="s">
        <v>71</v>
      </c>
      <c r="M1931" t="s">
        <v>46</v>
      </c>
      <c r="N1931" t="s">
        <v>47</v>
      </c>
      <c r="O1931">
        <v>1</v>
      </c>
      <c r="P1931">
        <v>1</v>
      </c>
      <c r="Q1931">
        <v>1</v>
      </c>
      <c r="R1931" t="s">
        <v>48</v>
      </c>
      <c r="S1931" t="s">
        <v>49</v>
      </c>
      <c r="T1931" s="3">
        <v>0.84</v>
      </c>
      <c r="U1931" s="3">
        <v>0.23</v>
      </c>
      <c r="V1931" s="3">
        <v>0.94</v>
      </c>
      <c r="W1931">
        <v>0.15</v>
      </c>
      <c r="X1931" t="s">
        <v>108</v>
      </c>
      <c r="Y1931" s="3">
        <v>5.14</v>
      </c>
      <c r="Z1931" t="s">
        <v>9850</v>
      </c>
      <c r="AA1931" t="s">
        <v>12391</v>
      </c>
      <c r="AB1931" t="s">
        <v>53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f t="shared" si="60"/>
        <v>7.15</v>
      </c>
      <c r="AK1931" s="3">
        <f t="shared" si="61"/>
        <v>2.0100000000000007</v>
      </c>
    </row>
    <row r="1932" spans="1:37">
      <c r="A1932">
        <v>10385554</v>
      </c>
      <c r="B1932" t="s">
        <v>37</v>
      </c>
      <c r="C1932" t="s">
        <v>12651</v>
      </c>
      <c r="E1932" t="s">
        <v>12652</v>
      </c>
      <c r="F1932" t="s">
        <v>12653</v>
      </c>
      <c r="G1932" t="s">
        <v>12654</v>
      </c>
      <c r="H1932" t="s">
        <v>42</v>
      </c>
      <c r="I1932" t="s">
        <v>12655</v>
      </c>
      <c r="J1932" t="s">
        <v>12656</v>
      </c>
      <c r="K1932">
        <v>65439</v>
      </c>
      <c r="L1932" t="s">
        <v>71</v>
      </c>
      <c r="M1932" t="s">
        <v>46</v>
      </c>
      <c r="N1932" t="s">
        <v>47</v>
      </c>
      <c r="O1932">
        <v>1</v>
      </c>
      <c r="P1932">
        <v>1</v>
      </c>
      <c r="Q1932">
        <v>1</v>
      </c>
      <c r="R1932" t="s">
        <v>48</v>
      </c>
      <c r="S1932" t="s">
        <v>49</v>
      </c>
      <c r="T1932" s="3">
        <v>0.84</v>
      </c>
      <c r="U1932" s="3">
        <v>0.23</v>
      </c>
      <c r="V1932" s="3">
        <v>0.94</v>
      </c>
      <c r="W1932">
        <v>0.15</v>
      </c>
      <c r="X1932" t="s">
        <v>108</v>
      </c>
      <c r="Y1932" s="3">
        <v>5.14</v>
      </c>
      <c r="Z1932" t="s">
        <v>9850</v>
      </c>
      <c r="AA1932" t="s">
        <v>12391</v>
      </c>
      <c r="AB1932" t="s">
        <v>53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f t="shared" si="60"/>
        <v>7.15</v>
      </c>
      <c r="AK1932" s="3">
        <f t="shared" si="61"/>
        <v>2.0100000000000007</v>
      </c>
    </row>
    <row r="1933" spans="1:37">
      <c r="A1933">
        <v>10386288</v>
      </c>
      <c r="B1933" t="s">
        <v>37</v>
      </c>
      <c r="C1933" t="s">
        <v>12657</v>
      </c>
      <c r="E1933" t="s">
        <v>12658</v>
      </c>
      <c r="F1933" t="s">
        <v>1647</v>
      </c>
      <c r="G1933" t="s">
        <v>12659</v>
      </c>
      <c r="H1933" t="s">
        <v>42</v>
      </c>
      <c r="I1933" t="s">
        <v>12660</v>
      </c>
      <c r="J1933" t="s">
        <v>12661</v>
      </c>
      <c r="K1933">
        <v>85586</v>
      </c>
      <c r="L1933" t="s">
        <v>71</v>
      </c>
      <c r="M1933" t="s">
        <v>46</v>
      </c>
      <c r="N1933" t="s">
        <v>47</v>
      </c>
      <c r="O1933">
        <v>3</v>
      </c>
      <c r="P1933">
        <v>1</v>
      </c>
      <c r="Q1933">
        <v>3</v>
      </c>
      <c r="R1933" t="s">
        <v>48</v>
      </c>
      <c r="S1933" t="s">
        <v>49</v>
      </c>
      <c r="T1933" s="3">
        <v>0.84</v>
      </c>
      <c r="U1933" s="3">
        <v>0.23</v>
      </c>
      <c r="V1933" s="3">
        <v>2.68</v>
      </c>
      <c r="W1933">
        <v>1.5</v>
      </c>
      <c r="X1933" t="s">
        <v>108</v>
      </c>
      <c r="Y1933" s="3">
        <v>5.14</v>
      </c>
      <c r="Z1933" t="s">
        <v>9686</v>
      </c>
      <c r="AA1933" t="s">
        <v>12662</v>
      </c>
      <c r="AB1933" t="s">
        <v>53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f t="shared" si="60"/>
        <v>8.89</v>
      </c>
      <c r="AK1933" s="3">
        <f t="shared" si="61"/>
        <v>3.7500000000000009</v>
      </c>
    </row>
    <row r="1934" spans="1:37">
      <c r="A1934">
        <v>10385556</v>
      </c>
      <c r="B1934" t="s">
        <v>37</v>
      </c>
      <c r="C1934" t="s">
        <v>12663</v>
      </c>
      <c r="E1934" t="s">
        <v>11394</v>
      </c>
      <c r="F1934" t="s">
        <v>12664</v>
      </c>
      <c r="G1934" t="s">
        <v>12665</v>
      </c>
      <c r="H1934" t="s">
        <v>42</v>
      </c>
      <c r="I1934" t="s">
        <v>12666</v>
      </c>
      <c r="J1934" t="s">
        <v>12667</v>
      </c>
      <c r="K1934">
        <v>33659</v>
      </c>
      <c r="L1934" t="s">
        <v>71</v>
      </c>
      <c r="M1934" t="s">
        <v>46</v>
      </c>
      <c r="N1934" t="s">
        <v>47</v>
      </c>
      <c r="O1934">
        <v>1</v>
      </c>
      <c r="P1934">
        <v>1</v>
      </c>
      <c r="Q1934">
        <v>1</v>
      </c>
      <c r="R1934" t="s">
        <v>48</v>
      </c>
      <c r="S1934" t="s">
        <v>49</v>
      </c>
      <c r="T1934" s="3">
        <v>0.84</v>
      </c>
      <c r="U1934" s="3">
        <v>0.23</v>
      </c>
      <c r="V1934" s="3">
        <v>0.94</v>
      </c>
      <c r="W1934">
        <v>0.15</v>
      </c>
      <c r="X1934" t="s">
        <v>108</v>
      </c>
      <c r="Y1934" s="3">
        <v>5.14</v>
      </c>
      <c r="Z1934" t="s">
        <v>9850</v>
      </c>
      <c r="AA1934" t="s">
        <v>12391</v>
      </c>
      <c r="AB1934" t="s">
        <v>53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f t="shared" si="60"/>
        <v>7.15</v>
      </c>
      <c r="AK1934" s="3">
        <f t="shared" si="61"/>
        <v>2.0100000000000007</v>
      </c>
    </row>
    <row r="1935" spans="1:37">
      <c r="A1935">
        <v>10385560</v>
      </c>
      <c r="B1935" t="s">
        <v>37</v>
      </c>
      <c r="C1935" t="s">
        <v>12668</v>
      </c>
      <c r="E1935" t="s">
        <v>12586</v>
      </c>
      <c r="F1935" t="s">
        <v>7327</v>
      </c>
      <c r="G1935" t="s">
        <v>12669</v>
      </c>
      <c r="H1935" t="s">
        <v>42</v>
      </c>
      <c r="I1935" t="s">
        <v>12670</v>
      </c>
      <c r="J1935" t="s">
        <v>12671</v>
      </c>
      <c r="K1935">
        <v>59320</v>
      </c>
      <c r="L1935" t="s">
        <v>71</v>
      </c>
      <c r="M1935" t="s">
        <v>46</v>
      </c>
      <c r="N1935" t="s">
        <v>47</v>
      </c>
      <c r="O1935">
        <v>1</v>
      </c>
      <c r="P1935">
        <v>1</v>
      </c>
      <c r="Q1935">
        <v>1</v>
      </c>
      <c r="R1935" t="s">
        <v>48</v>
      </c>
      <c r="S1935" t="s">
        <v>49</v>
      </c>
      <c r="T1935" s="3">
        <v>0.84</v>
      </c>
      <c r="U1935" s="3">
        <v>0.23</v>
      </c>
      <c r="V1935" s="3">
        <v>0.94</v>
      </c>
      <c r="W1935">
        <v>0.15</v>
      </c>
      <c r="X1935" t="s">
        <v>108</v>
      </c>
      <c r="Y1935" s="3">
        <v>5.14</v>
      </c>
      <c r="Z1935" t="s">
        <v>9850</v>
      </c>
      <c r="AA1935" t="s">
        <v>12391</v>
      </c>
      <c r="AB1935" t="s">
        <v>53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f t="shared" si="60"/>
        <v>7.15</v>
      </c>
      <c r="AK1935" s="3">
        <f t="shared" si="61"/>
        <v>2.0100000000000007</v>
      </c>
    </row>
    <row r="1936" spans="1:37">
      <c r="A1936">
        <v>10385555</v>
      </c>
      <c r="B1936" t="s">
        <v>37</v>
      </c>
      <c r="C1936" t="s">
        <v>12672</v>
      </c>
      <c r="E1936" t="s">
        <v>8248</v>
      </c>
      <c r="F1936" t="s">
        <v>12673</v>
      </c>
      <c r="G1936" t="s">
        <v>12674</v>
      </c>
      <c r="H1936" t="s">
        <v>42</v>
      </c>
      <c r="I1936" t="s">
        <v>12675</v>
      </c>
      <c r="J1936" t="s">
        <v>12676</v>
      </c>
      <c r="K1936">
        <v>33659</v>
      </c>
      <c r="L1936" t="s">
        <v>71</v>
      </c>
      <c r="M1936" t="s">
        <v>46</v>
      </c>
      <c r="N1936" t="s">
        <v>47</v>
      </c>
      <c r="O1936">
        <v>1</v>
      </c>
      <c r="P1936">
        <v>1</v>
      </c>
      <c r="Q1936">
        <v>1</v>
      </c>
      <c r="R1936" t="s">
        <v>48</v>
      </c>
      <c r="S1936" t="s">
        <v>49</v>
      </c>
      <c r="T1936" s="3">
        <v>0.84</v>
      </c>
      <c r="U1936" s="3">
        <v>0.23</v>
      </c>
      <c r="V1936" s="3">
        <v>0.94</v>
      </c>
      <c r="W1936">
        <v>0.15</v>
      </c>
      <c r="X1936" t="s">
        <v>108</v>
      </c>
      <c r="Y1936" s="3">
        <v>5.14</v>
      </c>
      <c r="Z1936" t="s">
        <v>9850</v>
      </c>
      <c r="AA1936" t="s">
        <v>12434</v>
      </c>
      <c r="AB1936" t="s">
        <v>53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f t="shared" si="60"/>
        <v>7.15</v>
      </c>
      <c r="AK1936" s="3">
        <f t="shared" si="61"/>
        <v>2.0100000000000007</v>
      </c>
    </row>
    <row r="1937" spans="1:37">
      <c r="A1937">
        <v>10387316</v>
      </c>
      <c r="B1937" t="s">
        <v>37</v>
      </c>
      <c r="C1937" t="s">
        <v>12677</v>
      </c>
      <c r="E1937" t="s">
        <v>2941</v>
      </c>
      <c r="F1937" t="s">
        <v>12678</v>
      </c>
      <c r="G1937" t="s">
        <v>12679</v>
      </c>
      <c r="H1937" t="s">
        <v>42</v>
      </c>
      <c r="I1937" t="s">
        <v>12680</v>
      </c>
      <c r="J1937" t="s">
        <v>12681</v>
      </c>
      <c r="K1937" t="s">
        <v>12682</v>
      </c>
      <c r="L1937" t="s">
        <v>142</v>
      </c>
      <c r="M1937" t="s">
        <v>46</v>
      </c>
      <c r="N1937" t="s">
        <v>47</v>
      </c>
      <c r="O1937">
        <v>4</v>
      </c>
      <c r="P1937">
        <v>1</v>
      </c>
      <c r="Q1937">
        <v>4</v>
      </c>
      <c r="R1937" t="s">
        <v>48</v>
      </c>
      <c r="S1937" t="s">
        <v>49</v>
      </c>
      <c r="T1937" s="3">
        <v>0.84</v>
      </c>
      <c r="U1937" s="3">
        <v>0.23</v>
      </c>
      <c r="V1937" s="3">
        <v>3.55</v>
      </c>
      <c r="W1937">
        <v>3.2</v>
      </c>
      <c r="X1937" t="s">
        <v>50</v>
      </c>
      <c r="Y1937" s="3">
        <v>16.43</v>
      </c>
      <c r="Z1937" t="s">
        <v>9686</v>
      </c>
      <c r="AA1937" t="s">
        <v>12683</v>
      </c>
      <c r="AB1937" t="s">
        <v>53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f t="shared" si="60"/>
        <v>21.05</v>
      </c>
      <c r="AK1937" s="3">
        <f t="shared" si="61"/>
        <v>4.620000000000001</v>
      </c>
    </row>
    <row r="1938" spans="1:37">
      <c r="A1938">
        <v>10383311</v>
      </c>
      <c r="B1938" t="s">
        <v>37</v>
      </c>
      <c r="C1938" t="s">
        <v>12684</v>
      </c>
      <c r="E1938" t="s">
        <v>12685</v>
      </c>
      <c r="F1938" t="s">
        <v>12686</v>
      </c>
      <c r="G1938" t="s">
        <v>12687</v>
      </c>
      <c r="H1938" t="s">
        <v>42</v>
      </c>
      <c r="I1938" t="s">
        <v>12688</v>
      </c>
      <c r="J1938" t="s">
        <v>12689</v>
      </c>
      <c r="K1938">
        <v>61440</v>
      </c>
      <c r="L1938" t="s">
        <v>71</v>
      </c>
      <c r="M1938" t="s">
        <v>46</v>
      </c>
      <c r="N1938" t="s">
        <v>47</v>
      </c>
      <c r="O1938">
        <v>1</v>
      </c>
      <c r="P1938">
        <v>1</v>
      </c>
      <c r="Q1938">
        <v>1</v>
      </c>
      <c r="R1938" t="s">
        <v>48</v>
      </c>
      <c r="S1938" t="s">
        <v>49</v>
      </c>
      <c r="T1938" s="3">
        <v>0.84</v>
      </c>
      <c r="U1938" s="3">
        <v>0.23</v>
      </c>
      <c r="V1938" s="3">
        <v>0.94</v>
      </c>
      <c r="W1938">
        <v>0.15</v>
      </c>
      <c r="X1938" t="s">
        <v>108</v>
      </c>
      <c r="Y1938" s="3">
        <v>5.14</v>
      </c>
      <c r="Z1938" t="s">
        <v>9850</v>
      </c>
      <c r="AA1938" t="s">
        <v>6464</v>
      </c>
      <c r="AB1938" t="s">
        <v>53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f t="shared" si="60"/>
        <v>7.15</v>
      </c>
      <c r="AK1938" s="3">
        <f t="shared" si="61"/>
        <v>2.0100000000000007</v>
      </c>
    </row>
    <row r="1939" spans="1:37">
      <c r="A1939">
        <v>10383300</v>
      </c>
      <c r="B1939" t="s">
        <v>37</v>
      </c>
      <c r="C1939" t="s">
        <v>12690</v>
      </c>
      <c r="E1939" t="s">
        <v>3148</v>
      </c>
      <c r="F1939" t="s">
        <v>12691</v>
      </c>
      <c r="G1939" t="s">
        <v>12692</v>
      </c>
      <c r="H1939" t="s">
        <v>42</v>
      </c>
      <c r="I1939" t="s">
        <v>12693</v>
      </c>
      <c r="J1939" t="s">
        <v>12694</v>
      </c>
      <c r="K1939" t="s">
        <v>12695</v>
      </c>
      <c r="L1939" t="s">
        <v>142</v>
      </c>
      <c r="M1939" t="s">
        <v>46</v>
      </c>
      <c r="N1939" t="s">
        <v>47</v>
      </c>
      <c r="O1939">
        <v>1</v>
      </c>
      <c r="P1939">
        <v>1</v>
      </c>
      <c r="Q1939">
        <v>1</v>
      </c>
      <c r="R1939" t="s">
        <v>48</v>
      </c>
      <c r="S1939" t="s">
        <v>49</v>
      </c>
      <c r="T1939" s="3">
        <v>0.84</v>
      </c>
      <c r="U1939" s="3">
        <v>0.23</v>
      </c>
      <c r="V1939" s="3">
        <v>0.94</v>
      </c>
      <c r="W1939">
        <v>0.26</v>
      </c>
      <c r="X1939" t="s">
        <v>50</v>
      </c>
      <c r="Y1939" s="3">
        <v>16.43</v>
      </c>
      <c r="Z1939" t="s">
        <v>9850</v>
      </c>
      <c r="AA1939" t="s">
        <v>4068</v>
      </c>
      <c r="AB1939" t="s">
        <v>53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f t="shared" si="60"/>
        <v>18.440000000000001</v>
      </c>
      <c r="AK1939" s="3">
        <f t="shared" si="61"/>
        <v>2.0100000000000016</v>
      </c>
    </row>
    <row r="1940" spans="1:37">
      <c r="A1940">
        <v>10387144</v>
      </c>
      <c r="B1940" t="s">
        <v>37</v>
      </c>
      <c r="C1940" t="s">
        <v>12696</v>
      </c>
      <c r="E1940" t="s">
        <v>247</v>
      </c>
      <c r="F1940" t="s">
        <v>12697</v>
      </c>
      <c r="G1940" t="s">
        <v>12698</v>
      </c>
      <c r="H1940" t="s">
        <v>42</v>
      </c>
      <c r="I1940" t="s">
        <v>12699</v>
      </c>
      <c r="J1940" t="s">
        <v>12700</v>
      </c>
      <c r="K1940">
        <v>9140</v>
      </c>
      <c r="L1940" t="s">
        <v>505</v>
      </c>
      <c r="M1940" t="s">
        <v>46</v>
      </c>
      <c r="N1940" t="s">
        <v>47</v>
      </c>
      <c r="O1940">
        <v>3</v>
      </c>
      <c r="P1940">
        <v>1</v>
      </c>
      <c r="Q1940">
        <v>3</v>
      </c>
      <c r="R1940" t="s">
        <v>48</v>
      </c>
      <c r="S1940" t="s">
        <v>49</v>
      </c>
      <c r="T1940" s="3">
        <v>0.84</v>
      </c>
      <c r="U1940" s="3">
        <v>0.23</v>
      </c>
      <c r="V1940" s="3">
        <v>2.68</v>
      </c>
      <c r="W1940">
        <v>0.92</v>
      </c>
      <c r="X1940" t="s">
        <v>50</v>
      </c>
      <c r="Y1940" s="3">
        <v>9.1999999999999993</v>
      </c>
      <c r="Z1940" t="s">
        <v>9686</v>
      </c>
      <c r="AA1940" t="s">
        <v>12701</v>
      </c>
      <c r="AB1940" t="s">
        <v>53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f t="shared" si="60"/>
        <v>12.95</v>
      </c>
      <c r="AK1940" s="3">
        <f t="shared" si="61"/>
        <v>3.75</v>
      </c>
    </row>
    <row r="1941" spans="1:37">
      <c r="A1941">
        <v>10383323</v>
      </c>
      <c r="B1941" t="s">
        <v>37</v>
      </c>
      <c r="C1941" t="s">
        <v>12702</v>
      </c>
      <c r="E1941" t="s">
        <v>12080</v>
      </c>
      <c r="F1941" t="s">
        <v>934</v>
      </c>
      <c r="G1941" t="s">
        <v>12703</v>
      </c>
      <c r="H1941" t="s">
        <v>42</v>
      </c>
      <c r="I1941" t="s">
        <v>12704</v>
      </c>
      <c r="J1941" t="s">
        <v>12705</v>
      </c>
      <c r="K1941">
        <v>14552</v>
      </c>
      <c r="L1941" t="s">
        <v>71</v>
      </c>
      <c r="M1941" t="s">
        <v>46</v>
      </c>
      <c r="N1941" t="s">
        <v>47</v>
      </c>
      <c r="O1941">
        <v>1</v>
      </c>
      <c r="P1941">
        <v>1</v>
      </c>
      <c r="Q1941">
        <v>1</v>
      </c>
      <c r="R1941" t="s">
        <v>48</v>
      </c>
      <c r="S1941" t="s">
        <v>49</v>
      </c>
      <c r="T1941" s="3">
        <v>0.84</v>
      </c>
      <c r="U1941" s="3">
        <v>0.23</v>
      </c>
      <c r="V1941" s="3">
        <v>0.94</v>
      </c>
      <c r="W1941">
        <v>0.15</v>
      </c>
      <c r="X1941" t="s">
        <v>108</v>
      </c>
      <c r="Y1941" s="3">
        <v>5.14</v>
      </c>
      <c r="Z1941" t="s">
        <v>9850</v>
      </c>
      <c r="AA1941" t="s">
        <v>6464</v>
      </c>
      <c r="AB1941" t="s">
        <v>53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f t="shared" si="60"/>
        <v>7.15</v>
      </c>
      <c r="AK1941" s="3">
        <f t="shared" si="61"/>
        <v>2.0100000000000007</v>
      </c>
    </row>
    <row r="1942" spans="1:37">
      <c r="A1942">
        <v>10383329</v>
      </c>
      <c r="B1942" t="s">
        <v>37</v>
      </c>
      <c r="C1942" t="s">
        <v>12706</v>
      </c>
      <c r="E1942" t="s">
        <v>2099</v>
      </c>
      <c r="F1942" t="s">
        <v>12707</v>
      </c>
      <c r="G1942" t="s">
        <v>12708</v>
      </c>
      <c r="H1942" t="s">
        <v>42</v>
      </c>
      <c r="I1942" t="s">
        <v>12709</v>
      </c>
      <c r="J1942" t="s">
        <v>12710</v>
      </c>
      <c r="K1942">
        <v>32602</v>
      </c>
      <c r="L1942" t="s">
        <v>71</v>
      </c>
      <c r="M1942" t="s">
        <v>46</v>
      </c>
      <c r="N1942" t="s">
        <v>47</v>
      </c>
      <c r="O1942">
        <v>1</v>
      </c>
      <c r="P1942">
        <v>1</v>
      </c>
      <c r="Q1942">
        <v>1</v>
      </c>
      <c r="R1942" t="s">
        <v>48</v>
      </c>
      <c r="S1942" t="s">
        <v>49</v>
      </c>
      <c r="T1942" s="3">
        <v>0.84</v>
      </c>
      <c r="U1942" s="3">
        <v>0.23</v>
      </c>
      <c r="V1942" s="3">
        <v>0.94</v>
      </c>
      <c r="W1942">
        <v>0.15</v>
      </c>
      <c r="X1942" t="s">
        <v>108</v>
      </c>
      <c r="Y1942" s="3">
        <v>5.14</v>
      </c>
      <c r="Z1942" t="s">
        <v>9850</v>
      </c>
      <c r="AA1942" t="s">
        <v>6464</v>
      </c>
      <c r="AB1942" t="s">
        <v>53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f t="shared" si="60"/>
        <v>7.15</v>
      </c>
      <c r="AK1942" s="3">
        <f t="shared" si="61"/>
        <v>2.0100000000000007</v>
      </c>
    </row>
    <row r="1943" spans="1:37">
      <c r="A1943">
        <v>10383784</v>
      </c>
      <c r="B1943" t="s">
        <v>37</v>
      </c>
      <c r="C1943" t="s">
        <v>12711</v>
      </c>
      <c r="E1943" t="s">
        <v>1470</v>
      </c>
      <c r="F1943" t="s">
        <v>12712</v>
      </c>
      <c r="G1943" t="s">
        <v>12713</v>
      </c>
      <c r="H1943" t="s">
        <v>42</v>
      </c>
      <c r="I1943" t="s">
        <v>12714</v>
      </c>
      <c r="J1943" t="s">
        <v>12715</v>
      </c>
      <c r="K1943">
        <v>47877</v>
      </c>
      <c r="L1943" t="s">
        <v>71</v>
      </c>
      <c r="M1943" t="s">
        <v>46</v>
      </c>
      <c r="N1943" t="s">
        <v>47</v>
      </c>
      <c r="O1943">
        <v>1</v>
      </c>
      <c r="P1943">
        <v>1</v>
      </c>
      <c r="Q1943">
        <v>1</v>
      </c>
      <c r="R1943" t="s">
        <v>48</v>
      </c>
      <c r="S1943" t="s">
        <v>49</v>
      </c>
      <c r="T1943" s="3">
        <v>0.84</v>
      </c>
      <c r="U1943" s="3">
        <v>0.23</v>
      </c>
      <c r="V1943" s="3">
        <v>0.94</v>
      </c>
      <c r="W1943">
        <v>0.15</v>
      </c>
      <c r="X1943" t="s">
        <v>108</v>
      </c>
      <c r="Y1943" s="3">
        <v>5.14</v>
      </c>
      <c r="Z1943" t="s">
        <v>9850</v>
      </c>
      <c r="AA1943" t="s">
        <v>6464</v>
      </c>
      <c r="AB1943" t="s">
        <v>53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f t="shared" si="60"/>
        <v>7.15</v>
      </c>
      <c r="AK1943" s="3">
        <f t="shared" si="61"/>
        <v>2.0100000000000007</v>
      </c>
    </row>
    <row r="1944" spans="1:37">
      <c r="A1944">
        <v>10383308</v>
      </c>
      <c r="B1944" t="s">
        <v>37</v>
      </c>
      <c r="C1944" t="s">
        <v>12716</v>
      </c>
      <c r="E1944" t="s">
        <v>1292</v>
      </c>
      <c r="F1944" t="s">
        <v>12717</v>
      </c>
      <c r="G1944" t="s">
        <v>12718</v>
      </c>
      <c r="H1944" t="s">
        <v>42</v>
      </c>
      <c r="I1944" t="s">
        <v>12719</v>
      </c>
      <c r="J1944" t="s">
        <v>12720</v>
      </c>
      <c r="K1944">
        <v>78176</v>
      </c>
      <c r="L1944" t="s">
        <v>71</v>
      </c>
      <c r="M1944" t="s">
        <v>46</v>
      </c>
      <c r="N1944" t="s">
        <v>47</v>
      </c>
      <c r="O1944">
        <v>1</v>
      </c>
      <c r="P1944">
        <v>1</v>
      </c>
      <c r="Q1944">
        <v>1</v>
      </c>
      <c r="R1944" t="s">
        <v>48</v>
      </c>
      <c r="S1944" t="s">
        <v>49</v>
      </c>
      <c r="T1944" s="3">
        <v>0.84</v>
      </c>
      <c r="U1944" s="3">
        <v>0.23</v>
      </c>
      <c r="V1944" s="3">
        <v>0.94</v>
      </c>
      <c r="W1944">
        <v>0.15</v>
      </c>
      <c r="X1944" t="s">
        <v>108</v>
      </c>
      <c r="Y1944" s="3">
        <v>5.14</v>
      </c>
      <c r="Z1944" t="s">
        <v>9850</v>
      </c>
      <c r="AA1944" t="s">
        <v>9271</v>
      </c>
      <c r="AB1944" t="s">
        <v>53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f t="shared" si="60"/>
        <v>7.15</v>
      </c>
      <c r="AK1944" s="3">
        <f t="shared" si="61"/>
        <v>2.0100000000000007</v>
      </c>
    </row>
    <row r="1945" spans="1:37">
      <c r="A1945">
        <v>10386292</v>
      </c>
      <c r="B1945" t="s">
        <v>37</v>
      </c>
      <c r="C1945" t="s">
        <v>12721</v>
      </c>
      <c r="E1945" t="s">
        <v>12722</v>
      </c>
      <c r="F1945" t="s">
        <v>12723</v>
      </c>
      <c r="G1945" t="s">
        <v>12724</v>
      </c>
      <c r="H1945" t="s">
        <v>42</v>
      </c>
      <c r="I1945" t="s">
        <v>12725</v>
      </c>
      <c r="J1945" t="s">
        <v>12726</v>
      </c>
      <c r="K1945">
        <v>32051</v>
      </c>
      <c r="L1945" t="s">
        <v>71</v>
      </c>
      <c r="M1945" t="s">
        <v>46</v>
      </c>
      <c r="N1945" t="s">
        <v>47</v>
      </c>
      <c r="O1945">
        <v>3</v>
      </c>
      <c r="P1945">
        <v>1</v>
      </c>
      <c r="Q1945">
        <v>3</v>
      </c>
      <c r="R1945" t="s">
        <v>48</v>
      </c>
      <c r="S1945" t="s">
        <v>49</v>
      </c>
      <c r="T1945" s="3">
        <v>0.84</v>
      </c>
      <c r="U1945" s="3">
        <v>0.23</v>
      </c>
      <c r="V1945" s="3">
        <v>2.68</v>
      </c>
      <c r="W1945">
        <v>0.45</v>
      </c>
      <c r="X1945" t="s">
        <v>108</v>
      </c>
      <c r="Y1945" s="3">
        <v>5.14</v>
      </c>
      <c r="Z1945" t="s">
        <v>9686</v>
      </c>
      <c r="AA1945" t="s">
        <v>12434</v>
      </c>
      <c r="AB1945" t="s">
        <v>53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f t="shared" si="60"/>
        <v>8.89</v>
      </c>
      <c r="AK1945" s="3">
        <f t="shared" si="61"/>
        <v>3.7500000000000009</v>
      </c>
    </row>
    <row r="1946" spans="1:37">
      <c r="A1946">
        <v>10383336</v>
      </c>
      <c r="B1946" t="s">
        <v>37</v>
      </c>
      <c r="C1946" t="s">
        <v>12727</v>
      </c>
      <c r="E1946" t="s">
        <v>4033</v>
      </c>
      <c r="F1946" t="s">
        <v>12728</v>
      </c>
      <c r="G1946" t="s">
        <v>12729</v>
      </c>
      <c r="H1946" t="s">
        <v>42</v>
      </c>
      <c r="I1946" t="s">
        <v>12730</v>
      </c>
      <c r="J1946" t="s">
        <v>12731</v>
      </c>
      <c r="K1946" t="s">
        <v>12732</v>
      </c>
      <c r="L1946" t="s">
        <v>71</v>
      </c>
      <c r="M1946" t="s">
        <v>46</v>
      </c>
      <c r="N1946" t="s">
        <v>47</v>
      </c>
      <c r="O1946">
        <v>1</v>
      </c>
      <c r="P1946">
        <v>1</v>
      </c>
      <c r="Q1946">
        <v>1</v>
      </c>
      <c r="R1946" t="s">
        <v>48</v>
      </c>
      <c r="S1946" t="s">
        <v>49</v>
      </c>
      <c r="T1946" s="3">
        <v>0.84</v>
      </c>
      <c r="U1946" s="3">
        <v>0.23</v>
      </c>
      <c r="V1946" s="3">
        <v>0.94</v>
      </c>
      <c r="W1946">
        <v>0.15</v>
      </c>
      <c r="X1946" t="s">
        <v>108</v>
      </c>
      <c r="Y1946" s="3">
        <v>5.14</v>
      </c>
      <c r="Z1946" t="s">
        <v>9850</v>
      </c>
      <c r="AA1946" t="s">
        <v>12391</v>
      </c>
      <c r="AB1946" t="s">
        <v>53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f t="shared" si="60"/>
        <v>7.15</v>
      </c>
      <c r="AK1946" s="3">
        <f t="shared" si="61"/>
        <v>2.0100000000000007</v>
      </c>
    </row>
    <row r="1947" spans="1:37">
      <c r="A1947">
        <v>10383339</v>
      </c>
      <c r="B1947" t="s">
        <v>37</v>
      </c>
      <c r="C1947" t="s">
        <v>12733</v>
      </c>
      <c r="E1947" t="s">
        <v>4735</v>
      </c>
      <c r="F1947" t="s">
        <v>12734</v>
      </c>
      <c r="G1947" t="s">
        <v>12735</v>
      </c>
      <c r="H1947" t="s">
        <v>42</v>
      </c>
      <c r="I1947" t="s">
        <v>12736</v>
      </c>
      <c r="J1947" t="s">
        <v>12737</v>
      </c>
      <c r="K1947">
        <v>45147</v>
      </c>
      <c r="L1947" t="s">
        <v>71</v>
      </c>
      <c r="M1947" t="s">
        <v>46</v>
      </c>
      <c r="N1947" t="s">
        <v>47</v>
      </c>
      <c r="O1947">
        <v>1</v>
      </c>
      <c r="P1947">
        <v>1</v>
      </c>
      <c r="Q1947">
        <v>1</v>
      </c>
      <c r="R1947" t="s">
        <v>48</v>
      </c>
      <c r="S1947" t="s">
        <v>49</v>
      </c>
      <c r="T1947" s="3">
        <v>0.84</v>
      </c>
      <c r="U1947" s="3">
        <v>0.23</v>
      </c>
      <c r="V1947" s="3">
        <v>0.94</v>
      </c>
      <c r="W1947">
        <v>0.15</v>
      </c>
      <c r="X1947" t="s">
        <v>108</v>
      </c>
      <c r="Y1947" s="3">
        <v>5.14</v>
      </c>
      <c r="Z1947" t="s">
        <v>9850</v>
      </c>
      <c r="AA1947" t="s">
        <v>12391</v>
      </c>
      <c r="AB1947" t="s">
        <v>53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f t="shared" si="60"/>
        <v>7.15</v>
      </c>
      <c r="AK1947" s="3">
        <f t="shared" si="61"/>
        <v>2.0100000000000007</v>
      </c>
    </row>
    <row r="1948" spans="1:37">
      <c r="A1948">
        <v>10383342</v>
      </c>
      <c r="B1948" t="s">
        <v>37</v>
      </c>
      <c r="C1948" t="s">
        <v>12738</v>
      </c>
      <c r="E1948" t="s">
        <v>12739</v>
      </c>
      <c r="F1948" t="s">
        <v>12740</v>
      </c>
      <c r="G1948" t="s">
        <v>12741</v>
      </c>
      <c r="H1948" t="s">
        <v>42</v>
      </c>
      <c r="I1948" t="s">
        <v>12742</v>
      </c>
      <c r="J1948" t="s">
        <v>12743</v>
      </c>
      <c r="K1948">
        <v>50935</v>
      </c>
      <c r="L1948" t="s">
        <v>71</v>
      </c>
      <c r="M1948" t="s">
        <v>46</v>
      </c>
      <c r="N1948" t="s">
        <v>47</v>
      </c>
      <c r="O1948">
        <v>1</v>
      </c>
      <c r="P1948">
        <v>1</v>
      </c>
      <c r="Q1948">
        <v>1</v>
      </c>
      <c r="R1948" t="s">
        <v>48</v>
      </c>
      <c r="S1948" t="s">
        <v>49</v>
      </c>
      <c r="T1948" s="3">
        <v>0.84</v>
      </c>
      <c r="U1948" s="3">
        <v>0.23</v>
      </c>
      <c r="V1948" s="3">
        <v>0.94</v>
      </c>
      <c r="W1948">
        <v>0.15</v>
      </c>
      <c r="X1948" t="s">
        <v>108</v>
      </c>
      <c r="Y1948" s="3">
        <v>5.14</v>
      </c>
      <c r="Z1948" t="s">
        <v>9850</v>
      </c>
      <c r="AA1948" t="s">
        <v>12391</v>
      </c>
      <c r="AB1948" t="s">
        <v>53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f t="shared" si="60"/>
        <v>7.15</v>
      </c>
      <c r="AK1948" s="3">
        <f t="shared" si="61"/>
        <v>2.0100000000000007</v>
      </c>
    </row>
    <row r="1949" spans="1:37">
      <c r="A1949">
        <v>10383345</v>
      </c>
      <c r="B1949" t="s">
        <v>37</v>
      </c>
      <c r="C1949" t="s">
        <v>12744</v>
      </c>
      <c r="E1949" t="s">
        <v>2099</v>
      </c>
      <c r="F1949" t="s">
        <v>904</v>
      </c>
      <c r="G1949" t="s">
        <v>12745</v>
      </c>
      <c r="H1949" t="s">
        <v>42</v>
      </c>
      <c r="I1949" t="s">
        <v>12746</v>
      </c>
      <c r="J1949" t="s">
        <v>12747</v>
      </c>
      <c r="K1949">
        <v>92700</v>
      </c>
      <c r="L1949" t="s">
        <v>71</v>
      </c>
      <c r="M1949" t="s">
        <v>46</v>
      </c>
      <c r="N1949" t="s">
        <v>47</v>
      </c>
      <c r="O1949">
        <v>1</v>
      </c>
      <c r="P1949">
        <v>1</v>
      </c>
      <c r="Q1949">
        <v>1</v>
      </c>
      <c r="R1949" t="s">
        <v>48</v>
      </c>
      <c r="S1949" t="s">
        <v>49</v>
      </c>
      <c r="T1949" s="3">
        <v>0.84</v>
      </c>
      <c r="U1949" s="3">
        <v>0.23</v>
      </c>
      <c r="V1949" s="3">
        <v>0.94</v>
      </c>
      <c r="W1949">
        <v>0.15</v>
      </c>
      <c r="X1949" t="s">
        <v>108</v>
      </c>
      <c r="Y1949" s="3">
        <v>5.14</v>
      </c>
      <c r="Z1949" t="s">
        <v>9850</v>
      </c>
      <c r="AA1949" t="s">
        <v>12391</v>
      </c>
      <c r="AB1949" t="s">
        <v>53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f t="shared" si="60"/>
        <v>7.15</v>
      </c>
      <c r="AK1949" s="3">
        <f t="shared" si="61"/>
        <v>2.0100000000000007</v>
      </c>
    </row>
    <row r="1950" spans="1:37">
      <c r="A1950">
        <v>10387311</v>
      </c>
      <c r="B1950" t="s">
        <v>37</v>
      </c>
      <c r="C1950" t="s">
        <v>12748</v>
      </c>
      <c r="E1950" t="s">
        <v>12749</v>
      </c>
      <c r="F1950" t="s">
        <v>12750</v>
      </c>
      <c r="G1950" t="s">
        <v>12751</v>
      </c>
      <c r="H1950" t="s">
        <v>42</v>
      </c>
      <c r="I1950" t="s">
        <v>12752</v>
      </c>
      <c r="J1950" t="s">
        <v>12753</v>
      </c>
      <c r="K1950">
        <v>32052</v>
      </c>
      <c r="L1950" t="s">
        <v>71</v>
      </c>
      <c r="M1950" t="s">
        <v>46</v>
      </c>
      <c r="N1950" t="s">
        <v>47</v>
      </c>
      <c r="O1950">
        <v>1</v>
      </c>
      <c r="P1950">
        <v>1</v>
      </c>
      <c r="Q1950">
        <v>1</v>
      </c>
      <c r="R1950" t="s">
        <v>48</v>
      </c>
      <c r="S1950" t="s">
        <v>49</v>
      </c>
      <c r="T1950" s="3">
        <v>0.84</v>
      </c>
      <c r="U1950" s="3">
        <v>0.23</v>
      </c>
      <c r="V1950" s="3">
        <v>0.94</v>
      </c>
      <c r="W1950">
        <v>0.5</v>
      </c>
      <c r="X1950" t="s">
        <v>108</v>
      </c>
      <c r="Y1950" s="3">
        <v>5.14</v>
      </c>
      <c r="Z1950" t="s">
        <v>9850</v>
      </c>
      <c r="AA1950" t="s">
        <v>12754</v>
      </c>
      <c r="AB1950" t="s">
        <v>53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f t="shared" si="60"/>
        <v>7.15</v>
      </c>
      <c r="AK1950" s="3">
        <f t="shared" si="61"/>
        <v>2.0100000000000007</v>
      </c>
    </row>
    <row r="1951" spans="1:37">
      <c r="A1951">
        <v>10383303</v>
      </c>
      <c r="B1951" t="s">
        <v>37</v>
      </c>
      <c r="C1951" t="s">
        <v>12755</v>
      </c>
      <c r="E1951" t="s">
        <v>2984</v>
      </c>
      <c r="F1951" t="s">
        <v>12756</v>
      </c>
      <c r="G1951" t="s">
        <v>12757</v>
      </c>
      <c r="H1951" t="s">
        <v>42</v>
      </c>
      <c r="I1951" t="s">
        <v>12758</v>
      </c>
      <c r="J1951" t="s">
        <v>12759</v>
      </c>
      <c r="K1951">
        <v>30625</v>
      </c>
      <c r="L1951" t="s">
        <v>71</v>
      </c>
      <c r="M1951" t="s">
        <v>46</v>
      </c>
      <c r="N1951" t="s">
        <v>47</v>
      </c>
      <c r="O1951">
        <v>1</v>
      </c>
      <c r="P1951">
        <v>1</v>
      </c>
      <c r="Q1951">
        <v>1</v>
      </c>
      <c r="R1951" t="s">
        <v>48</v>
      </c>
      <c r="S1951" t="s">
        <v>49</v>
      </c>
      <c r="T1951" s="3">
        <v>0.84</v>
      </c>
      <c r="U1951" s="3">
        <v>0.23</v>
      </c>
      <c r="V1951" s="3">
        <v>0.94</v>
      </c>
      <c r="W1951">
        <v>1.02</v>
      </c>
      <c r="X1951" t="s">
        <v>108</v>
      </c>
      <c r="Y1951" s="3">
        <v>5.14</v>
      </c>
      <c r="Z1951" t="s">
        <v>9686</v>
      </c>
      <c r="AA1951" t="s">
        <v>10401</v>
      </c>
      <c r="AB1951" t="s">
        <v>53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f t="shared" si="60"/>
        <v>7.15</v>
      </c>
      <c r="AK1951" s="3">
        <f t="shared" si="61"/>
        <v>2.0100000000000007</v>
      </c>
    </row>
    <row r="1952" spans="1:37">
      <c r="A1952">
        <v>10383350</v>
      </c>
      <c r="B1952" t="s">
        <v>37</v>
      </c>
      <c r="C1952" t="s">
        <v>12760</v>
      </c>
      <c r="E1952" t="s">
        <v>1336</v>
      </c>
      <c r="F1952" t="s">
        <v>12761</v>
      </c>
      <c r="G1952" t="s">
        <v>12762</v>
      </c>
      <c r="H1952" t="s">
        <v>42</v>
      </c>
      <c r="I1952" t="s">
        <v>12763</v>
      </c>
      <c r="J1952" t="s">
        <v>12764</v>
      </c>
      <c r="K1952">
        <v>27245</v>
      </c>
      <c r="L1952" t="s">
        <v>71</v>
      </c>
      <c r="M1952" t="s">
        <v>46</v>
      </c>
      <c r="N1952" t="s">
        <v>47</v>
      </c>
      <c r="O1952">
        <v>1</v>
      </c>
      <c r="P1952">
        <v>1</v>
      </c>
      <c r="Q1952">
        <v>1</v>
      </c>
      <c r="R1952" t="s">
        <v>48</v>
      </c>
      <c r="S1952" t="s">
        <v>49</v>
      </c>
      <c r="T1952" s="3">
        <v>0.84</v>
      </c>
      <c r="U1952" s="3">
        <v>0.23</v>
      </c>
      <c r="V1952" s="3">
        <v>0.94</v>
      </c>
      <c r="W1952">
        <v>0.15</v>
      </c>
      <c r="X1952" t="s">
        <v>108</v>
      </c>
      <c r="Y1952" s="3">
        <v>6.54</v>
      </c>
      <c r="Z1952" t="s">
        <v>9850</v>
      </c>
      <c r="AA1952" t="s">
        <v>12391</v>
      </c>
      <c r="AB1952" t="s">
        <v>53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f t="shared" si="60"/>
        <v>8.5500000000000007</v>
      </c>
      <c r="AK1952" s="3">
        <f t="shared" si="61"/>
        <v>2.0100000000000007</v>
      </c>
    </row>
    <row r="1953" spans="1:37">
      <c r="A1953">
        <v>10387309</v>
      </c>
      <c r="B1953" t="s">
        <v>37</v>
      </c>
      <c r="C1953" t="s">
        <v>12765</v>
      </c>
      <c r="E1953" t="s">
        <v>12766</v>
      </c>
      <c r="F1953" t="s">
        <v>12767</v>
      </c>
      <c r="G1953" t="s">
        <v>12768</v>
      </c>
      <c r="H1953" t="s">
        <v>42</v>
      </c>
      <c r="I1953" t="s">
        <v>12769</v>
      </c>
      <c r="J1953" t="s">
        <v>12770</v>
      </c>
      <c r="K1953" t="s">
        <v>12771</v>
      </c>
      <c r="L1953" t="s">
        <v>71</v>
      </c>
      <c r="M1953" t="s">
        <v>46</v>
      </c>
      <c r="N1953" t="s">
        <v>47</v>
      </c>
      <c r="O1953">
        <v>1</v>
      </c>
      <c r="P1953">
        <v>1</v>
      </c>
      <c r="Q1953">
        <v>1</v>
      </c>
      <c r="R1953" t="s">
        <v>48</v>
      </c>
      <c r="S1953" t="s">
        <v>49</v>
      </c>
      <c r="T1953" s="3">
        <v>0.84</v>
      </c>
      <c r="U1953" s="3">
        <v>0.23</v>
      </c>
      <c r="V1953" s="3">
        <v>0.94</v>
      </c>
      <c r="W1953">
        <v>0.39</v>
      </c>
      <c r="X1953" t="s">
        <v>108</v>
      </c>
      <c r="Y1953" s="3">
        <v>5.14</v>
      </c>
      <c r="Z1953" t="s">
        <v>9850</v>
      </c>
      <c r="AA1953" t="s">
        <v>8507</v>
      </c>
      <c r="AB1953" t="s">
        <v>53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f t="shared" si="60"/>
        <v>7.15</v>
      </c>
      <c r="AK1953" s="3">
        <f t="shared" si="61"/>
        <v>2.0100000000000007</v>
      </c>
    </row>
    <row r="1954" spans="1:37">
      <c r="A1954">
        <v>10383781</v>
      </c>
      <c r="B1954" t="s">
        <v>37</v>
      </c>
      <c r="C1954" t="s">
        <v>12772</v>
      </c>
      <c r="E1954" t="s">
        <v>12773</v>
      </c>
      <c r="F1954" t="s">
        <v>1991</v>
      </c>
      <c r="G1954" t="s">
        <v>12774</v>
      </c>
      <c r="H1954" t="s">
        <v>42</v>
      </c>
      <c r="I1954" t="s">
        <v>12775</v>
      </c>
      <c r="J1954" t="s">
        <v>12776</v>
      </c>
      <c r="K1954">
        <v>30982</v>
      </c>
      <c r="L1954" t="s">
        <v>71</v>
      </c>
      <c r="M1954" t="s">
        <v>46</v>
      </c>
      <c r="N1954" t="s">
        <v>47</v>
      </c>
      <c r="O1954">
        <v>1</v>
      </c>
      <c r="P1954">
        <v>1</v>
      </c>
      <c r="Q1954">
        <v>1</v>
      </c>
      <c r="R1954" t="s">
        <v>48</v>
      </c>
      <c r="S1954" t="s">
        <v>49</v>
      </c>
      <c r="T1954" s="3">
        <v>0.84</v>
      </c>
      <c r="U1954" s="3">
        <v>0.23</v>
      </c>
      <c r="V1954" s="3">
        <v>0.94</v>
      </c>
      <c r="W1954">
        <v>0.15</v>
      </c>
      <c r="X1954" t="s">
        <v>108</v>
      </c>
      <c r="Y1954" s="3">
        <v>5.14</v>
      </c>
      <c r="Z1954" t="s">
        <v>9850</v>
      </c>
      <c r="AA1954" t="s">
        <v>12434</v>
      </c>
      <c r="AB1954" t="s">
        <v>53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f t="shared" si="60"/>
        <v>7.15</v>
      </c>
      <c r="AK1954" s="3">
        <f t="shared" si="61"/>
        <v>2.0100000000000007</v>
      </c>
    </row>
    <row r="1955" spans="1:37">
      <c r="A1955">
        <v>10383786</v>
      </c>
      <c r="B1955" t="s">
        <v>37</v>
      </c>
      <c r="C1955" t="s">
        <v>12777</v>
      </c>
      <c r="E1955" t="s">
        <v>731</v>
      </c>
      <c r="F1955" t="s">
        <v>12778</v>
      </c>
      <c r="G1955" t="s">
        <v>12779</v>
      </c>
      <c r="H1955" t="s">
        <v>42</v>
      </c>
      <c r="I1955" t="s">
        <v>12780</v>
      </c>
      <c r="J1955" t="s">
        <v>12781</v>
      </c>
      <c r="K1955">
        <v>1020</v>
      </c>
      <c r="L1955" t="s">
        <v>618</v>
      </c>
      <c r="M1955" t="s">
        <v>46</v>
      </c>
      <c r="N1955" t="s">
        <v>47</v>
      </c>
      <c r="O1955">
        <v>1</v>
      </c>
      <c r="P1955">
        <v>1</v>
      </c>
      <c r="Q1955">
        <v>1</v>
      </c>
      <c r="R1955" t="s">
        <v>48</v>
      </c>
      <c r="S1955" t="s">
        <v>49</v>
      </c>
      <c r="T1955" s="3">
        <v>0.84</v>
      </c>
      <c r="U1955" s="3">
        <v>0.23</v>
      </c>
      <c r="V1955" s="3">
        <v>0.94</v>
      </c>
      <c r="W1955">
        <v>0.15</v>
      </c>
      <c r="X1955" t="s">
        <v>50</v>
      </c>
      <c r="Y1955" s="3">
        <v>9.1999999999999993</v>
      </c>
      <c r="Z1955" t="s">
        <v>9850</v>
      </c>
      <c r="AA1955" t="s">
        <v>12434</v>
      </c>
      <c r="AB1955" t="s">
        <v>53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f t="shared" si="60"/>
        <v>11.209999999999999</v>
      </c>
      <c r="AK1955" s="3">
        <f t="shared" si="61"/>
        <v>2.0099999999999998</v>
      </c>
    </row>
    <row r="1956" spans="1:37">
      <c r="A1956">
        <v>10387313</v>
      </c>
      <c r="B1956" t="s">
        <v>37</v>
      </c>
      <c r="C1956" t="s">
        <v>12782</v>
      </c>
      <c r="E1956" t="s">
        <v>4033</v>
      </c>
      <c r="F1956" t="s">
        <v>12728</v>
      </c>
      <c r="G1956" t="s">
        <v>12783</v>
      </c>
      <c r="H1956" t="s">
        <v>42</v>
      </c>
      <c r="I1956" t="s">
        <v>12784</v>
      </c>
      <c r="J1956" t="s">
        <v>12731</v>
      </c>
      <c r="K1956" t="s">
        <v>12732</v>
      </c>
      <c r="L1956" t="s">
        <v>71</v>
      </c>
      <c r="M1956" t="s">
        <v>46</v>
      </c>
      <c r="N1956" t="s">
        <v>47</v>
      </c>
      <c r="O1956">
        <v>1</v>
      </c>
      <c r="P1956">
        <v>1</v>
      </c>
      <c r="Q1956">
        <v>1</v>
      </c>
      <c r="R1956" t="s">
        <v>48</v>
      </c>
      <c r="S1956" t="s">
        <v>49</v>
      </c>
      <c r="T1956" s="3">
        <v>0.84</v>
      </c>
      <c r="U1956" s="3">
        <v>0.23</v>
      </c>
      <c r="V1956" s="3">
        <v>0.94</v>
      </c>
      <c r="W1956">
        <v>0.15</v>
      </c>
      <c r="X1956" t="s">
        <v>108</v>
      </c>
      <c r="Y1956" s="3">
        <v>5.14</v>
      </c>
      <c r="Z1956" t="s">
        <v>9850</v>
      </c>
      <c r="AA1956" t="s">
        <v>12391</v>
      </c>
      <c r="AB1956" t="s">
        <v>53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f t="shared" si="60"/>
        <v>7.15</v>
      </c>
      <c r="AK1956" s="3">
        <f t="shared" si="61"/>
        <v>2.0100000000000007</v>
      </c>
    </row>
    <row r="1957" spans="1:37">
      <c r="A1957">
        <v>10383332</v>
      </c>
      <c r="B1957" t="s">
        <v>37</v>
      </c>
      <c r="C1957" t="s">
        <v>12785</v>
      </c>
      <c r="E1957" t="s">
        <v>9520</v>
      </c>
      <c r="F1957" t="s">
        <v>12786</v>
      </c>
      <c r="G1957" t="s">
        <v>12787</v>
      </c>
      <c r="H1957" t="s">
        <v>42</v>
      </c>
      <c r="I1957" t="s">
        <v>12788</v>
      </c>
      <c r="J1957" t="s">
        <v>12789</v>
      </c>
      <c r="K1957">
        <v>59590</v>
      </c>
      <c r="L1957" t="s">
        <v>71</v>
      </c>
      <c r="M1957" t="s">
        <v>46</v>
      </c>
      <c r="N1957" t="s">
        <v>47</v>
      </c>
      <c r="O1957">
        <v>1</v>
      </c>
      <c r="P1957">
        <v>1</v>
      </c>
      <c r="Q1957">
        <v>1</v>
      </c>
      <c r="R1957" t="s">
        <v>48</v>
      </c>
      <c r="S1957" t="s">
        <v>49</v>
      </c>
      <c r="T1957" s="3">
        <v>0.84</v>
      </c>
      <c r="U1957" s="3">
        <v>0.23</v>
      </c>
      <c r="V1957" s="3">
        <v>0.94</v>
      </c>
      <c r="W1957">
        <v>0.15</v>
      </c>
      <c r="X1957" t="s">
        <v>108</v>
      </c>
      <c r="Y1957" s="3">
        <v>5.14</v>
      </c>
      <c r="Z1957" t="s">
        <v>9850</v>
      </c>
      <c r="AA1957" t="s">
        <v>9271</v>
      </c>
      <c r="AB1957" t="s">
        <v>53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f t="shared" si="60"/>
        <v>7.15</v>
      </c>
      <c r="AK1957" s="3">
        <f t="shared" si="61"/>
        <v>2.0100000000000007</v>
      </c>
    </row>
    <row r="1958" spans="1:37">
      <c r="A1958">
        <v>10383353</v>
      </c>
      <c r="B1958" t="s">
        <v>37</v>
      </c>
      <c r="C1958" t="s">
        <v>12790</v>
      </c>
      <c r="E1958" t="s">
        <v>12791</v>
      </c>
      <c r="F1958" t="s">
        <v>12792</v>
      </c>
      <c r="G1958" t="s">
        <v>12793</v>
      </c>
      <c r="H1958" t="s">
        <v>42</v>
      </c>
      <c r="I1958" t="s">
        <v>12794</v>
      </c>
      <c r="J1958" t="s">
        <v>12795</v>
      </c>
      <c r="K1958">
        <v>87740</v>
      </c>
      <c r="L1958" t="s">
        <v>71</v>
      </c>
      <c r="M1958" t="s">
        <v>46</v>
      </c>
      <c r="N1958" t="s">
        <v>47</v>
      </c>
      <c r="O1958">
        <v>1</v>
      </c>
      <c r="P1958">
        <v>1</v>
      </c>
      <c r="Q1958">
        <v>1</v>
      </c>
      <c r="R1958" t="s">
        <v>48</v>
      </c>
      <c r="S1958" t="s">
        <v>49</v>
      </c>
      <c r="T1958" s="3">
        <v>0.84</v>
      </c>
      <c r="U1958" s="3">
        <v>0.23</v>
      </c>
      <c r="V1958" s="3">
        <v>0.94</v>
      </c>
      <c r="W1958">
        <v>0.15</v>
      </c>
      <c r="X1958" t="s">
        <v>108</v>
      </c>
      <c r="Y1958" s="3">
        <v>5.14</v>
      </c>
      <c r="Z1958" t="s">
        <v>9850</v>
      </c>
      <c r="AA1958" t="s">
        <v>12391</v>
      </c>
      <c r="AB1958" t="s">
        <v>53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f t="shared" si="60"/>
        <v>7.15</v>
      </c>
      <c r="AK1958" s="3">
        <f t="shared" si="61"/>
        <v>2.0100000000000007</v>
      </c>
    </row>
    <row r="1959" spans="1:37">
      <c r="A1959">
        <v>10387590</v>
      </c>
      <c r="B1959" t="s">
        <v>37</v>
      </c>
      <c r="C1959" t="s">
        <v>12796</v>
      </c>
      <c r="E1959" t="s">
        <v>4676</v>
      </c>
      <c r="F1959" t="s">
        <v>187</v>
      </c>
      <c r="G1959" t="s">
        <v>12797</v>
      </c>
      <c r="H1959" t="s">
        <v>42</v>
      </c>
      <c r="I1959" t="s">
        <v>12798</v>
      </c>
      <c r="J1959" t="s">
        <v>12799</v>
      </c>
      <c r="K1959">
        <v>28832</v>
      </c>
      <c r="L1959" t="s">
        <v>71</v>
      </c>
      <c r="M1959" t="s">
        <v>46</v>
      </c>
      <c r="N1959" t="s">
        <v>47</v>
      </c>
      <c r="O1959">
        <v>1</v>
      </c>
      <c r="P1959">
        <v>1</v>
      </c>
      <c r="Q1959">
        <v>1</v>
      </c>
      <c r="R1959" t="s">
        <v>48</v>
      </c>
      <c r="S1959" t="s">
        <v>49</v>
      </c>
      <c r="T1959" s="3">
        <v>0.84</v>
      </c>
      <c r="U1959" s="3">
        <v>0.23</v>
      </c>
      <c r="V1959" s="3">
        <v>0.94</v>
      </c>
      <c r="W1959">
        <v>0.15</v>
      </c>
      <c r="X1959" t="s">
        <v>108</v>
      </c>
      <c r="Y1959" s="3">
        <v>5.14</v>
      </c>
      <c r="Z1959" t="s">
        <v>9850</v>
      </c>
      <c r="AA1959" t="s">
        <v>12391</v>
      </c>
      <c r="AB1959" t="s">
        <v>53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f t="shared" si="60"/>
        <v>7.15</v>
      </c>
      <c r="AK1959" s="3">
        <f t="shared" si="61"/>
        <v>2.0100000000000007</v>
      </c>
    </row>
    <row r="1960" spans="1:37">
      <c r="A1960">
        <v>10383806</v>
      </c>
      <c r="B1960" t="s">
        <v>37</v>
      </c>
      <c r="C1960" t="s">
        <v>12800</v>
      </c>
      <c r="E1960" t="s">
        <v>12801</v>
      </c>
      <c r="F1960" t="s">
        <v>12802</v>
      </c>
      <c r="G1960" t="s">
        <v>12803</v>
      </c>
      <c r="H1960" t="s">
        <v>42</v>
      </c>
      <c r="I1960" t="s">
        <v>12804</v>
      </c>
      <c r="J1960" t="s">
        <v>12805</v>
      </c>
      <c r="K1960">
        <v>88630</v>
      </c>
      <c r="L1960" t="s">
        <v>71</v>
      </c>
      <c r="M1960" t="s">
        <v>46</v>
      </c>
      <c r="N1960" t="s">
        <v>47</v>
      </c>
      <c r="O1960">
        <v>1</v>
      </c>
      <c r="P1960">
        <v>1</v>
      </c>
      <c r="Q1960">
        <v>1</v>
      </c>
      <c r="R1960" t="s">
        <v>48</v>
      </c>
      <c r="S1960" t="s">
        <v>49</v>
      </c>
      <c r="T1960" s="3">
        <v>0.84</v>
      </c>
      <c r="U1960" s="3">
        <v>0.23</v>
      </c>
      <c r="V1960" s="3">
        <v>0.94</v>
      </c>
      <c r="W1960">
        <v>0.15</v>
      </c>
      <c r="X1960" t="s">
        <v>108</v>
      </c>
      <c r="Y1960" s="3">
        <v>5.14</v>
      </c>
      <c r="Z1960" t="s">
        <v>9850</v>
      </c>
      <c r="AA1960" t="s">
        <v>12434</v>
      </c>
      <c r="AB1960" t="s">
        <v>53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f t="shared" si="60"/>
        <v>7.15</v>
      </c>
      <c r="AK1960" s="3">
        <f t="shared" si="61"/>
        <v>2.0100000000000007</v>
      </c>
    </row>
    <row r="1961" spans="1:37">
      <c r="A1961">
        <v>10383789</v>
      </c>
      <c r="B1961" t="s">
        <v>37</v>
      </c>
      <c r="C1961" t="s">
        <v>12806</v>
      </c>
      <c r="E1961" t="s">
        <v>3746</v>
      </c>
      <c r="F1961" t="s">
        <v>12807</v>
      </c>
      <c r="G1961" t="s">
        <v>12808</v>
      </c>
      <c r="H1961" t="s">
        <v>42</v>
      </c>
      <c r="I1961" t="s">
        <v>12809</v>
      </c>
      <c r="J1961" t="s">
        <v>12810</v>
      </c>
      <c r="K1961">
        <v>42287</v>
      </c>
      <c r="L1961" t="s">
        <v>71</v>
      </c>
      <c r="M1961" t="s">
        <v>46</v>
      </c>
      <c r="N1961" t="s">
        <v>47</v>
      </c>
      <c r="O1961">
        <v>1</v>
      </c>
      <c r="P1961">
        <v>1</v>
      </c>
      <c r="Q1961">
        <v>1</v>
      </c>
      <c r="R1961" t="s">
        <v>48</v>
      </c>
      <c r="S1961" t="s">
        <v>49</v>
      </c>
      <c r="T1961" s="3">
        <v>0.84</v>
      </c>
      <c r="U1961" s="3">
        <v>0.23</v>
      </c>
      <c r="V1961" s="3">
        <v>0.94</v>
      </c>
      <c r="W1961">
        <v>0.15</v>
      </c>
      <c r="X1961" t="s">
        <v>108</v>
      </c>
      <c r="Y1961" s="3">
        <v>5.14</v>
      </c>
      <c r="Z1961" t="s">
        <v>9850</v>
      </c>
      <c r="AA1961" t="s">
        <v>12391</v>
      </c>
      <c r="AB1961" t="s">
        <v>53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f t="shared" si="60"/>
        <v>7.15</v>
      </c>
      <c r="AK1961" s="3">
        <f t="shared" si="61"/>
        <v>2.0100000000000007</v>
      </c>
    </row>
    <row r="1962" spans="1:37">
      <c r="A1962">
        <v>10383803</v>
      </c>
      <c r="B1962" t="s">
        <v>37</v>
      </c>
      <c r="C1962" t="s">
        <v>12811</v>
      </c>
      <c r="E1962" t="s">
        <v>12812</v>
      </c>
      <c r="F1962" t="s">
        <v>12813</v>
      </c>
      <c r="G1962" t="s">
        <v>12814</v>
      </c>
      <c r="H1962" t="s">
        <v>42</v>
      </c>
      <c r="I1962" t="s">
        <v>12815</v>
      </c>
      <c r="J1962" t="s">
        <v>12816</v>
      </c>
      <c r="K1962">
        <v>33619</v>
      </c>
      <c r="L1962" t="s">
        <v>71</v>
      </c>
      <c r="M1962" t="s">
        <v>46</v>
      </c>
      <c r="N1962" t="s">
        <v>47</v>
      </c>
      <c r="O1962">
        <v>1</v>
      </c>
      <c r="P1962">
        <v>1</v>
      </c>
      <c r="Q1962">
        <v>1</v>
      </c>
      <c r="R1962" t="s">
        <v>48</v>
      </c>
      <c r="S1962" t="s">
        <v>49</v>
      </c>
      <c r="T1962" s="3">
        <v>0.84</v>
      </c>
      <c r="U1962" s="3">
        <v>0.23</v>
      </c>
      <c r="V1962" s="3">
        <v>0.94</v>
      </c>
      <c r="W1962">
        <v>0.15</v>
      </c>
      <c r="X1962" t="s">
        <v>108</v>
      </c>
      <c r="Y1962" s="3">
        <v>5.14</v>
      </c>
      <c r="Z1962" t="s">
        <v>9850</v>
      </c>
      <c r="AA1962" t="s">
        <v>12391</v>
      </c>
      <c r="AB1962" t="s">
        <v>53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f t="shared" si="60"/>
        <v>7.15</v>
      </c>
      <c r="AK1962" s="3">
        <f t="shared" si="61"/>
        <v>2.0100000000000007</v>
      </c>
    </row>
    <row r="1963" spans="1:37">
      <c r="A1963">
        <v>10383317</v>
      </c>
      <c r="B1963" t="s">
        <v>37</v>
      </c>
      <c r="C1963" t="s">
        <v>12817</v>
      </c>
      <c r="E1963" t="s">
        <v>12818</v>
      </c>
      <c r="F1963" t="s">
        <v>1308</v>
      </c>
      <c r="G1963" t="s">
        <v>12819</v>
      </c>
      <c r="H1963" t="s">
        <v>42</v>
      </c>
      <c r="I1963" t="s">
        <v>12820</v>
      </c>
      <c r="J1963" t="s">
        <v>12821</v>
      </c>
      <c r="K1963">
        <v>33615</v>
      </c>
      <c r="L1963" t="s">
        <v>71</v>
      </c>
      <c r="M1963" t="s">
        <v>46</v>
      </c>
      <c r="N1963" t="s">
        <v>47</v>
      </c>
      <c r="O1963">
        <v>2</v>
      </c>
      <c r="P1963">
        <v>1</v>
      </c>
      <c r="Q1963">
        <v>2</v>
      </c>
      <c r="R1963" t="s">
        <v>48</v>
      </c>
      <c r="S1963" t="s">
        <v>49</v>
      </c>
      <c r="T1963" s="3">
        <v>0.84</v>
      </c>
      <c r="U1963" s="3">
        <v>0.23</v>
      </c>
      <c r="V1963" s="3">
        <v>1.81</v>
      </c>
      <c r="W1963">
        <v>0.3</v>
      </c>
      <c r="X1963" t="s">
        <v>108</v>
      </c>
      <c r="Y1963" s="3">
        <v>5.14</v>
      </c>
      <c r="Z1963" t="s">
        <v>9850</v>
      </c>
      <c r="AA1963" t="s">
        <v>855</v>
      </c>
      <c r="AB1963" t="s">
        <v>53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f t="shared" si="60"/>
        <v>8.02</v>
      </c>
      <c r="AK1963" s="3">
        <f t="shared" si="61"/>
        <v>2.88</v>
      </c>
    </row>
    <row r="1964" spans="1:37">
      <c r="A1964">
        <v>10383358</v>
      </c>
      <c r="B1964" t="s">
        <v>37</v>
      </c>
      <c r="C1964" t="s">
        <v>12822</v>
      </c>
      <c r="E1964" t="s">
        <v>3746</v>
      </c>
      <c r="F1964" t="s">
        <v>12823</v>
      </c>
      <c r="G1964" t="s">
        <v>12824</v>
      </c>
      <c r="H1964" t="s">
        <v>42</v>
      </c>
      <c r="I1964" t="s">
        <v>12825</v>
      </c>
      <c r="J1964" t="s">
        <v>12826</v>
      </c>
      <c r="K1964">
        <v>33619</v>
      </c>
      <c r="L1964" t="s">
        <v>71</v>
      </c>
      <c r="M1964" t="s">
        <v>46</v>
      </c>
      <c r="N1964" t="s">
        <v>47</v>
      </c>
      <c r="O1964">
        <v>2</v>
      </c>
      <c r="P1964">
        <v>1</v>
      </c>
      <c r="Q1964">
        <v>2</v>
      </c>
      <c r="R1964" t="s">
        <v>48</v>
      </c>
      <c r="S1964" t="s">
        <v>49</v>
      </c>
      <c r="T1964" s="3">
        <v>0.84</v>
      </c>
      <c r="U1964" s="3">
        <v>0.23</v>
      </c>
      <c r="V1964" s="3">
        <v>1.81</v>
      </c>
      <c r="W1964">
        <v>0.3</v>
      </c>
      <c r="X1964" t="s">
        <v>108</v>
      </c>
      <c r="Y1964" s="3">
        <v>5.14</v>
      </c>
      <c r="Z1964" t="s">
        <v>9850</v>
      </c>
      <c r="AA1964" t="s">
        <v>855</v>
      </c>
      <c r="AB1964" t="s">
        <v>53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f t="shared" si="60"/>
        <v>8.02</v>
      </c>
      <c r="AK1964" s="3">
        <f t="shared" si="61"/>
        <v>2.88</v>
      </c>
    </row>
    <row r="1965" spans="1:37">
      <c r="A1965">
        <v>10383326</v>
      </c>
      <c r="B1965" t="s">
        <v>37</v>
      </c>
      <c r="C1965" t="s">
        <v>12827</v>
      </c>
      <c r="E1965" t="s">
        <v>1313</v>
      </c>
      <c r="F1965" t="s">
        <v>12828</v>
      </c>
      <c r="G1965" t="s">
        <v>12829</v>
      </c>
      <c r="H1965" t="s">
        <v>42</v>
      </c>
      <c r="I1965" t="s">
        <v>12830</v>
      </c>
      <c r="J1965" t="s">
        <v>12831</v>
      </c>
      <c r="K1965">
        <v>33619</v>
      </c>
      <c r="L1965" t="s">
        <v>71</v>
      </c>
      <c r="M1965" t="s">
        <v>46</v>
      </c>
      <c r="N1965" t="s">
        <v>47</v>
      </c>
      <c r="O1965">
        <v>2</v>
      </c>
      <c r="P1965">
        <v>1</v>
      </c>
      <c r="Q1965">
        <v>2</v>
      </c>
      <c r="R1965" t="s">
        <v>48</v>
      </c>
      <c r="S1965" t="s">
        <v>49</v>
      </c>
      <c r="T1965" s="3">
        <v>0.84</v>
      </c>
      <c r="U1965" s="3">
        <v>0.23</v>
      </c>
      <c r="V1965" s="3">
        <v>1.81</v>
      </c>
      <c r="W1965">
        <v>0.3</v>
      </c>
      <c r="X1965" t="s">
        <v>108</v>
      </c>
      <c r="Y1965" s="3">
        <v>5.14</v>
      </c>
      <c r="Z1965" t="s">
        <v>9850</v>
      </c>
      <c r="AA1965" t="s">
        <v>12485</v>
      </c>
      <c r="AB1965" t="s">
        <v>53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f t="shared" si="60"/>
        <v>8.02</v>
      </c>
      <c r="AK1965" s="3">
        <f t="shared" si="61"/>
        <v>2.88</v>
      </c>
    </row>
    <row r="1966" spans="1:37">
      <c r="A1966">
        <v>10383791</v>
      </c>
      <c r="B1966" t="s">
        <v>37</v>
      </c>
      <c r="C1966" t="s">
        <v>12832</v>
      </c>
      <c r="E1966" t="s">
        <v>12833</v>
      </c>
      <c r="F1966" t="s">
        <v>12834</v>
      </c>
      <c r="G1966" t="s">
        <v>12835</v>
      </c>
      <c r="H1966" t="s">
        <v>42</v>
      </c>
      <c r="I1966" t="s">
        <v>12836</v>
      </c>
      <c r="J1966" t="s">
        <v>12837</v>
      </c>
      <c r="K1966">
        <v>24782</v>
      </c>
      <c r="L1966" t="s">
        <v>71</v>
      </c>
      <c r="M1966" t="s">
        <v>46</v>
      </c>
      <c r="N1966" t="s">
        <v>47</v>
      </c>
      <c r="O1966">
        <v>2</v>
      </c>
      <c r="P1966">
        <v>1</v>
      </c>
      <c r="Q1966">
        <v>2</v>
      </c>
      <c r="R1966" t="s">
        <v>48</v>
      </c>
      <c r="S1966" t="s">
        <v>49</v>
      </c>
      <c r="T1966" s="3">
        <v>0.84</v>
      </c>
      <c r="U1966" s="3">
        <v>0.23</v>
      </c>
      <c r="V1966" s="3">
        <v>1.81</v>
      </c>
      <c r="W1966">
        <v>0.3</v>
      </c>
      <c r="X1966" t="s">
        <v>108</v>
      </c>
      <c r="Y1966" s="3">
        <v>5.14</v>
      </c>
      <c r="Z1966" t="s">
        <v>9850</v>
      </c>
      <c r="AA1966" t="s">
        <v>12441</v>
      </c>
      <c r="AB1966" t="s">
        <v>53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f t="shared" si="60"/>
        <v>8.02</v>
      </c>
      <c r="AK1966" s="3">
        <f t="shared" si="61"/>
        <v>2.88</v>
      </c>
    </row>
    <row r="1967" spans="1:37">
      <c r="A1967">
        <v>10383335</v>
      </c>
      <c r="B1967" t="s">
        <v>37</v>
      </c>
      <c r="C1967" t="s">
        <v>12838</v>
      </c>
      <c r="E1967" t="s">
        <v>2797</v>
      </c>
      <c r="F1967" t="s">
        <v>10659</v>
      </c>
      <c r="G1967" t="s">
        <v>12839</v>
      </c>
      <c r="H1967" t="s">
        <v>42</v>
      </c>
      <c r="I1967" t="s">
        <v>12840</v>
      </c>
      <c r="J1967" t="s">
        <v>12841</v>
      </c>
      <c r="K1967">
        <v>12353</v>
      </c>
      <c r="L1967" t="s">
        <v>71</v>
      </c>
      <c r="M1967" t="s">
        <v>46</v>
      </c>
      <c r="N1967" t="s">
        <v>47</v>
      </c>
      <c r="O1967">
        <v>2</v>
      </c>
      <c r="P1967">
        <v>1</v>
      </c>
      <c r="Q1967">
        <v>2</v>
      </c>
      <c r="R1967" t="s">
        <v>48</v>
      </c>
      <c r="S1967" t="s">
        <v>49</v>
      </c>
      <c r="T1967" s="3">
        <v>0.84</v>
      </c>
      <c r="U1967" s="3">
        <v>0.23</v>
      </c>
      <c r="V1967" s="3">
        <v>1.81</v>
      </c>
      <c r="W1967">
        <v>0.3</v>
      </c>
      <c r="X1967" t="s">
        <v>108</v>
      </c>
      <c r="Y1967" s="3">
        <v>5.14</v>
      </c>
      <c r="Z1967" t="s">
        <v>9850</v>
      </c>
      <c r="AA1967" t="s">
        <v>9271</v>
      </c>
      <c r="AB1967" t="s">
        <v>53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f t="shared" si="60"/>
        <v>8.02</v>
      </c>
      <c r="AK1967" s="3">
        <f t="shared" si="61"/>
        <v>2.88</v>
      </c>
    </row>
    <row r="1968" spans="1:37">
      <c r="A1968">
        <v>10383348</v>
      </c>
      <c r="B1968" t="s">
        <v>37</v>
      </c>
      <c r="C1968" t="s">
        <v>12842</v>
      </c>
      <c r="E1968" t="s">
        <v>12843</v>
      </c>
      <c r="F1968" t="s">
        <v>12844</v>
      </c>
      <c r="G1968" t="s">
        <v>12845</v>
      </c>
      <c r="H1968" t="s">
        <v>42</v>
      </c>
      <c r="I1968" t="s">
        <v>12846</v>
      </c>
      <c r="J1968" t="s">
        <v>12847</v>
      </c>
      <c r="K1968">
        <v>46446</v>
      </c>
      <c r="L1968" t="s">
        <v>71</v>
      </c>
      <c r="M1968" t="s">
        <v>46</v>
      </c>
      <c r="N1968" t="s">
        <v>47</v>
      </c>
      <c r="O1968">
        <v>2</v>
      </c>
      <c r="P1968">
        <v>1</v>
      </c>
      <c r="Q1968">
        <v>2</v>
      </c>
      <c r="R1968" t="s">
        <v>48</v>
      </c>
      <c r="S1968" t="s">
        <v>49</v>
      </c>
      <c r="T1968" s="3">
        <v>0.84</v>
      </c>
      <c r="U1968" s="3">
        <v>0.23</v>
      </c>
      <c r="V1968" s="3">
        <v>1.81</v>
      </c>
      <c r="W1968">
        <v>0.3</v>
      </c>
      <c r="X1968" t="s">
        <v>108</v>
      </c>
      <c r="Y1968" s="3">
        <v>5.14</v>
      </c>
      <c r="Z1968" t="s">
        <v>9850</v>
      </c>
      <c r="AA1968" t="s">
        <v>9271</v>
      </c>
      <c r="AB1968" t="s">
        <v>53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f t="shared" si="60"/>
        <v>8.02</v>
      </c>
      <c r="AK1968" s="3">
        <f t="shared" si="61"/>
        <v>2.88</v>
      </c>
    </row>
    <row r="1969" spans="1:37">
      <c r="A1969">
        <v>10383290</v>
      </c>
      <c r="B1969" t="s">
        <v>37</v>
      </c>
      <c r="C1969" t="s">
        <v>12848</v>
      </c>
      <c r="D1969" t="s">
        <v>12849</v>
      </c>
      <c r="E1969" t="s">
        <v>12850</v>
      </c>
      <c r="F1969" t="s">
        <v>12851</v>
      </c>
      <c r="G1969" t="s">
        <v>12852</v>
      </c>
      <c r="H1969" t="s">
        <v>42</v>
      </c>
      <c r="I1969" t="s">
        <v>12853</v>
      </c>
      <c r="J1969" t="s">
        <v>12854</v>
      </c>
      <c r="K1969">
        <v>1930</v>
      </c>
      <c r="L1969" t="s">
        <v>505</v>
      </c>
      <c r="M1969" t="s">
        <v>46</v>
      </c>
      <c r="N1969" t="s">
        <v>47</v>
      </c>
      <c r="O1969">
        <v>2</v>
      </c>
      <c r="P1969">
        <v>1</v>
      </c>
      <c r="Q1969">
        <v>2</v>
      </c>
      <c r="R1969" t="s">
        <v>48</v>
      </c>
      <c r="S1969" t="s">
        <v>49</v>
      </c>
      <c r="T1969" s="3">
        <v>0.84</v>
      </c>
      <c r="U1969" s="3">
        <v>0.23</v>
      </c>
      <c r="V1969" s="3">
        <v>1.81</v>
      </c>
      <c r="W1969">
        <v>0.98</v>
      </c>
      <c r="X1969" t="s">
        <v>50</v>
      </c>
      <c r="Y1969" s="3">
        <v>9.19</v>
      </c>
      <c r="Z1969" t="s">
        <v>9850</v>
      </c>
      <c r="AA1969" t="s">
        <v>1652</v>
      </c>
      <c r="AB1969" t="s">
        <v>53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f t="shared" si="60"/>
        <v>12.07</v>
      </c>
      <c r="AK1969" s="3">
        <f t="shared" si="61"/>
        <v>2.8800000000000008</v>
      </c>
    </row>
    <row r="1970" spans="1:37">
      <c r="A1970">
        <v>10383796</v>
      </c>
      <c r="B1970" t="s">
        <v>37</v>
      </c>
      <c r="C1970" t="s">
        <v>12855</v>
      </c>
      <c r="E1970" t="s">
        <v>2534</v>
      </c>
      <c r="F1970" t="s">
        <v>12856</v>
      </c>
      <c r="G1970" t="s">
        <v>12857</v>
      </c>
      <c r="H1970" t="s">
        <v>42</v>
      </c>
      <c r="I1970" t="s">
        <v>12858</v>
      </c>
      <c r="J1970" t="s">
        <v>12859</v>
      </c>
      <c r="K1970">
        <v>82110</v>
      </c>
      <c r="L1970" t="s">
        <v>71</v>
      </c>
      <c r="M1970" t="s">
        <v>46</v>
      </c>
      <c r="N1970" t="s">
        <v>47</v>
      </c>
      <c r="O1970">
        <v>2</v>
      </c>
      <c r="P1970">
        <v>1</v>
      </c>
      <c r="Q1970">
        <v>2</v>
      </c>
      <c r="R1970" t="s">
        <v>48</v>
      </c>
      <c r="S1970" t="s">
        <v>49</v>
      </c>
      <c r="T1970" s="3">
        <v>0.84</v>
      </c>
      <c r="U1970" s="3">
        <v>0.23</v>
      </c>
      <c r="V1970" s="3">
        <v>1.81</v>
      </c>
      <c r="W1970">
        <v>0.3</v>
      </c>
      <c r="X1970" t="s">
        <v>108</v>
      </c>
      <c r="Y1970" s="3">
        <v>5.14</v>
      </c>
      <c r="Z1970" t="s">
        <v>9850</v>
      </c>
      <c r="AA1970" t="s">
        <v>12391</v>
      </c>
      <c r="AB1970" t="s">
        <v>53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f t="shared" si="60"/>
        <v>8.02</v>
      </c>
      <c r="AK1970" s="3">
        <f t="shared" si="61"/>
        <v>2.88</v>
      </c>
    </row>
    <row r="1971" spans="1:37">
      <c r="A1971">
        <v>10383314</v>
      </c>
      <c r="B1971" t="s">
        <v>37</v>
      </c>
      <c r="C1971" t="s">
        <v>12860</v>
      </c>
      <c r="E1971" t="s">
        <v>4729</v>
      </c>
      <c r="F1971" t="s">
        <v>10570</v>
      </c>
      <c r="G1971" t="s">
        <v>12861</v>
      </c>
      <c r="H1971" t="s">
        <v>42</v>
      </c>
      <c r="I1971" t="s">
        <v>12862</v>
      </c>
      <c r="J1971" t="s">
        <v>12368</v>
      </c>
      <c r="K1971" t="s">
        <v>10574</v>
      </c>
      <c r="L1971" t="s">
        <v>82</v>
      </c>
      <c r="M1971" t="s">
        <v>46</v>
      </c>
      <c r="N1971" t="s">
        <v>47</v>
      </c>
      <c r="O1971">
        <v>2</v>
      </c>
      <c r="P1971">
        <v>1</v>
      </c>
      <c r="Q1971">
        <v>2</v>
      </c>
      <c r="R1971" t="s">
        <v>48</v>
      </c>
      <c r="S1971" t="s">
        <v>49</v>
      </c>
      <c r="T1971" s="3">
        <v>0.84</v>
      </c>
      <c r="U1971" s="3">
        <v>0.23</v>
      </c>
      <c r="V1971" s="3">
        <v>1.81</v>
      </c>
      <c r="W1971">
        <v>0.63</v>
      </c>
      <c r="X1971" t="s">
        <v>50</v>
      </c>
      <c r="Y1971" s="3">
        <v>9.19</v>
      </c>
      <c r="Z1971" t="s">
        <v>9850</v>
      </c>
      <c r="AA1971" t="s">
        <v>729</v>
      </c>
      <c r="AB1971" t="s">
        <v>53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f t="shared" si="60"/>
        <v>12.07</v>
      </c>
      <c r="AK1971" s="3">
        <f t="shared" si="61"/>
        <v>2.8800000000000008</v>
      </c>
    </row>
    <row r="1972" spans="1:37">
      <c r="A1972">
        <v>10386035</v>
      </c>
      <c r="B1972" t="s">
        <v>37</v>
      </c>
      <c r="C1972" t="s">
        <v>12863</v>
      </c>
      <c r="E1972" t="s">
        <v>12864</v>
      </c>
      <c r="F1972" t="s">
        <v>12865</v>
      </c>
      <c r="G1972" t="s">
        <v>12866</v>
      </c>
      <c r="H1972" t="s">
        <v>42</v>
      </c>
      <c r="I1972" t="s">
        <v>12867</v>
      </c>
      <c r="J1972" t="s">
        <v>12868</v>
      </c>
      <c r="K1972">
        <v>5942</v>
      </c>
      <c r="L1972" t="s">
        <v>369</v>
      </c>
      <c r="M1972" t="s">
        <v>46</v>
      </c>
      <c r="N1972" t="s">
        <v>47</v>
      </c>
      <c r="O1972">
        <v>4</v>
      </c>
      <c r="P1972">
        <v>1</v>
      </c>
      <c r="Q1972">
        <v>4</v>
      </c>
      <c r="R1972" t="s">
        <v>48</v>
      </c>
      <c r="S1972" t="s">
        <v>49</v>
      </c>
      <c r="T1972" s="3">
        <v>0.84</v>
      </c>
      <c r="U1972" s="3">
        <v>0.23</v>
      </c>
      <c r="V1972" s="3">
        <v>3.55</v>
      </c>
      <c r="W1972">
        <v>1.86</v>
      </c>
      <c r="X1972" t="s">
        <v>50</v>
      </c>
      <c r="Y1972" s="3">
        <v>9.1999999999999993</v>
      </c>
      <c r="Z1972" t="s">
        <v>9686</v>
      </c>
      <c r="AA1972" t="s">
        <v>12869</v>
      </c>
      <c r="AB1972" t="s">
        <v>53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f t="shared" si="60"/>
        <v>13.82</v>
      </c>
      <c r="AK1972" s="3">
        <f t="shared" si="61"/>
        <v>4.620000000000001</v>
      </c>
    </row>
    <row r="1973" spans="1:37">
      <c r="A1973">
        <v>10385294</v>
      </c>
      <c r="B1973" t="s">
        <v>37</v>
      </c>
      <c r="C1973" t="s">
        <v>12870</v>
      </c>
      <c r="E1973" t="s">
        <v>4554</v>
      </c>
      <c r="F1973" t="s">
        <v>12871</v>
      </c>
      <c r="G1973" t="s">
        <v>12872</v>
      </c>
      <c r="H1973" t="s">
        <v>42</v>
      </c>
      <c r="I1973" t="s">
        <v>12873</v>
      </c>
      <c r="J1973" t="s">
        <v>12874</v>
      </c>
      <c r="K1973">
        <v>9400</v>
      </c>
      <c r="L1973" t="s">
        <v>505</v>
      </c>
      <c r="M1973" t="s">
        <v>46</v>
      </c>
      <c r="N1973" t="s">
        <v>47</v>
      </c>
      <c r="O1973">
        <v>3</v>
      </c>
      <c r="P1973">
        <v>1</v>
      </c>
      <c r="Q1973">
        <v>3</v>
      </c>
      <c r="R1973" t="s">
        <v>48</v>
      </c>
      <c r="S1973" t="s">
        <v>49</v>
      </c>
      <c r="T1973" s="3">
        <v>0.84</v>
      </c>
      <c r="U1973" s="3">
        <v>0.23</v>
      </c>
      <c r="V1973" s="3">
        <v>2.68</v>
      </c>
      <c r="W1973">
        <v>1.47</v>
      </c>
      <c r="X1973" t="s">
        <v>50</v>
      </c>
      <c r="Y1973" s="3">
        <v>9.1999999999999993</v>
      </c>
      <c r="Z1973" t="s">
        <v>9686</v>
      </c>
      <c r="AA1973" t="s">
        <v>7281</v>
      </c>
      <c r="AB1973" t="s">
        <v>53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f t="shared" si="60"/>
        <v>12.95</v>
      </c>
      <c r="AK1973" s="3">
        <f t="shared" si="61"/>
        <v>3.75</v>
      </c>
    </row>
    <row r="1974" spans="1:37">
      <c r="A1974">
        <v>10384688</v>
      </c>
      <c r="B1974" t="s">
        <v>37</v>
      </c>
      <c r="C1974" t="s">
        <v>12875</v>
      </c>
      <c r="E1974" t="s">
        <v>12876</v>
      </c>
      <c r="F1974" t="s">
        <v>12877</v>
      </c>
      <c r="G1974" t="s">
        <v>12878</v>
      </c>
      <c r="H1974" t="s">
        <v>42</v>
      </c>
      <c r="I1974" t="s">
        <v>12879</v>
      </c>
      <c r="J1974" t="s">
        <v>12880</v>
      </c>
      <c r="K1974">
        <v>48683</v>
      </c>
      <c r="L1974" t="s">
        <v>71</v>
      </c>
      <c r="M1974" t="s">
        <v>46</v>
      </c>
      <c r="N1974" t="s">
        <v>47</v>
      </c>
      <c r="O1974">
        <v>2</v>
      </c>
      <c r="P1974">
        <v>1</v>
      </c>
      <c r="Q1974">
        <v>2</v>
      </c>
      <c r="R1974" t="s">
        <v>48</v>
      </c>
      <c r="S1974" t="s">
        <v>49</v>
      </c>
      <c r="T1974" s="3">
        <v>0.84</v>
      </c>
      <c r="U1974" s="3">
        <v>0.23</v>
      </c>
      <c r="V1974" s="3">
        <v>1.81</v>
      </c>
      <c r="W1974">
        <v>0.3</v>
      </c>
      <c r="X1974" t="s">
        <v>108</v>
      </c>
      <c r="Y1974" s="3">
        <v>5.14</v>
      </c>
      <c r="Z1974" t="s">
        <v>9850</v>
      </c>
      <c r="AA1974" t="s">
        <v>12479</v>
      </c>
      <c r="AB1974" t="s">
        <v>53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f t="shared" si="60"/>
        <v>8.02</v>
      </c>
      <c r="AK1974" s="3">
        <f t="shared" si="61"/>
        <v>2.88</v>
      </c>
    </row>
    <row r="1975" spans="1:37">
      <c r="A1975">
        <v>10385287</v>
      </c>
      <c r="B1975" t="s">
        <v>37</v>
      </c>
      <c r="C1975" t="s">
        <v>12881</v>
      </c>
      <c r="E1975" t="s">
        <v>86</v>
      </c>
      <c r="F1975" t="s">
        <v>12882</v>
      </c>
      <c r="G1975" t="s">
        <v>12883</v>
      </c>
      <c r="H1975" t="s">
        <v>42</v>
      </c>
      <c r="I1975" t="s">
        <v>12884</v>
      </c>
      <c r="J1975" t="s">
        <v>12885</v>
      </c>
      <c r="K1975" t="s">
        <v>12886</v>
      </c>
      <c r="L1975" t="s">
        <v>62</v>
      </c>
      <c r="M1975" t="s">
        <v>46</v>
      </c>
      <c r="N1975" t="s">
        <v>47</v>
      </c>
      <c r="O1975">
        <v>2</v>
      </c>
      <c r="P1975">
        <v>1</v>
      </c>
      <c r="Q1975">
        <v>2</v>
      </c>
      <c r="R1975" t="s">
        <v>48</v>
      </c>
      <c r="S1975" t="s">
        <v>49</v>
      </c>
      <c r="T1975" s="3">
        <v>0.84</v>
      </c>
      <c r="U1975" s="3">
        <v>0.23</v>
      </c>
      <c r="V1975" s="3">
        <v>1.81</v>
      </c>
      <c r="W1975">
        <v>0.98</v>
      </c>
      <c r="X1975" t="s">
        <v>100</v>
      </c>
      <c r="Y1975" s="3">
        <v>21.71</v>
      </c>
      <c r="Z1975" t="s">
        <v>9850</v>
      </c>
      <c r="AA1975" t="s">
        <v>2623</v>
      </c>
      <c r="AB1975" t="s">
        <v>53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f t="shared" si="60"/>
        <v>24.59</v>
      </c>
      <c r="AK1975" s="3">
        <f t="shared" si="61"/>
        <v>2.879999999999999</v>
      </c>
    </row>
    <row r="1976" spans="1:37">
      <c r="A1976">
        <v>10384702</v>
      </c>
      <c r="B1976" t="s">
        <v>37</v>
      </c>
      <c r="C1976" t="s">
        <v>12887</v>
      </c>
      <c r="E1976" t="s">
        <v>12888</v>
      </c>
      <c r="F1976" t="s">
        <v>12889</v>
      </c>
      <c r="G1976" t="s">
        <v>12890</v>
      </c>
      <c r="H1976" t="s">
        <v>42</v>
      </c>
      <c r="I1976" t="s">
        <v>12891</v>
      </c>
      <c r="J1976" t="s">
        <v>12892</v>
      </c>
      <c r="K1976">
        <v>22041</v>
      </c>
      <c r="L1976" t="s">
        <v>71</v>
      </c>
      <c r="M1976" t="s">
        <v>46</v>
      </c>
      <c r="N1976" t="s">
        <v>47</v>
      </c>
      <c r="O1976">
        <v>2</v>
      </c>
      <c r="P1976">
        <v>1</v>
      </c>
      <c r="Q1976">
        <v>2</v>
      </c>
      <c r="R1976" t="s">
        <v>48</v>
      </c>
      <c r="S1976" t="s">
        <v>49</v>
      </c>
      <c r="T1976" s="3">
        <v>0.84</v>
      </c>
      <c r="U1976" s="3">
        <v>0.23</v>
      </c>
      <c r="V1976" s="3">
        <v>1.81</v>
      </c>
      <c r="W1976">
        <v>0.3</v>
      </c>
      <c r="X1976" t="s">
        <v>108</v>
      </c>
      <c r="Y1976" s="3">
        <v>6.53</v>
      </c>
      <c r="Z1976" t="s">
        <v>9850</v>
      </c>
      <c r="AA1976" t="s">
        <v>9271</v>
      </c>
      <c r="AB1976" t="s">
        <v>53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f t="shared" si="60"/>
        <v>9.41</v>
      </c>
      <c r="AK1976" s="3">
        <f t="shared" si="61"/>
        <v>2.88</v>
      </c>
    </row>
    <row r="1977" spans="1:37">
      <c r="A1977">
        <v>10385024</v>
      </c>
      <c r="B1977" t="s">
        <v>37</v>
      </c>
      <c r="C1977" t="s">
        <v>12893</v>
      </c>
      <c r="E1977" t="s">
        <v>12894</v>
      </c>
      <c r="F1977" t="s">
        <v>12895</v>
      </c>
      <c r="G1977" t="s">
        <v>12896</v>
      </c>
      <c r="H1977" t="s">
        <v>42</v>
      </c>
      <c r="I1977" t="s">
        <v>12897</v>
      </c>
      <c r="J1977" t="s">
        <v>12898</v>
      </c>
      <c r="K1977">
        <v>81827</v>
      </c>
      <c r="L1977" t="s">
        <v>71</v>
      </c>
      <c r="M1977" t="s">
        <v>46</v>
      </c>
      <c r="N1977" t="s">
        <v>47</v>
      </c>
      <c r="O1977">
        <v>2</v>
      </c>
      <c r="P1977">
        <v>1</v>
      </c>
      <c r="Q1977">
        <v>2</v>
      </c>
      <c r="R1977" t="s">
        <v>48</v>
      </c>
      <c r="S1977" t="s">
        <v>49</v>
      </c>
      <c r="T1977" s="3">
        <v>0.84</v>
      </c>
      <c r="U1977" s="3">
        <v>0.23</v>
      </c>
      <c r="V1977" s="3">
        <v>1.81</v>
      </c>
      <c r="W1977">
        <v>0.63</v>
      </c>
      <c r="X1977" t="s">
        <v>108</v>
      </c>
      <c r="Y1977" s="3">
        <v>5.14</v>
      </c>
      <c r="Z1977" t="s">
        <v>9850</v>
      </c>
      <c r="AA1977" t="s">
        <v>12899</v>
      </c>
      <c r="AB1977" t="s">
        <v>53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f t="shared" si="60"/>
        <v>8.02</v>
      </c>
      <c r="AK1977" s="3">
        <f t="shared" si="61"/>
        <v>2.88</v>
      </c>
    </row>
    <row r="1978" spans="1:37">
      <c r="A1978">
        <v>10385025</v>
      </c>
      <c r="B1978" t="s">
        <v>37</v>
      </c>
      <c r="C1978" t="s">
        <v>12900</v>
      </c>
      <c r="E1978" t="s">
        <v>4850</v>
      </c>
      <c r="F1978" t="s">
        <v>12901</v>
      </c>
      <c r="G1978" t="s">
        <v>12902</v>
      </c>
      <c r="H1978" t="s">
        <v>42</v>
      </c>
      <c r="I1978" t="s">
        <v>12903</v>
      </c>
      <c r="J1978" t="s">
        <v>12904</v>
      </c>
      <c r="K1978">
        <v>58332</v>
      </c>
      <c r="L1978" t="s">
        <v>71</v>
      </c>
      <c r="M1978" t="s">
        <v>46</v>
      </c>
      <c r="N1978" t="s">
        <v>47</v>
      </c>
      <c r="O1978">
        <v>2</v>
      </c>
      <c r="P1978">
        <v>1</v>
      </c>
      <c r="Q1978">
        <v>2</v>
      </c>
      <c r="R1978" t="s">
        <v>48</v>
      </c>
      <c r="S1978" t="s">
        <v>49</v>
      </c>
      <c r="T1978" s="3">
        <v>0.84</v>
      </c>
      <c r="U1978" s="3">
        <v>0.23</v>
      </c>
      <c r="V1978" s="3">
        <v>1.81</v>
      </c>
      <c r="W1978">
        <v>0.3</v>
      </c>
      <c r="X1978" t="s">
        <v>108</v>
      </c>
      <c r="Y1978" s="3">
        <v>5.14</v>
      </c>
      <c r="Z1978" t="s">
        <v>9850</v>
      </c>
      <c r="AA1978" t="s">
        <v>12479</v>
      </c>
      <c r="AB1978" t="s">
        <v>53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f t="shared" si="60"/>
        <v>8.02</v>
      </c>
      <c r="AK1978" s="3">
        <f t="shared" si="61"/>
        <v>2.88</v>
      </c>
    </row>
    <row r="1979" spans="1:37">
      <c r="A1979">
        <v>10385547</v>
      </c>
      <c r="B1979" t="s">
        <v>37</v>
      </c>
      <c r="C1979" t="s">
        <v>12905</v>
      </c>
      <c r="E1979" t="s">
        <v>3148</v>
      </c>
      <c r="F1979" t="s">
        <v>12906</v>
      </c>
      <c r="G1979" t="s">
        <v>12907</v>
      </c>
      <c r="H1979" t="s">
        <v>42</v>
      </c>
      <c r="I1979" t="s">
        <v>12908</v>
      </c>
      <c r="J1979" t="s">
        <v>12909</v>
      </c>
      <c r="K1979">
        <v>93500</v>
      </c>
      <c r="L1979" t="s">
        <v>130</v>
      </c>
      <c r="M1979" t="s">
        <v>46</v>
      </c>
      <c r="N1979" t="s">
        <v>47</v>
      </c>
      <c r="O1979">
        <v>4</v>
      </c>
      <c r="P1979">
        <v>1</v>
      </c>
      <c r="Q1979">
        <v>4</v>
      </c>
      <c r="R1979" t="s">
        <v>48</v>
      </c>
      <c r="S1979" t="s">
        <v>49</v>
      </c>
      <c r="T1979" s="3">
        <v>0.84</v>
      </c>
      <c r="U1979" s="3">
        <v>0.23</v>
      </c>
      <c r="V1979" s="3">
        <v>3.55</v>
      </c>
      <c r="W1979">
        <v>1.54</v>
      </c>
      <c r="X1979" t="s">
        <v>50</v>
      </c>
      <c r="Y1979" s="3">
        <v>14.26</v>
      </c>
      <c r="Z1979" t="s">
        <v>9686</v>
      </c>
      <c r="AA1979" t="s">
        <v>12910</v>
      </c>
      <c r="AB1979" t="s">
        <v>53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f t="shared" si="60"/>
        <v>18.88</v>
      </c>
      <c r="AK1979" s="3">
        <f t="shared" si="61"/>
        <v>4.6199999999999992</v>
      </c>
    </row>
    <row r="1980" spans="1:37">
      <c r="A1980">
        <v>10385028</v>
      </c>
      <c r="B1980" t="s">
        <v>37</v>
      </c>
      <c r="C1980" t="s">
        <v>12911</v>
      </c>
      <c r="E1980" t="s">
        <v>2991</v>
      </c>
      <c r="F1980" t="s">
        <v>10169</v>
      </c>
      <c r="G1980" t="s">
        <v>12912</v>
      </c>
      <c r="H1980" t="s">
        <v>42</v>
      </c>
      <c r="I1980" t="s">
        <v>12913</v>
      </c>
      <c r="J1980" t="s">
        <v>12914</v>
      </c>
      <c r="K1980">
        <v>92600</v>
      </c>
      <c r="L1980" t="s">
        <v>130</v>
      </c>
      <c r="M1980" t="s">
        <v>46</v>
      </c>
      <c r="N1980" t="s">
        <v>47</v>
      </c>
      <c r="O1980">
        <v>2</v>
      </c>
      <c r="P1980">
        <v>1</v>
      </c>
      <c r="Q1980">
        <v>2</v>
      </c>
      <c r="R1980" t="s">
        <v>48</v>
      </c>
      <c r="S1980" t="s">
        <v>49</v>
      </c>
      <c r="T1980" s="3">
        <v>0.84</v>
      </c>
      <c r="U1980" s="3">
        <v>0.23</v>
      </c>
      <c r="V1980" s="3">
        <v>1.81</v>
      </c>
      <c r="W1980">
        <v>0.9</v>
      </c>
      <c r="X1980" t="s">
        <v>50</v>
      </c>
      <c r="Y1980" s="3">
        <v>14.26</v>
      </c>
      <c r="Z1980" t="s">
        <v>9850</v>
      </c>
      <c r="AA1980" t="s">
        <v>12915</v>
      </c>
      <c r="AB1980" t="s">
        <v>53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f t="shared" si="60"/>
        <v>17.14</v>
      </c>
      <c r="AK1980" s="3">
        <f t="shared" si="61"/>
        <v>2.8800000000000008</v>
      </c>
    </row>
    <row r="1981" spans="1:37">
      <c r="A1981">
        <v>10385026</v>
      </c>
      <c r="B1981" t="s">
        <v>37</v>
      </c>
      <c r="C1981" t="s">
        <v>12916</v>
      </c>
      <c r="E1981" t="s">
        <v>12917</v>
      </c>
      <c r="F1981" t="s">
        <v>12918</v>
      </c>
      <c r="G1981" t="s">
        <v>12919</v>
      </c>
      <c r="H1981" t="s">
        <v>42</v>
      </c>
      <c r="I1981" t="s">
        <v>12920</v>
      </c>
      <c r="J1981" t="s">
        <v>12921</v>
      </c>
      <c r="K1981" t="s">
        <v>12922</v>
      </c>
      <c r="L1981" t="s">
        <v>142</v>
      </c>
      <c r="M1981" t="s">
        <v>46</v>
      </c>
      <c r="N1981" t="s">
        <v>47</v>
      </c>
      <c r="O1981">
        <v>2</v>
      </c>
      <c r="P1981">
        <v>1</v>
      </c>
      <c r="Q1981">
        <v>2</v>
      </c>
      <c r="R1981" t="s">
        <v>48</v>
      </c>
      <c r="S1981" t="s">
        <v>49</v>
      </c>
      <c r="T1981" s="3">
        <v>0.84</v>
      </c>
      <c r="U1981" s="3">
        <v>0.23</v>
      </c>
      <c r="V1981" s="3">
        <v>1.81</v>
      </c>
      <c r="W1981">
        <v>0.98</v>
      </c>
      <c r="X1981" t="s">
        <v>50</v>
      </c>
      <c r="Y1981" s="3">
        <v>16.43</v>
      </c>
      <c r="Z1981" t="s">
        <v>9850</v>
      </c>
      <c r="AA1981" t="s">
        <v>12923</v>
      </c>
      <c r="AB1981" t="s">
        <v>53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f t="shared" si="60"/>
        <v>19.309999999999999</v>
      </c>
      <c r="AK1981" s="3">
        <f t="shared" si="61"/>
        <v>2.879999999999999</v>
      </c>
    </row>
    <row r="1982" spans="1:37">
      <c r="A1982">
        <v>10385831</v>
      </c>
      <c r="B1982" t="s">
        <v>37</v>
      </c>
      <c r="C1982" t="s">
        <v>12924</v>
      </c>
      <c r="E1982" t="s">
        <v>2653</v>
      </c>
      <c r="F1982" t="s">
        <v>12925</v>
      </c>
      <c r="G1982" t="s">
        <v>12926</v>
      </c>
      <c r="H1982" t="s">
        <v>42</v>
      </c>
      <c r="I1982" t="s">
        <v>12927</v>
      </c>
      <c r="J1982" t="s">
        <v>12928</v>
      </c>
      <c r="K1982">
        <v>31515</v>
      </c>
      <c r="L1982" t="s">
        <v>71</v>
      </c>
      <c r="M1982" t="s">
        <v>46</v>
      </c>
      <c r="N1982" t="s">
        <v>47</v>
      </c>
      <c r="O1982">
        <v>3</v>
      </c>
      <c r="P1982">
        <v>1</v>
      </c>
      <c r="Q1982">
        <v>3</v>
      </c>
      <c r="R1982" t="s">
        <v>48</v>
      </c>
      <c r="S1982" t="s">
        <v>49</v>
      </c>
      <c r="T1982" s="3">
        <v>0.84</v>
      </c>
      <c r="U1982" s="3">
        <v>0.23</v>
      </c>
      <c r="V1982" s="3">
        <v>2.68</v>
      </c>
      <c r="W1982">
        <v>1.47</v>
      </c>
      <c r="X1982" t="s">
        <v>108</v>
      </c>
      <c r="Y1982" s="3">
        <v>5.14</v>
      </c>
      <c r="Z1982" t="s">
        <v>9686</v>
      </c>
      <c r="AA1982" t="s">
        <v>12929</v>
      </c>
      <c r="AB1982" t="s">
        <v>53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f t="shared" si="60"/>
        <v>8.89</v>
      </c>
      <c r="AK1982" s="3">
        <f t="shared" si="61"/>
        <v>3.7500000000000009</v>
      </c>
    </row>
    <row r="1983" spans="1:37">
      <c r="A1983">
        <v>10385295</v>
      </c>
      <c r="B1983" t="s">
        <v>37</v>
      </c>
      <c r="C1983" t="s">
        <v>12930</v>
      </c>
      <c r="E1983" t="s">
        <v>12931</v>
      </c>
      <c r="F1983" t="s">
        <v>12932</v>
      </c>
      <c r="G1983" t="s">
        <v>12933</v>
      </c>
      <c r="H1983" t="s">
        <v>42</v>
      </c>
      <c r="I1983" t="s">
        <v>12934</v>
      </c>
      <c r="J1983" t="s">
        <v>12935</v>
      </c>
      <c r="K1983">
        <v>50259</v>
      </c>
      <c r="L1983" t="s">
        <v>71</v>
      </c>
      <c r="M1983" t="s">
        <v>46</v>
      </c>
      <c r="N1983" t="s">
        <v>47</v>
      </c>
      <c r="O1983">
        <v>2</v>
      </c>
      <c r="P1983">
        <v>1</v>
      </c>
      <c r="Q1983">
        <v>2</v>
      </c>
      <c r="R1983" t="s">
        <v>48</v>
      </c>
      <c r="S1983" t="s">
        <v>49</v>
      </c>
      <c r="T1983" s="3">
        <v>0.84</v>
      </c>
      <c r="U1983" s="3">
        <v>0.23</v>
      </c>
      <c r="V1983" s="3">
        <v>1.81</v>
      </c>
      <c r="W1983">
        <v>0.3</v>
      </c>
      <c r="X1983" t="s">
        <v>108</v>
      </c>
      <c r="Y1983" s="3">
        <v>5.14</v>
      </c>
      <c r="Z1983" t="s">
        <v>9850</v>
      </c>
      <c r="AA1983" t="s">
        <v>12441</v>
      </c>
      <c r="AB1983" t="s">
        <v>53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f t="shared" si="60"/>
        <v>8.02</v>
      </c>
      <c r="AK1983" s="3">
        <f t="shared" si="61"/>
        <v>2.88</v>
      </c>
    </row>
    <row r="1984" spans="1:37">
      <c r="A1984">
        <v>10385291</v>
      </c>
      <c r="B1984" t="s">
        <v>37</v>
      </c>
      <c r="C1984" t="s">
        <v>12936</v>
      </c>
      <c r="E1984" t="s">
        <v>12937</v>
      </c>
      <c r="F1984" t="s">
        <v>12938</v>
      </c>
      <c r="G1984" t="s">
        <v>12939</v>
      </c>
      <c r="H1984" t="s">
        <v>42</v>
      </c>
      <c r="I1984" t="s">
        <v>12940</v>
      </c>
      <c r="J1984" t="s">
        <v>12941</v>
      </c>
      <c r="K1984">
        <v>69126</v>
      </c>
      <c r="L1984" t="s">
        <v>71</v>
      </c>
      <c r="M1984" t="s">
        <v>46</v>
      </c>
      <c r="N1984" t="s">
        <v>47</v>
      </c>
      <c r="O1984">
        <v>2</v>
      </c>
      <c r="P1984">
        <v>1</v>
      </c>
      <c r="Q1984">
        <v>2</v>
      </c>
      <c r="R1984" t="s">
        <v>48</v>
      </c>
      <c r="S1984" t="s">
        <v>49</v>
      </c>
      <c r="T1984" s="3">
        <v>0.84</v>
      </c>
      <c r="U1984" s="3">
        <v>0.23</v>
      </c>
      <c r="V1984" s="3">
        <v>1.81</v>
      </c>
      <c r="W1984">
        <v>0.3</v>
      </c>
      <c r="X1984" t="s">
        <v>108</v>
      </c>
      <c r="Y1984" s="3">
        <v>5.14</v>
      </c>
      <c r="Z1984" t="s">
        <v>9850</v>
      </c>
      <c r="AA1984" t="s">
        <v>9271</v>
      </c>
      <c r="AB1984" t="s">
        <v>53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f t="shared" si="60"/>
        <v>8.02</v>
      </c>
      <c r="AK1984" s="3">
        <f t="shared" si="61"/>
        <v>2.88</v>
      </c>
    </row>
    <row r="1985" spans="1:37">
      <c r="A1985">
        <v>10386277</v>
      </c>
      <c r="B1985" t="s">
        <v>37</v>
      </c>
      <c r="C1985" s="2" t="s">
        <v>12942</v>
      </c>
      <c r="E1985" t="s">
        <v>12943</v>
      </c>
      <c r="F1985" t="s">
        <v>12944</v>
      </c>
      <c r="G1985" t="s">
        <v>12945</v>
      </c>
      <c r="H1985" t="s">
        <v>42</v>
      </c>
      <c r="I1985" t="s">
        <v>12946</v>
      </c>
      <c r="J1985" t="s">
        <v>12947</v>
      </c>
      <c r="K1985">
        <v>82041</v>
      </c>
      <c r="L1985" t="s">
        <v>71</v>
      </c>
      <c r="M1985" t="s">
        <v>46</v>
      </c>
      <c r="N1985" t="s">
        <v>47</v>
      </c>
      <c r="O1985">
        <v>1</v>
      </c>
      <c r="P1985">
        <v>1</v>
      </c>
      <c r="Q1985">
        <v>1</v>
      </c>
      <c r="R1985" t="s">
        <v>48</v>
      </c>
      <c r="S1985" t="s">
        <v>49</v>
      </c>
      <c r="T1985" s="3">
        <v>0.84</v>
      </c>
      <c r="U1985" s="3">
        <v>0.23</v>
      </c>
      <c r="V1985" s="3">
        <v>0.94</v>
      </c>
      <c r="W1985">
        <v>0.5</v>
      </c>
      <c r="X1985" t="s">
        <v>108</v>
      </c>
      <c r="Y1985" s="3">
        <v>5.14</v>
      </c>
      <c r="Z1985" t="s">
        <v>9850</v>
      </c>
      <c r="AA1985" t="s">
        <v>12948</v>
      </c>
      <c r="AB1985" t="s">
        <v>53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f t="shared" si="60"/>
        <v>7.15</v>
      </c>
      <c r="AK1985" s="3">
        <f t="shared" si="61"/>
        <v>2.0100000000000007</v>
      </c>
    </row>
    <row r="1986" spans="1:37">
      <c r="A1986">
        <v>10385549</v>
      </c>
      <c r="B1986" t="s">
        <v>37</v>
      </c>
      <c r="C1986" t="s">
        <v>12949</v>
      </c>
      <c r="E1986" t="s">
        <v>2638</v>
      </c>
      <c r="F1986" t="s">
        <v>12950</v>
      </c>
      <c r="G1986" t="s">
        <v>12951</v>
      </c>
      <c r="H1986" t="s">
        <v>42</v>
      </c>
      <c r="I1986" t="s">
        <v>12952</v>
      </c>
      <c r="J1986" t="s">
        <v>12953</v>
      </c>
      <c r="K1986">
        <v>28215</v>
      </c>
      <c r="L1986" t="s">
        <v>71</v>
      </c>
      <c r="M1986" t="s">
        <v>46</v>
      </c>
      <c r="N1986" t="s">
        <v>47</v>
      </c>
      <c r="O1986">
        <v>2</v>
      </c>
      <c r="P1986">
        <v>1</v>
      </c>
      <c r="Q1986">
        <v>2</v>
      </c>
      <c r="R1986" t="s">
        <v>48</v>
      </c>
      <c r="S1986" t="s">
        <v>49</v>
      </c>
      <c r="T1986" s="3">
        <v>0.84</v>
      </c>
      <c r="U1986" s="3">
        <v>0.23</v>
      </c>
      <c r="V1986" s="3">
        <v>1.81</v>
      </c>
      <c r="W1986">
        <v>0.3</v>
      </c>
      <c r="X1986" t="s">
        <v>108</v>
      </c>
      <c r="Y1986" s="3">
        <v>5.14</v>
      </c>
      <c r="Z1986" t="s">
        <v>9850</v>
      </c>
      <c r="AA1986" t="s">
        <v>12441</v>
      </c>
      <c r="AB1986" t="s">
        <v>53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f t="shared" ref="AJ1986:AJ2049" si="62">AI1986+AH1986+AG1986+AF1986+AE1986+AD1986+AC1986+Y1986+V1986+U1986+T1986</f>
        <v>8.02</v>
      </c>
      <c r="AK1986" s="3">
        <f t="shared" ref="AK1986:AK2049" si="63">AJ1986-Y1986</f>
        <v>2.88</v>
      </c>
    </row>
    <row r="1987" spans="1:37">
      <c r="A1987">
        <v>10369121</v>
      </c>
      <c r="B1987" t="s">
        <v>37</v>
      </c>
      <c r="C1987" t="s">
        <v>12954</v>
      </c>
      <c r="E1987" t="s">
        <v>3020</v>
      </c>
      <c r="F1987" t="s">
        <v>12955</v>
      </c>
      <c r="G1987" t="s">
        <v>12956</v>
      </c>
      <c r="H1987" t="s">
        <v>42</v>
      </c>
      <c r="I1987" t="s">
        <v>12957</v>
      </c>
      <c r="J1987" t="s">
        <v>12958</v>
      </c>
      <c r="K1987">
        <v>70329</v>
      </c>
      <c r="L1987" t="s">
        <v>71</v>
      </c>
      <c r="M1987" t="s">
        <v>46</v>
      </c>
      <c r="N1987" t="s">
        <v>47</v>
      </c>
      <c r="O1987">
        <v>7</v>
      </c>
      <c r="P1987">
        <v>1</v>
      </c>
      <c r="Q1987">
        <v>7</v>
      </c>
      <c r="R1987" t="s">
        <v>48</v>
      </c>
      <c r="S1987" t="s">
        <v>49</v>
      </c>
      <c r="T1987" s="3">
        <v>0.84</v>
      </c>
      <c r="U1987" s="3">
        <v>0.23</v>
      </c>
      <c r="V1987" s="3">
        <v>6.16</v>
      </c>
      <c r="W1987">
        <v>1.1499999999999999</v>
      </c>
      <c r="X1987" t="s">
        <v>72</v>
      </c>
      <c r="Y1987" s="3">
        <v>5.44</v>
      </c>
      <c r="Z1987" t="s">
        <v>73</v>
      </c>
      <c r="AA1987" t="s">
        <v>12959</v>
      </c>
      <c r="AB1987" t="s">
        <v>53</v>
      </c>
      <c r="AC1987" s="3">
        <v>1.29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f t="shared" si="62"/>
        <v>13.96</v>
      </c>
      <c r="AK1987" s="3">
        <f t="shared" si="63"/>
        <v>8.52</v>
      </c>
    </row>
    <row r="1988" spans="1:37">
      <c r="A1988">
        <v>10385830</v>
      </c>
      <c r="B1988" t="s">
        <v>37</v>
      </c>
      <c r="C1988" t="s">
        <v>12960</v>
      </c>
      <c r="E1988" t="s">
        <v>12961</v>
      </c>
      <c r="F1988" t="s">
        <v>12962</v>
      </c>
      <c r="G1988" t="s">
        <v>12963</v>
      </c>
      <c r="H1988" t="s">
        <v>42</v>
      </c>
      <c r="I1988" t="s">
        <v>12964</v>
      </c>
      <c r="J1988" t="s">
        <v>12965</v>
      </c>
      <c r="K1988">
        <v>60230</v>
      </c>
      <c r="L1988" t="s">
        <v>130</v>
      </c>
      <c r="M1988" t="s">
        <v>46</v>
      </c>
      <c r="N1988" t="s">
        <v>47</v>
      </c>
      <c r="O1988">
        <v>1</v>
      </c>
      <c r="P1988">
        <v>1</v>
      </c>
      <c r="Q1988">
        <v>1</v>
      </c>
      <c r="R1988" t="s">
        <v>48</v>
      </c>
      <c r="S1988" t="s">
        <v>49</v>
      </c>
      <c r="T1988" s="3">
        <v>0.84</v>
      </c>
      <c r="U1988" s="3">
        <v>0.23</v>
      </c>
      <c r="V1988" s="3">
        <v>0.94</v>
      </c>
      <c r="W1988">
        <v>0.49</v>
      </c>
      <c r="X1988" t="s">
        <v>50</v>
      </c>
      <c r="Y1988" s="3">
        <v>14.26</v>
      </c>
      <c r="Z1988" t="s">
        <v>9850</v>
      </c>
      <c r="AA1988" t="s">
        <v>3322</v>
      </c>
      <c r="AB1988" t="s">
        <v>53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f t="shared" si="62"/>
        <v>16.27</v>
      </c>
      <c r="AK1988" s="3">
        <f t="shared" si="63"/>
        <v>2.0099999999999998</v>
      </c>
    </row>
    <row r="1989" spans="1:37">
      <c r="A1989">
        <v>10386031</v>
      </c>
      <c r="B1989" t="s">
        <v>37</v>
      </c>
      <c r="C1989" t="s">
        <v>12966</v>
      </c>
      <c r="E1989" t="s">
        <v>12967</v>
      </c>
      <c r="F1989" t="s">
        <v>12968</v>
      </c>
      <c r="G1989" t="s">
        <v>12969</v>
      </c>
      <c r="H1989" t="s">
        <v>42</v>
      </c>
      <c r="I1989" t="s">
        <v>12970</v>
      </c>
      <c r="J1989" t="s">
        <v>12971</v>
      </c>
      <c r="K1989">
        <v>50321</v>
      </c>
      <c r="L1989" t="s">
        <v>71</v>
      </c>
      <c r="M1989" t="s">
        <v>46</v>
      </c>
      <c r="N1989" t="s">
        <v>47</v>
      </c>
      <c r="O1989">
        <v>1</v>
      </c>
      <c r="P1989">
        <v>1</v>
      </c>
      <c r="Q1989">
        <v>1</v>
      </c>
      <c r="R1989" t="s">
        <v>48</v>
      </c>
      <c r="S1989" t="s">
        <v>49</v>
      </c>
      <c r="T1989" s="3">
        <v>0.84</v>
      </c>
      <c r="U1989" s="3">
        <v>0.23</v>
      </c>
      <c r="V1989" s="3">
        <v>0.94</v>
      </c>
      <c r="W1989">
        <v>0.15</v>
      </c>
      <c r="X1989" t="s">
        <v>108</v>
      </c>
      <c r="Y1989" s="3">
        <v>5.14</v>
      </c>
      <c r="Z1989" t="s">
        <v>9850</v>
      </c>
      <c r="AA1989" t="s">
        <v>12391</v>
      </c>
      <c r="AB1989" t="s">
        <v>53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f t="shared" si="62"/>
        <v>7.15</v>
      </c>
      <c r="AK1989" s="3">
        <f t="shared" si="63"/>
        <v>2.0100000000000007</v>
      </c>
    </row>
    <row r="1990" spans="1:37">
      <c r="A1990">
        <v>10386290</v>
      </c>
      <c r="B1990" t="s">
        <v>37</v>
      </c>
      <c r="C1990" t="s">
        <v>12972</v>
      </c>
      <c r="E1990" t="s">
        <v>5345</v>
      </c>
      <c r="F1990" t="s">
        <v>12973</v>
      </c>
      <c r="G1990" t="s">
        <v>12974</v>
      </c>
      <c r="H1990" t="s">
        <v>42</v>
      </c>
      <c r="I1990" t="s">
        <v>12975</v>
      </c>
      <c r="J1990" t="s">
        <v>12976</v>
      </c>
      <c r="K1990">
        <v>33617</v>
      </c>
      <c r="L1990" t="s">
        <v>71</v>
      </c>
      <c r="M1990" t="s">
        <v>46</v>
      </c>
      <c r="N1990" t="s">
        <v>47</v>
      </c>
      <c r="O1990">
        <v>1</v>
      </c>
      <c r="P1990">
        <v>1</v>
      </c>
      <c r="Q1990">
        <v>1</v>
      </c>
      <c r="R1990" t="s">
        <v>48</v>
      </c>
      <c r="S1990" t="s">
        <v>49</v>
      </c>
      <c r="T1990" s="3">
        <v>0.84</v>
      </c>
      <c r="U1990" s="3">
        <v>0.23</v>
      </c>
      <c r="V1990" s="3">
        <v>0.94</v>
      </c>
      <c r="W1990">
        <v>0.15</v>
      </c>
      <c r="X1990" t="s">
        <v>108</v>
      </c>
      <c r="Y1990" s="3">
        <v>5.14</v>
      </c>
      <c r="Z1990" t="s">
        <v>9850</v>
      </c>
      <c r="AA1990" t="s">
        <v>12391</v>
      </c>
      <c r="AB1990" t="s">
        <v>53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f t="shared" si="62"/>
        <v>7.15</v>
      </c>
      <c r="AK1990" s="3">
        <f t="shared" si="63"/>
        <v>2.0100000000000007</v>
      </c>
    </row>
    <row r="1991" spans="1:37">
      <c r="A1991">
        <v>10386295</v>
      </c>
      <c r="B1991" t="s">
        <v>37</v>
      </c>
      <c r="C1991" t="s">
        <v>12977</v>
      </c>
      <c r="E1991" t="s">
        <v>12978</v>
      </c>
      <c r="F1991" t="s">
        <v>8783</v>
      </c>
      <c r="G1991" t="s">
        <v>12979</v>
      </c>
      <c r="H1991" t="s">
        <v>42</v>
      </c>
      <c r="I1991" t="s">
        <v>12980</v>
      </c>
      <c r="J1991" t="s">
        <v>12981</v>
      </c>
      <c r="K1991" t="s">
        <v>12982</v>
      </c>
      <c r="L1991" t="s">
        <v>71</v>
      </c>
      <c r="M1991" t="s">
        <v>46</v>
      </c>
      <c r="N1991" t="s">
        <v>47</v>
      </c>
      <c r="O1991">
        <v>1</v>
      </c>
      <c r="P1991">
        <v>1</v>
      </c>
      <c r="Q1991">
        <v>1</v>
      </c>
      <c r="R1991" t="s">
        <v>48</v>
      </c>
      <c r="S1991" t="s">
        <v>49</v>
      </c>
      <c r="T1991" s="3">
        <v>0.84</v>
      </c>
      <c r="U1991" s="3">
        <v>0.23</v>
      </c>
      <c r="V1991" s="3">
        <v>0.94</v>
      </c>
      <c r="W1991">
        <v>0.15</v>
      </c>
      <c r="X1991" t="s">
        <v>108</v>
      </c>
      <c r="Y1991" s="3">
        <v>5.14</v>
      </c>
      <c r="Z1991" t="s">
        <v>9850</v>
      </c>
      <c r="AA1991" t="s">
        <v>12391</v>
      </c>
      <c r="AB1991" t="s">
        <v>53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f t="shared" si="62"/>
        <v>7.15</v>
      </c>
      <c r="AK1991" s="3">
        <f t="shared" si="63"/>
        <v>2.0100000000000007</v>
      </c>
    </row>
    <row r="1992" spans="1:37">
      <c r="A1992">
        <v>10386297</v>
      </c>
      <c r="B1992" t="s">
        <v>37</v>
      </c>
      <c r="C1992" t="s">
        <v>12983</v>
      </c>
      <c r="E1992" t="s">
        <v>809</v>
      </c>
      <c r="F1992" t="s">
        <v>12984</v>
      </c>
      <c r="G1992" t="s">
        <v>12985</v>
      </c>
      <c r="H1992" t="s">
        <v>42</v>
      </c>
      <c r="I1992" t="s">
        <v>12986</v>
      </c>
      <c r="J1992" t="s">
        <v>12987</v>
      </c>
      <c r="K1992">
        <v>50389</v>
      </c>
      <c r="L1992" t="s">
        <v>71</v>
      </c>
      <c r="M1992" t="s">
        <v>46</v>
      </c>
      <c r="N1992" t="s">
        <v>47</v>
      </c>
      <c r="O1992">
        <v>1</v>
      </c>
      <c r="P1992">
        <v>1</v>
      </c>
      <c r="Q1992">
        <v>1</v>
      </c>
      <c r="R1992" t="s">
        <v>48</v>
      </c>
      <c r="S1992" t="s">
        <v>49</v>
      </c>
      <c r="T1992" s="3">
        <v>0.84</v>
      </c>
      <c r="U1992" s="3">
        <v>0.23</v>
      </c>
      <c r="V1992" s="3">
        <v>0.94</v>
      </c>
      <c r="W1992">
        <v>0.15</v>
      </c>
      <c r="X1992" t="s">
        <v>108</v>
      </c>
      <c r="Y1992" s="3">
        <v>5.14</v>
      </c>
      <c r="Z1992" t="s">
        <v>9850</v>
      </c>
      <c r="AA1992" t="s">
        <v>12391</v>
      </c>
      <c r="AB1992" t="s">
        <v>53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f t="shared" si="62"/>
        <v>7.15</v>
      </c>
      <c r="AK1992" s="3">
        <f t="shared" si="63"/>
        <v>2.0100000000000007</v>
      </c>
    </row>
    <row r="1993" spans="1:37">
      <c r="A1993">
        <v>10386299</v>
      </c>
      <c r="B1993" t="s">
        <v>37</v>
      </c>
      <c r="C1993" t="s">
        <v>12988</v>
      </c>
      <c r="E1993" t="s">
        <v>1330</v>
      </c>
      <c r="F1993" t="s">
        <v>541</v>
      </c>
      <c r="G1993" t="s">
        <v>12989</v>
      </c>
      <c r="H1993" t="s">
        <v>42</v>
      </c>
      <c r="I1993" t="s">
        <v>12990</v>
      </c>
      <c r="J1993" t="s">
        <v>12991</v>
      </c>
      <c r="K1993">
        <v>70180</v>
      </c>
      <c r="L1993" t="s">
        <v>71</v>
      </c>
      <c r="M1993" t="s">
        <v>46</v>
      </c>
      <c r="N1993" t="s">
        <v>47</v>
      </c>
      <c r="O1993">
        <v>1</v>
      </c>
      <c r="P1993">
        <v>1</v>
      </c>
      <c r="Q1993">
        <v>1</v>
      </c>
      <c r="R1993" t="s">
        <v>48</v>
      </c>
      <c r="S1993" t="s">
        <v>49</v>
      </c>
      <c r="T1993" s="3">
        <v>0.84</v>
      </c>
      <c r="U1993" s="3">
        <v>0.23</v>
      </c>
      <c r="V1993" s="3">
        <v>0.94</v>
      </c>
      <c r="W1993">
        <v>0.15</v>
      </c>
      <c r="X1993" t="s">
        <v>108</v>
      </c>
      <c r="Y1993" s="3">
        <v>5.14</v>
      </c>
      <c r="Z1993" t="s">
        <v>9850</v>
      </c>
      <c r="AA1993" t="s">
        <v>12391</v>
      </c>
      <c r="AB1993" t="s">
        <v>53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f t="shared" si="62"/>
        <v>7.15</v>
      </c>
      <c r="AK1993" s="3">
        <f t="shared" si="63"/>
        <v>2.0100000000000007</v>
      </c>
    </row>
    <row r="1994" spans="1:37">
      <c r="A1994">
        <v>10386307</v>
      </c>
      <c r="B1994" t="s">
        <v>37</v>
      </c>
      <c r="C1994" t="s">
        <v>12992</v>
      </c>
      <c r="E1994" t="s">
        <v>4554</v>
      </c>
      <c r="F1994" t="s">
        <v>12993</v>
      </c>
      <c r="G1994" t="s">
        <v>12994</v>
      </c>
      <c r="H1994" t="s">
        <v>42</v>
      </c>
      <c r="I1994" t="s">
        <v>12995</v>
      </c>
      <c r="J1994" t="s">
        <v>12996</v>
      </c>
      <c r="K1994">
        <v>33803</v>
      </c>
      <c r="L1994" t="s">
        <v>71</v>
      </c>
      <c r="M1994" t="s">
        <v>46</v>
      </c>
      <c r="N1994" t="s">
        <v>47</v>
      </c>
      <c r="O1994">
        <v>1</v>
      </c>
      <c r="P1994">
        <v>1</v>
      </c>
      <c r="Q1994">
        <v>1</v>
      </c>
      <c r="R1994" t="s">
        <v>48</v>
      </c>
      <c r="S1994" t="s">
        <v>49</v>
      </c>
      <c r="T1994" s="3">
        <v>0.84</v>
      </c>
      <c r="U1994" s="3">
        <v>0.23</v>
      </c>
      <c r="V1994" s="3">
        <v>0.94</v>
      </c>
      <c r="W1994">
        <v>0.15</v>
      </c>
      <c r="X1994" t="s">
        <v>108</v>
      </c>
      <c r="Y1994" s="3">
        <v>5.14</v>
      </c>
      <c r="Z1994" t="s">
        <v>9850</v>
      </c>
      <c r="AA1994" t="s">
        <v>12434</v>
      </c>
      <c r="AB1994" t="s">
        <v>53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f t="shared" si="62"/>
        <v>7.15</v>
      </c>
      <c r="AK1994" s="3">
        <f t="shared" si="63"/>
        <v>2.0100000000000007</v>
      </c>
    </row>
    <row r="1995" spans="1:37">
      <c r="A1995">
        <v>10386303</v>
      </c>
      <c r="B1995" t="s">
        <v>37</v>
      </c>
      <c r="C1995" t="s">
        <v>12997</v>
      </c>
      <c r="E1995" t="s">
        <v>240</v>
      </c>
      <c r="F1995" t="s">
        <v>12998</v>
      </c>
      <c r="G1995" t="s">
        <v>12999</v>
      </c>
      <c r="H1995" t="s">
        <v>42</v>
      </c>
      <c r="I1995" t="s">
        <v>13000</v>
      </c>
      <c r="J1995" t="s">
        <v>13001</v>
      </c>
      <c r="K1995" t="s">
        <v>13002</v>
      </c>
      <c r="L1995" t="s">
        <v>71</v>
      </c>
      <c r="M1995" t="s">
        <v>46</v>
      </c>
      <c r="N1995" t="s">
        <v>47</v>
      </c>
      <c r="O1995">
        <v>1</v>
      </c>
      <c r="P1995">
        <v>1</v>
      </c>
      <c r="Q1995">
        <v>1</v>
      </c>
      <c r="R1995" t="s">
        <v>48</v>
      </c>
      <c r="S1995" t="s">
        <v>49</v>
      </c>
      <c r="T1995" s="3">
        <v>0.84</v>
      </c>
      <c r="U1995" s="3">
        <v>0.23</v>
      </c>
      <c r="V1995" s="3">
        <v>0.94</v>
      </c>
      <c r="W1995">
        <v>0.15</v>
      </c>
      <c r="X1995" t="s">
        <v>108</v>
      </c>
      <c r="Y1995" s="3">
        <v>5.14</v>
      </c>
      <c r="Z1995" t="s">
        <v>9850</v>
      </c>
      <c r="AA1995" t="s">
        <v>12391</v>
      </c>
      <c r="AB1995" t="s">
        <v>53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f t="shared" si="62"/>
        <v>7.15</v>
      </c>
      <c r="AK1995" s="3">
        <f t="shared" si="63"/>
        <v>2.0100000000000007</v>
      </c>
    </row>
    <row r="1996" spans="1:37">
      <c r="A1996">
        <v>10386309</v>
      </c>
      <c r="B1996" t="s">
        <v>37</v>
      </c>
      <c r="C1996" t="s">
        <v>13003</v>
      </c>
      <c r="E1996" t="s">
        <v>7811</v>
      </c>
      <c r="F1996" t="s">
        <v>13004</v>
      </c>
      <c r="G1996" t="s">
        <v>13005</v>
      </c>
      <c r="H1996" t="s">
        <v>42</v>
      </c>
      <c r="I1996" t="s">
        <v>13006</v>
      </c>
      <c r="J1996" t="s">
        <v>13007</v>
      </c>
      <c r="K1996">
        <v>57080</v>
      </c>
      <c r="L1996" t="s">
        <v>71</v>
      </c>
      <c r="M1996" t="s">
        <v>46</v>
      </c>
      <c r="N1996" t="s">
        <v>47</v>
      </c>
      <c r="O1996">
        <v>1</v>
      </c>
      <c r="P1996">
        <v>1</v>
      </c>
      <c r="Q1996">
        <v>1</v>
      </c>
      <c r="R1996" t="s">
        <v>48</v>
      </c>
      <c r="S1996" t="s">
        <v>49</v>
      </c>
      <c r="T1996" s="3">
        <v>0.84</v>
      </c>
      <c r="U1996" s="3">
        <v>0.23</v>
      </c>
      <c r="V1996" s="3">
        <v>0.94</v>
      </c>
      <c r="W1996">
        <v>0.15</v>
      </c>
      <c r="X1996" t="s">
        <v>108</v>
      </c>
      <c r="Y1996" s="3">
        <v>5.14</v>
      </c>
      <c r="Z1996" t="s">
        <v>9850</v>
      </c>
      <c r="AA1996" t="s">
        <v>12391</v>
      </c>
      <c r="AB1996" t="s">
        <v>53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f t="shared" si="62"/>
        <v>7.15</v>
      </c>
      <c r="AK1996" s="3">
        <f t="shared" si="63"/>
        <v>2.0100000000000007</v>
      </c>
    </row>
    <row r="1997" spans="1:37">
      <c r="A1997">
        <v>10386886</v>
      </c>
      <c r="B1997" t="s">
        <v>37</v>
      </c>
      <c r="C1997" t="s">
        <v>13008</v>
      </c>
      <c r="E1997" t="s">
        <v>1462</v>
      </c>
      <c r="F1997" t="s">
        <v>13009</v>
      </c>
      <c r="G1997" t="s">
        <v>13010</v>
      </c>
      <c r="H1997" t="s">
        <v>42</v>
      </c>
      <c r="I1997" t="s">
        <v>13011</v>
      </c>
      <c r="J1997" t="s">
        <v>13012</v>
      </c>
      <c r="K1997">
        <v>59555</v>
      </c>
      <c r="L1997" t="s">
        <v>71</v>
      </c>
      <c r="M1997" t="s">
        <v>46</v>
      </c>
      <c r="N1997" t="s">
        <v>47</v>
      </c>
      <c r="O1997">
        <v>1</v>
      </c>
      <c r="P1997">
        <v>1</v>
      </c>
      <c r="Q1997">
        <v>1</v>
      </c>
      <c r="R1997" t="s">
        <v>48</v>
      </c>
      <c r="S1997" t="s">
        <v>49</v>
      </c>
      <c r="T1997" s="3">
        <v>0.84</v>
      </c>
      <c r="U1997" s="3">
        <v>0.23</v>
      </c>
      <c r="V1997" s="3">
        <v>0.94</v>
      </c>
      <c r="W1997">
        <v>0.15</v>
      </c>
      <c r="X1997" t="s">
        <v>108</v>
      </c>
      <c r="Y1997" s="3">
        <v>5.14</v>
      </c>
      <c r="Z1997" t="s">
        <v>9850</v>
      </c>
      <c r="AA1997" t="s">
        <v>12434</v>
      </c>
      <c r="AB1997" t="s">
        <v>53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f t="shared" si="62"/>
        <v>7.15</v>
      </c>
      <c r="AK1997" s="3">
        <f t="shared" si="63"/>
        <v>2.0100000000000007</v>
      </c>
    </row>
    <row r="1998" spans="1:37">
      <c r="A1998">
        <v>10386885</v>
      </c>
      <c r="B1998" t="s">
        <v>37</v>
      </c>
      <c r="C1998" t="s">
        <v>13013</v>
      </c>
      <c r="E1998" t="s">
        <v>13014</v>
      </c>
      <c r="F1998" t="s">
        <v>13015</v>
      </c>
      <c r="G1998" t="s">
        <v>13016</v>
      </c>
      <c r="H1998" t="s">
        <v>42</v>
      </c>
      <c r="I1998" t="s">
        <v>13017</v>
      </c>
      <c r="J1998" t="s">
        <v>13018</v>
      </c>
      <c r="K1998">
        <v>32049</v>
      </c>
      <c r="L1998" t="s">
        <v>71</v>
      </c>
      <c r="M1998" t="s">
        <v>46</v>
      </c>
      <c r="N1998" t="s">
        <v>47</v>
      </c>
      <c r="O1998">
        <v>1</v>
      </c>
      <c r="P1998">
        <v>1</v>
      </c>
      <c r="Q1998">
        <v>1</v>
      </c>
      <c r="R1998" t="s">
        <v>48</v>
      </c>
      <c r="S1998" t="s">
        <v>49</v>
      </c>
      <c r="T1998" s="3">
        <v>0.84</v>
      </c>
      <c r="U1998" s="3">
        <v>0.23</v>
      </c>
      <c r="V1998" s="3">
        <v>0.94</v>
      </c>
      <c r="W1998">
        <v>0.15</v>
      </c>
      <c r="X1998" t="s">
        <v>108</v>
      </c>
      <c r="Y1998" s="3">
        <v>5.14</v>
      </c>
      <c r="Z1998" t="s">
        <v>9850</v>
      </c>
      <c r="AA1998" t="s">
        <v>12391</v>
      </c>
      <c r="AB1998" t="s">
        <v>53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f t="shared" si="62"/>
        <v>7.15</v>
      </c>
      <c r="AK1998" s="3">
        <f t="shared" si="63"/>
        <v>2.0100000000000007</v>
      </c>
    </row>
    <row r="1999" spans="1:37">
      <c r="A1999">
        <v>10386889</v>
      </c>
      <c r="B1999" t="s">
        <v>37</v>
      </c>
      <c r="C1999" t="s">
        <v>13019</v>
      </c>
      <c r="E1999" t="s">
        <v>6459</v>
      </c>
      <c r="F1999" t="s">
        <v>13020</v>
      </c>
      <c r="G1999" t="s">
        <v>13021</v>
      </c>
      <c r="H1999" t="s">
        <v>42</v>
      </c>
      <c r="I1999" t="s">
        <v>13022</v>
      </c>
      <c r="J1999" t="s">
        <v>13023</v>
      </c>
      <c r="K1999">
        <v>33181</v>
      </c>
      <c r="L1999" t="s">
        <v>71</v>
      </c>
      <c r="M1999" t="s">
        <v>46</v>
      </c>
      <c r="N1999" t="s">
        <v>47</v>
      </c>
      <c r="O1999">
        <v>1</v>
      </c>
      <c r="P1999">
        <v>1</v>
      </c>
      <c r="Q1999">
        <v>1</v>
      </c>
      <c r="R1999" t="s">
        <v>48</v>
      </c>
      <c r="S1999" t="s">
        <v>49</v>
      </c>
      <c r="T1999" s="3">
        <v>0.84</v>
      </c>
      <c r="U1999" s="3">
        <v>0.23</v>
      </c>
      <c r="V1999" s="3">
        <v>0.94</v>
      </c>
      <c r="W1999">
        <v>0.15</v>
      </c>
      <c r="X1999" t="s">
        <v>108</v>
      </c>
      <c r="Y1999" s="3">
        <v>5.14</v>
      </c>
      <c r="Z1999" t="s">
        <v>9850</v>
      </c>
      <c r="AA1999" t="s">
        <v>12391</v>
      </c>
      <c r="AB1999" t="s">
        <v>53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f t="shared" si="62"/>
        <v>7.15</v>
      </c>
      <c r="AK1999" s="3">
        <f t="shared" si="63"/>
        <v>2.0100000000000007</v>
      </c>
    </row>
    <row r="2000" spans="1:37">
      <c r="A2000">
        <v>10386894</v>
      </c>
      <c r="B2000" t="s">
        <v>37</v>
      </c>
      <c r="C2000" t="s">
        <v>13024</v>
      </c>
      <c r="E2000" t="s">
        <v>731</v>
      </c>
      <c r="F2000" t="s">
        <v>13025</v>
      </c>
      <c r="G2000" t="s">
        <v>13026</v>
      </c>
      <c r="H2000" t="s">
        <v>42</v>
      </c>
      <c r="I2000" t="s">
        <v>13027</v>
      </c>
      <c r="J2000" t="s">
        <v>13028</v>
      </c>
      <c r="K2000">
        <v>33335</v>
      </c>
      <c r="L2000" t="s">
        <v>71</v>
      </c>
      <c r="M2000" t="s">
        <v>46</v>
      </c>
      <c r="N2000" t="s">
        <v>47</v>
      </c>
      <c r="O2000">
        <v>1</v>
      </c>
      <c r="P2000">
        <v>1</v>
      </c>
      <c r="Q2000">
        <v>1</v>
      </c>
      <c r="R2000" t="s">
        <v>48</v>
      </c>
      <c r="S2000" t="s">
        <v>49</v>
      </c>
      <c r="T2000" s="3">
        <v>0.84</v>
      </c>
      <c r="U2000" s="3">
        <v>0.23</v>
      </c>
      <c r="V2000" s="3">
        <v>0.94</v>
      </c>
      <c r="W2000">
        <v>0.25</v>
      </c>
      <c r="X2000" t="s">
        <v>108</v>
      </c>
      <c r="Y2000" s="3">
        <v>14.44</v>
      </c>
      <c r="Z2000" t="s">
        <v>109</v>
      </c>
      <c r="AA2000" t="s">
        <v>12434</v>
      </c>
      <c r="AB2000" t="s">
        <v>53</v>
      </c>
      <c r="AC2000" s="3">
        <v>1.06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f t="shared" si="62"/>
        <v>17.510000000000002</v>
      </c>
      <c r="AK2000" s="3">
        <f t="shared" si="63"/>
        <v>3.0700000000000021</v>
      </c>
    </row>
    <row r="2001" spans="1:37">
      <c r="A2001">
        <v>10385829</v>
      </c>
      <c r="B2001" t="s">
        <v>37</v>
      </c>
      <c r="C2001" t="s">
        <v>13029</v>
      </c>
      <c r="E2001" t="s">
        <v>13030</v>
      </c>
      <c r="F2001" t="s">
        <v>13031</v>
      </c>
      <c r="G2001" t="s">
        <v>13032</v>
      </c>
      <c r="H2001" t="s">
        <v>42</v>
      </c>
      <c r="I2001" t="s">
        <v>13033</v>
      </c>
      <c r="J2001" t="s">
        <v>13034</v>
      </c>
      <c r="K2001">
        <v>33617</v>
      </c>
      <c r="L2001" t="s">
        <v>71</v>
      </c>
      <c r="M2001" t="s">
        <v>46</v>
      </c>
      <c r="N2001" t="s">
        <v>47</v>
      </c>
      <c r="O2001">
        <v>1</v>
      </c>
      <c r="P2001">
        <v>1</v>
      </c>
      <c r="Q2001">
        <v>1</v>
      </c>
      <c r="R2001" t="s">
        <v>48</v>
      </c>
      <c r="S2001" t="s">
        <v>49</v>
      </c>
      <c r="T2001" s="3">
        <v>0.84</v>
      </c>
      <c r="U2001" s="3">
        <v>0.23</v>
      </c>
      <c r="V2001" s="3">
        <v>0.94</v>
      </c>
      <c r="W2001">
        <v>0.15</v>
      </c>
      <c r="X2001" t="s">
        <v>108</v>
      </c>
      <c r="Y2001" s="3">
        <v>5.14</v>
      </c>
      <c r="Z2001" t="s">
        <v>9850</v>
      </c>
      <c r="AA2001" t="s">
        <v>12434</v>
      </c>
      <c r="AB2001" t="s">
        <v>53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f t="shared" si="62"/>
        <v>7.15</v>
      </c>
      <c r="AK2001" s="3">
        <f t="shared" si="63"/>
        <v>2.0100000000000007</v>
      </c>
    </row>
    <row r="2002" spans="1:37">
      <c r="A2002">
        <v>10386891</v>
      </c>
      <c r="B2002" t="s">
        <v>37</v>
      </c>
      <c r="C2002" t="s">
        <v>13035</v>
      </c>
      <c r="E2002" t="s">
        <v>13036</v>
      </c>
      <c r="F2002" t="s">
        <v>13037</v>
      </c>
      <c r="G2002" t="s">
        <v>13038</v>
      </c>
      <c r="H2002" t="s">
        <v>42</v>
      </c>
      <c r="I2002" t="s">
        <v>13039</v>
      </c>
      <c r="J2002" t="s">
        <v>13040</v>
      </c>
      <c r="K2002">
        <v>59425</v>
      </c>
      <c r="L2002" t="s">
        <v>71</v>
      </c>
      <c r="M2002" t="s">
        <v>46</v>
      </c>
      <c r="N2002" t="s">
        <v>47</v>
      </c>
      <c r="O2002">
        <v>1</v>
      </c>
      <c r="P2002">
        <v>1</v>
      </c>
      <c r="Q2002">
        <v>1</v>
      </c>
      <c r="R2002" t="s">
        <v>48</v>
      </c>
      <c r="S2002" t="s">
        <v>49</v>
      </c>
      <c r="T2002" s="3">
        <v>0.84</v>
      </c>
      <c r="U2002" s="3">
        <v>0.23</v>
      </c>
      <c r="V2002" s="3">
        <v>0.94</v>
      </c>
      <c r="W2002">
        <v>0.15</v>
      </c>
      <c r="X2002" t="s">
        <v>108</v>
      </c>
      <c r="Y2002" s="3">
        <v>5.14</v>
      </c>
      <c r="Z2002" t="s">
        <v>9850</v>
      </c>
      <c r="AA2002" t="s">
        <v>12391</v>
      </c>
      <c r="AB2002" t="s">
        <v>53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f t="shared" si="62"/>
        <v>7.15</v>
      </c>
      <c r="AK2002" s="3">
        <f t="shared" si="63"/>
        <v>2.0100000000000007</v>
      </c>
    </row>
    <row r="2003" spans="1:37">
      <c r="A2003">
        <v>10387314</v>
      </c>
      <c r="B2003" t="s">
        <v>37</v>
      </c>
      <c r="C2003" t="s">
        <v>13041</v>
      </c>
      <c r="E2003" t="s">
        <v>6459</v>
      </c>
      <c r="F2003" t="s">
        <v>13042</v>
      </c>
      <c r="G2003" t="s">
        <v>13043</v>
      </c>
      <c r="H2003" t="s">
        <v>42</v>
      </c>
      <c r="I2003" t="s">
        <v>13044</v>
      </c>
      <c r="J2003" t="s">
        <v>13045</v>
      </c>
      <c r="K2003">
        <v>41468</v>
      </c>
      <c r="L2003" t="s">
        <v>71</v>
      </c>
      <c r="M2003" t="s">
        <v>46</v>
      </c>
      <c r="N2003" t="s">
        <v>47</v>
      </c>
      <c r="O2003">
        <v>1</v>
      </c>
      <c r="P2003">
        <v>1</v>
      </c>
      <c r="Q2003">
        <v>1</v>
      </c>
      <c r="R2003" t="s">
        <v>48</v>
      </c>
      <c r="S2003" t="s">
        <v>49</v>
      </c>
      <c r="T2003" s="3">
        <v>0.84</v>
      </c>
      <c r="U2003" s="3">
        <v>0.23</v>
      </c>
      <c r="V2003" s="3">
        <v>0.94</v>
      </c>
      <c r="W2003">
        <v>0.15</v>
      </c>
      <c r="X2003" t="s">
        <v>108</v>
      </c>
      <c r="Y2003" s="3">
        <v>5.14</v>
      </c>
      <c r="Z2003" t="s">
        <v>9850</v>
      </c>
      <c r="AA2003" t="s">
        <v>12434</v>
      </c>
      <c r="AB2003" t="s">
        <v>53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f t="shared" si="62"/>
        <v>7.15</v>
      </c>
      <c r="AK2003" s="3">
        <f t="shared" si="63"/>
        <v>2.0100000000000007</v>
      </c>
    </row>
    <row r="2004" spans="1:37">
      <c r="A2004">
        <v>10386893</v>
      </c>
      <c r="B2004" t="s">
        <v>37</v>
      </c>
      <c r="C2004" t="s">
        <v>13046</v>
      </c>
      <c r="E2004" t="s">
        <v>2107</v>
      </c>
      <c r="F2004" t="s">
        <v>13047</v>
      </c>
      <c r="G2004" t="s">
        <v>13048</v>
      </c>
      <c r="H2004" t="s">
        <v>42</v>
      </c>
      <c r="I2004" t="s">
        <v>13049</v>
      </c>
      <c r="J2004" t="s">
        <v>13050</v>
      </c>
      <c r="K2004">
        <v>33613</v>
      </c>
      <c r="L2004" t="s">
        <v>71</v>
      </c>
      <c r="M2004" t="s">
        <v>46</v>
      </c>
      <c r="N2004" t="s">
        <v>47</v>
      </c>
      <c r="O2004">
        <v>1</v>
      </c>
      <c r="P2004">
        <v>1</v>
      </c>
      <c r="Q2004">
        <v>1</v>
      </c>
      <c r="R2004" t="s">
        <v>48</v>
      </c>
      <c r="S2004" t="s">
        <v>49</v>
      </c>
      <c r="T2004" s="3">
        <v>0.84</v>
      </c>
      <c r="U2004" s="3">
        <v>0.23</v>
      </c>
      <c r="V2004" s="3">
        <v>0.94</v>
      </c>
      <c r="W2004">
        <v>0.15</v>
      </c>
      <c r="X2004" t="s">
        <v>108</v>
      </c>
      <c r="Y2004" s="3">
        <v>5.14</v>
      </c>
      <c r="Z2004" t="s">
        <v>9850</v>
      </c>
      <c r="AA2004" t="s">
        <v>12391</v>
      </c>
      <c r="AB2004" t="s">
        <v>53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f t="shared" si="62"/>
        <v>7.15</v>
      </c>
      <c r="AK2004" s="3">
        <f t="shared" si="63"/>
        <v>2.0100000000000007</v>
      </c>
    </row>
    <row r="2005" spans="1:37">
      <c r="A2005">
        <v>10387142</v>
      </c>
      <c r="B2005" t="s">
        <v>37</v>
      </c>
      <c r="C2005" t="s">
        <v>13051</v>
      </c>
      <c r="E2005" t="s">
        <v>809</v>
      </c>
      <c r="F2005" t="s">
        <v>13052</v>
      </c>
      <c r="G2005" t="s">
        <v>13053</v>
      </c>
      <c r="H2005" t="s">
        <v>42</v>
      </c>
      <c r="I2005" t="s">
        <v>13054</v>
      </c>
      <c r="J2005" t="s">
        <v>13055</v>
      </c>
      <c r="K2005">
        <v>33790</v>
      </c>
      <c r="L2005" t="s">
        <v>71</v>
      </c>
      <c r="M2005" t="s">
        <v>46</v>
      </c>
      <c r="N2005" t="s">
        <v>47</v>
      </c>
      <c r="O2005">
        <v>1</v>
      </c>
      <c r="P2005">
        <v>1</v>
      </c>
      <c r="Q2005">
        <v>1</v>
      </c>
      <c r="R2005" t="s">
        <v>48</v>
      </c>
      <c r="S2005" t="s">
        <v>49</v>
      </c>
      <c r="T2005" s="3">
        <v>0.84</v>
      </c>
      <c r="U2005" s="3">
        <v>0.23</v>
      </c>
      <c r="V2005" s="3">
        <v>0.94</v>
      </c>
      <c r="W2005">
        <v>0.15</v>
      </c>
      <c r="X2005" t="s">
        <v>108</v>
      </c>
      <c r="Y2005" s="3">
        <v>5.14</v>
      </c>
      <c r="Z2005" t="s">
        <v>9850</v>
      </c>
      <c r="AA2005" t="s">
        <v>12391</v>
      </c>
      <c r="AB2005" t="s">
        <v>53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f t="shared" si="62"/>
        <v>7.15</v>
      </c>
      <c r="AK2005" s="3">
        <f t="shared" si="63"/>
        <v>2.0100000000000007</v>
      </c>
    </row>
    <row r="2006" spans="1:37">
      <c r="A2006">
        <v>10387146</v>
      </c>
      <c r="B2006" t="s">
        <v>37</v>
      </c>
      <c r="C2006" t="s">
        <v>13056</v>
      </c>
      <c r="E2006" t="s">
        <v>13057</v>
      </c>
      <c r="F2006" t="s">
        <v>13058</v>
      </c>
      <c r="G2006" t="s">
        <v>13059</v>
      </c>
      <c r="H2006" t="s">
        <v>42</v>
      </c>
      <c r="I2006" t="s">
        <v>13060</v>
      </c>
      <c r="J2006" t="s">
        <v>13061</v>
      </c>
      <c r="K2006">
        <v>33428</v>
      </c>
      <c r="L2006" t="s">
        <v>71</v>
      </c>
      <c r="M2006" t="s">
        <v>46</v>
      </c>
      <c r="N2006" t="s">
        <v>47</v>
      </c>
      <c r="O2006">
        <v>1</v>
      </c>
      <c r="P2006">
        <v>1</v>
      </c>
      <c r="Q2006">
        <v>1</v>
      </c>
      <c r="R2006" t="s">
        <v>48</v>
      </c>
      <c r="S2006" t="s">
        <v>49</v>
      </c>
      <c r="T2006" s="3">
        <v>0.84</v>
      </c>
      <c r="U2006" s="3">
        <v>0.23</v>
      </c>
      <c r="V2006" s="3">
        <v>0.94</v>
      </c>
      <c r="W2006">
        <v>0.15</v>
      </c>
      <c r="X2006" t="s">
        <v>108</v>
      </c>
      <c r="Y2006" s="3">
        <v>5.14</v>
      </c>
      <c r="Z2006" t="s">
        <v>9850</v>
      </c>
      <c r="AA2006" t="s">
        <v>12391</v>
      </c>
      <c r="AB2006" t="s">
        <v>53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f t="shared" si="62"/>
        <v>7.15</v>
      </c>
      <c r="AK2006" s="3">
        <f t="shared" si="63"/>
        <v>2.0100000000000007</v>
      </c>
    </row>
    <row r="2007" spans="1:37">
      <c r="A2007">
        <v>10386043</v>
      </c>
      <c r="B2007" t="s">
        <v>37</v>
      </c>
      <c r="C2007" t="s">
        <v>13062</v>
      </c>
      <c r="E2007" t="s">
        <v>13063</v>
      </c>
      <c r="F2007" t="s">
        <v>13064</v>
      </c>
      <c r="G2007" t="s">
        <v>13065</v>
      </c>
      <c r="H2007" t="s">
        <v>42</v>
      </c>
      <c r="I2007" t="s">
        <v>13066</v>
      </c>
      <c r="J2007" t="s">
        <v>13067</v>
      </c>
      <c r="K2007">
        <v>49076</v>
      </c>
      <c r="L2007" t="s">
        <v>71</v>
      </c>
      <c r="M2007" t="s">
        <v>46</v>
      </c>
      <c r="N2007" t="s">
        <v>47</v>
      </c>
      <c r="O2007">
        <v>1</v>
      </c>
      <c r="P2007">
        <v>1</v>
      </c>
      <c r="Q2007">
        <v>1</v>
      </c>
      <c r="R2007" t="s">
        <v>48</v>
      </c>
      <c r="S2007" t="s">
        <v>49</v>
      </c>
      <c r="T2007" s="3">
        <v>0.84</v>
      </c>
      <c r="U2007" s="3">
        <v>0.23</v>
      </c>
      <c r="V2007" s="3">
        <v>0.94</v>
      </c>
      <c r="W2007">
        <v>0.15</v>
      </c>
      <c r="X2007" t="s">
        <v>108</v>
      </c>
      <c r="Y2007" s="3">
        <v>5.14</v>
      </c>
      <c r="Z2007" t="s">
        <v>9850</v>
      </c>
      <c r="AA2007" t="s">
        <v>12434</v>
      </c>
      <c r="AB2007" t="s">
        <v>53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f t="shared" si="62"/>
        <v>7.15</v>
      </c>
      <c r="AK2007" s="3">
        <f t="shared" si="63"/>
        <v>2.0100000000000007</v>
      </c>
    </row>
    <row r="2008" spans="1:37">
      <c r="A2008">
        <v>10387148</v>
      </c>
      <c r="B2008" t="s">
        <v>37</v>
      </c>
      <c r="C2008" t="s">
        <v>13068</v>
      </c>
      <c r="E2008" t="s">
        <v>5103</v>
      </c>
      <c r="F2008" t="s">
        <v>10821</v>
      </c>
      <c r="G2008" t="s">
        <v>13069</v>
      </c>
      <c r="H2008" t="s">
        <v>42</v>
      </c>
      <c r="I2008" t="s">
        <v>13070</v>
      </c>
      <c r="J2008" t="s">
        <v>13071</v>
      </c>
      <c r="K2008">
        <v>12349</v>
      </c>
      <c r="L2008" t="s">
        <v>71</v>
      </c>
      <c r="M2008" t="s">
        <v>46</v>
      </c>
      <c r="N2008" t="s">
        <v>47</v>
      </c>
      <c r="O2008">
        <v>1</v>
      </c>
      <c r="P2008">
        <v>1</v>
      </c>
      <c r="Q2008">
        <v>1</v>
      </c>
      <c r="R2008" t="s">
        <v>48</v>
      </c>
      <c r="S2008" t="s">
        <v>49</v>
      </c>
      <c r="T2008" s="3">
        <v>0.84</v>
      </c>
      <c r="U2008" s="3">
        <v>0.23</v>
      </c>
      <c r="V2008" s="3">
        <v>0.94</v>
      </c>
      <c r="W2008">
        <v>0.15</v>
      </c>
      <c r="X2008" t="s">
        <v>108</v>
      </c>
      <c r="Y2008" s="3">
        <v>6.53</v>
      </c>
      <c r="Z2008" t="s">
        <v>9850</v>
      </c>
      <c r="AA2008" t="s">
        <v>12391</v>
      </c>
      <c r="AB2008" t="s">
        <v>53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f t="shared" si="62"/>
        <v>8.5400000000000009</v>
      </c>
      <c r="AK2008" s="3">
        <f t="shared" si="63"/>
        <v>2.0100000000000007</v>
      </c>
    </row>
    <row r="2009" spans="1:37">
      <c r="A2009">
        <v>10386284</v>
      </c>
      <c r="B2009" t="s">
        <v>37</v>
      </c>
      <c r="C2009" t="s">
        <v>13072</v>
      </c>
      <c r="E2009" t="s">
        <v>13073</v>
      </c>
      <c r="F2009" t="s">
        <v>13074</v>
      </c>
      <c r="G2009" t="s">
        <v>13075</v>
      </c>
      <c r="H2009" t="s">
        <v>42</v>
      </c>
      <c r="I2009" t="s">
        <v>13076</v>
      </c>
      <c r="J2009" t="s">
        <v>13077</v>
      </c>
      <c r="K2009">
        <v>32052</v>
      </c>
      <c r="L2009" t="s">
        <v>71</v>
      </c>
      <c r="M2009" t="s">
        <v>46</v>
      </c>
      <c r="N2009" t="s">
        <v>47</v>
      </c>
      <c r="O2009">
        <v>1</v>
      </c>
      <c r="P2009">
        <v>1</v>
      </c>
      <c r="Q2009">
        <v>1</v>
      </c>
      <c r="R2009" t="s">
        <v>48</v>
      </c>
      <c r="S2009" t="s">
        <v>49</v>
      </c>
      <c r="T2009" s="3">
        <v>0.84</v>
      </c>
      <c r="U2009" s="3">
        <v>0.23</v>
      </c>
      <c r="V2009" s="3">
        <v>0.94</v>
      </c>
      <c r="W2009">
        <v>0.15</v>
      </c>
      <c r="X2009" t="s">
        <v>108</v>
      </c>
      <c r="Y2009" s="3">
        <v>6.53</v>
      </c>
      <c r="Z2009" t="s">
        <v>9850</v>
      </c>
      <c r="AA2009" t="s">
        <v>12434</v>
      </c>
      <c r="AB2009" t="s">
        <v>53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f t="shared" si="62"/>
        <v>8.5400000000000009</v>
      </c>
      <c r="AK2009" s="3">
        <f t="shared" si="63"/>
        <v>2.0100000000000007</v>
      </c>
    </row>
    <row r="2010" spans="1:37">
      <c r="A2010">
        <v>10386301</v>
      </c>
      <c r="B2010" t="s">
        <v>37</v>
      </c>
      <c r="C2010" t="s">
        <v>13078</v>
      </c>
      <c r="E2010" t="s">
        <v>7014</v>
      </c>
      <c r="F2010" t="s">
        <v>13079</v>
      </c>
      <c r="G2010" t="s">
        <v>13080</v>
      </c>
      <c r="H2010" t="s">
        <v>42</v>
      </c>
      <c r="I2010" t="s">
        <v>13081</v>
      </c>
      <c r="J2010" t="s">
        <v>13082</v>
      </c>
      <c r="K2010">
        <v>33803</v>
      </c>
      <c r="L2010" t="s">
        <v>71</v>
      </c>
      <c r="M2010" t="s">
        <v>46</v>
      </c>
      <c r="N2010" t="s">
        <v>47</v>
      </c>
      <c r="O2010">
        <v>1</v>
      </c>
      <c r="P2010">
        <v>1</v>
      </c>
      <c r="Q2010">
        <v>1</v>
      </c>
      <c r="R2010" t="s">
        <v>48</v>
      </c>
      <c r="S2010" t="s">
        <v>49</v>
      </c>
      <c r="T2010" s="3">
        <v>0.84</v>
      </c>
      <c r="U2010" s="3">
        <v>0.23</v>
      </c>
      <c r="V2010" s="3">
        <v>0.94</v>
      </c>
      <c r="W2010">
        <v>0.15</v>
      </c>
      <c r="X2010" t="s">
        <v>108</v>
      </c>
      <c r="Y2010" s="3">
        <v>5.14</v>
      </c>
      <c r="Z2010" t="s">
        <v>9850</v>
      </c>
      <c r="AA2010" t="s">
        <v>12434</v>
      </c>
      <c r="AB2010" t="s">
        <v>53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f t="shared" si="62"/>
        <v>7.15</v>
      </c>
      <c r="AK2010" s="3">
        <f t="shared" si="63"/>
        <v>2.0100000000000007</v>
      </c>
    </row>
    <row r="2011" spans="1:37">
      <c r="A2011">
        <v>10387318</v>
      </c>
      <c r="B2011" t="s">
        <v>37</v>
      </c>
      <c r="C2011" t="s">
        <v>13083</v>
      </c>
      <c r="E2011" t="s">
        <v>3746</v>
      </c>
      <c r="F2011" t="s">
        <v>13084</v>
      </c>
      <c r="G2011" t="s">
        <v>13085</v>
      </c>
      <c r="H2011" t="s">
        <v>42</v>
      </c>
      <c r="I2011" t="s">
        <v>13086</v>
      </c>
      <c r="J2011" t="s">
        <v>13087</v>
      </c>
      <c r="K2011">
        <v>25497</v>
      </c>
      <c r="L2011" t="s">
        <v>71</v>
      </c>
      <c r="M2011" t="s">
        <v>46</v>
      </c>
      <c r="N2011" t="s">
        <v>47</v>
      </c>
      <c r="O2011">
        <v>2</v>
      </c>
      <c r="P2011">
        <v>1</v>
      </c>
      <c r="Q2011">
        <v>2</v>
      </c>
      <c r="R2011" t="s">
        <v>48</v>
      </c>
      <c r="S2011" t="s">
        <v>49</v>
      </c>
      <c r="T2011" s="3">
        <v>0.84</v>
      </c>
      <c r="U2011" s="3">
        <v>0.23</v>
      </c>
      <c r="V2011" s="3">
        <v>1.81</v>
      </c>
      <c r="W2011">
        <v>0.98</v>
      </c>
      <c r="X2011" t="s">
        <v>108</v>
      </c>
      <c r="Y2011" s="3">
        <v>5.14</v>
      </c>
      <c r="Z2011" t="s">
        <v>9850</v>
      </c>
      <c r="AA2011" t="s">
        <v>3432</v>
      </c>
      <c r="AB2011" t="s">
        <v>53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f t="shared" si="62"/>
        <v>8.02</v>
      </c>
      <c r="AK2011" s="3">
        <f t="shared" si="63"/>
        <v>2.88</v>
      </c>
    </row>
    <row r="2012" spans="1:37">
      <c r="A2012">
        <v>10387145</v>
      </c>
      <c r="B2012" t="s">
        <v>37</v>
      </c>
      <c r="C2012" t="s">
        <v>13088</v>
      </c>
      <c r="E2012" t="s">
        <v>687</v>
      </c>
      <c r="F2012" t="s">
        <v>2266</v>
      </c>
      <c r="G2012" t="s">
        <v>13089</v>
      </c>
      <c r="H2012" t="s">
        <v>42</v>
      </c>
      <c r="I2012" t="s">
        <v>13090</v>
      </c>
      <c r="J2012" t="s">
        <v>13091</v>
      </c>
      <c r="K2012">
        <v>80796</v>
      </c>
      <c r="L2012" t="s">
        <v>71</v>
      </c>
      <c r="M2012" t="s">
        <v>46</v>
      </c>
      <c r="N2012" t="s">
        <v>47</v>
      </c>
      <c r="O2012">
        <v>2</v>
      </c>
      <c r="P2012">
        <v>1</v>
      </c>
      <c r="Q2012">
        <v>2</v>
      </c>
      <c r="R2012" t="s">
        <v>48</v>
      </c>
      <c r="S2012" t="s">
        <v>49</v>
      </c>
      <c r="T2012" s="3">
        <v>0.84</v>
      </c>
      <c r="U2012" s="3">
        <v>0.23</v>
      </c>
      <c r="V2012" s="3">
        <v>1.81</v>
      </c>
      <c r="W2012">
        <v>1.33</v>
      </c>
      <c r="X2012" t="s">
        <v>108</v>
      </c>
      <c r="Y2012" s="3">
        <v>6.53</v>
      </c>
      <c r="Z2012" t="s">
        <v>9686</v>
      </c>
      <c r="AA2012" t="s">
        <v>13092</v>
      </c>
      <c r="AB2012" t="s">
        <v>53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f t="shared" si="62"/>
        <v>9.41</v>
      </c>
      <c r="AK2012" s="3">
        <f t="shared" si="63"/>
        <v>2.88</v>
      </c>
    </row>
    <row r="2013" spans="1:37">
      <c r="A2013">
        <v>10386038</v>
      </c>
      <c r="B2013" t="s">
        <v>37</v>
      </c>
      <c r="C2013" t="s">
        <v>13093</v>
      </c>
      <c r="E2013" t="s">
        <v>13094</v>
      </c>
      <c r="F2013" t="s">
        <v>13095</v>
      </c>
      <c r="G2013" t="s">
        <v>13096</v>
      </c>
      <c r="H2013" t="s">
        <v>42</v>
      </c>
      <c r="I2013" t="s">
        <v>13097</v>
      </c>
      <c r="J2013" t="s">
        <v>13098</v>
      </c>
      <c r="K2013" t="s">
        <v>13099</v>
      </c>
      <c r="L2013" t="s">
        <v>142</v>
      </c>
      <c r="M2013" t="s">
        <v>46</v>
      </c>
      <c r="N2013" t="s">
        <v>47</v>
      </c>
      <c r="O2013">
        <v>2</v>
      </c>
      <c r="P2013">
        <v>1</v>
      </c>
      <c r="Q2013">
        <v>2</v>
      </c>
      <c r="R2013" t="s">
        <v>48</v>
      </c>
      <c r="S2013" t="s">
        <v>49</v>
      </c>
      <c r="T2013" s="3">
        <v>0.84</v>
      </c>
      <c r="U2013" s="3">
        <v>0.23</v>
      </c>
      <c r="V2013" s="3">
        <v>1.81</v>
      </c>
      <c r="W2013">
        <v>0.63</v>
      </c>
      <c r="X2013" t="s">
        <v>50</v>
      </c>
      <c r="Y2013" s="3">
        <v>16.43</v>
      </c>
      <c r="Z2013" t="s">
        <v>9850</v>
      </c>
      <c r="AA2013" t="s">
        <v>9612</v>
      </c>
      <c r="AB2013" t="s">
        <v>53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f t="shared" si="62"/>
        <v>19.309999999999999</v>
      </c>
      <c r="AK2013" s="3">
        <f t="shared" si="63"/>
        <v>2.879999999999999</v>
      </c>
    </row>
    <row r="2014" spans="1:37">
      <c r="A2014">
        <v>10385553</v>
      </c>
      <c r="B2014" t="s">
        <v>37</v>
      </c>
      <c r="C2014" t="s">
        <v>13100</v>
      </c>
      <c r="E2014" t="s">
        <v>3705</v>
      </c>
      <c r="F2014" t="s">
        <v>13101</v>
      </c>
      <c r="G2014" t="s">
        <v>13102</v>
      </c>
      <c r="H2014" t="s">
        <v>42</v>
      </c>
      <c r="I2014" t="s">
        <v>13103</v>
      </c>
      <c r="J2014" t="s">
        <v>13104</v>
      </c>
      <c r="K2014">
        <v>22765</v>
      </c>
      <c r="L2014" t="s">
        <v>71</v>
      </c>
      <c r="M2014" t="s">
        <v>46</v>
      </c>
      <c r="N2014" t="s">
        <v>47</v>
      </c>
      <c r="O2014">
        <v>2</v>
      </c>
      <c r="P2014">
        <v>1</v>
      </c>
      <c r="Q2014">
        <v>2</v>
      </c>
      <c r="R2014" t="s">
        <v>48</v>
      </c>
      <c r="S2014" t="s">
        <v>49</v>
      </c>
      <c r="T2014" s="3">
        <v>0.84</v>
      </c>
      <c r="U2014" s="3">
        <v>0.23</v>
      </c>
      <c r="V2014" s="3">
        <v>1.81</v>
      </c>
      <c r="W2014">
        <v>0.3</v>
      </c>
      <c r="X2014" t="s">
        <v>108</v>
      </c>
      <c r="Y2014" s="3">
        <v>14.44</v>
      </c>
      <c r="Z2014" t="s">
        <v>9850</v>
      </c>
      <c r="AA2014" t="s">
        <v>12479</v>
      </c>
      <c r="AB2014" t="s">
        <v>53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f t="shared" si="62"/>
        <v>17.32</v>
      </c>
      <c r="AK2014" s="3">
        <f t="shared" si="63"/>
        <v>2.8800000000000008</v>
      </c>
    </row>
    <row r="2015" spans="1:37">
      <c r="A2015">
        <v>10386041</v>
      </c>
      <c r="B2015" t="s">
        <v>37</v>
      </c>
      <c r="C2015" t="s">
        <v>13105</v>
      </c>
      <c r="E2015" t="s">
        <v>7193</v>
      </c>
      <c r="F2015" t="s">
        <v>13106</v>
      </c>
      <c r="G2015" t="s">
        <v>13107</v>
      </c>
      <c r="H2015" t="s">
        <v>42</v>
      </c>
      <c r="I2015" t="s">
        <v>13108</v>
      </c>
      <c r="J2015" t="s">
        <v>13109</v>
      </c>
      <c r="K2015">
        <v>61231</v>
      </c>
      <c r="L2015" t="s">
        <v>71</v>
      </c>
      <c r="M2015" t="s">
        <v>46</v>
      </c>
      <c r="N2015" t="s">
        <v>47</v>
      </c>
      <c r="O2015">
        <v>2</v>
      </c>
      <c r="P2015">
        <v>1</v>
      </c>
      <c r="Q2015">
        <v>2</v>
      </c>
      <c r="R2015" t="s">
        <v>48</v>
      </c>
      <c r="S2015" t="s">
        <v>49</v>
      </c>
      <c r="T2015" s="3">
        <v>0.84</v>
      </c>
      <c r="U2015" s="3">
        <v>0.23</v>
      </c>
      <c r="V2015" s="3">
        <v>1.81</v>
      </c>
      <c r="W2015">
        <v>0.3</v>
      </c>
      <c r="X2015" t="s">
        <v>108</v>
      </c>
      <c r="Y2015" s="3">
        <v>5.14</v>
      </c>
      <c r="Z2015" t="s">
        <v>9850</v>
      </c>
      <c r="AA2015" t="s">
        <v>12479</v>
      </c>
      <c r="AB2015" t="s">
        <v>53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f t="shared" si="62"/>
        <v>8.02</v>
      </c>
      <c r="AK2015" s="3">
        <f t="shared" si="63"/>
        <v>2.88</v>
      </c>
    </row>
    <row r="2016" spans="1:37">
      <c r="A2016">
        <v>10386619</v>
      </c>
      <c r="B2016" t="s">
        <v>37</v>
      </c>
      <c r="C2016" t="s">
        <v>13110</v>
      </c>
      <c r="E2016" t="s">
        <v>1135</v>
      </c>
      <c r="F2016" t="s">
        <v>13111</v>
      </c>
      <c r="G2016" t="s">
        <v>13112</v>
      </c>
      <c r="H2016" t="s">
        <v>42</v>
      </c>
      <c r="I2016" t="s">
        <v>13113</v>
      </c>
      <c r="J2016" t="s">
        <v>13114</v>
      </c>
      <c r="K2016">
        <v>14469</v>
      </c>
      <c r="L2016" t="s">
        <v>71</v>
      </c>
      <c r="M2016" t="s">
        <v>46</v>
      </c>
      <c r="N2016" t="s">
        <v>47</v>
      </c>
      <c r="O2016">
        <v>2</v>
      </c>
      <c r="P2016">
        <v>1</v>
      </c>
      <c r="Q2016">
        <v>2</v>
      </c>
      <c r="R2016" t="s">
        <v>48</v>
      </c>
      <c r="S2016" t="s">
        <v>49</v>
      </c>
      <c r="T2016" s="3">
        <v>0.84</v>
      </c>
      <c r="U2016" s="3">
        <v>0.23</v>
      </c>
      <c r="V2016" s="3">
        <v>1.81</v>
      </c>
      <c r="W2016">
        <v>0.3</v>
      </c>
      <c r="X2016" t="s">
        <v>108</v>
      </c>
      <c r="Y2016" s="3">
        <v>5.14</v>
      </c>
      <c r="Z2016" t="s">
        <v>9850</v>
      </c>
      <c r="AA2016" t="s">
        <v>12434</v>
      </c>
      <c r="AB2016" t="s">
        <v>53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f t="shared" si="62"/>
        <v>8.02</v>
      </c>
      <c r="AK2016" s="3">
        <f t="shared" si="63"/>
        <v>2.88</v>
      </c>
    </row>
    <row r="2017" spans="1:37">
      <c r="A2017">
        <v>10386890</v>
      </c>
      <c r="B2017" t="s">
        <v>37</v>
      </c>
      <c r="C2017" t="s">
        <v>13115</v>
      </c>
      <c r="E2017" t="s">
        <v>1236</v>
      </c>
      <c r="F2017" t="s">
        <v>13116</v>
      </c>
      <c r="G2017" t="s">
        <v>13117</v>
      </c>
      <c r="H2017" t="s">
        <v>42</v>
      </c>
      <c r="I2017" t="s">
        <v>13113</v>
      </c>
      <c r="J2017" t="s">
        <v>13118</v>
      </c>
      <c r="K2017">
        <v>22143</v>
      </c>
      <c r="L2017" t="s">
        <v>71</v>
      </c>
      <c r="M2017" t="s">
        <v>46</v>
      </c>
      <c r="N2017" t="s">
        <v>47</v>
      </c>
      <c r="O2017">
        <v>2</v>
      </c>
      <c r="P2017">
        <v>1</v>
      </c>
      <c r="Q2017">
        <v>2</v>
      </c>
      <c r="R2017" t="s">
        <v>48</v>
      </c>
      <c r="S2017" t="s">
        <v>49</v>
      </c>
      <c r="T2017" s="3">
        <v>0.84</v>
      </c>
      <c r="U2017" s="3">
        <v>0.23</v>
      </c>
      <c r="V2017" s="3">
        <v>1.81</v>
      </c>
      <c r="W2017">
        <v>0.3</v>
      </c>
      <c r="X2017" t="s">
        <v>108</v>
      </c>
      <c r="Y2017" s="3">
        <v>5.14</v>
      </c>
      <c r="Z2017" t="s">
        <v>9850</v>
      </c>
      <c r="AA2017" t="s">
        <v>9271</v>
      </c>
      <c r="AB2017" t="s">
        <v>53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f t="shared" si="62"/>
        <v>8.02</v>
      </c>
      <c r="AK2017" s="3">
        <f t="shared" si="63"/>
        <v>2.88</v>
      </c>
    </row>
    <row r="2018" spans="1:37">
      <c r="A2018">
        <v>10387527</v>
      </c>
      <c r="B2018" t="s">
        <v>37</v>
      </c>
      <c r="C2018" t="s">
        <v>13119</v>
      </c>
      <c r="E2018" t="s">
        <v>13120</v>
      </c>
      <c r="F2018" t="s">
        <v>13121</v>
      </c>
      <c r="G2018" t="s">
        <v>13122</v>
      </c>
      <c r="H2018" t="s">
        <v>42</v>
      </c>
      <c r="I2018" t="s">
        <v>13123</v>
      </c>
      <c r="J2018" t="s">
        <v>13124</v>
      </c>
      <c r="K2018">
        <v>81247</v>
      </c>
      <c r="L2018" t="s">
        <v>71</v>
      </c>
      <c r="M2018" t="s">
        <v>46</v>
      </c>
      <c r="N2018" t="s">
        <v>47</v>
      </c>
      <c r="O2018">
        <v>2</v>
      </c>
      <c r="P2018">
        <v>1</v>
      </c>
      <c r="Q2018">
        <v>2</v>
      </c>
      <c r="R2018" t="s">
        <v>48</v>
      </c>
      <c r="S2018" t="s">
        <v>49</v>
      </c>
      <c r="T2018" s="3">
        <v>0.84</v>
      </c>
      <c r="U2018" s="3">
        <v>0.23</v>
      </c>
      <c r="V2018" s="3">
        <v>1.81</v>
      </c>
      <c r="W2018">
        <v>0.3</v>
      </c>
      <c r="X2018" t="s">
        <v>108</v>
      </c>
      <c r="Y2018" s="3">
        <v>5.14</v>
      </c>
      <c r="Z2018" t="s">
        <v>9850</v>
      </c>
      <c r="AA2018" t="s">
        <v>12391</v>
      </c>
      <c r="AB2018" t="s">
        <v>53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f t="shared" si="62"/>
        <v>8.02</v>
      </c>
      <c r="AK2018" s="3">
        <f t="shared" si="63"/>
        <v>2.88</v>
      </c>
    </row>
    <row r="2019" spans="1:37">
      <c r="A2019">
        <v>10387140</v>
      </c>
      <c r="B2019" t="s">
        <v>37</v>
      </c>
      <c r="C2019" t="s">
        <v>13125</v>
      </c>
      <c r="E2019" t="s">
        <v>254</v>
      </c>
      <c r="F2019" t="s">
        <v>13126</v>
      </c>
      <c r="G2019" t="s">
        <v>13127</v>
      </c>
      <c r="H2019" t="s">
        <v>42</v>
      </c>
      <c r="I2019" t="s">
        <v>13128</v>
      </c>
      <c r="J2019" t="s">
        <v>13129</v>
      </c>
      <c r="K2019">
        <v>22397</v>
      </c>
      <c r="L2019" t="s">
        <v>71</v>
      </c>
      <c r="M2019" t="s">
        <v>46</v>
      </c>
      <c r="N2019" t="s">
        <v>47</v>
      </c>
      <c r="O2019">
        <v>2</v>
      </c>
      <c r="P2019">
        <v>1</v>
      </c>
      <c r="Q2019">
        <v>2</v>
      </c>
      <c r="R2019" t="s">
        <v>48</v>
      </c>
      <c r="S2019" t="s">
        <v>49</v>
      </c>
      <c r="T2019" s="3">
        <v>0.84</v>
      </c>
      <c r="U2019" s="3">
        <v>0.23</v>
      </c>
      <c r="V2019" s="3">
        <v>1.81</v>
      </c>
      <c r="W2019">
        <v>0.3</v>
      </c>
      <c r="X2019" t="s">
        <v>108</v>
      </c>
      <c r="Y2019" s="3">
        <v>5.14</v>
      </c>
      <c r="Z2019" t="s">
        <v>9850</v>
      </c>
      <c r="AA2019" t="s">
        <v>12479</v>
      </c>
      <c r="AB2019" t="s">
        <v>53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f t="shared" si="62"/>
        <v>8.02</v>
      </c>
      <c r="AK2019" s="3">
        <f t="shared" si="63"/>
        <v>2.88</v>
      </c>
    </row>
    <row r="2020" spans="1:37">
      <c r="A2020">
        <v>10387149</v>
      </c>
      <c r="B2020" t="s">
        <v>37</v>
      </c>
      <c r="C2020" t="s">
        <v>13130</v>
      </c>
      <c r="E2020" t="s">
        <v>9023</v>
      </c>
      <c r="F2020" t="s">
        <v>13131</v>
      </c>
      <c r="G2020" t="s">
        <v>13132</v>
      </c>
      <c r="H2020" t="s">
        <v>42</v>
      </c>
      <c r="I2020" t="s">
        <v>13133</v>
      </c>
      <c r="J2020" t="s">
        <v>13134</v>
      </c>
      <c r="K2020">
        <v>29525</v>
      </c>
      <c r="L2020" t="s">
        <v>71</v>
      </c>
      <c r="M2020" t="s">
        <v>46</v>
      </c>
      <c r="N2020" t="s">
        <v>47</v>
      </c>
      <c r="O2020">
        <v>2</v>
      </c>
      <c r="P2020">
        <v>1</v>
      </c>
      <c r="Q2020">
        <v>2</v>
      </c>
      <c r="R2020" t="s">
        <v>48</v>
      </c>
      <c r="S2020" t="s">
        <v>49</v>
      </c>
      <c r="T2020" s="3">
        <v>0.84</v>
      </c>
      <c r="U2020" s="3">
        <v>0.23</v>
      </c>
      <c r="V2020" s="3">
        <v>1.81</v>
      </c>
      <c r="W2020">
        <v>0.3</v>
      </c>
      <c r="X2020" t="s">
        <v>108</v>
      </c>
      <c r="Y2020" s="3">
        <v>5.14</v>
      </c>
      <c r="Z2020" t="s">
        <v>9850</v>
      </c>
      <c r="AA2020" t="s">
        <v>12479</v>
      </c>
      <c r="AB2020" t="s">
        <v>53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f t="shared" si="62"/>
        <v>8.02</v>
      </c>
      <c r="AK2020" s="3">
        <f t="shared" si="63"/>
        <v>2.88</v>
      </c>
    </row>
    <row r="2021" spans="1:37">
      <c r="A2021">
        <v>10387150</v>
      </c>
      <c r="B2021" t="s">
        <v>37</v>
      </c>
      <c r="C2021" t="s">
        <v>13135</v>
      </c>
      <c r="E2021" t="s">
        <v>437</v>
      </c>
      <c r="F2021" t="s">
        <v>13136</v>
      </c>
      <c r="G2021" t="s">
        <v>13137</v>
      </c>
      <c r="H2021" t="s">
        <v>42</v>
      </c>
      <c r="I2021" t="s">
        <v>13138</v>
      </c>
      <c r="J2021" t="s">
        <v>13139</v>
      </c>
      <c r="K2021">
        <v>42477</v>
      </c>
      <c r="L2021" t="s">
        <v>71</v>
      </c>
      <c r="M2021" t="s">
        <v>46</v>
      </c>
      <c r="N2021" t="s">
        <v>47</v>
      </c>
      <c r="O2021">
        <v>2</v>
      </c>
      <c r="P2021">
        <v>1</v>
      </c>
      <c r="Q2021">
        <v>2</v>
      </c>
      <c r="R2021" t="s">
        <v>48</v>
      </c>
      <c r="S2021" t="s">
        <v>49</v>
      </c>
      <c r="T2021" s="3">
        <v>0.84</v>
      </c>
      <c r="U2021" s="3">
        <v>0.23</v>
      </c>
      <c r="V2021" s="3">
        <v>1.81</v>
      </c>
      <c r="W2021">
        <v>0.3</v>
      </c>
      <c r="X2021" t="s">
        <v>108</v>
      </c>
      <c r="Y2021" s="3">
        <v>5.14</v>
      </c>
      <c r="Z2021" t="s">
        <v>9850</v>
      </c>
      <c r="AA2021" t="s">
        <v>12434</v>
      </c>
      <c r="AB2021" t="s">
        <v>53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f t="shared" si="62"/>
        <v>8.02</v>
      </c>
      <c r="AK2021" s="3">
        <f t="shared" si="63"/>
        <v>2.88</v>
      </c>
    </row>
    <row r="2022" spans="1:37">
      <c r="A2022">
        <v>10380036</v>
      </c>
      <c r="B2022" t="s">
        <v>37</v>
      </c>
      <c r="C2022" t="s">
        <v>13140</v>
      </c>
      <c r="E2022" t="s">
        <v>13141</v>
      </c>
      <c r="F2022" t="s">
        <v>13142</v>
      </c>
      <c r="G2022" t="s">
        <v>13143</v>
      </c>
      <c r="H2022" t="s">
        <v>42</v>
      </c>
      <c r="I2022" t="s">
        <v>13144</v>
      </c>
      <c r="J2022" t="s">
        <v>13145</v>
      </c>
      <c r="K2022">
        <v>48640</v>
      </c>
      <c r="L2022" t="s">
        <v>91</v>
      </c>
      <c r="M2022" t="s">
        <v>46</v>
      </c>
      <c r="N2022" t="s">
        <v>47</v>
      </c>
      <c r="O2022">
        <v>3</v>
      </c>
      <c r="P2022">
        <v>1</v>
      </c>
      <c r="Q2022">
        <v>3</v>
      </c>
      <c r="R2022" t="s">
        <v>48</v>
      </c>
      <c r="S2022" t="s">
        <v>49</v>
      </c>
      <c r="T2022" s="3">
        <v>0.84</v>
      </c>
      <c r="U2022" s="3">
        <v>0.23</v>
      </c>
      <c r="V2022" s="3">
        <v>2.68</v>
      </c>
      <c r="W2022">
        <v>1.35</v>
      </c>
      <c r="X2022" t="s">
        <v>50</v>
      </c>
      <c r="Y2022" s="3">
        <v>16.43</v>
      </c>
      <c r="Z2022" t="s">
        <v>9686</v>
      </c>
      <c r="AA2022" t="s">
        <v>13146</v>
      </c>
      <c r="AB2022" t="s">
        <v>53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5</v>
      </c>
      <c r="AI2022" s="3">
        <v>0</v>
      </c>
      <c r="AJ2022" s="3">
        <f t="shared" si="62"/>
        <v>25.18</v>
      </c>
      <c r="AK2022" s="3">
        <f t="shared" si="63"/>
        <v>8.75</v>
      </c>
    </row>
    <row r="2023" spans="1:37">
      <c r="A2023">
        <v>10386888</v>
      </c>
      <c r="B2023" t="s">
        <v>37</v>
      </c>
      <c r="C2023" t="s">
        <v>13147</v>
      </c>
      <c r="E2023" t="s">
        <v>3148</v>
      </c>
      <c r="F2023" t="s">
        <v>13148</v>
      </c>
      <c r="G2023" t="s">
        <v>13149</v>
      </c>
      <c r="H2023" t="s">
        <v>42</v>
      </c>
      <c r="I2023" t="s">
        <v>13150</v>
      </c>
      <c r="J2023" t="s">
        <v>13151</v>
      </c>
      <c r="K2023" t="s">
        <v>13152</v>
      </c>
      <c r="L2023" t="s">
        <v>82</v>
      </c>
      <c r="M2023" t="s">
        <v>46</v>
      </c>
      <c r="N2023" t="s">
        <v>47</v>
      </c>
      <c r="O2023">
        <v>5</v>
      </c>
      <c r="P2023">
        <v>1</v>
      </c>
      <c r="Q2023">
        <v>5</v>
      </c>
      <c r="R2023" t="s">
        <v>48</v>
      </c>
      <c r="S2023" t="s">
        <v>49</v>
      </c>
      <c r="T2023" s="3">
        <v>0.84</v>
      </c>
      <c r="U2023" s="3">
        <v>0.23</v>
      </c>
      <c r="V2023" s="3">
        <v>4.42</v>
      </c>
      <c r="W2023">
        <v>2</v>
      </c>
      <c r="X2023" t="s">
        <v>50</v>
      </c>
      <c r="Y2023" s="3">
        <v>10.58</v>
      </c>
      <c r="Z2023" t="s">
        <v>73</v>
      </c>
      <c r="AA2023" t="s">
        <v>13153</v>
      </c>
      <c r="AB2023" t="s">
        <v>53</v>
      </c>
      <c r="AC2023" s="3">
        <v>1.29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f t="shared" si="62"/>
        <v>17.36</v>
      </c>
      <c r="AK2023" s="3">
        <f t="shared" si="63"/>
        <v>6.7799999999999994</v>
      </c>
    </row>
    <row r="2024" spans="1:37">
      <c r="A2024">
        <v>10386280</v>
      </c>
      <c r="B2024" t="s">
        <v>37</v>
      </c>
      <c r="C2024" t="s">
        <v>13154</v>
      </c>
      <c r="E2024" t="s">
        <v>13155</v>
      </c>
      <c r="F2024" t="s">
        <v>13156</v>
      </c>
      <c r="G2024" t="s">
        <v>13157</v>
      </c>
      <c r="H2024" t="s">
        <v>42</v>
      </c>
      <c r="I2024" t="s">
        <v>13158</v>
      </c>
      <c r="J2024" t="s">
        <v>13159</v>
      </c>
      <c r="K2024">
        <v>71638</v>
      </c>
      <c r="L2024" t="s">
        <v>71</v>
      </c>
      <c r="M2024" t="s">
        <v>46</v>
      </c>
      <c r="N2024" t="s">
        <v>47</v>
      </c>
      <c r="O2024">
        <v>4</v>
      </c>
      <c r="P2024">
        <v>1</v>
      </c>
      <c r="Q2024">
        <v>4</v>
      </c>
      <c r="R2024" t="s">
        <v>48</v>
      </c>
      <c r="S2024" t="s">
        <v>49</v>
      </c>
      <c r="T2024" s="3">
        <v>0.84</v>
      </c>
      <c r="U2024" s="3">
        <v>0.23</v>
      </c>
      <c r="V2024" s="3">
        <v>3.55</v>
      </c>
      <c r="W2024">
        <v>1.56</v>
      </c>
      <c r="X2024" t="s">
        <v>108</v>
      </c>
      <c r="Y2024" s="3">
        <v>5.14</v>
      </c>
      <c r="Z2024" t="s">
        <v>9686</v>
      </c>
      <c r="AA2024" t="s">
        <v>459</v>
      </c>
      <c r="AB2024" t="s">
        <v>53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f t="shared" si="62"/>
        <v>9.76</v>
      </c>
      <c r="AK2024" s="3">
        <f t="shared" si="63"/>
        <v>4.62</v>
      </c>
    </row>
    <row r="2025" spans="1:37">
      <c r="A2025">
        <v>10386286</v>
      </c>
      <c r="B2025" t="s">
        <v>37</v>
      </c>
      <c r="C2025" t="s">
        <v>13160</v>
      </c>
      <c r="E2025" t="s">
        <v>657</v>
      </c>
      <c r="F2025" t="s">
        <v>13161</v>
      </c>
      <c r="G2025" t="s">
        <v>13162</v>
      </c>
      <c r="H2025" t="s">
        <v>42</v>
      </c>
      <c r="I2025" t="s">
        <v>13163</v>
      </c>
      <c r="J2025" t="s">
        <v>13164</v>
      </c>
      <c r="K2025">
        <v>40231</v>
      </c>
      <c r="L2025" t="s">
        <v>71</v>
      </c>
      <c r="M2025" t="s">
        <v>46</v>
      </c>
      <c r="N2025" t="s">
        <v>47</v>
      </c>
      <c r="O2025">
        <v>4</v>
      </c>
      <c r="P2025">
        <v>1</v>
      </c>
      <c r="Q2025">
        <v>4</v>
      </c>
      <c r="R2025" t="s">
        <v>48</v>
      </c>
      <c r="S2025" t="s">
        <v>49</v>
      </c>
      <c r="T2025" s="3">
        <v>0.84</v>
      </c>
      <c r="U2025" s="3">
        <v>0.23</v>
      </c>
      <c r="V2025" s="3">
        <v>3.55</v>
      </c>
      <c r="W2025">
        <v>1.53</v>
      </c>
      <c r="X2025" t="s">
        <v>108</v>
      </c>
      <c r="Y2025" s="3">
        <v>5.14</v>
      </c>
      <c r="Z2025" t="s">
        <v>9686</v>
      </c>
      <c r="AA2025" t="s">
        <v>13165</v>
      </c>
      <c r="AB2025" t="s">
        <v>53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f t="shared" si="62"/>
        <v>9.76</v>
      </c>
      <c r="AK2025" s="3">
        <f t="shared" si="63"/>
        <v>4.62</v>
      </c>
    </row>
    <row r="2026" spans="1:37">
      <c r="A2026">
        <v>10385023</v>
      </c>
      <c r="B2026" t="s">
        <v>37</v>
      </c>
      <c r="C2026" t="s">
        <v>13166</v>
      </c>
      <c r="E2026" t="s">
        <v>4033</v>
      </c>
      <c r="F2026" t="s">
        <v>13167</v>
      </c>
      <c r="G2026" t="s">
        <v>13168</v>
      </c>
      <c r="H2026" t="s">
        <v>42</v>
      </c>
      <c r="I2026" t="s">
        <v>13169</v>
      </c>
      <c r="J2026" t="s">
        <v>13170</v>
      </c>
      <c r="K2026" t="s">
        <v>13171</v>
      </c>
      <c r="L2026" t="s">
        <v>82</v>
      </c>
      <c r="M2026" t="s">
        <v>46</v>
      </c>
      <c r="N2026" t="s">
        <v>47</v>
      </c>
      <c r="O2026">
        <v>5</v>
      </c>
      <c r="P2026">
        <v>1</v>
      </c>
      <c r="Q2026">
        <v>5</v>
      </c>
      <c r="R2026" t="s">
        <v>48</v>
      </c>
      <c r="S2026" t="s">
        <v>49</v>
      </c>
      <c r="T2026" s="3">
        <v>0.84</v>
      </c>
      <c r="U2026" s="3">
        <v>0.23</v>
      </c>
      <c r="V2026" s="3">
        <v>4.42</v>
      </c>
      <c r="W2026">
        <v>2.2000000000000002</v>
      </c>
      <c r="X2026" t="s">
        <v>50</v>
      </c>
      <c r="Y2026" s="3">
        <v>9.19</v>
      </c>
      <c r="Z2026" t="s">
        <v>73</v>
      </c>
      <c r="AA2026" t="s">
        <v>13172</v>
      </c>
      <c r="AB2026" t="s">
        <v>53</v>
      </c>
      <c r="AC2026" s="3">
        <v>1.29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f t="shared" si="62"/>
        <v>15.97</v>
      </c>
      <c r="AK2026" s="3">
        <f t="shared" si="63"/>
        <v>6.7800000000000011</v>
      </c>
    </row>
    <row r="2027" spans="1:37">
      <c r="A2027">
        <v>10385286</v>
      </c>
      <c r="B2027" t="s">
        <v>37</v>
      </c>
      <c r="C2027" t="s">
        <v>13173</v>
      </c>
      <c r="E2027" t="s">
        <v>10272</v>
      </c>
      <c r="F2027" t="s">
        <v>13174</v>
      </c>
      <c r="G2027" t="s">
        <v>13175</v>
      </c>
      <c r="H2027" t="s">
        <v>42</v>
      </c>
      <c r="I2027" t="s">
        <v>13176</v>
      </c>
      <c r="J2027" t="s">
        <v>13177</v>
      </c>
      <c r="K2027">
        <v>9000</v>
      </c>
      <c r="L2027" t="s">
        <v>505</v>
      </c>
      <c r="M2027" t="s">
        <v>46</v>
      </c>
      <c r="N2027" t="s">
        <v>47</v>
      </c>
      <c r="O2027">
        <v>5</v>
      </c>
      <c r="P2027">
        <v>1</v>
      </c>
      <c r="Q2027">
        <v>5</v>
      </c>
      <c r="R2027" t="s">
        <v>48</v>
      </c>
      <c r="S2027" t="s">
        <v>49</v>
      </c>
      <c r="T2027" s="3">
        <v>0.84</v>
      </c>
      <c r="U2027" s="3">
        <v>0.23</v>
      </c>
      <c r="V2027" s="3">
        <v>4.42</v>
      </c>
      <c r="W2027">
        <v>2.37</v>
      </c>
      <c r="X2027" t="s">
        <v>50</v>
      </c>
      <c r="Y2027" s="3">
        <v>9.19</v>
      </c>
      <c r="Z2027" t="s">
        <v>73</v>
      </c>
      <c r="AA2027" t="s">
        <v>13178</v>
      </c>
      <c r="AB2027" t="s">
        <v>53</v>
      </c>
      <c r="AC2027" s="3">
        <v>1.29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f t="shared" si="62"/>
        <v>15.97</v>
      </c>
      <c r="AK2027" s="3">
        <f t="shared" si="63"/>
        <v>6.7800000000000011</v>
      </c>
    </row>
    <row r="2028" spans="1:37">
      <c r="A2028">
        <v>10384224</v>
      </c>
      <c r="B2028" t="s">
        <v>37</v>
      </c>
      <c r="C2028" t="s">
        <v>13179</v>
      </c>
      <c r="E2028" t="s">
        <v>3574</v>
      </c>
      <c r="F2028" t="s">
        <v>13180</v>
      </c>
      <c r="G2028" t="s">
        <v>13181</v>
      </c>
      <c r="H2028" t="s">
        <v>42</v>
      </c>
      <c r="I2028" t="s">
        <v>13182</v>
      </c>
      <c r="J2028" t="s">
        <v>13183</v>
      </c>
      <c r="K2028">
        <v>46325</v>
      </c>
      <c r="L2028" t="s">
        <v>71</v>
      </c>
      <c r="M2028" t="s">
        <v>46</v>
      </c>
      <c r="N2028" t="s">
        <v>47</v>
      </c>
      <c r="O2028">
        <v>4</v>
      </c>
      <c r="P2028">
        <v>1</v>
      </c>
      <c r="Q2028">
        <v>4</v>
      </c>
      <c r="R2028" t="s">
        <v>48</v>
      </c>
      <c r="S2028" t="s">
        <v>49</v>
      </c>
      <c r="T2028" s="3">
        <v>0.84</v>
      </c>
      <c r="U2028" s="3">
        <v>0.23</v>
      </c>
      <c r="V2028" s="3">
        <v>3.55</v>
      </c>
      <c r="W2028">
        <v>0.6</v>
      </c>
      <c r="X2028" t="s">
        <v>108</v>
      </c>
      <c r="Y2028" s="3">
        <v>5.14</v>
      </c>
      <c r="Z2028" t="s">
        <v>9686</v>
      </c>
      <c r="AA2028" t="s">
        <v>11817</v>
      </c>
      <c r="AB2028" t="s">
        <v>53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f t="shared" si="62"/>
        <v>9.76</v>
      </c>
      <c r="AK2028" s="3">
        <f t="shared" si="63"/>
        <v>4.62</v>
      </c>
    </row>
    <row r="2029" spans="1:37">
      <c r="A2029">
        <v>10384698</v>
      </c>
      <c r="B2029" t="s">
        <v>37</v>
      </c>
      <c r="C2029" t="s">
        <v>13184</v>
      </c>
      <c r="E2029" t="s">
        <v>2684</v>
      </c>
      <c r="F2029" t="s">
        <v>13185</v>
      </c>
      <c r="G2029" t="s">
        <v>13186</v>
      </c>
      <c r="H2029" t="s">
        <v>42</v>
      </c>
      <c r="I2029" t="s">
        <v>13187</v>
      </c>
      <c r="J2029" t="s">
        <v>13188</v>
      </c>
      <c r="K2029">
        <v>38527</v>
      </c>
      <c r="L2029" t="s">
        <v>71</v>
      </c>
      <c r="M2029" t="s">
        <v>46</v>
      </c>
      <c r="N2029" t="s">
        <v>47</v>
      </c>
      <c r="O2029">
        <v>3</v>
      </c>
      <c r="P2029">
        <v>1</v>
      </c>
      <c r="Q2029">
        <v>3</v>
      </c>
      <c r="R2029" t="s">
        <v>48</v>
      </c>
      <c r="S2029" t="s">
        <v>49</v>
      </c>
      <c r="T2029" s="3">
        <v>0.84</v>
      </c>
      <c r="U2029" s="3">
        <v>0.23</v>
      </c>
      <c r="V2029" s="3">
        <v>2.68</v>
      </c>
      <c r="W2029">
        <v>0.45</v>
      </c>
      <c r="X2029" t="s">
        <v>108</v>
      </c>
      <c r="Y2029" s="3">
        <v>5.14</v>
      </c>
      <c r="Z2029" t="s">
        <v>9850</v>
      </c>
      <c r="AA2029" t="s">
        <v>12452</v>
      </c>
      <c r="AB2029" t="s">
        <v>53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f t="shared" si="62"/>
        <v>8.89</v>
      </c>
      <c r="AK2029" s="3">
        <f t="shared" si="63"/>
        <v>3.7500000000000009</v>
      </c>
    </row>
    <row r="2030" spans="1:37">
      <c r="A2030">
        <v>10385021</v>
      </c>
      <c r="B2030" t="s">
        <v>37</v>
      </c>
      <c r="C2030" t="s">
        <v>13189</v>
      </c>
      <c r="E2030" t="s">
        <v>1470</v>
      </c>
      <c r="F2030" t="s">
        <v>13190</v>
      </c>
      <c r="G2030" t="s">
        <v>13191</v>
      </c>
      <c r="H2030" t="s">
        <v>42</v>
      </c>
      <c r="I2030" t="s">
        <v>13192</v>
      </c>
      <c r="J2030" t="s">
        <v>13193</v>
      </c>
      <c r="K2030">
        <v>6844</v>
      </c>
      <c r="L2030" t="s">
        <v>618</v>
      </c>
      <c r="M2030" t="s">
        <v>46</v>
      </c>
      <c r="N2030" t="s">
        <v>47</v>
      </c>
      <c r="O2030">
        <v>6</v>
      </c>
      <c r="P2030">
        <v>1</v>
      </c>
      <c r="Q2030">
        <v>6</v>
      </c>
      <c r="R2030" t="s">
        <v>48</v>
      </c>
      <c r="S2030" t="s">
        <v>49</v>
      </c>
      <c r="T2030" s="3">
        <v>0.84</v>
      </c>
      <c r="U2030" s="3">
        <v>0.23</v>
      </c>
      <c r="V2030" s="3">
        <v>5.29</v>
      </c>
      <c r="W2030">
        <v>0.9</v>
      </c>
      <c r="X2030" t="s">
        <v>50</v>
      </c>
      <c r="Y2030" s="3">
        <v>9.19</v>
      </c>
      <c r="Z2030" t="s">
        <v>9850</v>
      </c>
      <c r="AA2030" t="s">
        <v>11817</v>
      </c>
      <c r="AB2030" t="s">
        <v>53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f t="shared" si="62"/>
        <v>15.55</v>
      </c>
      <c r="AK2030" s="3">
        <f t="shared" si="63"/>
        <v>6.3600000000000012</v>
      </c>
    </row>
    <row r="2031" spans="1:37">
      <c r="A2031">
        <v>10380414</v>
      </c>
      <c r="B2031" t="s">
        <v>111</v>
      </c>
      <c r="C2031" t="s">
        <v>13194</v>
      </c>
      <c r="D2031" t="s">
        <v>13195</v>
      </c>
      <c r="E2031" t="s">
        <v>1185</v>
      </c>
      <c r="F2031" t="s">
        <v>13196</v>
      </c>
      <c r="G2031" t="s">
        <v>13197</v>
      </c>
      <c r="H2031" t="s">
        <v>117</v>
      </c>
      <c r="I2031" t="s">
        <v>13198</v>
      </c>
      <c r="J2031" t="s">
        <v>13199</v>
      </c>
      <c r="K2031">
        <v>53340</v>
      </c>
      <c r="L2031" t="s">
        <v>71</v>
      </c>
      <c r="M2031" t="s">
        <v>46</v>
      </c>
      <c r="N2031" t="s">
        <v>47</v>
      </c>
      <c r="O2031">
        <v>15</v>
      </c>
      <c r="P2031">
        <v>1</v>
      </c>
      <c r="Q2031">
        <v>15</v>
      </c>
      <c r="R2031" t="s">
        <v>48</v>
      </c>
      <c r="S2031" t="s">
        <v>49</v>
      </c>
      <c r="T2031" s="3">
        <v>7</v>
      </c>
      <c r="U2031" s="3">
        <v>0.23</v>
      </c>
      <c r="V2031" s="3">
        <v>19.75</v>
      </c>
      <c r="W2031">
        <v>6</v>
      </c>
      <c r="X2031" t="s">
        <v>72</v>
      </c>
      <c r="Y2031" s="3">
        <v>7.44</v>
      </c>
      <c r="Z2031" t="s">
        <v>51</v>
      </c>
      <c r="AA2031" t="s">
        <v>13200</v>
      </c>
      <c r="AB2031" t="s">
        <v>53</v>
      </c>
      <c r="AC2031" s="3">
        <v>1.87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f t="shared" si="62"/>
        <v>36.290000000000006</v>
      </c>
      <c r="AK2031" s="3">
        <f t="shared" si="63"/>
        <v>28.850000000000005</v>
      </c>
    </row>
    <row r="2032" spans="1:37">
      <c r="A2032">
        <v>10387824</v>
      </c>
      <c r="B2032" t="s">
        <v>37</v>
      </c>
      <c r="C2032" t="s">
        <v>13201</v>
      </c>
      <c r="E2032" t="s">
        <v>1307</v>
      </c>
      <c r="F2032" t="s">
        <v>13202</v>
      </c>
      <c r="G2032" t="s">
        <v>13203</v>
      </c>
      <c r="H2032" t="s">
        <v>42</v>
      </c>
      <c r="I2032" t="s">
        <v>13204</v>
      </c>
      <c r="J2032" t="s">
        <v>13205</v>
      </c>
      <c r="K2032">
        <v>82343</v>
      </c>
      <c r="L2032" t="s">
        <v>71</v>
      </c>
      <c r="M2032" t="s">
        <v>46</v>
      </c>
      <c r="N2032" t="s">
        <v>47</v>
      </c>
      <c r="O2032">
        <v>5</v>
      </c>
      <c r="P2032">
        <v>1</v>
      </c>
      <c r="Q2032">
        <v>5</v>
      </c>
      <c r="R2032" t="s">
        <v>48</v>
      </c>
      <c r="S2032" t="s">
        <v>49</v>
      </c>
      <c r="T2032" s="3">
        <v>0.84</v>
      </c>
      <c r="U2032" s="3">
        <v>0.23</v>
      </c>
      <c r="V2032" s="3">
        <v>4.42</v>
      </c>
      <c r="W2032">
        <v>2.25</v>
      </c>
      <c r="X2032" t="s">
        <v>72</v>
      </c>
      <c r="Y2032" s="3">
        <v>5.44</v>
      </c>
      <c r="Z2032" t="s">
        <v>73</v>
      </c>
      <c r="AA2032" t="s">
        <v>13206</v>
      </c>
      <c r="AB2032" t="s">
        <v>53</v>
      </c>
      <c r="AC2032" s="3">
        <v>1.29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f t="shared" si="62"/>
        <v>12.22</v>
      </c>
      <c r="AK2032" s="3">
        <f t="shared" si="63"/>
        <v>6.78</v>
      </c>
    </row>
    <row r="2033" spans="1:37">
      <c r="A2033">
        <v>10385293</v>
      </c>
      <c r="B2033" t="s">
        <v>37</v>
      </c>
      <c r="C2033" t="s">
        <v>13207</v>
      </c>
      <c r="D2033" t="s">
        <v>13208</v>
      </c>
      <c r="E2033" t="s">
        <v>240</v>
      </c>
      <c r="F2033" t="s">
        <v>13209</v>
      </c>
      <c r="G2033" t="s">
        <v>13210</v>
      </c>
      <c r="H2033" t="s">
        <v>42</v>
      </c>
      <c r="I2033" t="s">
        <v>13211</v>
      </c>
      <c r="J2033" t="s">
        <v>13212</v>
      </c>
      <c r="K2033" t="s">
        <v>13213</v>
      </c>
      <c r="L2033" t="s">
        <v>82</v>
      </c>
      <c r="M2033" t="s">
        <v>46</v>
      </c>
      <c r="N2033" t="s">
        <v>47</v>
      </c>
      <c r="O2033">
        <v>5</v>
      </c>
      <c r="P2033">
        <v>1</v>
      </c>
      <c r="Q2033">
        <v>5</v>
      </c>
      <c r="R2033" t="s">
        <v>48</v>
      </c>
      <c r="S2033" t="s">
        <v>49</v>
      </c>
      <c r="T2033" s="3">
        <v>0.84</v>
      </c>
      <c r="U2033" s="3">
        <v>0.23</v>
      </c>
      <c r="V2033" s="3">
        <v>4.42</v>
      </c>
      <c r="W2033">
        <v>2.15</v>
      </c>
      <c r="X2033" t="s">
        <v>50</v>
      </c>
      <c r="Y2033" s="3">
        <v>9.19</v>
      </c>
      <c r="Z2033" t="s">
        <v>73</v>
      </c>
      <c r="AA2033" t="s">
        <v>13214</v>
      </c>
      <c r="AB2033" t="s">
        <v>53</v>
      </c>
      <c r="AC2033" s="3">
        <v>1.29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f t="shared" si="62"/>
        <v>15.97</v>
      </c>
      <c r="AK2033" s="3">
        <f t="shared" si="63"/>
        <v>6.7800000000000011</v>
      </c>
    </row>
    <row r="2034" spans="1:37">
      <c r="A2034">
        <v>10385288</v>
      </c>
      <c r="B2034" t="s">
        <v>37</v>
      </c>
      <c r="C2034" t="s">
        <v>13215</v>
      </c>
      <c r="E2034" t="s">
        <v>5787</v>
      </c>
      <c r="F2034" t="s">
        <v>13216</v>
      </c>
      <c r="G2034" t="s">
        <v>13217</v>
      </c>
      <c r="H2034" t="s">
        <v>42</v>
      </c>
      <c r="I2034" t="s">
        <v>13218</v>
      </c>
      <c r="J2034" t="s">
        <v>13219</v>
      </c>
      <c r="K2034" t="s">
        <v>13220</v>
      </c>
      <c r="L2034" t="s">
        <v>142</v>
      </c>
      <c r="M2034" t="s">
        <v>46</v>
      </c>
      <c r="N2034" t="s">
        <v>47</v>
      </c>
      <c r="O2034">
        <v>4</v>
      </c>
      <c r="P2034">
        <v>1</v>
      </c>
      <c r="Q2034">
        <v>4</v>
      </c>
      <c r="R2034" t="s">
        <v>48</v>
      </c>
      <c r="S2034" t="s">
        <v>49</v>
      </c>
      <c r="T2034" s="3">
        <v>0.84</v>
      </c>
      <c r="U2034" s="3">
        <v>0.23</v>
      </c>
      <c r="V2034" s="3">
        <v>3.55</v>
      </c>
      <c r="W2034">
        <v>1.56</v>
      </c>
      <c r="X2034" t="s">
        <v>50</v>
      </c>
      <c r="Y2034" s="3">
        <v>16.43</v>
      </c>
      <c r="Z2034" t="s">
        <v>9686</v>
      </c>
      <c r="AA2034" t="s">
        <v>429</v>
      </c>
      <c r="AB2034" t="s">
        <v>53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f t="shared" si="62"/>
        <v>21.05</v>
      </c>
      <c r="AK2034" s="3">
        <f t="shared" si="63"/>
        <v>4.620000000000001</v>
      </c>
    </row>
    <row r="2035" spans="1:37">
      <c r="A2035">
        <v>10385296</v>
      </c>
      <c r="B2035" t="s">
        <v>37</v>
      </c>
      <c r="C2035" t="s">
        <v>13221</v>
      </c>
      <c r="E2035" t="s">
        <v>13222</v>
      </c>
      <c r="F2035" t="s">
        <v>13223</v>
      </c>
      <c r="G2035" t="s">
        <v>13224</v>
      </c>
      <c r="H2035" t="s">
        <v>42</v>
      </c>
      <c r="I2035" t="s">
        <v>13225</v>
      </c>
      <c r="J2035" t="s">
        <v>13226</v>
      </c>
      <c r="K2035">
        <v>32657</v>
      </c>
      <c r="L2035" t="s">
        <v>71</v>
      </c>
      <c r="M2035" t="s">
        <v>46</v>
      </c>
      <c r="N2035" t="s">
        <v>47</v>
      </c>
      <c r="O2035">
        <v>3</v>
      </c>
      <c r="P2035">
        <v>1</v>
      </c>
      <c r="Q2035">
        <v>3</v>
      </c>
      <c r="R2035" t="s">
        <v>48</v>
      </c>
      <c r="S2035" t="s">
        <v>49</v>
      </c>
      <c r="T2035" s="3">
        <v>0.84</v>
      </c>
      <c r="U2035" s="3">
        <v>0.23</v>
      </c>
      <c r="V2035" s="3">
        <v>2.68</v>
      </c>
      <c r="W2035">
        <v>0.45</v>
      </c>
      <c r="X2035" t="s">
        <v>108</v>
      </c>
      <c r="Y2035" s="3">
        <v>6.53</v>
      </c>
      <c r="Z2035" t="s">
        <v>9850</v>
      </c>
      <c r="AA2035" t="s">
        <v>11817</v>
      </c>
      <c r="AB2035" t="s">
        <v>53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f t="shared" si="62"/>
        <v>10.280000000000001</v>
      </c>
      <c r="AK2035" s="3">
        <f t="shared" si="63"/>
        <v>3.7500000000000009</v>
      </c>
    </row>
    <row r="2036" spans="1:37">
      <c r="A2036">
        <v>10384686</v>
      </c>
      <c r="B2036" t="s">
        <v>37</v>
      </c>
      <c r="C2036" t="s">
        <v>13227</v>
      </c>
      <c r="E2036" t="s">
        <v>8914</v>
      </c>
      <c r="F2036" t="s">
        <v>8220</v>
      </c>
      <c r="G2036" t="s">
        <v>13228</v>
      </c>
      <c r="H2036" t="s">
        <v>42</v>
      </c>
      <c r="I2036" t="s">
        <v>13229</v>
      </c>
      <c r="J2036" t="s">
        <v>13230</v>
      </c>
      <c r="K2036" t="s">
        <v>13231</v>
      </c>
      <c r="L2036" t="s">
        <v>82</v>
      </c>
      <c r="M2036" t="s">
        <v>46</v>
      </c>
      <c r="N2036" t="s">
        <v>47</v>
      </c>
      <c r="O2036">
        <v>2</v>
      </c>
      <c r="P2036">
        <v>1</v>
      </c>
      <c r="Q2036">
        <v>2</v>
      </c>
      <c r="R2036" t="s">
        <v>48</v>
      </c>
      <c r="S2036" t="s">
        <v>49</v>
      </c>
      <c r="T2036" s="3">
        <v>0.84</v>
      </c>
      <c r="U2036" s="3">
        <v>0.23</v>
      </c>
      <c r="V2036" s="3">
        <v>1.81</v>
      </c>
      <c r="W2036">
        <v>0.98</v>
      </c>
      <c r="X2036" t="s">
        <v>50</v>
      </c>
      <c r="Y2036" s="3">
        <v>9.19</v>
      </c>
      <c r="Z2036" t="s">
        <v>9850</v>
      </c>
      <c r="AA2036" t="s">
        <v>10238</v>
      </c>
      <c r="AB2036" t="s">
        <v>53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f t="shared" si="62"/>
        <v>12.07</v>
      </c>
      <c r="AK2036" s="3">
        <f t="shared" si="63"/>
        <v>2.8800000000000008</v>
      </c>
    </row>
    <row r="2037" spans="1:37">
      <c r="A2037">
        <v>10386044</v>
      </c>
      <c r="B2037" t="s">
        <v>37</v>
      </c>
      <c r="C2037" t="s">
        <v>13232</v>
      </c>
      <c r="E2037" t="s">
        <v>11175</v>
      </c>
      <c r="F2037" t="s">
        <v>13233</v>
      </c>
      <c r="G2037" t="s">
        <v>13234</v>
      </c>
      <c r="H2037" t="s">
        <v>42</v>
      </c>
      <c r="I2037" t="s">
        <v>13235</v>
      </c>
      <c r="J2037" t="s">
        <v>13236</v>
      </c>
      <c r="K2037" t="s">
        <v>13237</v>
      </c>
      <c r="L2037" t="s">
        <v>142</v>
      </c>
      <c r="M2037" t="s">
        <v>46</v>
      </c>
      <c r="N2037" t="s">
        <v>47</v>
      </c>
      <c r="O2037">
        <v>2</v>
      </c>
      <c r="P2037">
        <v>1</v>
      </c>
      <c r="Q2037">
        <v>2</v>
      </c>
      <c r="R2037" t="s">
        <v>48</v>
      </c>
      <c r="S2037" t="s">
        <v>49</v>
      </c>
      <c r="T2037" s="3">
        <v>0.84</v>
      </c>
      <c r="U2037" s="3">
        <v>0.23</v>
      </c>
      <c r="V2037" s="3">
        <v>1.81</v>
      </c>
      <c r="W2037">
        <v>0.98</v>
      </c>
      <c r="X2037" t="s">
        <v>50</v>
      </c>
      <c r="Y2037" s="3">
        <v>16.43</v>
      </c>
      <c r="Z2037" t="s">
        <v>9850</v>
      </c>
      <c r="AA2037" t="s">
        <v>13238</v>
      </c>
      <c r="AB2037" t="s">
        <v>53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f t="shared" si="62"/>
        <v>19.309999999999999</v>
      </c>
      <c r="AK2037" s="3">
        <f t="shared" si="63"/>
        <v>2.879999999999999</v>
      </c>
    </row>
    <row r="2038" spans="1:37">
      <c r="A2038">
        <v>10385022</v>
      </c>
      <c r="B2038" t="s">
        <v>37</v>
      </c>
      <c r="C2038" t="s">
        <v>13239</v>
      </c>
      <c r="E2038" t="s">
        <v>13240</v>
      </c>
      <c r="F2038" t="s">
        <v>13241</v>
      </c>
      <c r="G2038" t="s">
        <v>13242</v>
      </c>
      <c r="H2038" t="s">
        <v>42</v>
      </c>
      <c r="I2038" t="s">
        <v>13243</v>
      </c>
      <c r="J2038" t="s">
        <v>13244</v>
      </c>
      <c r="K2038">
        <v>9831</v>
      </c>
      <c r="L2038" t="s">
        <v>505</v>
      </c>
      <c r="M2038" t="s">
        <v>46</v>
      </c>
      <c r="N2038" t="s">
        <v>47</v>
      </c>
      <c r="O2038">
        <v>2</v>
      </c>
      <c r="P2038">
        <v>1</v>
      </c>
      <c r="Q2038">
        <v>2</v>
      </c>
      <c r="R2038" t="s">
        <v>48</v>
      </c>
      <c r="S2038" t="s">
        <v>49</v>
      </c>
      <c r="T2038" s="3">
        <v>0.84</v>
      </c>
      <c r="U2038" s="3">
        <v>0.23</v>
      </c>
      <c r="V2038" s="3">
        <v>1.81</v>
      </c>
      <c r="W2038">
        <v>0.88</v>
      </c>
      <c r="X2038" t="s">
        <v>50</v>
      </c>
      <c r="Y2038" s="3">
        <v>9.19</v>
      </c>
      <c r="Z2038" t="s">
        <v>9850</v>
      </c>
      <c r="AA2038" t="s">
        <v>13245</v>
      </c>
      <c r="AB2038" t="s">
        <v>53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f t="shared" si="62"/>
        <v>12.07</v>
      </c>
      <c r="AK2038" s="3">
        <f t="shared" si="63"/>
        <v>2.8800000000000008</v>
      </c>
    </row>
    <row r="2039" spans="1:37">
      <c r="A2039">
        <v>10386892</v>
      </c>
      <c r="B2039" t="s">
        <v>37</v>
      </c>
      <c r="C2039" t="s">
        <v>13246</v>
      </c>
      <c r="E2039" t="s">
        <v>3582</v>
      </c>
      <c r="F2039" t="s">
        <v>6062</v>
      </c>
      <c r="G2039" t="s">
        <v>13247</v>
      </c>
      <c r="H2039" t="s">
        <v>42</v>
      </c>
      <c r="I2039" t="s">
        <v>13248</v>
      </c>
      <c r="J2039" t="s">
        <v>6065</v>
      </c>
      <c r="K2039">
        <v>6637</v>
      </c>
      <c r="L2039" t="s">
        <v>369</v>
      </c>
      <c r="M2039" t="s">
        <v>46</v>
      </c>
      <c r="N2039" t="s">
        <v>47</v>
      </c>
      <c r="O2039">
        <v>2</v>
      </c>
      <c r="P2039">
        <v>1</v>
      </c>
      <c r="Q2039">
        <v>2</v>
      </c>
      <c r="R2039" t="s">
        <v>48</v>
      </c>
      <c r="S2039" t="s">
        <v>49</v>
      </c>
      <c r="T2039" s="3">
        <v>0.84</v>
      </c>
      <c r="U2039" s="3">
        <v>0.23</v>
      </c>
      <c r="V2039" s="3">
        <v>1.81</v>
      </c>
      <c r="W2039">
        <v>0.98</v>
      </c>
      <c r="X2039" t="s">
        <v>50</v>
      </c>
      <c r="Y2039" s="3">
        <v>9.19</v>
      </c>
      <c r="Z2039" t="s">
        <v>9850</v>
      </c>
      <c r="AA2039" t="s">
        <v>13249</v>
      </c>
      <c r="AB2039" t="s">
        <v>53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f t="shared" si="62"/>
        <v>12.07</v>
      </c>
      <c r="AK2039" s="3">
        <f t="shared" si="63"/>
        <v>2.8800000000000008</v>
      </c>
    </row>
    <row r="2040" spans="1:37">
      <c r="A2040">
        <v>10384227</v>
      </c>
      <c r="B2040" t="s">
        <v>37</v>
      </c>
      <c r="C2040" t="s">
        <v>13250</v>
      </c>
      <c r="E2040" t="s">
        <v>6191</v>
      </c>
      <c r="F2040" t="s">
        <v>13251</v>
      </c>
      <c r="G2040" t="s">
        <v>13252</v>
      </c>
      <c r="H2040" t="s">
        <v>42</v>
      </c>
      <c r="I2040" t="s">
        <v>13253</v>
      </c>
      <c r="J2040" t="s">
        <v>13254</v>
      </c>
      <c r="K2040">
        <v>32107</v>
      </c>
      <c r="L2040" t="s">
        <v>71</v>
      </c>
      <c r="M2040" t="s">
        <v>46</v>
      </c>
      <c r="N2040" t="s">
        <v>47</v>
      </c>
      <c r="O2040">
        <v>2</v>
      </c>
      <c r="P2040">
        <v>1</v>
      </c>
      <c r="Q2040">
        <v>2</v>
      </c>
      <c r="R2040" t="s">
        <v>48</v>
      </c>
      <c r="S2040" t="s">
        <v>49</v>
      </c>
      <c r="T2040" s="3">
        <v>0.84</v>
      </c>
      <c r="U2040" s="3">
        <v>0.23</v>
      </c>
      <c r="V2040" s="3">
        <v>1.81</v>
      </c>
      <c r="W2040">
        <v>0.3</v>
      </c>
      <c r="X2040" t="s">
        <v>108</v>
      </c>
      <c r="Y2040" s="3">
        <v>5.14</v>
      </c>
      <c r="Z2040" t="s">
        <v>9850</v>
      </c>
      <c r="AA2040" t="s">
        <v>6464</v>
      </c>
      <c r="AB2040" t="s">
        <v>53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f t="shared" si="62"/>
        <v>8.02</v>
      </c>
      <c r="AK2040" s="3">
        <f t="shared" si="63"/>
        <v>2.88</v>
      </c>
    </row>
    <row r="2041" spans="1:37">
      <c r="A2041">
        <v>10385034</v>
      </c>
      <c r="B2041" t="s">
        <v>37</v>
      </c>
      <c r="C2041" t="s">
        <v>13255</v>
      </c>
      <c r="E2041" t="s">
        <v>809</v>
      </c>
      <c r="F2041" t="s">
        <v>13256</v>
      </c>
      <c r="G2041" t="s">
        <v>13257</v>
      </c>
      <c r="H2041" t="s">
        <v>42</v>
      </c>
      <c r="I2041" t="s">
        <v>13258</v>
      </c>
      <c r="J2041" t="s">
        <v>13259</v>
      </c>
      <c r="K2041">
        <v>49424</v>
      </c>
      <c r="L2041" t="s">
        <v>71</v>
      </c>
      <c r="M2041" t="s">
        <v>46</v>
      </c>
      <c r="N2041" t="s">
        <v>47</v>
      </c>
      <c r="O2041">
        <v>2</v>
      </c>
      <c r="P2041">
        <v>1</v>
      </c>
      <c r="Q2041">
        <v>2</v>
      </c>
      <c r="R2041" t="s">
        <v>48</v>
      </c>
      <c r="S2041" t="s">
        <v>49</v>
      </c>
      <c r="T2041" s="3">
        <v>0.84</v>
      </c>
      <c r="U2041" s="3">
        <v>0.23</v>
      </c>
      <c r="V2041" s="3">
        <v>1.81</v>
      </c>
      <c r="W2041">
        <v>0.3</v>
      </c>
      <c r="X2041" t="s">
        <v>108</v>
      </c>
      <c r="Y2041" s="3">
        <v>5.14</v>
      </c>
      <c r="Z2041" t="s">
        <v>9850</v>
      </c>
      <c r="AA2041" t="s">
        <v>12452</v>
      </c>
      <c r="AB2041" t="s">
        <v>53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f t="shared" si="62"/>
        <v>8.02</v>
      </c>
      <c r="AK2041" s="3">
        <f t="shared" si="63"/>
        <v>2.88</v>
      </c>
    </row>
    <row r="2042" spans="1:37">
      <c r="A2042">
        <v>10385825</v>
      </c>
      <c r="B2042" t="s">
        <v>37</v>
      </c>
      <c r="C2042" t="s">
        <v>13260</v>
      </c>
      <c r="E2042" t="s">
        <v>13261</v>
      </c>
      <c r="F2042" t="s">
        <v>13262</v>
      </c>
      <c r="G2042" t="s">
        <v>13263</v>
      </c>
      <c r="H2042" t="s">
        <v>42</v>
      </c>
      <c r="I2042" t="s">
        <v>13264</v>
      </c>
      <c r="J2042" t="s">
        <v>13265</v>
      </c>
      <c r="K2042">
        <v>32139</v>
      </c>
      <c r="L2042" t="s">
        <v>71</v>
      </c>
      <c r="M2042" t="s">
        <v>46</v>
      </c>
      <c r="N2042" t="s">
        <v>47</v>
      </c>
      <c r="O2042">
        <v>2</v>
      </c>
      <c r="P2042">
        <v>1</v>
      </c>
      <c r="Q2042">
        <v>2</v>
      </c>
      <c r="R2042" t="s">
        <v>48</v>
      </c>
      <c r="S2042" t="s">
        <v>49</v>
      </c>
      <c r="T2042" s="3">
        <v>0.84</v>
      </c>
      <c r="U2042" s="3">
        <v>0.23</v>
      </c>
      <c r="V2042" s="3">
        <v>1.81</v>
      </c>
      <c r="W2042">
        <v>0.3</v>
      </c>
      <c r="X2042" t="s">
        <v>108</v>
      </c>
      <c r="Y2042" s="3">
        <v>5.14</v>
      </c>
      <c r="Z2042" t="s">
        <v>9850</v>
      </c>
      <c r="AA2042" t="s">
        <v>855</v>
      </c>
      <c r="AB2042" t="s">
        <v>53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f t="shared" si="62"/>
        <v>8.02</v>
      </c>
      <c r="AK2042" s="3">
        <f t="shared" si="63"/>
        <v>2.88</v>
      </c>
    </row>
    <row r="2043" spans="1:37">
      <c r="A2043">
        <v>10386042</v>
      </c>
      <c r="B2043" t="s">
        <v>37</v>
      </c>
      <c r="C2043" t="s">
        <v>13266</v>
      </c>
      <c r="E2043" t="s">
        <v>13267</v>
      </c>
      <c r="F2043" t="s">
        <v>13268</v>
      </c>
      <c r="G2043" t="s">
        <v>13269</v>
      </c>
      <c r="H2043" t="s">
        <v>42</v>
      </c>
      <c r="I2043" t="s">
        <v>13270</v>
      </c>
      <c r="J2043" t="s">
        <v>13271</v>
      </c>
      <c r="K2043">
        <v>81241</v>
      </c>
      <c r="L2043" t="s">
        <v>71</v>
      </c>
      <c r="M2043" t="s">
        <v>46</v>
      </c>
      <c r="N2043" t="s">
        <v>47</v>
      </c>
      <c r="O2043">
        <v>2</v>
      </c>
      <c r="P2043">
        <v>1</v>
      </c>
      <c r="Q2043">
        <v>2</v>
      </c>
      <c r="R2043" t="s">
        <v>48</v>
      </c>
      <c r="S2043" t="s">
        <v>49</v>
      </c>
      <c r="T2043" s="3">
        <v>0.84</v>
      </c>
      <c r="U2043" s="3">
        <v>0.23</v>
      </c>
      <c r="V2043" s="3">
        <v>1.81</v>
      </c>
      <c r="W2043">
        <v>0.3</v>
      </c>
      <c r="X2043" t="s">
        <v>108</v>
      </c>
      <c r="Y2043" s="3">
        <v>5.14</v>
      </c>
      <c r="Z2043" t="s">
        <v>9850</v>
      </c>
      <c r="AA2043" t="s">
        <v>12452</v>
      </c>
      <c r="AB2043" t="s">
        <v>53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f t="shared" si="62"/>
        <v>8.02</v>
      </c>
      <c r="AK2043" s="3">
        <f t="shared" si="63"/>
        <v>2.88</v>
      </c>
    </row>
    <row r="2044" spans="1:37">
      <c r="A2044">
        <v>10386045</v>
      </c>
      <c r="B2044" t="s">
        <v>37</v>
      </c>
      <c r="C2044" t="s">
        <v>13272</v>
      </c>
      <c r="E2044" t="s">
        <v>13273</v>
      </c>
      <c r="F2044" t="s">
        <v>13274</v>
      </c>
      <c r="G2044" t="s">
        <v>13275</v>
      </c>
      <c r="H2044" t="s">
        <v>42</v>
      </c>
      <c r="I2044" t="s">
        <v>13276</v>
      </c>
      <c r="J2044" t="s">
        <v>13277</v>
      </c>
      <c r="K2044">
        <v>22589</v>
      </c>
      <c r="L2044" t="s">
        <v>71</v>
      </c>
      <c r="M2044" t="s">
        <v>46</v>
      </c>
      <c r="N2044" t="s">
        <v>47</v>
      </c>
      <c r="O2044">
        <v>2</v>
      </c>
      <c r="P2044">
        <v>1</v>
      </c>
      <c r="Q2044">
        <v>2</v>
      </c>
      <c r="R2044" t="s">
        <v>48</v>
      </c>
      <c r="S2044" t="s">
        <v>49</v>
      </c>
      <c r="T2044" s="3">
        <v>0.84</v>
      </c>
      <c r="U2044" s="3">
        <v>0.23</v>
      </c>
      <c r="V2044" s="3">
        <v>1.81</v>
      </c>
      <c r="W2044">
        <v>0.3</v>
      </c>
      <c r="X2044" t="s">
        <v>108</v>
      </c>
      <c r="Y2044" s="3">
        <v>5.14</v>
      </c>
      <c r="Z2044" t="s">
        <v>9850</v>
      </c>
      <c r="AA2044" t="s">
        <v>12452</v>
      </c>
      <c r="AB2044" t="s">
        <v>53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f t="shared" si="62"/>
        <v>8.02</v>
      </c>
      <c r="AK2044" s="3">
        <f t="shared" si="63"/>
        <v>2.88</v>
      </c>
    </row>
    <row r="2045" spans="1:37">
      <c r="A2045">
        <v>10386305</v>
      </c>
      <c r="B2045" t="s">
        <v>37</v>
      </c>
      <c r="C2045" t="s">
        <v>13278</v>
      </c>
      <c r="E2045" t="s">
        <v>1470</v>
      </c>
      <c r="F2045" t="s">
        <v>13279</v>
      </c>
      <c r="G2045" t="s">
        <v>13280</v>
      </c>
      <c r="H2045" t="s">
        <v>42</v>
      </c>
      <c r="I2045" t="s">
        <v>13281</v>
      </c>
      <c r="J2045" t="s">
        <v>13282</v>
      </c>
      <c r="K2045">
        <v>46359</v>
      </c>
      <c r="L2045" t="s">
        <v>71</v>
      </c>
      <c r="M2045" t="s">
        <v>46</v>
      </c>
      <c r="N2045" t="s">
        <v>47</v>
      </c>
      <c r="O2045">
        <v>2</v>
      </c>
      <c r="P2045">
        <v>1</v>
      </c>
      <c r="Q2045">
        <v>2</v>
      </c>
      <c r="R2045" t="s">
        <v>48</v>
      </c>
      <c r="S2045" t="s">
        <v>49</v>
      </c>
      <c r="T2045" s="3">
        <v>0.84</v>
      </c>
      <c r="U2045" s="3">
        <v>0.23</v>
      </c>
      <c r="V2045" s="3">
        <v>1.81</v>
      </c>
      <c r="W2045">
        <v>0.3</v>
      </c>
      <c r="X2045" t="s">
        <v>108</v>
      </c>
      <c r="Y2045" s="3">
        <v>5.14</v>
      </c>
      <c r="Z2045" t="s">
        <v>9850</v>
      </c>
      <c r="AA2045" t="s">
        <v>12452</v>
      </c>
      <c r="AB2045" t="s">
        <v>53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f t="shared" si="62"/>
        <v>8.02</v>
      </c>
      <c r="AK2045" s="3">
        <f t="shared" si="63"/>
        <v>2.88</v>
      </c>
    </row>
    <row r="2046" spans="1:37">
      <c r="A2046">
        <v>10384219</v>
      </c>
      <c r="B2046" t="s">
        <v>37</v>
      </c>
      <c r="C2046" t="s">
        <v>13283</v>
      </c>
      <c r="E2046" t="s">
        <v>5103</v>
      </c>
      <c r="F2046" t="s">
        <v>13284</v>
      </c>
      <c r="G2046" t="s">
        <v>13285</v>
      </c>
      <c r="H2046" t="s">
        <v>42</v>
      </c>
      <c r="I2046" t="s">
        <v>13286</v>
      </c>
      <c r="J2046" t="s">
        <v>13287</v>
      </c>
      <c r="K2046">
        <v>27442</v>
      </c>
      <c r="L2046" t="s">
        <v>71</v>
      </c>
      <c r="M2046" t="s">
        <v>46</v>
      </c>
      <c r="N2046" t="s">
        <v>47</v>
      </c>
      <c r="O2046">
        <v>1</v>
      </c>
      <c r="P2046">
        <v>1</v>
      </c>
      <c r="Q2046">
        <v>1</v>
      </c>
      <c r="R2046" t="s">
        <v>48</v>
      </c>
      <c r="S2046" t="s">
        <v>49</v>
      </c>
      <c r="T2046" s="3">
        <v>0.84</v>
      </c>
      <c r="U2046" s="3">
        <v>0.23</v>
      </c>
      <c r="V2046" s="3">
        <v>0.94</v>
      </c>
      <c r="W2046">
        <v>0.15</v>
      </c>
      <c r="X2046" t="s">
        <v>108</v>
      </c>
      <c r="Y2046" s="3">
        <v>5.14</v>
      </c>
      <c r="Z2046" t="s">
        <v>9850</v>
      </c>
      <c r="AA2046" t="s">
        <v>6464</v>
      </c>
      <c r="AB2046" t="s">
        <v>53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f t="shared" si="62"/>
        <v>7.15</v>
      </c>
      <c r="AK2046" s="3">
        <f t="shared" si="63"/>
        <v>2.0100000000000007</v>
      </c>
    </row>
    <row r="2047" spans="1:37">
      <c r="A2047">
        <v>10384220</v>
      </c>
      <c r="B2047" t="s">
        <v>37</v>
      </c>
      <c r="C2047" t="s">
        <v>13288</v>
      </c>
      <c r="E2047" t="s">
        <v>6594</v>
      </c>
      <c r="F2047" t="s">
        <v>13289</v>
      </c>
      <c r="G2047" t="s">
        <v>13290</v>
      </c>
      <c r="H2047" t="s">
        <v>42</v>
      </c>
      <c r="I2047" t="s">
        <v>13291</v>
      </c>
      <c r="J2047" t="s">
        <v>13292</v>
      </c>
      <c r="K2047">
        <v>47228</v>
      </c>
      <c r="L2047" t="s">
        <v>71</v>
      </c>
      <c r="M2047" t="s">
        <v>46</v>
      </c>
      <c r="N2047" t="s">
        <v>47</v>
      </c>
      <c r="O2047">
        <v>1</v>
      </c>
      <c r="P2047">
        <v>1</v>
      </c>
      <c r="Q2047">
        <v>1</v>
      </c>
      <c r="R2047" t="s">
        <v>48</v>
      </c>
      <c r="S2047" t="s">
        <v>49</v>
      </c>
      <c r="T2047" s="3">
        <v>0.84</v>
      </c>
      <c r="U2047" s="3">
        <v>0.23</v>
      </c>
      <c r="V2047" s="3">
        <v>0.94</v>
      </c>
      <c r="W2047">
        <v>0.15</v>
      </c>
      <c r="X2047" t="s">
        <v>108</v>
      </c>
      <c r="Y2047" s="3">
        <v>5.14</v>
      </c>
      <c r="Z2047" t="s">
        <v>9850</v>
      </c>
      <c r="AA2047" t="s">
        <v>6464</v>
      </c>
      <c r="AB2047" t="s">
        <v>53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f t="shared" si="62"/>
        <v>7.15</v>
      </c>
      <c r="AK2047" s="3">
        <f t="shared" si="63"/>
        <v>2.0100000000000007</v>
      </c>
    </row>
    <row r="2048" spans="1:37">
      <c r="A2048">
        <v>10384701</v>
      </c>
      <c r="B2048" t="s">
        <v>37</v>
      </c>
      <c r="C2048" t="s">
        <v>13293</v>
      </c>
      <c r="E2048" t="s">
        <v>9181</v>
      </c>
      <c r="F2048" t="s">
        <v>8589</v>
      </c>
      <c r="G2048" t="s">
        <v>13294</v>
      </c>
      <c r="H2048" t="s">
        <v>42</v>
      </c>
      <c r="I2048" t="s">
        <v>13295</v>
      </c>
      <c r="J2048" t="s">
        <v>13296</v>
      </c>
      <c r="K2048">
        <v>48149</v>
      </c>
      <c r="L2048" t="s">
        <v>71</v>
      </c>
      <c r="M2048" t="s">
        <v>46</v>
      </c>
      <c r="N2048" t="s">
        <v>47</v>
      </c>
      <c r="O2048">
        <v>1</v>
      </c>
      <c r="P2048">
        <v>1</v>
      </c>
      <c r="Q2048">
        <v>1</v>
      </c>
      <c r="R2048" t="s">
        <v>48</v>
      </c>
      <c r="S2048" t="s">
        <v>49</v>
      </c>
      <c r="T2048" s="3">
        <v>0.84</v>
      </c>
      <c r="U2048" s="3">
        <v>0.23</v>
      </c>
      <c r="V2048" s="3">
        <v>0.94</v>
      </c>
      <c r="W2048">
        <v>0.15</v>
      </c>
      <c r="X2048" t="s">
        <v>108</v>
      </c>
      <c r="Y2048" s="3">
        <v>6.53</v>
      </c>
      <c r="Z2048" t="s">
        <v>9850</v>
      </c>
      <c r="AA2048" t="s">
        <v>6464</v>
      </c>
      <c r="AB2048" t="s">
        <v>53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f t="shared" si="62"/>
        <v>8.5400000000000009</v>
      </c>
      <c r="AK2048" s="3">
        <f t="shared" si="63"/>
        <v>2.0100000000000007</v>
      </c>
    </row>
    <row r="2049" spans="1:37">
      <c r="A2049">
        <v>10384705</v>
      </c>
      <c r="B2049" t="s">
        <v>37</v>
      </c>
      <c r="C2049" t="s">
        <v>13297</v>
      </c>
      <c r="E2049" t="s">
        <v>13298</v>
      </c>
      <c r="F2049" t="s">
        <v>13299</v>
      </c>
      <c r="G2049" t="s">
        <v>13300</v>
      </c>
      <c r="H2049" t="s">
        <v>42</v>
      </c>
      <c r="I2049" t="s">
        <v>13301</v>
      </c>
      <c r="J2049" t="s">
        <v>13302</v>
      </c>
      <c r="K2049">
        <v>33397</v>
      </c>
      <c r="L2049" t="s">
        <v>71</v>
      </c>
      <c r="M2049" t="s">
        <v>46</v>
      </c>
      <c r="N2049" t="s">
        <v>47</v>
      </c>
      <c r="O2049">
        <v>1</v>
      </c>
      <c r="P2049">
        <v>1</v>
      </c>
      <c r="Q2049">
        <v>1</v>
      </c>
      <c r="R2049" t="s">
        <v>48</v>
      </c>
      <c r="S2049" t="s">
        <v>49</v>
      </c>
      <c r="T2049" s="3">
        <v>0.84</v>
      </c>
      <c r="U2049" s="3">
        <v>0.23</v>
      </c>
      <c r="V2049" s="3">
        <v>0.94</v>
      </c>
      <c r="W2049">
        <v>0.15</v>
      </c>
      <c r="X2049" t="s">
        <v>108</v>
      </c>
      <c r="Y2049" s="3">
        <v>5.14</v>
      </c>
      <c r="Z2049" t="s">
        <v>9850</v>
      </c>
      <c r="AA2049" t="s">
        <v>6464</v>
      </c>
      <c r="AB2049" t="s">
        <v>53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f t="shared" si="62"/>
        <v>7.15</v>
      </c>
      <c r="AK2049" s="3">
        <f t="shared" si="63"/>
        <v>2.0100000000000007</v>
      </c>
    </row>
    <row r="2050" spans="1:37">
      <c r="A2050">
        <v>10385014</v>
      </c>
      <c r="B2050" t="s">
        <v>37</v>
      </c>
      <c r="C2050" t="s">
        <v>13303</v>
      </c>
      <c r="E2050" t="s">
        <v>1330</v>
      </c>
      <c r="F2050" t="s">
        <v>13304</v>
      </c>
      <c r="G2050" t="s">
        <v>13305</v>
      </c>
      <c r="H2050" t="s">
        <v>42</v>
      </c>
      <c r="I2050" t="s">
        <v>13306</v>
      </c>
      <c r="J2050" t="s">
        <v>13307</v>
      </c>
      <c r="K2050">
        <v>32549</v>
      </c>
      <c r="L2050" t="s">
        <v>71</v>
      </c>
      <c r="M2050" t="s">
        <v>46</v>
      </c>
      <c r="N2050" t="s">
        <v>47</v>
      </c>
      <c r="O2050">
        <v>1</v>
      </c>
      <c r="P2050">
        <v>1</v>
      </c>
      <c r="Q2050">
        <v>1</v>
      </c>
      <c r="R2050" t="s">
        <v>48</v>
      </c>
      <c r="S2050" t="s">
        <v>49</v>
      </c>
      <c r="T2050" s="3">
        <v>0.84</v>
      </c>
      <c r="U2050" s="3">
        <v>0.23</v>
      </c>
      <c r="V2050" s="3">
        <v>0.94</v>
      </c>
      <c r="W2050">
        <v>0.15</v>
      </c>
      <c r="X2050" t="s">
        <v>108</v>
      </c>
      <c r="Y2050" s="3">
        <v>5.14</v>
      </c>
      <c r="Z2050" t="s">
        <v>9850</v>
      </c>
      <c r="AA2050" t="s">
        <v>6464</v>
      </c>
      <c r="AB2050" t="s">
        <v>53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f t="shared" ref="AJ2050:AJ2113" si="64">AI2050+AH2050+AG2050+AF2050+AE2050+AD2050+AC2050+Y2050+V2050+U2050+T2050</f>
        <v>7.15</v>
      </c>
      <c r="AK2050" s="3">
        <f t="shared" ref="AK2050:AK2113" si="65">AJ2050-Y2050</f>
        <v>2.0100000000000007</v>
      </c>
    </row>
    <row r="2051" spans="1:37">
      <c r="A2051">
        <v>10385031</v>
      </c>
      <c r="B2051" t="s">
        <v>37</v>
      </c>
      <c r="C2051" t="s">
        <v>13308</v>
      </c>
      <c r="E2051" t="s">
        <v>13309</v>
      </c>
      <c r="F2051" t="s">
        <v>13310</v>
      </c>
      <c r="G2051" t="s">
        <v>13311</v>
      </c>
      <c r="H2051" t="s">
        <v>42</v>
      </c>
      <c r="I2051" t="s">
        <v>13312</v>
      </c>
      <c r="J2051" t="s">
        <v>13313</v>
      </c>
      <c r="K2051">
        <v>33332</v>
      </c>
      <c r="L2051" t="s">
        <v>71</v>
      </c>
      <c r="M2051" t="s">
        <v>46</v>
      </c>
      <c r="N2051" t="s">
        <v>47</v>
      </c>
      <c r="O2051">
        <v>1</v>
      </c>
      <c r="P2051">
        <v>1</v>
      </c>
      <c r="Q2051">
        <v>1</v>
      </c>
      <c r="R2051" t="s">
        <v>48</v>
      </c>
      <c r="S2051" t="s">
        <v>49</v>
      </c>
      <c r="T2051" s="3">
        <v>0.84</v>
      </c>
      <c r="U2051" s="3">
        <v>0.23</v>
      </c>
      <c r="V2051" s="3">
        <v>0.94</v>
      </c>
      <c r="W2051">
        <v>0.15</v>
      </c>
      <c r="X2051" t="s">
        <v>108</v>
      </c>
      <c r="Y2051" s="3">
        <v>5.14</v>
      </c>
      <c r="Z2051" t="s">
        <v>9850</v>
      </c>
      <c r="AA2051" t="s">
        <v>6464</v>
      </c>
      <c r="AB2051" t="s">
        <v>53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f t="shared" si="64"/>
        <v>7.15</v>
      </c>
      <c r="AK2051" s="3">
        <f t="shared" si="65"/>
        <v>2.0100000000000007</v>
      </c>
    </row>
    <row r="2052" spans="1:37">
      <c r="A2052">
        <v>10385292</v>
      </c>
      <c r="B2052" t="s">
        <v>37</v>
      </c>
      <c r="C2052" t="s">
        <v>13314</v>
      </c>
      <c r="E2052" t="s">
        <v>3705</v>
      </c>
      <c r="F2052" t="s">
        <v>11339</v>
      </c>
      <c r="G2052" t="s">
        <v>13315</v>
      </c>
      <c r="H2052" t="s">
        <v>42</v>
      </c>
      <c r="I2052" t="s">
        <v>13316</v>
      </c>
      <c r="J2052" t="s">
        <v>13317</v>
      </c>
      <c r="K2052">
        <v>97072</v>
      </c>
      <c r="L2052" t="s">
        <v>71</v>
      </c>
      <c r="M2052" t="s">
        <v>46</v>
      </c>
      <c r="N2052" t="s">
        <v>47</v>
      </c>
      <c r="O2052">
        <v>1</v>
      </c>
      <c r="P2052">
        <v>1</v>
      </c>
      <c r="Q2052">
        <v>1</v>
      </c>
      <c r="R2052" t="s">
        <v>48</v>
      </c>
      <c r="S2052" t="s">
        <v>49</v>
      </c>
      <c r="T2052" s="3">
        <v>0.84</v>
      </c>
      <c r="U2052" s="3">
        <v>0.23</v>
      </c>
      <c r="V2052" s="3">
        <v>0.94</v>
      </c>
      <c r="W2052">
        <v>0.15</v>
      </c>
      <c r="X2052" t="s">
        <v>108</v>
      </c>
      <c r="Y2052" s="3">
        <v>5.14</v>
      </c>
      <c r="Z2052" t="s">
        <v>9850</v>
      </c>
      <c r="AA2052" t="s">
        <v>6464</v>
      </c>
      <c r="AB2052" t="s">
        <v>53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f t="shared" si="64"/>
        <v>7.15</v>
      </c>
      <c r="AK2052" s="3">
        <f t="shared" si="65"/>
        <v>2.0100000000000007</v>
      </c>
    </row>
    <row r="2053" spans="1:37">
      <c r="A2053">
        <v>10385827</v>
      </c>
      <c r="B2053" t="s">
        <v>37</v>
      </c>
      <c r="C2053" t="s">
        <v>13318</v>
      </c>
      <c r="E2053" t="s">
        <v>13319</v>
      </c>
      <c r="F2053" t="s">
        <v>13320</v>
      </c>
      <c r="G2053" t="s">
        <v>13321</v>
      </c>
      <c r="H2053" t="s">
        <v>42</v>
      </c>
      <c r="I2053" t="s">
        <v>13322</v>
      </c>
      <c r="J2053" t="s">
        <v>13323</v>
      </c>
      <c r="K2053">
        <v>40472</v>
      </c>
      <c r="L2053" t="s">
        <v>71</v>
      </c>
      <c r="M2053" t="s">
        <v>46</v>
      </c>
      <c r="N2053" t="s">
        <v>47</v>
      </c>
      <c r="O2053">
        <v>1</v>
      </c>
      <c r="P2053">
        <v>1</v>
      </c>
      <c r="Q2053">
        <v>1</v>
      </c>
      <c r="R2053" t="s">
        <v>48</v>
      </c>
      <c r="S2053" t="s">
        <v>49</v>
      </c>
      <c r="T2053" s="3">
        <v>0.84</v>
      </c>
      <c r="U2053" s="3">
        <v>0.23</v>
      </c>
      <c r="V2053" s="3">
        <v>0.94</v>
      </c>
      <c r="W2053">
        <v>0.15</v>
      </c>
      <c r="X2053" t="s">
        <v>108</v>
      </c>
      <c r="Y2053" s="3">
        <v>5.14</v>
      </c>
      <c r="Z2053" t="s">
        <v>9850</v>
      </c>
      <c r="AA2053" t="s">
        <v>6464</v>
      </c>
      <c r="AB2053" t="s">
        <v>53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f t="shared" si="64"/>
        <v>7.15</v>
      </c>
      <c r="AK2053" s="3">
        <f t="shared" si="65"/>
        <v>2.0100000000000007</v>
      </c>
    </row>
    <row r="2054" spans="1:37">
      <c r="A2054">
        <v>10386887</v>
      </c>
      <c r="B2054" t="s">
        <v>37</v>
      </c>
      <c r="C2054" t="s">
        <v>13324</v>
      </c>
      <c r="E2054" t="s">
        <v>13325</v>
      </c>
      <c r="F2054" t="s">
        <v>13326</v>
      </c>
      <c r="G2054" t="s">
        <v>13327</v>
      </c>
      <c r="H2054" t="s">
        <v>42</v>
      </c>
      <c r="I2054" t="s">
        <v>13328</v>
      </c>
      <c r="J2054" t="s">
        <v>13329</v>
      </c>
      <c r="K2054">
        <v>83329</v>
      </c>
      <c r="L2054" t="s">
        <v>71</v>
      </c>
      <c r="M2054" t="s">
        <v>46</v>
      </c>
      <c r="N2054" t="s">
        <v>47</v>
      </c>
      <c r="O2054">
        <v>1</v>
      </c>
      <c r="P2054">
        <v>1</v>
      </c>
      <c r="Q2054">
        <v>1</v>
      </c>
      <c r="R2054" t="s">
        <v>48</v>
      </c>
      <c r="S2054" t="s">
        <v>49</v>
      </c>
      <c r="T2054" s="3">
        <v>0.84</v>
      </c>
      <c r="U2054" s="3">
        <v>0.23</v>
      </c>
      <c r="V2054" s="3">
        <v>0.94</v>
      </c>
      <c r="W2054">
        <v>0.15</v>
      </c>
      <c r="X2054" t="s">
        <v>108</v>
      </c>
      <c r="Y2054" s="3">
        <v>5.14</v>
      </c>
      <c r="Z2054" t="s">
        <v>9850</v>
      </c>
      <c r="AA2054" t="s">
        <v>6464</v>
      </c>
      <c r="AB2054" t="s">
        <v>53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f t="shared" si="64"/>
        <v>7.15</v>
      </c>
      <c r="AK2054" s="3">
        <f t="shared" si="65"/>
        <v>2.0100000000000007</v>
      </c>
    </row>
    <row r="2055" spans="1:37">
      <c r="A2055">
        <v>10386883</v>
      </c>
      <c r="B2055" t="s">
        <v>37</v>
      </c>
      <c r="C2055" t="s">
        <v>13330</v>
      </c>
      <c r="E2055" t="s">
        <v>11460</v>
      </c>
      <c r="F2055" t="s">
        <v>13331</v>
      </c>
      <c r="G2055" t="s">
        <v>13332</v>
      </c>
      <c r="H2055" t="s">
        <v>42</v>
      </c>
      <c r="I2055" t="s">
        <v>13333</v>
      </c>
      <c r="J2055" t="s">
        <v>13334</v>
      </c>
      <c r="K2055">
        <v>30625</v>
      </c>
      <c r="L2055" t="s">
        <v>71</v>
      </c>
      <c r="M2055" t="s">
        <v>46</v>
      </c>
      <c r="N2055" t="s">
        <v>47</v>
      </c>
      <c r="O2055">
        <v>1</v>
      </c>
      <c r="P2055">
        <v>1</v>
      </c>
      <c r="Q2055">
        <v>1</v>
      </c>
      <c r="R2055" t="s">
        <v>48</v>
      </c>
      <c r="S2055" t="s">
        <v>49</v>
      </c>
      <c r="T2055" s="3">
        <v>0.84</v>
      </c>
      <c r="U2055" s="3">
        <v>0.23</v>
      </c>
      <c r="V2055" s="3">
        <v>0.94</v>
      </c>
      <c r="W2055">
        <v>1.4</v>
      </c>
      <c r="X2055" t="s">
        <v>108</v>
      </c>
      <c r="Y2055" s="3">
        <v>5.14</v>
      </c>
      <c r="Z2055" t="s">
        <v>9686</v>
      </c>
      <c r="AA2055" t="s">
        <v>198</v>
      </c>
      <c r="AB2055" t="s">
        <v>53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f t="shared" si="64"/>
        <v>7.15</v>
      </c>
      <c r="AK2055" s="3">
        <f t="shared" si="65"/>
        <v>2.0100000000000007</v>
      </c>
    </row>
    <row r="2056" spans="1:37">
      <c r="A2056">
        <v>10386895</v>
      </c>
      <c r="B2056" t="s">
        <v>37</v>
      </c>
      <c r="C2056" t="s">
        <v>13335</v>
      </c>
      <c r="E2056" t="s">
        <v>254</v>
      </c>
      <c r="F2056" t="s">
        <v>13336</v>
      </c>
      <c r="G2056" t="s">
        <v>13337</v>
      </c>
      <c r="H2056" t="s">
        <v>42</v>
      </c>
      <c r="I2056" t="s">
        <v>13338</v>
      </c>
      <c r="J2056" t="s">
        <v>13339</v>
      </c>
      <c r="K2056">
        <v>48231</v>
      </c>
      <c r="L2056" t="s">
        <v>71</v>
      </c>
      <c r="M2056" t="s">
        <v>46</v>
      </c>
      <c r="N2056" t="s">
        <v>47</v>
      </c>
      <c r="O2056">
        <v>1</v>
      </c>
      <c r="P2056">
        <v>1</v>
      </c>
      <c r="Q2056">
        <v>1</v>
      </c>
      <c r="R2056" t="s">
        <v>48</v>
      </c>
      <c r="S2056" t="s">
        <v>49</v>
      </c>
      <c r="T2056" s="3">
        <v>0.84</v>
      </c>
      <c r="U2056" s="3">
        <v>0.23</v>
      </c>
      <c r="V2056" s="3">
        <v>0.94</v>
      </c>
      <c r="W2056">
        <v>0.15</v>
      </c>
      <c r="X2056" t="s">
        <v>108</v>
      </c>
      <c r="Y2056" s="3">
        <v>5.14</v>
      </c>
      <c r="Z2056" t="s">
        <v>9850</v>
      </c>
      <c r="AA2056" t="s">
        <v>6464</v>
      </c>
      <c r="AB2056" t="s">
        <v>53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f t="shared" si="64"/>
        <v>7.15</v>
      </c>
      <c r="AK2056" s="3">
        <f t="shared" si="65"/>
        <v>2.0100000000000007</v>
      </c>
    </row>
    <row r="2057" spans="1:37">
      <c r="A2057">
        <v>10387141</v>
      </c>
      <c r="B2057" t="s">
        <v>37</v>
      </c>
      <c r="C2057" t="s">
        <v>13340</v>
      </c>
      <c r="E2057" t="s">
        <v>1527</v>
      </c>
      <c r="F2057" t="s">
        <v>13341</v>
      </c>
      <c r="G2057" t="s">
        <v>13342</v>
      </c>
      <c r="H2057" t="s">
        <v>42</v>
      </c>
      <c r="I2057" t="s">
        <v>13343</v>
      </c>
      <c r="J2057" t="s">
        <v>13344</v>
      </c>
      <c r="K2057">
        <v>47259</v>
      </c>
      <c r="L2057" t="s">
        <v>71</v>
      </c>
      <c r="M2057" t="s">
        <v>46</v>
      </c>
      <c r="N2057" t="s">
        <v>47</v>
      </c>
      <c r="O2057">
        <v>1</v>
      </c>
      <c r="P2057">
        <v>1</v>
      </c>
      <c r="Q2057">
        <v>1</v>
      </c>
      <c r="R2057" t="s">
        <v>48</v>
      </c>
      <c r="S2057" t="s">
        <v>49</v>
      </c>
      <c r="T2057" s="3">
        <v>0.84</v>
      </c>
      <c r="U2057" s="3">
        <v>0.23</v>
      </c>
      <c r="V2057" s="3">
        <v>0.94</v>
      </c>
      <c r="W2057">
        <v>0.15</v>
      </c>
      <c r="X2057" t="s">
        <v>108</v>
      </c>
      <c r="Y2057" s="3">
        <v>5.14</v>
      </c>
      <c r="Z2057" t="s">
        <v>9850</v>
      </c>
      <c r="AA2057" t="s">
        <v>6464</v>
      </c>
      <c r="AB2057" t="s">
        <v>53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f t="shared" si="64"/>
        <v>7.15</v>
      </c>
      <c r="AK2057" s="3">
        <f t="shared" si="65"/>
        <v>2.0100000000000007</v>
      </c>
    </row>
    <row r="2058" spans="1:37">
      <c r="A2058">
        <v>10387319</v>
      </c>
      <c r="B2058" t="s">
        <v>37</v>
      </c>
      <c r="C2058" t="s">
        <v>13345</v>
      </c>
      <c r="E2058" t="s">
        <v>1712</v>
      </c>
      <c r="F2058" t="s">
        <v>1713</v>
      </c>
      <c r="G2058" t="s">
        <v>13346</v>
      </c>
      <c r="H2058" t="s">
        <v>42</v>
      </c>
      <c r="I2058" t="s">
        <v>13347</v>
      </c>
      <c r="J2058" t="s">
        <v>1716</v>
      </c>
      <c r="K2058">
        <v>45277</v>
      </c>
      <c r="L2058" t="s">
        <v>71</v>
      </c>
      <c r="M2058" t="s">
        <v>46</v>
      </c>
      <c r="N2058" t="s">
        <v>47</v>
      </c>
      <c r="O2058">
        <v>1</v>
      </c>
      <c r="P2058">
        <v>1</v>
      </c>
      <c r="Q2058">
        <v>1</v>
      </c>
      <c r="R2058" t="s">
        <v>48</v>
      </c>
      <c r="S2058" t="s">
        <v>49</v>
      </c>
      <c r="T2058" s="3">
        <v>0.84</v>
      </c>
      <c r="U2058" s="3">
        <v>0.23</v>
      </c>
      <c r="V2058" s="3">
        <v>0.94</v>
      </c>
      <c r="W2058">
        <v>1.4</v>
      </c>
      <c r="X2058" t="s">
        <v>108</v>
      </c>
      <c r="Y2058" s="3">
        <v>5.14</v>
      </c>
      <c r="Z2058" t="s">
        <v>9686</v>
      </c>
      <c r="AA2058" t="s">
        <v>198</v>
      </c>
      <c r="AB2058" t="s">
        <v>53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f t="shared" si="64"/>
        <v>7.15</v>
      </c>
      <c r="AK2058" s="3">
        <f t="shared" si="65"/>
        <v>2.0100000000000007</v>
      </c>
    </row>
    <row r="2059" spans="1:37">
      <c r="A2059">
        <v>10386282</v>
      </c>
      <c r="B2059" t="s">
        <v>37</v>
      </c>
      <c r="C2059" t="s">
        <v>13348</v>
      </c>
      <c r="E2059" t="s">
        <v>1593</v>
      </c>
      <c r="F2059" t="s">
        <v>13349</v>
      </c>
      <c r="G2059" t="s">
        <v>13350</v>
      </c>
      <c r="H2059" t="s">
        <v>42</v>
      </c>
      <c r="I2059" t="s">
        <v>13351</v>
      </c>
      <c r="J2059" t="s">
        <v>13352</v>
      </c>
      <c r="K2059">
        <v>96049</v>
      </c>
      <c r="L2059" t="s">
        <v>71</v>
      </c>
      <c r="M2059" t="s">
        <v>46</v>
      </c>
      <c r="N2059" t="s">
        <v>47</v>
      </c>
      <c r="O2059">
        <v>1</v>
      </c>
      <c r="P2059">
        <v>1</v>
      </c>
      <c r="Q2059">
        <v>1</v>
      </c>
      <c r="R2059" t="s">
        <v>48</v>
      </c>
      <c r="S2059" t="s">
        <v>49</v>
      </c>
      <c r="T2059" s="3">
        <v>0.84</v>
      </c>
      <c r="U2059" s="3">
        <v>0.23</v>
      </c>
      <c r="V2059" s="3">
        <v>0.94</v>
      </c>
      <c r="W2059">
        <v>0.49</v>
      </c>
      <c r="X2059" t="s">
        <v>108</v>
      </c>
      <c r="Y2059" s="3">
        <v>5.14</v>
      </c>
      <c r="Z2059" t="s">
        <v>9850</v>
      </c>
      <c r="AA2059" t="s">
        <v>267</v>
      </c>
      <c r="AB2059" t="s">
        <v>53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f t="shared" si="64"/>
        <v>7.15</v>
      </c>
      <c r="AK2059" s="3">
        <f t="shared" si="65"/>
        <v>2.0100000000000007</v>
      </c>
    </row>
    <row r="2060" spans="1:37">
      <c r="A2060">
        <v>10387147</v>
      </c>
      <c r="B2060" t="s">
        <v>37</v>
      </c>
      <c r="C2060" t="s">
        <v>13353</v>
      </c>
      <c r="E2060" t="s">
        <v>10233</v>
      </c>
      <c r="F2060" t="s">
        <v>13354</v>
      </c>
      <c r="G2060" t="s">
        <v>13355</v>
      </c>
      <c r="H2060" t="s">
        <v>42</v>
      </c>
      <c r="I2060" t="s">
        <v>13356</v>
      </c>
      <c r="J2060" t="s">
        <v>13357</v>
      </c>
      <c r="K2060">
        <v>81249</v>
      </c>
      <c r="L2060" t="s">
        <v>71</v>
      </c>
      <c r="M2060" t="s">
        <v>46</v>
      </c>
      <c r="N2060" t="s">
        <v>47</v>
      </c>
      <c r="O2060">
        <v>1</v>
      </c>
      <c r="P2060">
        <v>1</v>
      </c>
      <c r="Q2060">
        <v>1</v>
      </c>
      <c r="R2060" t="s">
        <v>48</v>
      </c>
      <c r="S2060" t="s">
        <v>49</v>
      </c>
      <c r="T2060" s="3">
        <v>0.84</v>
      </c>
      <c r="U2060" s="3">
        <v>0.23</v>
      </c>
      <c r="V2060" s="3">
        <v>0.94</v>
      </c>
      <c r="W2060">
        <v>0.15</v>
      </c>
      <c r="X2060" t="s">
        <v>108</v>
      </c>
      <c r="Y2060" s="3">
        <v>5.14</v>
      </c>
      <c r="Z2060" t="s">
        <v>9850</v>
      </c>
      <c r="AA2060" t="s">
        <v>6464</v>
      </c>
      <c r="AB2060" t="s">
        <v>53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f t="shared" si="64"/>
        <v>7.15</v>
      </c>
      <c r="AK2060" s="3">
        <f t="shared" si="65"/>
        <v>2.0100000000000007</v>
      </c>
    </row>
    <row r="2061" spans="1:37">
      <c r="A2061">
        <v>10387825</v>
      </c>
      <c r="B2061" t="s">
        <v>37</v>
      </c>
      <c r="C2061" t="s">
        <v>13358</v>
      </c>
      <c r="E2061" t="s">
        <v>1330</v>
      </c>
      <c r="F2061" t="s">
        <v>13359</v>
      </c>
      <c r="G2061" t="s">
        <v>13360</v>
      </c>
      <c r="H2061" t="s">
        <v>42</v>
      </c>
      <c r="I2061" t="s">
        <v>13361</v>
      </c>
      <c r="J2061" t="s">
        <v>13362</v>
      </c>
      <c r="K2061">
        <v>33775</v>
      </c>
      <c r="L2061" t="s">
        <v>71</v>
      </c>
      <c r="M2061" t="s">
        <v>46</v>
      </c>
      <c r="N2061" t="s">
        <v>47</v>
      </c>
      <c r="O2061">
        <v>1</v>
      </c>
      <c r="P2061">
        <v>1</v>
      </c>
      <c r="Q2061">
        <v>1</v>
      </c>
      <c r="R2061" t="s">
        <v>48</v>
      </c>
      <c r="S2061" t="s">
        <v>49</v>
      </c>
      <c r="T2061" s="3">
        <v>0.84</v>
      </c>
      <c r="U2061" s="3">
        <v>0.23</v>
      </c>
      <c r="V2061" s="3">
        <v>0.94</v>
      </c>
      <c r="W2061">
        <v>0.15</v>
      </c>
      <c r="X2061" t="s">
        <v>108</v>
      </c>
      <c r="Y2061" s="3">
        <v>5.14</v>
      </c>
      <c r="Z2061" t="s">
        <v>9850</v>
      </c>
      <c r="AA2061" t="s">
        <v>6464</v>
      </c>
      <c r="AB2061" t="s">
        <v>53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f t="shared" si="64"/>
        <v>7.15</v>
      </c>
      <c r="AK2061" s="3">
        <f t="shared" si="65"/>
        <v>2.0100000000000007</v>
      </c>
    </row>
    <row r="2062" spans="1:37">
      <c r="A2062">
        <v>10388000</v>
      </c>
      <c r="B2062" t="s">
        <v>37</v>
      </c>
      <c r="C2062" t="s">
        <v>13363</v>
      </c>
      <c r="E2062" t="s">
        <v>453</v>
      </c>
      <c r="F2062" t="s">
        <v>13364</v>
      </c>
      <c r="G2062" t="s">
        <v>13365</v>
      </c>
      <c r="H2062" t="s">
        <v>42</v>
      </c>
      <c r="I2062" t="s">
        <v>13366</v>
      </c>
      <c r="J2062" t="s">
        <v>13367</v>
      </c>
      <c r="K2062">
        <v>69231</v>
      </c>
      <c r="L2062" t="s">
        <v>71</v>
      </c>
      <c r="M2062" t="s">
        <v>46</v>
      </c>
      <c r="N2062" t="s">
        <v>47</v>
      </c>
      <c r="O2062">
        <v>1</v>
      </c>
      <c r="P2062">
        <v>1</v>
      </c>
      <c r="Q2062">
        <v>1</v>
      </c>
      <c r="R2062" t="s">
        <v>48</v>
      </c>
      <c r="S2062" t="s">
        <v>49</v>
      </c>
      <c r="T2062" s="3">
        <v>0.84</v>
      </c>
      <c r="U2062" s="3">
        <v>0.23</v>
      </c>
      <c r="V2062" s="3">
        <v>0.94</v>
      </c>
      <c r="W2062">
        <v>0.15</v>
      </c>
      <c r="X2062" t="s">
        <v>108</v>
      </c>
      <c r="Y2062" s="3">
        <v>5.14</v>
      </c>
      <c r="Z2062" t="s">
        <v>9850</v>
      </c>
      <c r="AA2062" t="s">
        <v>6464</v>
      </c>
      <c r="AB2062" t="s">
        <v>53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f t="shared" si="64"/>
        <v>7.15</v>
      </c>
      <c r="AK2062" s="3">
        <f t="shared" si="65"/>
        <v>2.0100000000000007</v>
      </c>
    </row>
    <row r="2063" spans="1:37">
      <c r="A2063">
        <v>10387823</v>
      </c>
      <c r="B2063" t="s">
        <v>37</v>
      </c>
      <c r="C2063" t="s">
        <v>13368</v>
      </c>
      <c r="E2063" t="s">
        <v>13369</v>
      </c>
      <c r="F2063" t="s">
        <v>13370</v>
      </c>
      <c r="G2063" t="s">
        <v>13371</v>
      </c>
      <c r="H2063" t="s">
        <v>42</v>
      </c>
      <c r="I2063" t="s">
        <v>13372</v>
      </c>
      <c r="J2063" t="s">
        <v>13373</v>
      </c>
      <c r="K2063">
        <v>2650</v>
      </c>
      <c r="L2063" t="s">
        <v>505</v>
      </c>
      <c r="M2063" t="s">
        <v>46</v>
      </c>
      <c r="N2063" t="s">
        <v>47</v>
      </c>
      <c r="O2063">
        <v>2</v>
      </c>
      <c r="P2063">
        <v>1</v>
      </c>
      <c r="Q2063">
        <v>2</v>
      </c>
      <c r="R2063" t="s">
        <v>48</v>
      </c>
      <c r="S2063" t="s">
        <v>49</v>
      </c>
      <c r="T2063" s="3">
        <v>0.84</v>
      </c>
      <c r="U2063" s="3">
        <v>0.23</v>
      </c>
      <c r="V2063" s="3">
        <v>1.81</v>
      </c>
      <c r="W2063">
        <v>0.98</v>
      </c>
      <c r="X2063" t="s">
        <v>50</v>
      </c>
      <c r="Y2063" s="3">
        <v>9.19</v>
      </c>
      <c r="Z2063" t="s">
        <v>9850</v>
      </c>
      <c r="AA2063" t="s">
        <v>10846</v>
      </c>
      <c r="AB2063" t="s">
        <v>53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f t="shared" si="64"/>
        <v>12.07</v>
      </c>
      <c r="AK2063" s="3">
        <f t="shared" si="65"/>
        <v>2.8800000000000008</v>
      </c>
    </row>
    <row r="2064" spans="1:37">
      <c r="A2064">
        <v>10387143</v>
      </c>
      <c r="B2064" t="s">
        <v>37</v>
      </c>
      <c r="C2064" t="s">
        <v>13374</v>
      </c>
      <c r="E2064" t="s">
        <v>547</v>
      </c>
      <c r="F2064" t="s">
        <v>13375</v>
      </c>
      <c r="G2064" t="s">
        <v>13376</v>
      </c>
      <c r="H2064" t="s">
        <v>42</v>
      </c>
      <c r="I2064" t="s">
        <v>13377</v>
      </c>
      <c r="J2064" t="s">
        <v>13378</v>
      </c>
      <c r="K2064" t="s">
        <v>13379</v>
      </c>
      <c r="L2064" t="s">
        <v>82</v>
      </c>
      <c r="M2064" t="s">
        <v>46</v>
      </c>
      <c r="N2064" t="s">
        <v>47</v>
      </c>
      <c r="O2064">
        <v>2</v>
      </c>
      <c r="P2064">
        <v>1</v>
      </c>
      <c r="Q2064">
        <v>2</v>
      </c>
      <c r="R2064" t="s">
        <v>48</v>
      </c>
      <c r="S2064" t="s">
        <v>49</v>
      </c>
      <c r="T2064" s="3">
        <v>0.84</v>
      </c>
      <c r="U2064" s="3">
        <v>0.23</v>
      </c>
      <c r="V2064" s="3">
        <v>1.81</v>
      </c>
      <c r="W2064">
        <v>0.98</v>
      </c>
      <c r="X2064" t="s">
        <v>50</v>
      </c>
      <c r="Y2064" s="3">
        <v>9.19</v>
      </c>
      <c r="Z2064" t="s">
        <v>9850</v>
      </c>
      <c r="AA2064" t="s">
        <v>13238</v>
      </c>
      <c r="AB2064" t="s">
        <v>53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f t="shared" si="64"/>
        <v>12.07</v>
      </c>
      <c r="AK2064" s="3">
        <f t="shared" si="65"/>
        <v>2.8800000000000008</v>
      </c>
    </row>
    <row r="2065" spans="1:37">
      <c r="A2065">
        <v>10388187</v>
      </c>
      <c r="B2065" t="s">
        <v>37</v>
      </c>
      <c r="C2065" t="s">
        <v>13380</v>
      </c>
      <c r="E2065" t="s">
        <v>13381</v>
      </c>
      <c r="F2065" t="s">
        <v>13382</v>
      </c>
      <c r="G2065" t="s">
        <v>13383</v>
      </c>
      <c r="H2065" t="s">
        <v>42</v>
      </c>
      <c r="I2065" t="s">
        <v>13384</v>
      </c>
      <c r="J2065" t="s">
        <v>13385</v>
      </c>
      <c r="K2065" t="s">
        <v>11703</v>
      </c>
      <c r="L2065" t="s">
        <v>71</v>
      </c>
      <c r="M2065" t="s">
        <v>46</v>
      </c>
      <c r="N2065" t="s">
        <v>47</v>
      </c>
      <c r="O2065">
        <v>1</v>
      </c>
      <c r="P2065">
        <v>1</v>
      </c>
      <c r="Q2065">
        <v>1</v>
      </c>
      <c r="R2065" t="s">
        <v>48</v>
      </c>
      <c r="S2065" t="s">
        <v>49</v>
      </c>
      <c r="T2065" s="3">
        <v>0.84</v>
      </c>
      <c r="U2065" s="3">
        <v>0.23</v>
      </c>
      <c r="V2065" s="3">
        <v>0.94</v>
      </c>
      <c r="W2065">
        <v>1.4</v>
      </c>
      <c r="X2065" t="s">
        <v>108</v>
      </c>
      <c r="Y2065" s="3">
        <v>5.14</v>
      </c>
      <c r="Z2065" t="s">
        <v>9686</v>
      </c>
      <c r="AA2065" t="s">
        <v>259</v>
      </c>
      <c r="AB2065" t="s">
        <v>53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f t="shared" si="64"/>
        <v>7.15</v>
      </c>
      <c r="AK2065" s="3">
        <f t="shared" si="65"/>
        <v>2.0100000000000007</v>
      </c>
    </row>
    <row r="2066" spans="1:37">
      <c r="A2066">
        <v>10388184</v>
      </c>
      <c r="B2066" t="s">
        <v>37</v>
      </c>
      <c r="C2066" t="s">
        <v>13386</v>
      </c>
      <c r="E2066" t="s">
        <v>7500</v>
      </c>
      <c r="F2066" t="s">
        <v>13387</v>
      </c>
      <c r="G2066" t="s">
        <v>13388</v>
      </c>
      <c r="H2066" t="s">
        <v>42</v>
      </c>
      <c r="I2066" t="s">
        <v>13389</v>
      </c>
      <c r="J2066" t="s">
        <v>13390</v>
      </c>
      <c r="K2066" t="s">
        <v>13391</v>
      </c>
      <c r="L2066" t="s">
        <v>142</v>
      </c>
      <c r="M2066" t="s">
        <v>46</v>
      </c>
      <c r="N2066" t="s">
        <v>47</v>
      </c>
      <c r="O2066">
        <v>5</v>
      </c>
      <c r="P2066">
        <v>1</v>
      </c>
      <c r="Q2066">
        <v>5</v>
      </c>
      <c r="R2066" t="s">
        <v>48</v>
      </c>
      <c r="S2066" t="s">
        <v>49</v>
      </c>
      <c r="T2066" s="3">
        <v>0.84</v>
      </c>
      <c r="U2066" s="3">
        <v>0.23</v>
      </c>
      <c r="V2066" s="3">
        <v>4.42</v>
      </c>
      <c r="W2066">
        <v>2.11</v>
      </c>
      <c r="X2066" t="s">
        <v>50</v>
      </c>
      <c r="Y2066" s="3">
        <v>16.43</v>
      </c>
      <c r="Z2066" t="s">
        <v>73</v>
      </c>
      <c r="AA2066" t="s">
        <v>13392</v>
      </c>
      <c r="AB2066" t="s">
        <v>53</v>
      </c>
      <c r="AC2066" s="3">
        <v>1.29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f t="shared" si="64"/>
        <v>23.21</v>
      </c>
      <c r="AK2066" s="3">
        <f t="shared" si="65"/>
        <v>6.7800000000000011</v>
      </c>
    </row>
    <row r="2067" spans="1:37">
      <c r="A2067">
        <v>10388186</v>
      </c>
      <c r="B2067" t="s">
        <v>37</v>
      </c>
      <c r="C2067" t="s">
        <v>13393</v>
      </c>
      <c r="E2067" t="s">
        <v>13394</v>
      </c>
      <c r="F2067" t="s">
        <v>934</v>
      </c>
      <c r="G2067" t="s">
        <v>13395</v>
      </c>
      <c r="H2067" t="s">
        <v>42</v>
      </c>
      <c r="I2067" t="s">
        <v>13396</v>
      </c>
      <c r="J2067" t="s">
        <v>13397</v>
      </c>
      <c r="K2067">
        <v>38112</v>
      </c>
      <c r="L2067" t="s">
        <v>71</v>
      </c>
      <c r="M2067" t="s">
        <v>46</v>
      </c>
      <c r="N2067" t="s">
        <v>47</v>
      </c>
      <c r="O2067">
        <v>1</v>
      </c>
      <c r="P2067">
        <v>1</v>
      </c>
      <c r="Q2067">
        <v>1</v>
      </c>
      <c r="R2067" t="s">
        <v>48</v>
      </c>
      <c r="S2067" t="s">
        <v>49</v>
      </c>
      <c r="T2067" s="3">
        <v>0.84</v>
      </c>
      <c r="U2067" s="3">
        <v>0.23</v>
      </c>
      <c r="V2067" s="3">
        <v>0.94</v>
      </c>
      <c r="W2067">
        <v>0.15</v>
      </c>
      <c r="X2067" t="s">
        <v>108</v>
      </c>
      <c r="Y2067" s="3">
        <v>5.14</v>
      </c>
      <c r="Z2067" t="s">
        <v>9850</v>
      </c>
      <c r="AA2067" t="s">
        <v>12434</v>
      </c>
      <c r="AB2067" t="s">
        <v>53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f t="shared" si="64"/>
        <v>7.15</v>
      </c>
      <c r="AK2067" s="3">
        <f t="shared" si="65"/>
        <v>2.0100000000000007</v>
      </c>
    </row>
    <row r="2068" spans="1:37">
      <c r="A2068">
        <v>10378933</v>
      </c>
      <c r="B2068" t="s">
        <v>111</v>
      </c>
      <c r="C2068" t="s">
        <v>13398</v>
      </c>
      <c r="D2068" t="s">
        <v>1127</v>
      </c>
      <c r="E2068" t="s">
        <v>1128</v>
      </c>
      <c r="F2068" t="s">
        <v>1129</v>
      </c>
      <c r="G2068" t="s">
        <v>13399</v>
      </c>
      <c r="H2068" t="s">
        <v>117</v>
      </c>
      <c r="I2068" t="s">
        <v>13400</v>
      </c>
      <c r="J2068" t="s">
        <v>13401</v>
      </c>
      <c r="K2068">
        <v>71634</v>
      </c>
      <c r="L2068" t="s">
        <v>71</v>
      </c>
      <c r="M2068" t="s">
        <v>46</v>
      </c>
      <c r="N2068" t="s">
        <v>47</v>
      </c>
      <c r="O2068">
        <v>87</v>
      </c>
      <c r="P2068">
        <v>3</v>
      </c>
      <c r="Q2068">
        <v>87</v>
      </c>
      <c r="R2068" t="s">
        <v>48</v>
      </c>
      <c r="S2068" t="s">
        <v>49</v>
      </c>
      <c r="T2068" s="3">
        <v>7</v>
      </c>
      <c r="U2068" s="3">
        <v>0.23</v>
      </c>
      <c r="V2068" s="3">
        <v>71.680000000000007</v>
      </c>
      <c r="W2068">
        <v>39.5</v>
      </c>
      <c r="X2068" t="s">
        <v>72</v>
      </c>
      <c r="Y2068" s="3">
        <v>27.59</v>
      </c>
      <c r="Z2068" t="s">
        <v>132</v>
      </c>
      <c r="AA2068" t="s">
        <v>13402</v>
      </c>
      <c r="AB2068" t="s">
        <v>53</v>
      </c>
      <c r="AC2068" s="3">
        <v>5.61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f t="shared" si="64"/>
        <v>112.11000000000001</v>
      </c>
      <c r="AK2068" s="3">
        <f t="shared" si="65"/>
        <v>84.52000000000001</v>
      </c>
    </row>
    <row r="2069" spans="1:37">
      <c r="A2069">
        <v>10388388</v>
      </c>
      <c r="B2069" t="s">
        <v>37</v>
      </c>
      <c r="C2069" t="s">
        <v>13403</v>
      </c>
      <c r="E2069" t="s">
        <v>13404</v>
      </c>
      <c r="F2069" t="s">
        <v>13405</v>
      </c>
      <c r="G2069" t="s">
        <v>13406</v>
      </c>
      <c r="H2069" t="s">
        <v>42</v>
      </c>
      <c r="I2069" t="s">
        <v>13407</v>
      </c>
      <c r="J2069" t="s">
        <v>13408</v>
      </c>
      <c r="K2069">
        <v>2640</v>
      </c>
      <c r="L2069" t="s">
        <v>505</v>
      </c>
      <c r="M2069" t="s">
        <v>46</v>
      </c>
      <c r="N2069" t="s">
        <v>47</v>
      </c>
      <c r="O2069">
        <v>5</v>
      </c>
      <c r="P2069">
        <v>1</v>
      </c>
      <c r="Q2069">
        <v>5</v>
      </c>
      <c r="R2069" t="s">
        <v>48</v>
      </c>
      <c r="S2069" t="s">
        <v>49</v>
      </c>
      <c r="T2069" s="3">
        <v>0.84</v>
      </c>
      <c r="U2069" s="3">
        <v>0.23</v>
      </c>
      <c r="V2069" s="3">
        <v>4.42</v>
      </c>
      <c r="W2069">
        <v>1.95</v>
      </c>
      <c r="X2069" t="s">
        <v>50</v>
      </c>
      <c r="Y2069" s="3">
        <v>9.1999999999999993</v>
      </c>
      <c r="Z2069" t="s">
        <v>9686</v>
      </c>
      <c r="AA2069" t="s">
        <v>13409</v>
      </c>
      <c r="AB2069" t="s">
        <v>53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f t="shared" si="64"/>
        <v>14.69</v>
      </c>
      <c r="AK2069" s="3">
        <f t="shared" si="65"/>
        <v>5.49</v>
      </c>
    </row>
    <row r="2070" spans="1:37">
      <c r="A2070">
        <v>10388403</v>
      </c>
      <c r="B2070" t="s">
        <v>37</v>
      </c>
      <c r="C2070" t="s">
        <v>13410</v>
      </c>
      <c r="E2070" t="s">
        <v>13411</v>
      </c>
      <c r="F2070" t="s">
        <v>13412</v>
      </c>
      <c r="G2070" t="s">
        <v>13413</v>
      </c>
      <c r="H2070" t="s">
        <v>42</v>
      </c>
      <c r="I2070" t="s">
        <v>13414</v>
      </c>
      <c r="J2070" t="s">
        <v>13415</v>
      </c>
      <c r="K2070" t="s">
        <v>13416</v>
      </c>
      <c r="L2070" t="s">
        <v>142</v>
      </c>
      <c r="M2070" t="s">
        <v>46</v>
      </c>
      <c r="N2070" t="s">
        <v>47</v>
      </c>
      <c r="O2070">
        <v>4</v>
      </c>
      <c r="P2070">
        <v>1</v>
      </c>
      <c r="Q2070">
        <v>4</v>
      </c>
      <c r="R2070" t="s">
        <v>48</v>
      </c>
      <c r="S2070" t="s">
        <v>49</v>
      </c>
      <c r="T2070" s="3">
        <v>0.84</v>
      </c>
      <c r="U2070" s="3">
        <v>0.23</v>
      </c>
      <c r="V2070" s="3">
        <v>3.55</v>
      </c>
      <c r="W2070">
        <v>1.56</v>
      </c>
      <c r="X2070" t="s">
        <v>50</v>
      </c>
      <c r="Y2070" s="3">
        <v>16.43</v>
      </c>
      <c r="Z2070" t="s">
        <v>9686</v>
      </c>
      <c r="AA2070" t="s">
        <v>538</v>
      </c>
      <c r="AB2070" t="s">
        <v>53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f t="shared" si="64"/>
        <v>21.05</v>
      </c>
      <c r="AK2070" s="3">
        <f t="shared" si="65"/>
        <v>4.620000000000001</v>
      </c>
    </row>
    <row r="2071" spans="1:37">
      <c r="A2071">
        <v>10388385</v>
      </c>
      <c r="B2071" t="s">
        <v>37</v>
      </c>
      <c r="C2071" t="s">
        <v>13417</v>
      </c>
      <c r="E2071" t="s">
        <v>13418</v>
      </c>
      <c r="F2071" t="s">
        <v>13419</v>
      </c>
      <c r="G2071" t="s">
        <v>13420</v>
      </c>
      <c r="H2071" t="s">
        <v>42</v>
      </c>
      <c r="I2071" t="s">
        <v>13421</v>
      </c>
      <c r="J2071" t="s">
        <v>13422</v>
      </c>
      <c r="K2071" t="s">
        <v>13423</v>
      </c>
      <c r="L2071" t="s">
        <v>142</v>
      </c>
      <c r="M2071" t="s">
        <v>46</v>
      </c>
      <c r="N2071" t="s">
        <v>47</v>
      </c>
      <c r="O2071">
        <v>3</v>
      </c>
      <c r="P2071">
        <v>1</v>
      </c>
      <c r="Q2071">
        <v>3</v>
      </c>
      <c r="R2071" t="s">
        <v>48</v>
      </c>
      <c r="S2071" t="s">
        <v>49</v>
      </c>
      <c r="T2071" s="3">
        <v>0.84</v>
      </c>
      <c r="U2071" s="3">
        <v>0.23</v>
      </c>
      <c r="V2071" s="3">
        <v>2.68</v>
      </c>
      <c r="W2071">
        <v>1.37</v>
      </c>
      <c r="X2071" t="s">
        <v>50</v>
      </c>
      <c r="Y2071" s="3">
        <v>16.43</v>
      </c>
      <c r="Z2071" t="s">
        <v>9686</v>
      </c>
      <c r="AA2071" t="s">
        <v>13424</v>
      </c>
      <c r="AB2071" t="s">
        <v>53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f t="shared" si="64"/>
        <v>20.18</v>
      </c>
      <c r="AK2071" s="3">
        <f t="shared" si="65"/>
        <v>3.75</v>
      </c>
    </row>
    <row r="2072" spans="1:37">
      <c r="A2072">
        <v>10388402</v>
      </c>
      <c r="B2072" t="s">
        <v>37</v>
      </c>
      <c r="C2072" t="s">
        <v>13425</v>
      </c>
      <c r="E2072" t="s">
        <v>3176</v>
      </c>
      <c r="F2072" t="s">
        <v>9205</v>
      </c>
      <c r="G2072" t="s">
        <v>13426</v>
      </c>
      <c r="H2072" t="s">
        <v>42</v>
      </c>
      <c r="I2072" t="s">
        <v>13427</v>
      </c>
      <c r="J2072" t="s">
        <v>13428</v>
      </c>
      <c r="K2072" t="s">
        <v>13429</v>
      </c>
      <c r="L2072" t="s">
        <v>142</v>
      </c>
      <c r="M2072" t="s">
        <v>46</v>
      </c>
      <c r="N2072" t="s">
        <v>47</v>
      </c>
      <c r="O2072">
        <v>5</v>
      </c>
      <c r="P2072">
        <v>1</v>
      </c>
      <c r="Q2072">
        <v>5</v>
      </c>
      <c r="R2072" t="s">
        <v>48</v>
      </c>
      <c r="S2072" t="s">
        <v>49</v>
      </c>
      <c r="T2072" s="3">
        <v>0.84</v>
      </c>
      <c r="U2072" s="3">
        <v>0.23</v>
      </c>
      <c r="V2072" s="3">
        <v>4.42</v>
      </c>
      <c r="W2072">
        <v>1.95</v>
      </c>
      <c r="X2072" t="s">
        <v>50</v>
      </c>
      <c r="Y2072" s="3">
        <v>16.43</v>
      </c>
      <c r="Z2072" t="s">
        <v>9686</v>
      </c>
      <c r="AA2072" t="s">
        <v>13430</v>
      </c>
      <c r="AB2072" t="s">
        <v>53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f t="shared" si="64"/>
        <v>21.92</v>
      </c>
      <c r="AK2072" s="3">
        <f t="shared" si="65"/>
        <v>5.490000000000002</v>
      </c>
    </row>
    <row r="2073" spans="1:37">
      <c r="A2073">
        <v>10388398</v>
      </c>
      <c r="B2073" t="s">
        <v>37</v>
      </c>
      <c r="C2073" t="s">
        <v>13431</v>
      </c>
      <c r="E2073" t="s">
        <v>2215</v>
      </c>
      <c r="F2073" t="s">
        <v>13432</v>
      </c>
      <c r="G2073" t="s">
        <v>13433</v>
      </c>
      <c r="H2073" t="s">
        <v>42</v>
      </c>
      <c r="I2073" t="s">
        <v>13434</v>
      </c>
      <c r="J2073" t="s">
        <v>13435</v>
      </c>
      <c r="K2073">
        <v>71065</v>
      </c>
      <c r="L2073" t="s">
        <v>71</v>
      </c>
      <c r="M2073" t="s">
        <v>46</v>
      </c>
      <c r="N2073" t="s">
        <v>47</v>
      </c>
      <c r="O2073">
        <v>6</v>
      </c>
      <c r="P2073">
        <v>1</v>
      </c>
      <c r="Q2073">
        <v>6</v>
      </c>
      <c r="R2073" t="s">
        <v>48</v>
      </c>
      <c r="S2073" t="s">
        <v>49</v>
      </c>
      <c r="T2073" s="3">
        <v>0.84</v>
      </c>
      <c r="U2073" s="3">
        <v>0.23</v>
      </c>
      <c r="V2073" s="3">
        <v>5.29</v>
      </c>
      <c r="W2073">
        <v>0.9</v>
      </c>
      <c r="X2073" t="s">
        <v>108</v>
      </c>
      <c r="Y2073" s="3">
        <v>5.14</v>
      </c>
      <c r="Z2073" t="s">
        <v>9850</v>
      </c>
      <c r="AA2073" t="s">
        <v>12434</v>
      </c>
      <c r="AB2073" t="s">
        <v>53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f t="shared" si="64"/>
        <v>11.5</v>
      </c>
      <c r="AK2073" s="3">
        <f t="shared" si="65"/>
        <v>6.36</v>
      </c>
    </row>
    <row r="2074" spans="1:37">
      <c r="A2074">
        <v>10383294</v>
      </c>
      <c r="B2074" t="s">
        <v>37</v>
      </c>
      <c r="C2074" t="s">
        <v>13436</v>
      </c>
      <c r="E2074" t="s">
        <v>468</v>
      </c>
      <c r="F2074" t="s">
        <v>13437</v>
      </c>
      <c r="G2074" t="s">
        <v>13438</v>
      </c>
      <c r="H2074" t="s">
        <v>42</v>
      </c>
      <c r="I2074" t="s">
        <v>13439</v>
      </c>
      <c r="J2074" t="s">
        <v>13440</v>
      </c>
      <c r="K2074" t="s">
        <v>13441</v>
      </c>
      <c r="L2074" t="s">
        <v>142</v>
      </c>
      <c r="M2074" t="s">
        <v>46</v>
      </c>
      <c r="N2074" t="s">
        <v>47</v>
      </c>
      <c r="O2074">
        <v>10</v>
      </c>
      <c r="P2074">
        <v>1</v>
      </c>
      <c r="Q2074">
        <v>10</v>
      </c>
      <c r="R2074" t="s">
        <v>48</v>
      </c>
      <c r="S2074" t="s">
        <v>49</v>
      </c>
      <c r="T2074" s="3">
        <v>7</v>
      </c>
      <c r="U2074" s="3">
        <v>0.23</v>
      </c>
      <c r="V2074" s="3">
        <v>13.2</v>
      </c>
      <c r="W2074">
        <v>3.94</v>
      </c>
      <c r="X2074" t="s">
        <v>50</v>
      </c>
      <c r="Y2074" s="3">
        <v>16.43</v>
      </c>
      <c r="Z2074" t="s">
        <v>83</v>
      </c>
      <c r="AA2074" t="s">
        <v>13442</v>
      </c>
      <c r="AB2074" t="s">
        <v>53</v>
      </c>
      <c r="AC2074" s="3">
        <v>1.27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f t="shared" si="64"/>
        <v>38.129999999999995</v>
      </c>
      <c r="AK2074" s="3">
        <f t="shared" si="65"/>
        <v>21.699999999999996</v>
      </c>
    </row>
    <row r="2075" spans="1:37">
      <c r="A2075">
        <v>10388395</v>
      </c>
      <c r="B2075" t="s">
        <v>37</v>
      </c>
      <c r="C2075" t="s">
        <v>13443</v>
      </c>
      <c r="E2075" t="s">
        <v>731</v>
      </c>
      <c r="F2075" t="s">
        <v>13444</v>
      </c>
      <c r="G2075" t="s">
        <v>13445</v>
      </c>
      <c r="H2075" t="s">
        <v>42</v>
      </c>
      <c r="I2075" t="s">
        <v>13446</v>
      </c>
      <c r="J2075" t="s">
        <v>13447</v>
      </c>
      <c r="K2075">
        <v>64331</v>
      </c>
      <c r="L2075" t="s">
        <v>71</v>
      </c>
      <c r="M2075" t="s">
        <v>46</v>
      </c>
      <c r="N2075" t="s">
        <v>47</v>
      </c>
      <c r="O2075">
        <v>2</v>
      </c>
      <c r="P2075">
        <v>1</v>
      </c>
      <c r="Q2075">
        <v>2</v>
      </c>
      <c r="R2075" t="s">
        <v>48</v>
      </c>
      <c r="S2075" t="s">
        <v>49</v>
      </c>
      <c r="T2075" s="3">
        <v>0.84</v>
      </c>
      <c r="U2075" s="3">
        <v>0.23</v>
      </c>
      <c r="V2075" s="3">
        <v>1.81</v>
      </c>
      <c r="W2075">
        <v>0.3</v>
      </c>
      <c r="X2075" t="s">
        <v>108</v>
      </c>
      <c r="Y2075" s="3">
        <v>5.14</v>
      </c>
      <c r="Z2075" t="s">
        <v>9850</v>
      </c>
      <c r="AA2075" t="s">
        <v>6464</v>
      </c>
      <c r="AB2075" t="s">
        <v>53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f t="shared" si="64"/>
        <v>8.02</v>
      </c>
      <c r="AK2075" s="3">
        <f t="shared" si="65"/>
        <v>2.88</v>
      </c>
    </row>
    <row r="2076" spans="1:37">
      <c r="A2076">
        <v>10388400</v>
      </c>
      <c r="B2076" t="s">
        <v>37</v>
      </c>
      <c r="C2076" t="s">
        <v>13448</v>
      </c>
      <c r="E2076" t="s">
        <v>13449</v>
      </c>
      <c r="F2076" t="s">
        <v>13449</v>
      </c>
      <c r="G2076" t="s">
        <v>13450</v>
      </c>
      <c r="H2076" t="s">
        <v>42</v>
      </c>
      <c r="I2076" t="s">
        <v>13451</v>
      </c>
      <c r="J2076" t="s">
        <v>13452</v>
      </c>
      <c r="K2076" t="s">
        <v>13453</v>
      </c>
      <c r="L2076" t="s">
        <v>142</v>
      </c>
      <c r="M2076" t="s">
        <v>46</v>
      </c>
      <c r="N2076" t="s">
        <v>47</v>
      </c>
      <c r="O2076">
        <v>1</v>
      </c>
      <c r="P2076">
        <v>1</v>
      </c>
      <c r="Q2076">
        <v>1</v>
      </c>
      <c r="R2076" t="s">
        <v>48</v>
      </c>
      <c r="S2076" t="s">
        <v>49</v>
      </c>
      <c r="T2076" s="3">
        <v>0.84</v>
      </c>
      <c r="U2076" s="3">
        <v>0.23</v>
      </c>
      <c r="V2076" s="3">
        <v>0.94</v>
      </c>
      <c r="W2076">
        <v>0.1</v>
      </c>
      <c r="X2076" t="s">
        <v>50</v>
      </c>
      <c r="Y2076" s="3">
        <v>16.43</v>
      </c>
      <c r="Z2076" t="s">
        <v>9850</v>
      </c>
      <c r="AA2076" t="s">
        <v>13454</v>
      </c>
      <c r="AB2076" t="s">
        <v>53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f t="shared" si="64"/>
        <v>18.440000000000001</v>
      </c>
      <c r="AK2076" s="3">
        <f t="shared" si="65"/>
        <v>2.0100000000000016</v>
      </c>
    </row>
    <row r="2077" spans="1:37">
      <c r="A2077">
        <v>10388387</v>
      </c>
      <c r="B2077" t="s">
        <v>37</v>
      </c>
      <c r="C2077" t="s">
        <v>13455</v>
      </c>
      <c r="E2077" t="s">
        <v>13456</v>
      </c>
      <c r="F2077" t="s">
        <v>13457</v>
      </c>
      <c r="G2077" t="s">
        <v>13458</v>
      </c>
      <c r="H2077" t="s">
        <v>42</v>
      </c>
      <c r="I2077" t="s">
        <v>13459</v>
      </c>
      <c r="J2077" t="s">
        <v>13460</v>
      </c>
      <c r="K2077" t="s">
        <v>13461</v>
      </c>
      <c r="L2077" t="s">
        <v>82</v>
      </c>
      <c r="M2077" t="s">
        <v>46</v>
      </c>
      <c r="N2077" t="s">
        <v>47</v>
      </c>
      <c r="O2077">
        <v>1</v>
      </c>
      <c r="P2077">
        <v>1</v>
      </c>
      <c r="Q2077">
        <v>1</v>
      </c>
      <c r="R2077" t="s">
        <v>48</v>
      </c>
      <c r="S2077" t="s">
        <v>49</v>
      </c>
      <c r="T2077" s="3">
        <v>0.84</v>
      </c>
      <c r="U2077" s="3">
        <v>0.23</v>
      </c>
      <c r="V2077" s="3">
        <v>0.94</v>
      </c>
      <c r="W2077">
        <v>0.39</v>
      </c>
      <c r="X2077" t="s">
        <v>50</v>
      </c>
      <c r="Y2077" s="3">
        <v>9.1999999999999993</v>
      </c>
      <c r="Z2077" t="s">
        <v>9850</v>
      </c>
      <c r="AA2077" t="s">
        <v>1802</v>
      </c>
      <c r="AB2077" t="s">
        <v>53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f t="shared" si="64"/>
        <v>11.209999999999999</v>
      </c>
      <c r="AK2077" s="3">
        <f t="shared" si="65"/>
        <v>2.0099999999999998</v>
      </c>
    </row>
    <row r="2078" spans="1:37">
      <c r="A2078">
        <v>10382659</v>
      </c>
      <c r="B2078" t="s">
        <v>111</v>
      </c>
      <c r="C2078" t="s">
        <v>13462</v>
      </c>
      <c r="D2078" t="s">
        <v>13463</v>
      </c>
      <c r="E2078" t="s">
        <v>13464</v>
      </c>
      <c r="F2078" t="s">
        <v>13465</v>
      </c>
      <c r="G2078" t="s">
        <v>13466</v>
      </c>
      <c r="H2078" t="s">
        <v>117</v>
      </c>
      <c r="I2078" t="s">
        <v>13467</v>
      </c>
      <c r="J2078" t="s">
        <v>13468</v>
      </c>
      <c r="K2078">
        <v>44500</v>
      </c>
      <c r="L2078" t="s">
        <v>130</v>
      </c>
      <c r="M2078" t="s">
        <v>46</v>
      </c>
      <c r="N2078" t="s">
        <v>47</v>
      </c>
      <c r="O2078">
        <v>60</v>
      </c>
      <c r="P2078">
        <v>1</v>
      </c>
      <c r="Q2078">
        <v>60</v>
      </c>
      <c r="R2078" t="s">
        <v>48</v>
      </c>
      <c r="S2078" t="s">
        <v>49</v>
      </c>
      <c r="T2078" s="3">
        <v>7</v>
      </c>
      <c r="U2078" s="3">
        <v>0.23</v>
      </c>
      <c r="V2078" s="3">
        <v>55.75</v>
      </c>
      <c r="W2078">
        <v>12</v>
      </c>
      <c r="X2078" t="s">
        <v>50</v>
      </c>
      <c r="Y2078" s="3">
        <v>18.43</v>
      </c>
      <c r="Z2078" t="s">
        <v>11352</v>
      </c>
      <c r="AA2078" t="s">
        <v>13469</v>
      </c>
      <c r="AB2078" t="s">
        <v>53</v>
      </c>
      <c r="AC2078" s="3">
        <v>4.21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f t="shared" si="64"/>
        <v>85.62</v>
      </c>
      <c r="AK2078" s="3">
        <f t="shared" si="65"/>
        <v>67.19</v>
      </c>
    </row>
    <row r="2079" spans="1:37">
      <c r="A2079">
        <v>10388405</v>
      </c>
      <c r="B2079" t="s">
        <v>37</v>
      </c>
      <c r="C2079" t="s">
        <v>13470</v>
      </c>
      <c r="E2079" t="s">
        <v>5285</v>
      </c>
      <c r="F2079" t="s">
        <v>13471</v>
      </c>
      <c r="G2079" t="s">
        <v>13472</v>
      </c>
      <c r="H2079" t="s">
        <v>42</v>
      </c>
      <c r="I2079" t="s">
        <v>13473</v>
      </c>
      <c r="J2079" t="s">
        <v>13474</v>
      </c>
      <c r="K2079" t="s">
        <v>13475</v>
      </c>
      <c r="L2079" t="s">
        <v>142</v>
      </c>
      <c r="M2079" t="s">
        <v>46</v>
      </c>
      <c r="N2079" t="s">
        <v>47</v>
      </c>
      <c r="O2079">
        <v>1</v>
      </c>
      <c r="P2079">
        <v>1</v>
      </c>
      <c r="Q2079">
        <v>1</v>
      </c>
      <c r="R2079" t="s">
        <v>48</v>
      </c>
      <c r="S2079" t="s">
        <v>49</v>
      </c>
      <c r="T2079" s="3">
        <v>0.84</v>
      </c>
      <c r="U2079" s="3">
        <v>0.23</v>
      </c>
      <c r="V2079" s="3">
        <v>0.94</v>
      </c>
      <c r="W2079">
        <v>0.39</v>
      </c>
      <c r="X2079" t="s">
        <v>50</v>
      </c>
      <c r="Y2079" s="3">
        <v>16.43</v>
      </c>
      <c r="Z2079" t="s">
        <v>9850</v>
      </c>
      <c r="AA2079" t="s">
        <v>6092</v>
      </c>
      <c r="AB2079" t="s">
        <v>53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f t="shared" si="64"/>
        <v>18.440000000000001</v>
      </c>
      <c r="AK2079" s="3">
        <f t="shared" si="65"/>
        <v>2.0100000000000016</v>
      </c>
    </row>
    <row r="2080" spans="1:37">
      <c r="A2080">
        <v>10388390</v>
      </c>
      <c r="B2080" t="s">
        <v>37</v>
      </c>
      <c r="C2080" t="s">
        <v>13476</v>
      </c>
      <c r="E2080" t="s">
        <v>1422</v>
      </c>
      <c r="F2080" t="s">
        <v>13477</v>
      </c>
      <c r="G2080" t="s">
        <v>13478</v>
      </c>
      <c r="H2080" t="s">
        <v>42</v>
      </c>
      <c r="I2080" t="s">
        <v>13479</v>
      </c>
      <c r="J2080" t="s">
        <v>13480</v>
      </c>
      <c r="K2080">
        <v>10999</v>
      </c>
      <c r="L2080" t="s">
        <v>71</v>
      </c>
      <c r="M2080" t="s">
        <v>46</v>
      </c>
      <c r="N2080" t="s">
        <v>47</v>
      </c>
      <c r="O2080">
        <v>1</v>
      </c>
      <c r="P2080">
        <v>1</v>
      </c>
      <c r="Q2080">
        <v>1</v>
      </c>
      <c r="R2080" t="s">
        <v>48</v>
      </c>
      <c r="S2080" t="s">
        <v>49</v>
      </c>
      <c r="T2080" s="3">
        <v>0.84</v>
      </c>
      <c r="U2080" s="3">
        <v>0.23</v>
      </c>
      <c r="V2080" s="3">
        <v>0.94</v>
      </c>
      <c r="W2080">
        <v>0.15</v>
      </c>
      <c r="X2080" t="s">
        <v>108</v>
      </c>
      <c r="Y2080" s="3">
        <v>5.14</v>
      </c>
      <c r="Z2080" t="s">
        <v>9850</v>
      </c>
      <c r="AA2080" t="s">
        <v>9271</v>
      </c>
      <c r="AB2080" t="s">
        <v>53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f t="shared" si="64"/>
        <v>7.15</v>
      </c>
      <c r="AK2080" s="3">
        <f t="shared" si="65"/>
        <v>2.0100000000000007</v>
      </c>
    </row>
    <row r="2081" spans="1:37">
      <c r="A2081">
        <v>10385032</v>
      </c>
      <c r="B2081" t="s">
        <v>37</v>
      </c>
      <c r="C2081" t="s">
        <v>13481</v>
      </c>
      <c r="E2081" t="s">
        <v>13482</v>
      </c>
      <c r="F2081" t="s">
        <v>13483</v>
      </c>
      <c r="G2081" t="s">
        <v>13484</v>
      </c>
      <c r="H2081" t="s">
        <v>42</v>
      </c>
      <c r="I2081" t="s">
        <v>13485</v>
      </c>
      <c r="J2081" t="s">
        <v>13486</v>
      </c>
      <c r="K2081" t="s">
        <v>13487</v>
      </c>
      <c r="L2081" t="s">
        <v>142</v>
      </c>
      <c r="M2081" t="s">
        <v>46</v>
      </c>
      <c r="N2081" t="s">
        <v>47</v>
      </c>
      <c r="O2081">
        <v>13</v>
      </c>
      <c r="P2081">
        <v>1</v>
      </c>
      <c r="Q2081">
        <v>13</v>
      </c>
      <c r="R2081" t="s">
        <v>48</v>
      </c>
      <c r="S2081" t="s">
        <v>49</v>
      </c>
      <c r="T2081" s="3">
        <v>7</v>
      </c>
      <c r="U2081" s="3">
        <v>0.23</v>
      </c>
      <c r="V2081" s="3">
        <v>17.13</v>
      </c>
      <c r="W2081">
        <v>5.17</v>
      </c>
      <c r="X2081" t="s">
        <v>50</v>
      </c>
      <c r="Y2081" s="3">
        <v>16.43</v>
      </c>
      <c r="Z2081" t="s">
        <v>83</v>
      </c>
      <c r="AA2081" t="s">
        <v>13488</v>
      </c>
      <c r="AB2081" t="s">
        <v>53</v>
      </c>
      <c r="AC2081" s="3">
        <v>1.27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f t="shared" si="64"/>
        <v>42.059999999999995</v>
      </c>
      <c r="AK2081" s="3">
        <f t="shared" si="65"/>
        <v>25.629999999999995</v>
      </c>
    </row>
    <row r="2082" spans="1:37">
      <c r="A2082">
        <v>10387998</v>
      </c>
      <c r="B2082" t="s">
        <v>37</v>
      </c>
      <c r="C2082" t="s">
        <v>13489</v>
      </c>
      <c r="E2082" t="s">
        <v>13273</v>
      </c>
      <c r="F2082" t="s">
        <v>13274</v>
      </c>
      <c r="G2082" t="s">
        <v>13490</v>
      </c>
      <c r="H2082" t="s">
        <v>42</v>
      </c>
      <c r="I2082" t="s">
        <v>13491</v>
      </c>
      <c r="J2082" t="s">
        <v>13277</v>
      </c>
      <c r="K2082">
        <v>22589</v>
      </c>
      <c r="L2082" t="s">
        <v>71</v>
      </c>
      <c r="M2082" t="s">
        <v>46</v>
      </c>
      <c r="N2082" t="s">
        <v>47</v>
      </c>
      <c r="O2082">
        <v>2</v>
      </c>
      <c r="P2082">
        <v>1</v>
      </c>
      <c r="Q2082">
        <v>2</v>
      </c>
      <c r="R2082" t="s">
        <v>48</v>
      </c>
      <c r="S2082" t="s">
        <v>49</v>
      </c>
      <c r="T2082" s="3">
        <v>0.84</v>
      </c>
      <c r="U2082" s="3">
        <v>0.23</v>
      </c>
      <c r="V2082" s="3">
        <v>1.81</v>
      </c>
      <c r="W2082">
        <v>0.3</v>
      </c>
      <c r="X2082" t="s">
        <v>108</v>
      </c>
      <c r="Y2082" s="3">
        <v>5.14</v>
      </c>
      <c r="Z2082" t="s">
        <v>9850</v>
      </c>
      <c r="AA2082" t="s">
        <v>12452</v>
      </c>
      <c r="AB2082" t="s">
        <v>53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f t="shared" si="64"/>
        <v>8.02</v>
      </c>
      <c r="AK2082" s="3">
        <f t="shared" si="65"/>
        <v>2.88</v>
      </c>
    </row>
    <row r="2083" spans="1:37">
      <c r="A2083">
        <v>10388191</v>
      </c>
      <c r="B2083" t="s">
        <v>37</v>
      </c>
      <c r="C2083" t="s">
        <v>13492</v>
      </c>
      <c r="E2083" t="s">
        <v>2534</v>
      </c>
      <c r="F2083" t="s">
        <v>12856</v>
      </c>
      <c r="G2083" t="s">
        <v>13493</v>
      </c>
      <c r="H2083" t="s">
        <v>42</v>
      </c>
      <c r="I2083" t="s">
        <v>13494</v>
      </c>
      <c r="J2083" t="s">
        <v>12859</v>
      </c>
      <c r="K2083">
        <v>82110</v>
      </c>
      <c r="L2083" t="s">
        <v>71</v>
      </c>
      <c r="M2083" t="s">
        <v>46</v>
      </c>
      <c r="N2083" t="s">
        <v>47</v>
      </c>
      <c r="O2083">
        <v>2</v>
      </c>
      <c r="P2083">
        <v>1</v>
      </c>
      <c r="Q2083">
        <v>2</v>
      </c>
      <c r="R2083" t="s">
        <v>48</v>
      </c>
      <c r="S2083" t="s">
        <v>49</v>
      </c>
      <c r="T2083" s="3">
        <v>0.84</v>
      </c>
      <c r="U2083" s="3">
        <v>0.23</v>
      </c>
      <c r="V2083" s="3">
        <v>1.81</v>
      </c>
      <c r="W2083">
        <v>0.3</v>
      </c>
      <c r="X2083" t="s">
        <v>108</v>
      </c>
      <c r="Y2083" s="3">
        <v>5.14</v>
      </c>
      <c r="Z2083" t="s">
        <v>9850</v>
      </c>
      <c r="AA2083" t="s">
        <v>12391</v>
      </c>
      <c r="AB2083" t="s">
        <v>53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f t="shared" si="64"/>
        <v>8.02</v>
      </c>
      <c r="AK2083" s="3">
        <f t="shared" si="65"/>
        <v>2.88</v>
      </c>
    </row>
    <row r="2084" spans="1:37">
      <c r="A2084">
        <v>10383793</v>
      </c>
      <c r="B2084" t="s">
        <v>37</v>
      </c>
      <c r="C2084" t="s">
        <v>13495</v>
      </c>
      <c r="E2084" t="s">
        <v>4897</v>
      </c>
      <c r="F2084" t="s">
        <v>13496</v>
      </c>
      <c r="G2084" t="s">
        <v>13497</v>
      </c>
      <c r="H2084" t="s">
        <v>42</v>
      </c>
      <c r="I2084" t="s">
        <v>13498</v>
      </c>
      <c r="J2084" t="s">
        <v>13499</v>
      </c>
      <c r="K2084">
        <v>76829</v>
      </c>
      <c r="L2084" t="s">
        <v>71</v>
      </c>
      <c r="M2084" t="s">
        <v>46</v>
      </c>
      <c r="N2084" t="s">
        <v>47</v>
      </c>
      <c r="O2084">
        <v>2</v>
      </c>
      <c r="P2084">
        <v>1</v>
      </c>
      <c r="Q2084">
        <v>2</v>
      </c>
      <c r="R2084" t="s">
        <v>48</v>
      </c>
      <c r="S2084" t="s">
        <v>49</v>
      </c>
      <c r="T2084" s="3">
        <v>0.84</v>
      </c>
      <c r="U2084" s="3">
        <v>0.23</v>
      </c>
      <c r="V2084" s="3">
        <v>1.81</v>
      </c>
      <c r="W2084">
        <v>0.3</v>
      </c>
      <c r="X2084" t="s">
        <v>108</v>
      </c>
      <c r="Y2084" s="3">
        <v>5.14</v>
      </c>
      <c r="Z2084" t="s">
        <v>9850</v>
      </c>
      <c r="AA2084" t="s">
        <v>855</v>
      </c>
      <c r="AB2084" t="s">
        <v>53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f t="shared" si="64"/>
        <v>8.02</v>
      </c>
      <c r="AK2084" s="3">
        <f t="shared" si="65"/>
        <v>2.88</v>
      </c>
    </row>
    <row r="2085" spans="1:37">
      <c r="A2085">
        <v>10383775</v>
      </c>
      <c r="B2085" t="s">
        <v>37</v>
      </c>
      <c r="C2085" t="s">
        <v>13500</v>
      </c>
      <c r="D2085" t="s">
        <v>13501</v>
      </c>
      <c r="E2085" t="s">
        <v>13502</v>
      </c>
      <c r="F2085" t="s">
        <v>13503</v>
      </c>
      <c r="G2085" t="s">
        <v>13504</v>
      </c>
      <c r="H2085" t="s">
        <v>42</v>
      </c>
      <c r="I2085" t="s">
        <v>13505</v>
      </c>
      <c r="J2085" t="s">
        <v>13506</v>
      </c>
      <c r="K2085" t="s">
        <v>13507</v>
      </c>
      <c r="L2085" t="s">
        <v>275</v>
      </c>
      <c r="M2085" t="s">
        <v>46</v>
      </c>
      <c r="N2085" t="s">
        <v>47</v>
      </c>
      <c r="O2085">
        <v>12</v>
      </c>
      <c r="P2085">
        <v>1</v>
      </c>
      <c r="Q2085">
        <v>12</v>
      </c>
      <c r="R2085" t="s">
        <v>48</v>
      </c>
      <c r="S2085" t="s">
        <v>49</v>
      </c>
      <c r="T2085" s="3">
        <v>7</v>
      </c>
      <c r="U2085" s="3">
        <v>0.23</v>
      </c>
      <c r="V2085" s="3">
        <v>15.82</v>
      </c>
      <c r="W2085">
        <v>4.78</v>
      </c>
      <c r="X2085" t="s">
        <v>50</v>
      </c>
      <c r="Y2085" s="3">
        <v>16.43</v>
      </c>
      <c r="Z2085" t="s">
        <v>83</v>
      </c>
      <c r="AA2085" t="s">
        <v>9837</v>
      </c>
      <c r="AB2085" t="s">
        <v>53</v>
      </c>
      <c r="AC2085" s="3">
        <v>1.27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f t="shared" si="64"/>
        <v>40.749999999999993</v>
      </c>
      <c r="AK2085" s="3">
        <f t="shared" si="65"/>
        <v>24.319999999999993</v>
      </c>
    </row>
    <row r="2086" spans="1:37">
      <c r="A2086">
        <v>10389038</v>
      </c>
      <c r="B2086" t="s">
        <v>37</v>
      </c>
      <c r="C2086" t="s">
        <v>13508</v>
      </c>
      <c r="E2086" t="s">
        <v>5285</v>
      </c>
      <c r="F2086" t="s">
        <v>13471</v>
      </c>
      <c r="G2086" t="s">
        <v>13509</v>
      </c>
      <c r="H2086" t="s">
        <v>42</v>
      </c>
      <c r="I2086" t="s">
        <v>13510</v>
      </c>
      <c r="J2086" t="s">
        <v>13474</v>
      </c>
      <c r="K2086" t="s">
        <v>13475</v>
      </c>
      <c r="L2086" t="s">
        <v>142</v>
      </c>
      <c r="M2086" t="s">
        <v>46</v>
      </c>
      <c r="N2086" t="s">
        <v>47</v>
      </c>
      <c r="O2086">
        <v>1</v>
      </c>
      <c r="P2086">
        <v>1</v>
      </c>
      <c r="Q2086">
        <v>1</v>
      </c>
      <c r="R2086" t="s">
        <v>48</v>
      </c>
      <c r="S2086" t="s">
        <v>49</v>
      </c>
      <c r="T2086" s="3">
        <v>0.84</v>
      </c>
      <c r="U2086" s="3">
        <v>0.23</v>
      </c>
      <c r="V2086" s="3">
        <v>0.94</v>
      </c>
      <c r="W2086">
        <v>0.39</v>
      </c>
      <c r="X2086" t="s">
        <v>50</v>
      </c>
      <c r="Y2086" s="3">
        <v>16.43</v>
      </c>
      <c r="Z2086" t="s">
        <v>9850</v>
      </c>
      <c r="AA2086" t="s">
        <v>6092</v>
      </c>
      <c r="AB2086" t="s">
        <v>53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f t="shared" si="64"/>
        <v>18.440000000000001</v>
      </c>
      <c r="AK2086" s="3">
        <f t="shared" si="65"/>
        <v>2.0100000000000016</v>
      </c>
    </row>
    <row r="2087" spans="1:37">
      <c r="A2087">
        <v>10389061</v>
      </c>
      <c r="B2087" t="s">
        <v>37</v>
      </c>
      <c r="C2087" t="s">
        <v>13511</v>
      </c>
      <c r="E2087" t="s">
        <v>13512</v>
      </c>
      <c r="F2087" t="s">
        <v>5208</v>
      </c>
      <c r="G2087" t="s">
        <v>13513</v>
      </c>
      <c r="H2087" t="s">
        <v>42</v>
      </c>
      <c r="I2087" t="s">
        <v>13514</v>
      </c>
      <c r="J2087" t="s">
        <v>13515</v>
      </c>
      <c r="K2087" t="s">
        <v>13516</v>
      </c>
      <c r="L2087" t="s">
        <v>142</v>
      </c>
      <c r="M2087" t="s">
        <v>46</v>
      </c>
      <c r="N2087" t="s">
        <v>47</v>
      </c>
      <c r="O2087">
        <v>1</v>
      </c>
      <c r="P2087">
        <v>1</v>
      </c>
      <c r="Q2087">
        <v>1</v>
      </c>
      <c r="R2087" t="s">
        <v>48</v>
      </c>
      <c r="S2087" t="s">
        <v>49</v>
      </c>
      <c r="T2087" s="3">
        <v>0.84</v>
      </c>
      <c r="U2087" s="3">
        <v>0.23</v>
      </c>
      <c r="V2087" s="3">
        <v>0.94</v>
      </c>
      <c r="W2087">
        <v>0.39</v>
      </c>
      <c r="X2087" t="s">
        <v>50</v>
      </c>
      <c r="Y2087" s="3">
        <v>16.43</v>
      </c>
      <c r="Z2087" t="s">
        <v>9850</v>
      </c>
      <c r="AA2087" t="s">
        <v>10327</v>
      </c>
      <c r="AB2087" t="s">
        <v>53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f t="shared" si="64"/>
        <v>18.440000000000001</v>
      </c>
      <c r="AK2087" s="3">
        <f t="shared" si="65"/>
        <v>2.0100000000000016</v>
      </c>
    </row>
    <row r="2088" spans="1:37">
      <c r="A2088">
        <v>10389042</v>
      </c>
      <c r="B2088" t="s">
        <v>37</v>
      </c>
      <c r="C2088" t="s">
        <v>13517</v>
      </c>
      <c r="E2088" t="s">
        <v>857</v>
      </c>
      <c r="F2088" t="s">
        <v>13518</v>
      </c>
      <c r="G2088" t="s">
        <v>13519</v>
      </c>
      <c r="H2088" t="s">
        <v>42</v>
      </c>
      <c r="I2088" t="s">
        <v>13520</v>
      </c>
      <c r="J2088" t="s">
        <v>13521</v>
      </c>
      <c r="K2088">
        <v>65428</v>
      </c>
      <c r="L2088" t="s">
        <v>71</v>
      </c>
      <c r="M2088" t="s">
        <v>46</v>
      </c>
      <c r="N2088" t="s">
        <v>47</v>
      </c>
      <c r="O2088">
        <v>1</v>
      </c>
      <c r="P2088">
        <v>1</v>
      </c>
      <c r="Q2088">
        <v>1</v>
      </c>
      <c r="R2088" t="s">
        <v>48</v>
      </c>
      <c r="S2088" t="s">
        <v>49</v>
      </c>
      <c r="T2088" s="3">
        <v>0.84</v>
      </c>
      <c r="U2088" s="3">
        <v>0.23</v>
      </c>
      <c r="V2088" s="3">
        <v>0.94</v>
      </c>
      <c r="W2088">
        <v>0.15</v>
      </c>
      <c r="X2088" t="s">
        <v>108</v>
      </c>
      <c r="Y2088" s="3">
        <v>5.14</v>
      </c>
      <c r="Z2088" t="s">
        <v>9850</v>
      </c>
      <c r="AA2088" t="s">
        <v>6464</v>
      </c>
      <c r="AB2088" t="s">
        <v>53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f t="shared" si="64"/>
        <v>7.15</v>
      </c>
      <c r="AK2088" s="3">
        <f t="shared" si="65"/>
        <v>2.0100000000000007</v>
      </c>
    </row>
    <row r="2089" spans="1:37">
      <c r="A2089">
        <v>10388189</v>
      </c>
      <c r="B2089" t="s">
        <v>37</v>
      </c>
      <c r="C2089" t="s">
        <v>13522</v>
      </c>
      <c r="E2089" t="s">
        <v>13523</v>
      </c>
      <c r="F2089" t="s">
        <v>13524</v>
      </c>
      <c r="G2089" t="s">
        <v>13525</v>
      </c>
      <c r="H2089" t="s">
        <v>42</v>
      </c>
      <c r="I2089" t="s">
        <v>13526</v>
      </c>
      <c r="J2089" t="s">
        <v>13527</v>
      </c>
      <c r="K2089">
        <v>49661</v>
      </c>
      <c r="L2089" t="s">
        <v>71</v>
      </c>
      <c r="M2089" t="s">
        <v>46</v>
      </c>
      <c r="N2089" t="s">
        <v>47</v>
      </c>
      <c r="O2089">
        <v>1</v>
      </c>
      <c r="P2089">
        <v>1</v>
      </c>
      <c r="Q2089">
        <v>1</v>
      </c>
      <c r="R2089" t="s">
        <v>48</v>
      </c>
      <c r="S2089" t="s">
        <v>49</v>
      </c>
      <c r="T2089" s="3">
        <v>0.84</v>
      </c>
      <c r="U2089" s="3">
        <v>0.23</v>
      </c>
      <c r="V2089" s="3">
        <v>0.94</v>
      </c>
      <c r="W2089">
        <v>0.15</v>
      </c>
      <c r="X2089" t="s">
        <v>108</v>
      </c>
      <c r="Y2089" s="3">
        <v>5.14</v>
      </c>
      <c r="Z2089" t="s">
        <v>9850</v>
      </c>
      <c r="AA2089" t="s">
        <v>12391</v>
      </c>
      <c r="AB2089" t="s">
        <v>53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f t="shared" si="64"/>
        <v>7.15</v>
      </c>
      <c r="AK2089" s="3">
        <f t="shared" si="65"/>
        <v>2.0100000000000007</v>
      </c>
    </row>
    <row r="2090" spans="1:37">
      <c r="A2090">
        <v>10388392</v>
      </c>
      <c r="B2090" t="s">
        <v>37</v>
      </c>
      <c r="C2090" t="s">
        <v>13528</v>
      </c>
      <c r="E2090" t="s">
        <v>13529</v>
      </c>
      <c r="F2090" t="s">
        <v>13530</v>
      </c>
      <c r="G2090" t="s">
        <v>13531</v>
      </c>
      <c r="H2090" t="s">
        <v>42</v>
      </c>
      <c r="I2090" t="s">
        <v>13532</v>
      </c>
      <c r="J2090" t="s">
        <v>13533</v>
      </c>
      <c r="K2090">
        <v>14656</v>
      </c>
      <c r="L2090" t="s">
        <v>71</v>
      </c>
      <c r="M2090" t="s">
        <v>46</v>
      </c>
      <c r="N2090" t="s">
        <v>47</v>
      </c>
      <c r="O2090">
        <v>1</v>
      </c>
      <c r="P2090">
        <v>1</v>
      </c>
      <c r="Q2090">
        <v>1</v>
      </c>
      <c r="R2090" t="s">
        <v>48</v>
      </c>
      <c r="S2090" t="s">
        <v>49</v>
      </c>
      <c r="T2090" s="3">
        <v>0.84</v>
      </c>
      <c r="U2090" s="3">
        <v>0.23</v>
      </c>
      <c r="V2090" s="3">
        <v>0.94</v>
      </c>
      <c r="W2090">
        <v>0.15</v>
      </c>
      <c r="X2090" t="s">
        <v>108</v>
      </c>
      <c r="Y2090" s="3">
        <v>5.14</v>
      </c>
      <c r="Z2090" t="s">
        <v>9850</v>
      </c>
      <c r="AA2090" t="s">
        <v>12391</v>
      </c>
      <c r="AB2090" t="s">
        <v>53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f t="shared" si="64"/>
        <v>7.15</v>
      </c>
      <c r="AK2090" s="3">
        <f t="shared" si="65"/>
        <v>2.0100000000000007</v>
      </c>
    </row>
    <row r="2091" spans="1:37">
      <c r="A2091">
        <v>10388393</v>
      </c>
      <c r="B2091" t="s">
        <v>37</v>
      </c>
      <c r="C2091" t="s">
        <v>13534</v>
      </c>
      <c r="E2091" t="s">
        <v>4897</v>
      </c>
      <c r="F2091" t="s">
        <v>13535</v>
      </c>
      <c r="G2091" t="s">
        <v>13536</v>
      </c>
      <c r="H2091" t="s">
        <v>42</v>
      </c>
      <c r="I2091" t="s">
        <v>13537</v>
      </c>
      <c r="J2091" t="s">
        <v>13538</v>
      </c>
      <c r="K2091">
        <v>72631</v>
      </c>
      <c r="L2091" t="s">
        <v>71</v>
      </c>
      <c r="M2091" t="s">
        <v>46</v>
      </c>
      <c r="N2091" t="s">
        <v>47</v>
      </c>
      <c r="O2091">
        <v>1</v>
      </c>
      <c r="P2091">
        <v>1</v>
      </c>
      <c r="Q2091">
        <v>1</v>
      </c>
      <c r="R2091" t="s">
        <v>48</v>
      </c>
      <c r="S2091" t="s">
        <v>49</v>
      </c>
      <c r="T2091" s="3">
        <v>0.84</v>
      </c>
      <c r="U2091" s="3">
        <v>0.23</v>
      </c>
      <c r="V2091" s="3">
        <v>0.94</v>
      </c>
      <c r="W2091">
        <v>0.15</v>
      </c>
      <c r="X2091" t="s">
        <v>108</v>
      </c>
      <c r="Y2091" s="3">
        <v>5.14</v>
      </c>
      <c r="Z2091" t="s">
        <v>9850</v>
      </c>
      <c r="AA2091" t="s">
        <v>12391</v>
      </c>
      <c r="AB2091" t="s">
        <v>53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f t="shared" si="64"/>
        <v>7.15</v>
      </c>
      <c r="AK2091" s="3">
        <f t="shared" si="65"/>
        <v>2.0100000000000007</v>
      </c>
    </row>
    <row r="2092" spans="1:37">
      <c r="A2092">
        <v>10388397</v>
      </c>
      <c r="B2092" t="s">
        <v>37</v>
      </c>
      <c r="C2092" t="s">
        <v>13539</v>
      </c>
      <c r="E2092" t="s">
        <v>13540</v>
      </c>
      <c r="F2092" t="s">
        <v>10821</v>
      </c>
      <c r="G2092" t="s">
        <v>13541</v>
      </c>
      <c r="H2092" t="s">
        <v>42</v>
      </c>
      <c r="I2092" t="s">
        <v>13542</v>
      </c>
      <c r="J2092" t="s">
        <v>13543</v>
      </c>
      <c r="K2092">
        <v>33602</v>
      </c>
      <c r="L2092" t="s">
        <v>71</v>
      </c>
      <c r="M2092" t="s">
        <v>46</v>
      </c>
      <c r="N2092" t="s">
        <v>47</v>
      </c>
      <c r="O2092">
        <v>1</v>
      </c>
      <c r="P2092">
        <v>1</v>
      </c>
      <c r="Q2092">
        <v>1</v>
      </c>
      <c r="R2092" t="s">
        <v>48</v>
      </c>
      <c r="S2092" t="s">
        <v>49</v>
      </c>
      <c r="T2092" s="3">
        <v>0.84</v>
      </c>
      <c r="U2092" s="3">
        <v>0.23</v>
      </c>
      <c r="V2092" s="3">
        <v>0.94</v>
      </c>
      <c r="W2092">
        <v>0.15</v>
      </c>
      <c r="X2092" t="s">
        <v>108</v>
      </c>
      <c r="Y2092" s="3">
        <v>5.14</v>
      </c>
      <c r="Z2092" t="s">
        <v>9850</v>
      </c>
      <c r="AA2092" t="s">
        <v>12391</v>
      </c>
      <c r="AB2092" t="s">
        <v>53</v>
      </c>
      <c r="AC2092" s="3">
        <v>0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f t="shared" si="64"/>
        <v>7.15</v>
      </c>
      <c r="AK2092" s="3">
        <f t="shared" si="65"/>
        <v>2.0100000000000007</v>
      </c>
    </row>
    <row r="2093" spans="1:37">
      <c r="A2093">
        <v>10389041</v>
      </c>
      <c r="B2093" t="s">
        <v>37</v>
      </c>
      <c r="C2093" t="s">
        <v>13544</v>
      </c>
      <c r="E2093" t="s">
        <v>351</v>
      </c>
      <c r="F2093" t="s">
        <v>13545</v>
      </c>
      <c r="G2093" t="s">
        <v>13546</v>
      </c>
      <c r="H2093" t="s">
        <v>42</v>
      </c>
      <c r="I2093" t="s">
        <v>13547</v>
      </c>
      <c r="J2093" t="s">
        <v>13548</v>
      </c>
      <c r="K2093">
        <v>90419</v>
      </c>
      <c r="L2093" t="s">
        <v>71</v>
      </c>
      <c r="M2093" t="s">
        <v>46</v>
      </c>
      <c r="N2093" t="s">
        <v>47</v>
      </c>
      <c r="O2093">
        <v>1</v>
      </c>
      <c r="P2093">
        <v>1</v>
      </c>
      <c r="Q2093">
        <v>1</v>
      </c>
      <c r="R2093" t="s">
        <v>48</v>
      </c>
      <c r="S2093" t="s">
        <v>49</v>
      </c>
      <c r="T2093" s="3">
        <v>0.84</v>
      </c>
      <c r="U2093" s="3">
        <v>0.23</v>
      </c>
      <c r="V2093" s="3">
        <v>0.94</v>
      </c>
      <c r="W2093">
        <v>0.49</v>
      </c>
      <c r="X2093" t="s">
        <v>108</v>
      </c>
      <c r="Y2093" s="3">
        <v>5.14</v>
      </c>
      <c r="Z2093" t="s">
        <v>9850</v>
      </c>
      <c r="AA2093" t="s">
        <v>3486</v>
      </c>
      <c r="AB2093" t="s">
        <v>53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f t="shared" si="64"/>
        <v>7.15</v>
      </c>
      <c r="AK2093" s="3">
        <f t="shared" si="65"/>
        <v>2.0100000000000007</v>
      </c>
    </row>
    <row r="2094" spans="1:37">
      <c r="A2094">
        <v>10389036</v>
      </c>
      <c r="B2094" t="s">
        <v>37</v>
      </c>
      <c r="C2094" t="s">
        <v>13549</v>
      </c>
      <c r="E2094" t="s">
        <v>12515</v>
      </c>
      <c r="F2094" t="s">
        <v>6701</v>
      </c>
      <c r="G2094" t="s">
        <v>13550</v>
      </c>
      <c r="H2094" t="s">
        <v>42</v>
      </c>
      <c r="I2094" t="s">
        <v>13551</v>
      </c>
      <c r="J2094" t="s">
        <v>13552</v>
      </c>
      <c r="K2094">
        <v>45665</v>
      </c>
      <c r="L2094" t="s">
        <v>71</v>
      </c>
      <c r="M2094" t="s">
        <v>46</v>
      </c>
      <c r="N2094" t="s">
        <v>47</v>
      </c>
      <c r="O2094">
        <v>1</v>
      </c>
      <c r="P2094">
        <v>1</v>
      </c>
      <c r="Q2094">
        <v>1</v>
      </c>
      <c r="R2094" t="s">
        <v>48</v>
      </c>
      <c r="S2094" t="s">
        <v>49</v>
      </c>
      <c r="T2094" s="3">
        <v>0.84</v>
      </c>
      <c r="U2094" s="3">
        <v>0.23</v>
      </c>
      <c r="V2094" s="3">
        <v>0.94</v>
      </c>
      <c r="W2094">
        <v>0.15</v>
      </c>
      <c r="X2094" t="s">
        <v>108</v>
      </c>
      <c r="Y2094" s="3">
        <v>5.14</v>
      </c>
      <c r="Z2094" t="s">
        <v>9850</v>
      </c>
      <c r="AA2094" t="s">
        <v>12434</v>
      </c>
      <c r="AB2094" t="s">
        <v>53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f t="shared" si="64"/>
        <v>7.15</v>
      </c>
      <c r="AK2094" s="3">
        <f t="shared" si="65"/>
        <v>2.0100000000000007</v>
      </c>
    </row>
    <row r="2095" spans="1:37">
      <c r="A2095">
        <v>10388673</v>
      </c>
      <c r="B2095" t="s">
        <v>37</v>
      </c>
      <c r="C2095" t="s">
        <v>13553</v>
      </c>
      <c r="E2095" t="s">
        <v>5031</v>
      </c>
      <c r="F2095" t="s">
        <v>13554</v>
      </c>
      <c r="G2095" t="s">
        <v>13555</v>
      </c>
      <c r="H2095" t="s">
        <v>42</v>
      </c>
      <c r="I2095" t="s">
        <v>13556</v>
      </c>
      <c r="J2095" t="s">
        <v>13557</v>
      </c>
      <c r="K2095">
        <v>46284</v>
      </c>
      <c r="L2095" t="s">
        <v>71</v>
      </c>
      <c r="M2095" t="s">
        <v>46</v>
      </c>
      <c r="N2095" t="s">
        <v>47</v>
      </c>
      <c r="O2095">
        <v>1</v>
      </c>
      <c r="P2095">
        <v>1</v>
      </c>
      <c r="Q2095">
        <v>1</v>
      </c>
      <c r="R2095" t="s">
        <v>48</v>
      </c>
      <c r="S2095" t="s">
        <v>49</v>
      </c>
      <c r="T2095" s="3">
        <v>0.84</v>
      </c>
      <c r="U2095" s="3">
        <v>0.23</v>
      </c>
      <c r="V2095" s="3">
        <v>0.94</v>
      </c>
      <c r="W2095">
        <v>0.15</v>
      </c>
      <c r="X2095" t="s">
        <v>108</v>
      </c>
      <c r="Y2095" s="3">
        <v>5.14</v>
      </c>
      <c r="Z2095" t="s">
        <v>9850</v>
      </c>
      <c r="AA2095" t="s">
        <v>12391</v>
      </c>
      <c r="AB2095" t="s">
        <v>53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f t="shared" si="64"/>
        <v>7.15</v>
      </c>
      <c r="AK2095" s="3">
        <f t="shared" si="65"/>
        <v>2.0100000000000007</v>
      </c>
    </row>
    <row r="2096" spans="1:37">
      <c r="A2096">
        <v>10389382</v>
      </c>
      <c r="B2096" t="s">
        <v>37</v>
      </c>
      <c r="C2096" t="s">
        <v>13558</v>
      </c>
      <c r="E2096" t="s">
        <v>13559</v>
      </c>
      <c r="F2096" t="s">
        <v>5208</v>
      </c>
      <c r="G2096" t="s">
        <v>13560</v>
      </c>
      <c r="H2096" t="s">
        <v>42</v>
      </c>
      <c r="I2096" t="s">
        <v>13561</v>
      </c>
      <c r="J2096" t="s">
        <v>13562</v>
      </c>
      <c r="K2096" t="s">
        <v>13563</v>
      </c>
      <c r="L2096" t="s">
        <v>142</v>
      </c>
      <c r="M2096" t="s">
        <v>46</v>
      </c>
      <c r="N2096" t="s">
        <v>47</v>
      </c>
      <c r="O2096">
        <v>2</v>
      </c>
      <c r="P2096">
        <v>1</v>
      </c>
      <c r="Q2096">
        <v>2</v>
      </c>
      <c r="R2096" t="s">
        <v>48</v>
      </c>
      <c r="S2096" t="s">
        <v>49</v>
      </c>
      <c r="T2096" s="3">
        <v>0.84</v>
      </c>
      <c r="U2096" s="3">
        <v>0.23</v>
      </c>
      <c r="V2096" s="3">
        <v>1.81</v>
      </c>
      <c r="W2096">
        <v>0.98</v>
      </c>
      <c r="X2096" t="s">
        <v>50</v>
      </c>
      <c r="Y2096" s="3">
        <v>16.43</v>
      </c>
      <c r="Z2096" t="s">
        <v>9850</v>
      </c>
      <c r="AA2096" t="s">
        <v>13564</v>
      </c>
      <c r="AB2096" t="s">
        <v>53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f t="shared" si="64"/>
        <v>19.309999999999999</v>
      </c>
      <c r="AK2096" s="3">
        <f t="shared" si="65"/>
        <v>2.879999999999999</v>
      </c>
    </row>
    <row r="2097" spans="1:37">
      <c r="A2097">
        <v>10389387</v>
      </c>
      <c r="B2097" t="s">
        <v>37</v>
      </c>
      <c r="C2097" t="s">
        <v>13565</v>
      </c>
      <c r="E2097" t="s">
        <v>13566</v>
      </c>
      <c r="F2097" t="s">
        <v>13567</v>
      </c>
      <c r="G2097" t="s">
        <v>13568</v>
      </c>
      <c r="H2097" t="s">
        <v>42</v>
      </c>
      <c r="I2097" t="s">
        <v>13569</v>
      </c>
      <c r="J2097" t="s">
        <v>13570</v>
      </c>
      <c r="K2097" t="s">
        <v>13571</v>
      </c>
      <c r="L2097" t="s">
        <v>142</v>
      </c>
      <c r="M2097" t="s">
        <v>46</v>
      </c>
      <c r="N2097" t="s">
        <v>47</v>
      </c>
      <c r="O2097">
        <v>2</v>
      </c>
      <c r="P2097">
        <v>1</v>
      </c>
      <c r="Q2097">
        <v>2</v>
      </c>
      <c r="R2097" t="s">
        <v>48</v>
      </c>
      <c r="S2097" t="s">
        <v>49</v>
      </c>
      <c r="T2097" s="3">
        <v>0.84</v>
      </c>
      <c r="U2097" s="3">
        <v>0.23</v>
      </c>
      <c r="V2097" s="3">
        <v>1.81</v>
      </c>
      <c r="W2097">
        <v>0.52</v>
      </c>
      <c r="X2097" t="s">
        <v>50</v>
      </c>
      <c r="Y2097" s="3">
        <v>16.43</v>
      </c>
      <c r="Z2097" t="s">
        <v>9850</v>
      </c>
      <c r="AA2097" t="s">
        <v>4068</v>
      </c>
      <c r="AB2097" t="s">
        <v>53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f t="shared" si="64"/>
        <v>19.309999999999999</v>
      </c>
      <c r="AK2097" s="3">
        <f t="shared" si="65"/>
        <v>2.879999999999999</v>
      </c>
    </row>
    <row r="2098" spans="1:37">
      <c r="A2098">
        <v>10389053</v>
      </c>
      <c r="B2098" t="s">
        <v>37</v>
      </c>
      <c r="C2098" t="s">
        <v>13572</v>
      </c>
      <c r="E2098" t="s">
        <v>11635</v>
      </c>
      <c r="F2098" t="s">
        <v>13573</v>
      </c>
      <c r="G2098" t="s">
        <v>13574</v>
      </c>
      <c r="H2098" t="s">
        <v>42</v>
      </c>
      <c r="I2098" t="s">
        <v>13575</v>
      </c>
      <c r="J2098" t="s">
        <v>13576</v>
      </c>
      <c r="K2098" t="s">
        <v>1995</v>
      </c>
      <c r="L2098" t="s">
        <v>71</v>
      </c>
      <c r="M2098" t="s">
        <v>46</v>
      </c>
      <c r="N2098" t="s">
        <v>47</v>
      </c>
      <c r="O2098">
        <v>3</v>
      </c>
      <c r="P2098">
        <v>1</v>
      </c>
      <c r="Q2098">
        <v>3</v>
      </c>
      <c r="R2098" t="s">
        <v>48</v>
      </c>
      <c r="S2098" t="s">
        <v>49</v>
      </c>
      <c r="T2098" s="3">
        <v>0.84</v>
      </c>
      <c r="U2098" s="3">
        <v>0.23</v>
      </c>
      <c r="V2098" s="3">
        <v>2.68</v>
      </c>
      <c r="W2098">
        <v>2.48</v>
      </c>
      <c r="X2098" t="s">
        <v>72</v>
      </c>
      <c r="Y2098" s="3">
        <v>5.44</v>
      </c>
      <c r="Z2098" t="s">
        <v>83</v>
      </c>
      <c r="AA2098" t="s">
        <v>13577</v>
      </c>
      <c r="AB2098" t="s">
        <v>53</v>
      </c>
      <c r="AC2098" s="3">
        <v>1.27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f t="shared" si="64"/>
        <v>10.46</v>
      </c>
      <c r="AK2098" s="3">
        <f t="shared" si="65"/>
        <v>5.0200000000000005</v>
      </c>
    </row>
    <row r="2099" spans="1:37">
      <c r="A2099">
        <v>10389048</v>
      </c>
      <c r="B2099" t="s">
        <v>37</v>
      </c>
      <c r="C2099" t="s">
        <v>13578</v>
      </c>
      <c r="E2099" t="s">
        <v>240</v>
      </c>
      <c r="F2099" t="s">
        <v>13579</v>
      </c>
      <c r="G2099" t="s">
        <v>13580</v>
      </c>
      <c r="H2099" t="s">
        <v>42</v>
      </c>
      <c r="I2099" t="s">
        <v>13581</v>
      </c>
      <c r="J2099" t="s">
        <v>13582</v>
      </c>
      <c r="K2099">
        <v>83024</v>
      </c>
      <c r="L2099" t="s">
        <v>71</v>
      </c>
      <c r="M2099" t="s">
        <v>46</v>
      </c>
      <c r="N2099" t="s">
        <v>47</v>
      </c>
      <c r="O2099">
        <v>2</v>
      </c>
      <c r="P2099">
        <v>1</v>
      </c>
      <c r="Q2099">
        <v>2</v>
      </c>
      <c r="R2099" t="s">
        <v>48</v>
      </c>
      <c r="S2099" t="s">
        <v>49</v>
      </c>
      <c r="T2099" s="3">
        <v>0.84</v>
      </c>
      <c r="U2099" s="3">
        <v>0.23</v>
      </c>
      <c r="V2099" s="3">
        <v>1.81</v>
      </c>
      <c r="W2099">
        <v>0.98</v>
      </c>
      <c r="X2099" t="s">
        <v>108</v>
      </c>
      <c r="Y2099" s="3">
        <v>5.14</v>
      </c>
      <c r="Z2099" t="s">
        <v>9850</v>
      </c>
      <c r="AA2099" t="s">
        <v>11977</v>
      </c>
      <c r="AB2099" t="s">
        <v>53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f t="shared" si="64"/>
        <v>8.02</v>
      </c>
      <c r="AK2099" s="3">
        <f t="shared" si="65"/>
        <v>2.88</v>
      </c>
    </row>
    <row r="2100" spans="1:37">
      <c r="A2100">
        <v>10389378</v>
      </c>
      <c r="B2100" t="s">
        <v>37</v>
      </c>
      <c r="C2100" t="s">
        <v>13583</v>
      </c>
      <c r="E2100" t="s">
        <v>86</v>
      </c>
      <c r="F2100" t="s">
        <v>3546</v>
      </c>
      <c r="G2100" t="s">
        <v>13584</v>
      </c>
      <c r="H2100" t="s">
        <v>42</v>
      </c>
      <c r="I2100" t="s">
        <v>13585</v>
      </c>
      <c r="J2100" t="s">
        <v>3549</v>
      </c>
      <c r="K2100">
        <v>4800</v>
      </c>
      <c r="L2100" t="s">
        <v>45</v>
      </c>
      <c r="M2100" t="s">
        <v>46</v>
      </c>
      <c r="N2100" t="s">
        <v>47</v>
      </c>
      <c r="O2100">
        <v>4</v>
      </c>
      <c r="P2100">
        <v>1</v>
      </c>
      <c r="Q2100">
        <v>4</v>
      </c>
      <c r="R2100" t="s">
        <v>48</v>
      </c>
      <c r="S2100" t="s">
        <v>49</v>
      </c>
      <c r="T2100" s="3">
        <v>0.84</v>
      </c>
      <c r="U2100" s="3">
        <v>0.23</v>
      </c>
      <c r="V2100" s="3">
        <v>3.55</v>
      </c>
      <c r="W2100">
        <v>2.14</v>
      </c>
      <c r="X2100" t="s">
        <v>50</v>
      </c>
      <c r="Y2100" s="3">
        <v>62.82</v>
      </c>
      <c r="Z2100" t="s">
        <v>83</v>
      </c>
      <c r="AA2100" t="s">
        <v>3550</v>
      </c>
      <c r="AB2100" t="s">
        <v>53</v>
      </c>
      <c r="AC2100" s="3">
        <v>1.27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f t="shared" si="64"/>
        <v>68.710000000000008</v>
      </c>
      <c r="AK2100" s="3">
        <f t="shared" si="65"/>
        <v>5.8900000000000077</v>
      </c>
    </row>
    <row r="2101" spans="1:37">
      <c r="A2101">
        <v>10389051</v>
      </c>
      <c r="B2101" t="s">
        <v>37</v>
      </c>
      <c r="C2101" t="s">
        <v>13586</v>
      </c>
      <c r="E2101" t="s">
        <v>13587</v>
      </c>
      <c r="F2101" t="s">
        <v>13588</v>
      </c>
      <c r="G2101" t="s">
        <v>13589</v>
      </c>
      <c r="H2101" t="s">
        <v>42</v>
      </c>
      <c r="I2101" t="s">
        <v>13590</v>
      </c>
      <c r="J2101" t="s">
        <v>13591</v>
      </c>
      <c r="K2101">
        <v>2361</v>
      </c>
      <c r="L2101" t="s">
        <v>1701</v>
      </c>
      <c r="M2101" t="s">
        <v>46</v>
      </c>
      <c r="N2101" t="s">
        <v>47</v>
      </c>
      <c r="O2101">
        <v>2</v>
      </c>
      <c r="P2101">
        <v>1</v>
      </c>
      <c r="Q2101">
        <v>2</v>
      </c>
      <c r="R2101" t="s">
        <v>48</v>
      </c>
      <c r="S2101" t="s">
        <v>49</v>
      </c>
      <c r="T2101" s="3">
        <v>0.84</v>
      </c>
      <c r="U2101" s="3">
        <v>0.23</v>
      </c>
      <c r="V2101" s="3">
        <v>1.81</v>
      </c>
      <c r="W2101">
        <v>0.98</v>
      </c>
      <c r="X2101" t="s">
        <v>1702</v>
      </c>
      <c r="Y2101" s="3">
        <v>25.57</v>
      </c>
      <c r="Z2101" t="s">
        <v>9850</v>
      </c>
      <c r="AA2101" t="s">
        <v>13592</v>
      </c>
      <c r="AB2101" t="s">
        <v>53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f t="shared" si="64"/>
        <v>28.45</v>
      </c>
      <c r="AK2101" s="3">
        <f t="shared" si="65"/>
        <v>2.879999999999999</v>
      </c>
    </row>
    <row r="2102" spans="1:37">
      <c r="A2102">
        <v>10389062</v>
      </c>
      <c r="B2102" t="s">
        <v>37</v>
      </c>
      <c r="C2102" t="s">
        <v>13593</v>
      </c>
      <c r="E2102" t="s">
        <v>13594</v>
      </c>
      <c r="F2102" t="s">
        <v>13595</v>
      </c>
      <c r="G2102" t="s">
        <v>13596</v>
      </c>
      <c r="H2102" t="s">
        <v>42</v>
      </c>
      <c r="I2102" t="s">
        <v>13597</v>
      </c>
      <c r="J2102" t="s">
        <v>13598</v>
      </c>
      <c r="K2102">
        <v>9420</v>
      </c>
      <c r="L2102" t="s">
        <v>505</v>
      </c>
      <c r="M2102" t="s">
        <v>46</v>
      </c>
      <c r="N2102" t="s">
        <v>47</v>
      </c>
      <c r="O2102">
        <v>2</v>
      </c>
      <c r="P2102">
        <v>1</v>
      </c>
      <c r="Q2102">
        <v>2</v>
      </c>
      <c r="R2102" t="s">
        <v>48</v>
      </c>
      <c r="S2102" t="s">
        <v>49</v>
      </c>
      <c r="T2102" s="3">
        <v>0.84</v>
      </c>
      <c r="U2102" s="3">
        <v>0.23</v>
      </c>
      <c r="V2102" s="3">
        <v>1.81</v>
      </c>
      <c r="W2102">
        <v>0.98</v>
      </c>
      <c r="X2102" t="s">
        <v>50</v>
      </c>
      <c r="Y2102" s="3">
        <v>9.1999999999999993</v>
      </c>
      <c r="Z2102" t="s">
        <v>9850</v>
      </c>
      <c r="AA2102" t="s">
        <v>13599</v>
      </c>
      <c r="AB2102" t="s">
        <v>53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f t="shared" si="64"/>
        <v>12.08</v>
      </c>
      <c r="AK2102" s="3">
        <f t="shared" si="65"/>
        <v>2.8800000000000008</v>
      </c>
    </row>
    <row r="2103" spans="1:37">
      <c r="A2103">
        <v>10389057</v>
      </c>
      <c r="B2103" t="s">
        <v>37</v>
      </c>
      <c r="C2103" t="s">
        <v>13600</v>
      </c>
      <c r="E2103" t="s">
        <v>864</v>
      </c>
      <c r="F2103" t="s">
        <v>13601</v>
      </c>
      <c r="G2103" t="s">
        <v>13602</v>
      </c>
      <c r="H2103" t="s">
        <v>42</v>
      </c>
      <c r="I2103" t="s">
        <v>13603</v>
      </c>
      <c r="J2103" t="s">
        <v>13604</v>
      </c>
      <c r="K2103">
        <v>77654</v>
      </c>
      <c r="L2103" t="s">
        <v>71</v>
      </c>
      <c r="M2103" t="s">
        <v>46</v>
      </c>
      <c r="N2103" t="s">
        <v>47</v>
      </c>
      <c r="O2103">
        <v>2</v>
      </c>
      <c r="P2103">
        <v>1</v>
      </c>
      <c r="Q2103">
        <v>2</v>
      </c>
      <c r="R2103" t="s">
        <v>48</v>
      </c>
      <c r="S2103" t="s">
        <v>49</v>
      </c>
      <c r="T2103" s="3">
        <v>0.84</v>
      </c>
      <c r="U2103" s="3">
        <v>0.23</v>
      </c>
      <c r="V2103" s="3">
        <v>1.81</v>
      </c>
      <c r="W2103">
        <v>2.8</v>
      </c>
      <c r="X2103" t="s">
        <v>108</v>
      </c>
      <c r="Y2103" s="3">
        <v>6.61</v>
      </c>
      <c r="Z2103" t="s">
        <v>9686</v>
      </c>
      <c r="AA2103" t="s">
        <v>198</v>
      </c>
      <c r="AB2103" t="s">
        <v>53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f t="shared" si="64"/>
        <v>9.49</v>
      </c>
      <c r="AK2103" s="3">
        <f t="shared" si="65"/>
        <v>2.88</v>
      </c>
    </row>
    <row r="2104" spans="1:37">
      <c r="A2104">
        <v>10389045</v>
      </c>
      <c r="B2104" t="s">
        <v>37</v>
      </c>
      <c r="C2104" t="s">
        <v>13605</v>
      </c>
      <c r="E2104" t="s">
        <v>3140</v>
      </c>
      <c r="F2104" t="s">
        <v>13606</v>
      </c>
      <c r="G2104" t="s">
        <v>13607</v>
      </c>
      <c r="H2104" t="s">
        <v>42</v>
      </c>
      <c r="I2104" t="s">
        <v>13608</v>
      </c>
      <c r="J2104" t="s">
        <v>13609</v>
      </c>
      <c r="K2104">
        <v>78000</v>
      </c>
      <c r="L2104" t="s">
        <v>130</v>
      </c>
      <c r="M2104" t="s">
        <v>46</v>
      </c>
      <c r="N2104" t="s">
        <v>47</v>
      </c>
      <c r="O2104">
        <v>3</v>
      </c>
      <c r="P2104">
        <v>1</v>
      </c>
      <c r="Q2104">
        <v>3</v>
      </c>
      <c r="R2104" t="s">
        <v>48</v>
      </c>
      <c r="S2104" t="s">
        <v>49</v>
      </c>
      <c r="T2104" s="3">
        <v>0.84</v>
      </c>
      <c r="U2104" s="3">
        <v>0.23</v>
      </c>
      <c r="V2104" s="3">
        <v>2.68</v>
      </c>
      <c r="W2104">
        <v>1.5</v>
      </c>
      <c r="X2104" t="s">
        <v>50</v>
      </c>
      <c r="Y2104" s="3">
        <v>14.26</v>
      </c>
      <c r="Z2104" t="s">
        <v>9686</v>
      </c>
      <c r="AA2104" t="s">
        <v>13610</v>
      </c>
      <c r="AB2104" t="s">
        <v>53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f t="shared" si="64"/>
        <v>18.010000000000002</v>
      </c>
      <c r="AK2104" s="3">
        <f t="shared" si="65"/>
        <v>3.7500000000000018</v>
      </c>
    </row>
    <row r="2105" spans="1:37">
      <c r="A2105">
        <v>10389031</v>
      </c>
      <c r="B2105" t="s">
        <v>37</v>
      </c>
      <c r="C2105" t="s">
        <v>13611</v>
      </c>
      <c r="E2105" t="s">
        <v>12014</v>
      </c>
      <c r="F2105" t="s">
        <v>13612</v>
      </c>
      <c r="G2105" t="s">
        <v>13613</v>
      </c>
      <c r="H2105" t="s">
        <v>42</v>
      </c>
      <c r="I2105" t="s">
        <v>13614</v>
      </c>
      <c r="J2105" t="s">
        <v>13615</v>
      </c>
      <c r="K2105" t="s">
        <v>13616</v>
      </c>
      <c r="L2105" t="s">
        <v>3866</v>
      </c>
      <c r="M2105" t="s">
        <v>46</v>
      </c>
      <c r="N2105" t="s">
        <v>47</v>
      </c>
      <c r="O2105">
        <v>2</v>
      </c>
      <c r="P2105">
        <v>1</v>
      </c>
      <c r="Q2105">
        <v>2</v>
      </c>
      <c r="R2105" t="s">
        <v>48</v>
      </c>
      <c r="S2105" t="s">
        <v>49</v>
      </c>
      <c r="T2105" s="3">
        <v>0.84</v>
      </c>
      <c r="U2105" s="3">
        <v>0.23</v>
      </c>
      <c r="V2105" s="3">
        <v>1.81</v>
      </c>
      <c r="W2105">
        <v>0.98</v>
      </c>
      <c r="X2105" t="s">
        <v>100</v>
      </c>
      <c r="Y2105" s="3">
        <v>21.71</v>
      </c>
      <c r="Z2105" t="s">
        <v>9850</v>
      </c>
      <c r="AA2105" t="s">
        <v>13617</v>
      </c>
      <c r="AB2105" t="s">
        <v>53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f t="shared" si="64"/>
        <v>24.59</v>
      </c>
      <c r="AK2105" s="3">
        <f t="shared" si="65"/>
        <v>2.879999999999999</v>
      </c>
    </row>
    <row r="2106" spans="1:37">
      <c r="A2106">
        <v>10389049</v>
      </c>
      <c r="B2106" t="s">
        <v>37</v>
      </c>
      <c r="C2106" t="s">
        <v>13618</v>
      </c>
      <c r="E2106" t="s">
        <v>13619</v>
      </c>
      <c r="F2106" t="s">
        <v>13620</v>
      </c>
      <c r="G2106" t="s">
        <v>13621</v>
      </c>
      <c r="H2106" t="s">
        <v>42</v>
      </c>
      <c r="I2106" t="s">
        <v>13622</v>
      </c>
      <c r="J2106" t="s">
        <v>13623</v>
      </c>
      <c r="K2106">
        <v>5290</v>
      </c>
      <c r="L2106" t="s">
        <v>1701</v>
      </c>
      <c r="M2106" t="s">
        <v>46</v>
      </c>
      <c r="N2106" t="s">
        <v>47</v>
      </c>
      <c r="O2106">
        <v>2</v>
      </c>
      <c r="P2106">
        <v>1</v>
      </c>
      <c r="Q2106">
        <v>2</v>
      </c>
      <c r="R2106" t="s">
        <v>48</v>
      </c>
      <c r="S2106" t="s">
        <v>49</v>
      </c>
      <c r="T2106" s="3">
        <v>0.84</v>
      </c>
      <c r="U2106" s="3">
        <v>0.23</v>
      </c>
      <c r="V2106" s="3">
        <v>1.81</v>
      </c>
      <c r="W2106">
        <v>0.98</v>
      </c>
      <c r="X2106" t="s">
        <v>1702</v>
      </c>
      <c r="Y2106" s="3">
        <v>25.76</v>
      </c>
      <c r="Z2106" t="s">
        <v>9850</v>
      </c>
      <c r="AA2106" t="s">
        <v>13617</v>
      </c>
      <c r="AB2106" t="s">
        <v>53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f t="shared" si="64"/>
        <v>28.64</v>
      </c>
      <c r="AK2106" s="3">
        <f t="shared" si="65"/>
        <v>2.879999999999999</v>
      </c>
    </row>
    <row r="2107" spans="1:37">
      <c r="A2107">
        <v>10389063</v>
      </c>
      <c r="B2107" t="s">
        <v>37</v>
      </c>
      <c r="C2107" t="s">
        <v>13624</v>
      </c>
      <c r="E2107" t="s">
        <v>11460</v>
      </c>
      <c r="F2107" t="s">
        <v>13625</v>
      </c>
      <c r="G2107" t="s">
        <v>13626</v>
      </c>
      <c r="H2107" t="s">
        <v>42</v>
      </c>
      <c r="I2107" t="s">
        <v>13627</v>
      </c>
      <c r="J2107" t="s">
        <v>13628</v>
      </c>
      <c r="K2107">
        <v>63322</v>
      </c>
      <c r="L2107" t="s">
        <v>71</v>
      </c>
      <c r="M2107" t="s">
        <v>46</v>
      </c>
      <c r="N2107" t="s">
        <v>47</v>
      </c>
      <c r="O2107">
        <v>2</v>
      </c>
      <c r="P2107">
        <v>1</v>
      </c>
      <c r="Q2107">
        <v>2</v>
      </c>
      <c r="R2107" t="s">
        <v>48</v>
      </c>
      <c r="S2107" t="s">
        <v>49</v>
      </c>
      <c r="T2107" s="3">
        <v>0.84</v>
      </c>
      <c r="U2107" s="3">
        <v>0.23</v>
      </c>
      <c r="V2107" s="3">
        <v>1.81</v>
      </c>
      <c r="W2107">
        <v>0.3</v>
      </c>
      <c r="X2107" t="s">
        <v>108</v>
      </c>
      <c r="Y2107" s="3">
        <v>5.14</v>
      </c>
      <c r="Z2107" t="s">
        <v>9850</v>
      </c>
      <c r="AA2107" t="s">
        <v>12441</v>
      </c>
      <c r="AB2107" t="s">
        <v>53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f t="shared" si="64"/>
        <v>8.02</v>
      </c>
      <c r="AK2107" s="3">
        <f t="shared" si="65"/>
        <v>2.88</v>
      </c>
    </row>
    <row r="2108" spans="1:37">
      <c r="A2108">
        <v>10389056</v>
      </c>
      <c r="B2108" t="s">
        <v>37</v>
      </c>
      <c r="C2108" t="s">
        <v>13629</v>
      </c>
      <c r="E2108" t="s">
        <v>240</v>
      </c>
      <c r="F2108" t="s">
        <v>13630</v>
      </c>
      <c r="G2108" t="s">
        <v>13631</v>
      </c>
      <c r="H2108" t="s">
        <v>42</v>
      </c>
      <c r="I2108" t="s">
        <v>13632</v>
      </c>
      <c r="J2108" t="s">
        <v>13633</v>
      </c>
      <c r="K2108">
        <v>68305</v>
      </c>
      <c r="L2108" t="s">
        <v>71</v>
      </c>
      <c r="M2108" t="s">
        <v>46</v>
      </c>
      <c r="N2108" t="s">
        <v>47</v>
      </c>
      <c r="O2108">
        <v>3</v>
      </c>
      <c r="P2108">
        <v>1</v>
      </c>
      <c r="Q2108">
        <v>3</v>
      </c>
      <c r="R2108" t="s">
        <v>48</v>
      </c>
      <c r="S2108" t="s">
        <v>49</v>
      </c>
      <c r="T2108" s="3">
        <v>0.84</v>
      </c>
      <c r="U2108" s="3">
        <v>0.23</v>
      </c>
      <c r="V2108" s="3">
        <v>2.68</v>
      </c>
      <c r="W2108">
        <v>1.37</v>
      </c>
      <c r="X2108" t="s">
        <v>108</v>
      </c>
      <c r="Y2108" s="3">
        <v>5.14</v>
      </c>
      <c r="Z2108" t="s">
        <v>9686</v>
      </c>
      <c r="AA2108" t="s">
        <v>13634</v>
      </c>
      <c r="AB2108" t="s">
        <v>53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f t="shared" si="64"/>
        <v>8.89</v>
      </c>
      <c r="AK2108" s="3">
        <f t="shared" si="65"/>
        <v>3.7500000000000009</v>
      </c>
    </row>
    <row r="2109" spans="1:37">
      <c r="A2109">
        <v>10389035</v>
      </c>
      <c r="B2109" t="s">
        <v>37</v>
      </c>
      <c r="C2109" t="s">
        <v>13635</v>
      </c>
      <c r="E2109" t="s">
        <v>13636</v>
      </c>
      <c r="F2109" t="s">
        <v>13637</v>
      </c>
      <c r="G2109" t="s">
        <v>13638</v>
      </c>
      <c r="H2109" t="s">
        <v>42</v>
      </c>
      <c r="I2109" t="s">
        <v>13639</v>
      </c>
      <c r="J2109" t="s">
        <v>13640</v>
      </c>
      <c r="K2109">
        <v>49536</v>
      </c>
      <c r="L2109" t="s">
        <v>71</v>
      </c>
      <c r="M2109" t="s">
        <v>46</v>
      </c>
      <c r="N2109" t="s">
        <v>47</v>
      </c>
      <c r="O2109">
        <v>2</v>
      </c>
      <c r="P2109">
        <v>1</v>
      </c>
      <c r="Q2109">
        <v>2</v>
      </c>
      <c r="R2109" t="s">
        <v>48</v>
      </c>
      <c r="S2109" t="s">
        <v>49</v>
      </c>
      <c r="T2109" s="3">
        <v>0.84</v>
      </c>
      <c r="U2109" s="3">
        <v>0.23</v>
      </c>
      <c r="V2109" s="3">
        <v>1.81</v>
      </c>
      <c r="W2109">
        <v>0.3</v>
      </c>
      <c r="X2109" t="s">
        <v>108</v>
      </c>
      <c r="Y2109" s="3">
        <v>32.869999999999997</v>
      </c>
      <c r="Z2109" t="s">
        <v>9850</v>
      </c>
      <c r="AA2109" t="s">
        <v>855</v>
      </c>
      <c r="AB2109" t="s">
        <v>53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f t="shared" si="64"/>
        <v>35.75</v>
      </c>
      <c r="AK2109" s="3">
        <f t="shared" si="65"/>
        <v>2.8800000000000026</v>
      </c>
    </row>
    <row r="2110" spans="1:37">
      <c r="A2110">
        <v>10389059</v>
      </c>
      <c r="B2110" t="s">
        <v>37</v>
      </c>
      <c r="C2110" t="s">
        <v>13641</v>
      </c>
      <c r="E2110" t="s">
        <v>8914</v>
      </c>
      <c r="F2110" t="s">
        <v>13642</v>
      </c>
      <c r="G2110" t="s">
        <v>13643</v>
      </c>
      <c r="H2110" t="s">
        <v>42</v>
      </c>
      <c r="I2110" t="s">
        <v>13644</v>
      </c>
      <c r="J2110" t="s">
        <v>13645</v>
      </c>
      <c r="K2110" t="s">
        <v>13646</v>
      </c>
      <c r="L2110" t="s">
        <v>142</v>
      </c>
      <c r="M2110" t="s">
        <v>46</v>
      </c>
      <c r="N2110" t="s">
        <v>47</v>
      </c>
      <c r="O2110">
        <v>4</v>
      </c>
      <c r="P2110">
        <v>1</v>
      </c>
      <c r="Q2110">
        <v>4</v>
      </c>
      <c r="R2110" t="s">
        <v>48</v>
      </c>
      <c r="S2110" t="s">
        <v>49</v>
      </c>
      <c r="T2110" s="3">
        <v>0.84</v>
      </c>
      <c r="U2110" s="3">
        <v>0.23</v>
      </c>
      <c r="V2110" s="3">
        <v>3.55</v>
      </c>
      <c r="W2110">
        <v>1.56</v>
      </c>
      <c r="X2110" t="s">
        <v>50</v>
      </c>
      <c r="Y2110" s="3">
        <v>16.43</v>
      </c>
      <c r="Z2110" t="s">
        <v>9686</v>
      </c>
      <c r="AA2110" t="s">
        <v>13647</v>
      </c>
      <c r="AB2110" t="s">
        <v>53</v>
      </c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f t="shared" si="64"/>
        <v>21.05</v>
      </c>
      <c r="AK2110" s="3">
        <f t="shared" si="65"/>
        <v>4.620000000000001</v>
      </c>
    </row>
    <row r="2111" spans="1:37">
      <c r="A2111">
        <v>10389397</v>
      </c>
      <c r="B2111" t="s">
        <v>37</v>
      </c>
      <c r="C2111" t="s">
        <v>13648</v>
      </c>
      <c r="E2111" t="s">
        <v>13649</v>
      </c>
      <c r="F2111" t="s">
        <v>13650</v>
      </c>
      <c r="G2111" t="s">
        <v>13651</v>
      </c>
      <c r="H2111" t="s">
        <v>42</v>
      </c>
      <c r="I2111" t="s">
        <v>13652</v>
      </c>
      <c r="J2111" t="s">
        <v>13653</v>
      </c>
      <c r="K2111" t="s">
        <v>13654</v>
      </c>
      <c r="L2111" t="s">
        <v>142</v>
      </c>
      <c r="M2111" t="s">
        <v>46</v>
      </c>
      <c r="N2111" t="s">
        <v>47</v>
      </c>
      <c r="O2111">
        <v>1</v>
      </c>
      <c r="P2111">
        <v>1</v>
      </c>
      <c r="Q2111">
        <v>1</v>
      </c>
      <c r="R2111" t="s">
        <v>48</v>
      </c>
      <c r="S2111" t="s">
        <v>49</v>
      </c>
      <c r="T2111" s="3">
        <v>0.84</v>
      </c>
      <c r="U2111" s="3">
        <v>0.23</v>
      </c>
      <c r="V2111" s="3">
        <v>0.94</v>
      </c>
      <c r="W2111">
        <v>1.02</v>
      </c>
      <c r="X2111" t="s">
        <v>50</v>
      </c>
      <c r="Y2111" s="3">
        <v>16.43</v>
      </c>
      <c r="Z2111" t="s">
        <v>9686</v>
      </c>
      <c r="AA2111" t="s">
        <v>1754</v>
      </c>
      <c r="AB2111" t="s">
        <v>53</v>
      </c>
      <c r="AC2111" s="3">
        <v>0</v>
      </c>
      <c r="AD2111" s="3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0</v>
      </c>
      <c r="AJ2111" s="3">
        <f t="shared" si="64"/>
        <v>18.440000000000001</v>
      </c>
      <c r="AK2111" s="3">
        <f t="shared" si="65"/>
        <v>2.0100000000000016</v>
      </c>
    </row>
    <row r="2112" spans="1:37">
      <c r="A2112">
        <v>10389403</v>
      </c>
      <c r="B2112" t="s">
        <v>37</v>
      </c>
      <c r="C2112" t="s">
        <v>13655</v>
      </c>
      <c r="E2112" t="s">
        <v>10878</v>
      </c>
      <c r="F2112" t="s">
        <v>13656</v>
      </c>
      <c r="G2112" t="s">
        <v>13657</v>
      </c>
      <c r="H2112" t="s">
        <v>42</v>
      </c>
      <c r="I2112" t="s">
        <v>13658</v>
      </c>
      <c r="J2112" t="s">
        <v>13659</v>
      </c>
      <c r="K2112">
        <v>47877</v>
      </c>
      <c r="L2112" t="s">
        <v>71</v>
      </c>
      <c r="M2112" t="s">
        <v>46</v>
      </c>
      <c r="N2112" t="s">
        <v>47</v>
      </c>
      <c r="O2112">
        <v>1</v>
      </c>
      <c r="P2112">
        <v>1</v>
      </c>
      <c r="Q2112">
        <v>1</v>
      </c>
      <c r="R2112" t="s">
        <v>48</v>
      </c>
      <c r="S2112" t="s">
        <v>49</v>
      </c>
      <c r="T2112" s="3">
        <v>0.84</v>
      </c>
      <c r="U2112" s="3">
        <v>0.23</v>
      </c>
      <c r="V2112" s="3">
        <v>0.94</v>
      </c>
      <c r="W2112">
        <v>2.4</v>
      </c>
      <c r="X2112" t="s">
        <v>72</v>
      </c>
      <c r="Y2112" s="3">
        <v>5.43</v>
      </c>
      <c r="Z2112" t="s">
        <v>9770</v>
      </c>
      <c r="AA2112" t="s">
        <v>821</v>
      </c>
      <c r="AB2112" t="s">
        <v>53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s="3">
        <f t="shared" si="64"/>
        <v>7.4399999999999995</v>
      </c>
      <c r="AK2112" s="3">
        <f t="shared" si="65"/>
        <v>2.0099999999999998</v>
      </c>
    </row>
    <row r="2113" spans="1:37">
      <c r="A2113">
        <v>10389394</v>
      </c>
      <c r="B2113" t="s">
        <v>37</v>
      </c>
      <c r="C2113" t="s">
        <v>13660</v>
      </c>
      <c r="E2113" t="s">
        <v>1647</v>
      </c>
      <c r="F2113" t="s">
        <v>13661</v>
      </c>
      <c r="G2113" t="s">
        <v>13662</v>
      </c>
      <c r="H2113" t="s">
        <v>42</v>
      </c>
      <c r="I2113" t="s">
        <v>13663</v>
      </c>
      <c r="J2113" t="s">
        <v>13664</v>
      </c>
      <c r="K2113">
        <v>70182</v>
      </c>
      <c r="L2113" t="s">
        <v>71</v>
      </c>
      <c r="M2113" t="s">
        <v>46</v>
      </c>
      <c r="N2113" t="s">
        <v>47</v>
      </c>
      <c r="O2113">
        <v>1</v>
      </c>
      <c r="P2113">
        <v>1</v>
      </c>
      <c r="Q2113">
        <v>1</v>
      </c>
      <c r="R2113" t="s">
        <v>48</v>
      </c>
      <c r="S2113" t="s">
        <v>49</v>
      </c>
      <c r="T2113" s="3">
        <v>0.84</v>
      </c>
      <c r="U2113" s="3">
        <v>0.23</v>
      </c>
      <c r="V2113" s="3">
        <v>0.94</v>
      </c>
      <c r="W2113">
        <v>0.49</v>
      </c>
      <c r="X2113" t="s">
        <v>108</v>
      </c>
      <c r="Y2113" s="3">
        <v>5.14</v>
      </c>
      <c r="Z2113" t="s">
        <v>9850</v>
      </c>
      <c r="AA2113" t="s">
        <v>7163</v>
      </c>
      <c r="AB2113" t="s">
        <v>53</v>
      </c>
      <c r="AC2113" s="3">
        <v>0</v>
      </c>
      <c r="AD2113" s="3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0</v>
      </c>
      <c r="AJ2113" s="3">
        <f t="shared" si="64"/>
        <v>7.15</v>
      </c>
      <c r="AK2113" s="3">
        <f t="shared" si="65"/>
        <v>2.0100000000000007</v>
      </c>
    </row>
    <row r="2114" spans="1:37">
      <c r="A2114">
        <v>10389399</v>
      </c>
      <c r="B2114" t="s">
        <v>37</v>
      </c>
      <c r="C2114" t="s">
        <v>13665</v>
      </c>
      <c r="E2114" t="s">
        <v>3310</v>
      </c>
      <c r="F2114" t="s">
        <v>13666</v>
      </c>
      <c r="G2114" t="s">
        <v>13667</v>
      </c>
      <c r="H2114" t="s">
        <v>42</v>
      </c>
      <c r="I2114" t="s">
        <v>13668</v>
      </c>
      <c r="J2114" t="s">
        <v>13669</v>
      </c>
      <c r="K2114">
        <v>97990</v>
      </c>
      <c r="L2114" t="s">
        <v>71</v>
      </c>
      <c r="M2114" t="s">
        <v>46</v>
      </c>
      <c r="N2114" t="s">
        <v>47</v>
      </c>
      <c r="O2114">
        <v>3</v>
      </c>
      <c r="P2114">
        <v>1</v>
      </c>
      <c r="Q2114">
        <v>3</v>
      </c>
      <c r="R2114" t="s">
        <v>48</v>
      </c>
      <c r="S2114" t="s">
        <v>49</v>
      </c>
      <c r="T2114" s="3">
        <v>0.84</v>
      </c>
      <c r="U2114" s="3">
        <v>0.23</v>
      </c>
      <c r="V2114" s="3">
        <v>2.68</v>
      </c>
      <c r="W2114">
        <v>1.78</v>
      </c>
      <c r="X2114" t="s">
        <v>72</v>
      </c>
      <c r="Y2114" s="3">
        <v>6.83</v>
      </c>
      <c r="Z2114" t="s">
        <v>83</v>
      </c>
      <c r="AA2114" t="s">
        <v>13670</v>
      </c>
      <c r="AB2114" t="s">
        <v>53</v>
      </c>
      <c r="AC2114" s="3">
        <v>1.27</v>
      </c>
      <c r="AD2114" s="3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s="3">
        <f t="shared" ref="AJ2114:AJ2177" si="66">AI2114+AH2114+AG2114+AF2114+AE2114+AD2114+AC2114+Y2114+V2114+U2114+T2114</f>
        <v>11.85</v>
      </c>
      <c r="AK2114" s="3">
        <f t="shared" ref="AK2114:AK2177" si="67">AJ2114-Y2114</f>
        <v>5.0199999999999996</v>
      </c>
    </row>
    <row r="2115" spans="1:37">
      <c r="A2115">
        <v>10389385</v>
      </c>
      <c r="B2115" t="s">
        <v>37</v>
      </c>
      <c r="C2115" t="s">
        <v>13671</v>
      </c>
      <c r="E2115" t="s">
        <v>13672</v>
      </c>
      <c r="F2115" t="s">
        <v>13673</v>
      </c>
      <c r="G2115" t="s">
        <v>13674</v>
      </c>
      <c r="H2115" t="s">
        <v>42</v>
      </c>
      <c r="I2115" t="s">
        <v>13675</v>
      </c>
      <c r="J2115" t="s">
        <v>13676</v>
      </c>
      <c r="K2115" t="s">
        <v>13677</v>
      </c>
      <c r="L2115" t="s">
        <v>91</v>
      </c>
      <c r="M2115" t="s">
        <v>46</v>
      </c>
      <c r="N2115" t="s">
        <v>47</v>
      </c>
      <c r="O2115">
        <v>6</v>
      </c>
      <c r="P2115">
        <v>1</v>
      </c>
      <c r="Q2115">
        <v>6</v>
      </c>
      <c r="R2115" t="s">
        <v>48</v>
      </c>
      <c r="S2115" t="s">
        <v>49</v>
      </c>
      <c r="T2115" s="3">
        <v>0.84</v>
      </c>
      <c r="U2115" s="3">
        <v>0.23</v>
      </c>
      <c r="V2115" s="3">
        <v>5.29</v>
      </c>
      <c r="W2115">
        <v>2.8</v>
      </c>
      <c r="X2115" t="s">
        <v>50</v>
      </c>
      <c r="Y2115" s="3">
        <v>16.43</v>
      </c>
      <c r="Z2115" t="s">
        <v>83</v>
      </c>
      <c r="AA2115" t="s">
        <v>13678</v>
      </c>
      <c r="AB2115" t="s">
        <v>53</v>
      </c>
      <c r="AC2115" s="3">
        <v>1.27</v>
      </c>
      <c r="AD2115" s="3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f t="shared" si="66"/>
        <v>24.06</v>
      </c>
      <c r="AK2115" s="3">
        <f t="shared" si="67"/>
        <v>7.629999999999999</v>
      </c>
    </row>
    <row r="2116" spans="1:37">
      <c r="A2116">
        <v>10389390</v>
      </c>
      <c r="B2116" t="s">
        <v>37</v>
      </c>
      <c r="C2116" t="s">
        <v>13679</v>
      </c>
      <c r="E2116" t="s">
        <v>1135</v>
      </c>
      <c r="F2116" t="s">
        <v>13680</v>
      </c>
      <c r="G2116" t="s">
        <v>13681</v>
      </c>
      <c r="H2116" t="s">
        <v>42</v>
      </c>
      <c r="I2116" t="s">
        <v>13682</v>
      </c>
      <c r="J2116" t="s">
        <v>13683</v>
      </c>
      <c r="K2116">
        <v>5761</v>
      </c>
      <c r="L2116" t="s">
        <v>618</v>
      </c>
      <c r="M2116" t="s">
        <v>46</v>
      </c>
      <c r="N2116" t="s">
        <v>47</v>
      </c>
      <c r="O2116">
        <v>1</v>
      </c>
      <c r="P2116">
        <v>1</v>
      </c>
      <c r="Q2116">
        <v>1</v>
      </c>
      <c r="R2116" t="s">
        <v>48</v>
      </c>
      <c r="S2116" t="s">
        <v>49</v>
      </c>
      <c r="T2116" s="3">
        <v>0.84</v>
      </c>
      <c r="U2116" s="3">
        <v>0.23</v>
      </c>
      <c r="V2116" s="3">
        <v>0.94</v>
      </c>
      <c r="W2116">
        <v>0.49</v>
      </c>
      <c r="X2116" t="s">
        <v>50</v>
      </c>
      <c r="Y2116" s="3">
        <v>9.1999999999999993</v>
      </c>
      <c r="Z2116" t="s">
        <v>9850</v>
      </c>
      <c r="AA2116" t="s">
        <v>1652</v>
      </c>
      <c r="AB2116" t="s">
        <v>53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f t="shared" si="66"/>
        <v>11.209999999999999</v>
      </c>
      <c r="AK2116" s="3">
        <f t="shared" si="67"/>
        <v>2.0099999999999998</v>
      </c>
    </row>
    <row r="2117" spans="1:37">
      <c r="A2117">
        <v>10392295</v>
      </c>
      <c r="B2117" t="s">
        <v>37</v>
      </c>
      <c r="C2117" t="s">
        <v>13684</v>
      </c>
      <c r="E2117" t="s">
        <v>351</v>
      </c>
      <c r="F2117" t="s">
        <v>13685</v>
      </c>
      <c r="G2117" t="s">
        <v>13686</v>
      </c>
      <c r="H2117" t="s">
        <v>42</v>
      </c>
      <c r="I2117" t="s">
        <v>13687</v>
      </c>
      <c r="J2117" t="s">
        <v>13688</v>
      </c>
      <c r="K2117">
        <v>16225</v>
      </c>
      <c r="L2117" t="s">
        <v>71</v>
      </c>
      <c r="M2117" t="s">
        <v>46</v>
      </c>
      <c r="N2117" t="s">
        <v>47</v>
      </c>
      <c r="O2117">
        <v>4</v>
      </c>
      <c r="P2117">
        <v>1</v>
      </c>
      <c r="Q2117">
        <v>4</v>
      </c>
      <c r="R2117" t="s">
        <v>48</v>
      </c>
      <c r="S2117" t="s">
        <v>49</v>
      </c>
      <c r="T2117" s="3">
        <v>0.84</v>
      </c>
      <c r="U2117" s="3">
        <v>0.23</v>
      </c>
      <c r="V2117" s="3">
        <v>3.55</v>
      </c>
      <c r="W2117">
        <v>1.18</v>
      </c>
      <c r="X2117" t="s">
        <v>108</v>
      </c>
      <c r="Y2117" s="3">
        <v>5.14</v>
      </c>
      <c r="Z2117" t="s">
        <v>9686</v>
      </c>
      <c r="AA2117" t="s">
        <v>13689</v>
      </c>
      <c r="AB2117" t="s">
        <v>53</v>
      </c>
      <c r="AC2117" s="3">
        <v>0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f t="shared" si="66"/>
        <v>9.76</v>
      </c>
      <c r="AK2117" s="3">
        <f t="shared" si="67"/>
        <v>4.62</v>
      </c>
    </row>
    <row r="2118" spans="1:37">
      <c r="A2118">
        <v>10392291</v>
      </c>
      <c r="B2118" t="s">
        <v>37</v>
      </c>
      <c r="C2118" t="s">
        <v>13690</v>
      </c>
      <c r="E2118" t="s">
        <v>13691</v>
      </c>
      <c r="F2118" t="s">
        <v>13692</v>
      </c>
      <c r="G2118" t="s">
        <v>13693</v>
      </c>
      <c r="H2118" t="s">
        <v>42</v>
      </c>
      <c r="I2118" t="s">
        <v>13694</v>
      </c>
      <c r="J2118" t="s">
        <v>13695</v>
      </c>
      <c r="K2118">
        <v>2260</v>
      </c>
      <c r="L2118" t="s">
        <v>505</v>
      </c>
      <c r="M2118" t="s">
        <v>46</v>
      </c>
      <c r="N2118" t="s">
        <v>47</v>
      </c>
      <c r="O2118">
        <v>4</v>
      </c>
      <c r="P2118">
        <v>1</v>
      </c>
      <c r="Q2118">
        <v>4</v>
      </c>
      <c r="R2118" t="s">
        <v>48</v>
      </c>
      <c r="S2118" t="s">
        <v>49</v>
      </c>
      <c r="T2118" s="3">
        <v>0.84</v>
      </c>
      <c r="U2118" s="3">
        <v>0.23</v>
      </c>
      <c r="V2118" s="3">
        <v>3.55</v>
      </c>
      <c r="W2118">
        <v>1.51</v>
      </c>
      <c r="X2118" t="s">
        <v>50</v>
      </c>
      <c r="Y2118" s="3">
        <v>9.1999999999999993</v>
      </c>
      <c r="Z2118" t="s">
        <v>9686</v>
      </c>
      <c r="AA2118" t="s">
        <v>13696</v>
      </c>
      <c r="AB2118" t="s">
        <v>53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f t="shared" si="66"/>
        <v>13.82</v>
      </c>
      <c r="AK2118" s="3">
        <f t="shared" si="67"/>
        <v>4.620000000000001</v>
      </c>
    </row>
    <row r="2119" spans="1:37">
      <c r="A2119">
        <v>10392903</v>
      </c>
      <c r="B2119" t="s">
        <v>37</v>
      </c>
      <c r="C2119" t="s">
        <v>13697</v>
      </c>
      <c r="E2119" t="s">
        <v>872</v>
      </c>
      <c r="F2119" t="s">
        <v>9632</v>
      </c>
      <c r="G2119" t="s">
        <v>13698</v>
      </c>
      <c r="H2119" t="s">
        <v>42</v>
      </c>
      <c r="I2119" t="s">
        <v>13699</v>
      </c>
      <c r="J2119" t="s">
        <v>13700</v>
      </c>
      <c r="K2119" t="s">
        <v>13701</v>
      </c>
      <c r="L2119" t="s">
        <v>142</v>
      </c>
      <c r="M2119" t="s">
        <v>46</v>
      </c>
      <c r="N2119" t="s">
        <v>47</v>
      </c>
      <c r="O2119">
        <v>1</v>
      </c>
      <c r="P2119">
        <v>1</v>
      </c>
      <c r="Q2119">
        <v>1</v>
      </c>
      <c r="R2119" t="s">
        <v>48</v>
      </c>
      <c r="S2119" t="s">
        <v>49</v>
      </c>
      <c r="T2119" s="3">
        <v>0.84</v>
      </c>
      <c r="U2119" s="3">
        <v>0.23</v>
      </c>
      <c r="V2119" s="3">
        <v>0.94</v>
      </c>
      <c r="W2119">
        <v>2.4</v>
      </c>
      <c r="X2119" t="s">
        <v>50</v>
      </c>
      <c r="Y2119" s="3">
        <v>16.43</v>
      </c>
      <c r="Z2119" t="s">
        <v>9770</v>
      </c>
      <c r="AA2119" t="s">
        <v>821</v>
      </c>
      <c r="AB2119" t="s">
        <v>53</v>
      </c>
      <c r="AC2119" s="3">
        <v>0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s="3">
        <f t="shared" si="66"/>
        <v>18.440000000000001</v>
      </c>
      <c r="AK2119" s="3">
        <f t="shared" si="67"/>
        <v>2.0100000000000016</v>
      </c>
    </row>
    <row r="2120" spans="1:37">
      <c r="A2120">
        <v>10392905</v>
      </c>
      <c r="B2120" t="s">
        <v>37</v>
      </c>
      <c r="C2120" t="s">
        <v>13702</v>
      </c>
      <c r="E2120" t="s">
        <v>254</v>
      </c>
      <c r="F2120" t="s">
        <v>13703</v>
      </c>
      <c r="G2120" t="s">
        <v>13704</v>
      </c>
      <c r="H2120" t="s">
        <v>42</v>
      </c>
      <c r="I2120" t="s">
        <v>13705</v>
      </c>
      <c r="J2120" t="s">
        <v>13706</v>
      </c>
      <c r="K2120">
        <v>33790</v>
      </c>
      <c r="L2120" t="s">
        <v>71</v>
      </c>
      <c r="M2120" t="s">
        <v>46</v>
      </c>
      <c r="N2120" t="s">
        <v>47</v>
      </c>
      <c r="O2120">
        <v>3</v>
      </c>
      <c r="P2120">
        <v>1</v>
      </c>
      <c r="Q2120">
        <v>3</v>
      </c>
      <c r="R2120" t="s">
        <v>48</v>
      </c>
      <c r="S2120" t="s">
        <v>49</v>
      </c>
      <c r="T2120" s="3">
        <v>0.84</v>
      </c>
      <c r="U2120" s="3">
        <v>0.23</v>
      </c>
      <c r="V2120" s="3">
        <v>2.68</v>
      </c>
      <c r="W2120">
        <v>0.45</v>
      </c>
      <c r="X2120" t="s">
        <v>108</v>
      </c>
      <c r="Y2120" s="3">
        <v>5.14</v>
      </c>
      <c r="Z2120" t="s">
        <v>9850</v>
      </c>
      <c r="AA2120" t="s">
        <v>6464</v>
      </c>
      <c r="AB2120" t="s">
        <v>53</v>
      </c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f t="shared" si="66"/>
        <v>8.89</v>
      </c>
      <c r="AK2120" s="3">
        <f t="shared" si="67"/>
        <v>3.7500000000000009</v>
      </c>
    </row>
    <row r="2121" spans="1:37">
      <c r="A2121">
        <v>10393118</v>
      </c>
      <c r="B2121" t="s">
        <v>37</v>
      </c>
      <c r="C2121" t="s">
        <v>13707</v>
      </c>
      <c r="E2121" t="s">
        <v>872</v>
      </c>
      <c r="F2121" t="s">
        <v>13708</v>
      </c>
      <c r="G2121" t="s">
        <v>13709</v>
      </c>
      <c r="H2121" t="s">
        <v>42</v>
      </c>
      <c r="I2121" t="s">
        <v>13710</v>
      </c>
      <c r="J2121" t="s">
        <v>13711</v>
      </c>
      <c r="K2121" t="s">
        <v>13712</v>
      </c>
      <c r="L2121" t="s">
        <v>142</v>
      </c>
      <c r="M2121" t="s">
        <v>46</v>
      </c>
      <c r="N2121" t="s">
        <v>47</v>
      </c>
      <c r="O2121">
        <v>1</v>
      </c>
      <c r="P2121">
        <v>1</v>
      </c>
      <c r="Q2121">
        <v>1</v>
      </c>
      <c r="R2121" t="s">
        <v>48</v>
      </c>
      <c r="S2121" t="s">
        <v>49</v>
      </c>
      <c r="T2121" s="3">
        <v>0.84</v>
      </c>
      <c r="U2121" s="3">
        <v>0.23</v>
      </c>
      <c r="V2121" s="3">
        <v>0.94</v>
      </c>
      <c r="W2121">
        <v>0.49</v>
      </c>
      <c r="X2121" t="s">
        <v>50</v>
      </c>
      <c r="Y2121" s="3">
        <v>16.43</v>
      </c>
      <c r="Z2121" t="s">
        <v>9850</v>
      </c>
      <c r="AA2121" t="s">
        <v>1652</v>
      </c>
      <c r="AB2121" t="s">
        <v>53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s="3">
        <f t="shared" si="66"/>
        <v>18.440000000000001</v>
      </c>
      <c r="AK2121" s="3">
        <f t="shared" si="67"/>
        <v>2.0100000000000016</v>
      </c>
    </row>
    <row r="2122" spans="1:37">
      <c r="A2122">
        <v>10390573</v>
      </c>
      <c r="B2122" t="s">
        <v>37</v>
      </c>
      <c r="C2122" t="s">
        <v>13713</v>
      </c>
      <c r="E2122" t="s">
        <v>13714</v>
      </c>
      <c r="F2122" t="s">
        <v>10927</v>
      </c>
      <c r="G2122" t="s">
        <v>13715</v>
      </c>
      <c r="H2122" t="s">
        <v>42</v>
      </c>
      <c r="I2122" t="s">
        <v>13716</v>
      </c>
      <c r="J2122" t="s">
        <v>13717</v>
      </c>
      <c r="K2122">
        <v>1010</v>
      </c>
      <c r="L2122" t="s">
        <v>618</v>
      </c>
      <c r="M2122" t="s">
        <v>46</v>
      </c>
      <c r="N2122" t="s">
        <v>47</v>
      </c>
      <c r="O2122">
        <v>2</v>
      </c>
      <c r="P2122">
        <v>1</v>
      </c>
      <c r="Q2122">
        <v>2</v>
      </c>
      <c r="R2122" t="s">
        <v>48</v>
      </c>
      <c r="S2122" t="s">
        <v>49</v>
      </c>
      <c r="T2122" s="3">
        <v>0.84</v>
      </c>
      <c r="U2122" s="3">
        <v>0.23</v>
      </c>
      <c r="V2122" s="3">
        <v>1.81</v>
      </c>
      <c r="W2122">
        <v>0.78</v>
      </c>
      <c r="X2122" t="s">
        <v>50</v>
      </c>
      <c r="Y2122" s="3">
        <v>9.1999999999999993</v>
      </c>
      <c r="Z2122" t="s">
        <v>9850</v>
      </c>
      <c r="AA2122" t="s">
        <v>13718</v>
      </c>
      <c r="AB2122" t="s">
        <v>53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f t="shared" si="66"/>
        <v>12.08</v>
      </c>
      <c r="AK2122" s="3">
        <f t="shared" si="67"/>
        <v>2.8800000000000008</v>
      </c>
    </row>
    <row r="2123" spans="1:37">
      <c r="A2123">
        <v>10391497</v>
      </c>
      <c r="B2123" t="s">
        <v>37</v>
      </c>
      <c r="C2123" t="s">
        <v>13719</v>
      </c>
      <c r="E2123" t="s">
        <v>13720</v>
      </c>
      <c r="F2123" t="s">
        <v>13721</v>
      </c>
      <c r="G2123" t="s">
        <v>13722</v>
      </c>
      <c r="H2123" t="s">
        <v>42</v>
      </c>
      <c r="I2123" t="s">
        <v>13723</v>
      </c>
      <c r="J2123" t="s">
        <v>13724</v>
      </c>
      <c r="K2123">
        <v>79111</v>
      </c>
      <c r="L2123" t="s">
        <v>71</v>
      </c>
      <c r="M2123" t="s">
        <v>46</v>
      </c>
      <c r="N2123" t="s">
        <v>47</v>
      </c>
      <c r="O2123">
        <v>1</v>
      </c>
      <c r="P2123">
        <v>1</v>
      </c>
      <c r="Q2123">
        <v>1</v>
      </c>
      <c r="R2123" t="s">
        <v>48</v>
      </c>
      <c r="S2123" t="s">
        <v>49</v>
      </c>
      <c r="T2123" s="3">
        <v>0.84</v>
      </c>
      <c r="U2123" s="3">
        <v>0.23</v>
      </c>
      <c r="V2123" s="3">
        <v>0.94</v>
      </c>
      <c r="W2123">
        <v>1.02</v>
      </c>
      <c r="X2123" t="s">
        <v>108</v>
      </c>
      <c r="Y2123" s="3">
        <v>5.14</v>
      </c>
      <c r="Z2123" t="s">
        <v>9686</v>
      </c>
      <c r="AA2123" t="s">
        <v>9992</v>
      </c>
      <c r="AB2123" t="s">
        <v>53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f t="shared" si="66"/>
        <v>7.15</v>
      </c>
      <c r="AK2123" s="3">
        <f t="shared" si="67"/>
        <v>2.0100000000000007</v>
      </c>
    </row>
    <row r="2124" spans="1:37">
      <c r="A2124">
        <v>10391066</v>
      </c>
      <c r="B2124" t="s">
        <v>37</v>
      </c>
      <c r="C2124" t="s">
        <v>13725</v>
      </c>
      <c r="E2124" t="s">
        <v>731</v>
      </c>
      <c r="F2124" t="s">
        <v>13726</v>
      </c>
      <c r="G2124" t="s">
        <v>13727</v>
      </c>
      <c r="H2124" t="s">
        <v>42</v>
      </c>
      <c r="I2124" t="s">
        <v>13728</v>
      </c>
      <c r="J2124" t="s">
        <v>13729</v>
      </c>
      <c r="K2124">
        <v>22307</v>
      </c>
      <c r="L2124" t="s">
        <v>71</v>
      </c>
      <c r="M2124" t="s">
        <v>46</v>
      </c>
      <c r="N2124" t="s">
        <v>47</v>
      </c>
      <c r="O2124">
        <v>2</v>
      </c>
      <c r="P2124">
        <v>1</v>
      </c>
      <c r="Q2124">
        <v>2</v>
      </c>
      <c r="R2124" t="s">
        <v>48</v>
      </c>
      <c r="S2124" t="s">
        <v>49</v>
      </c>
      <c r="T2124" s="3">
        <v>0.84</v>
      </c>
      <c r="U2124" s="3">
        <v>0.23</v>
      </c>
      <c r="V2124" s="3">
        <v>1.81</v>
      </c>
      <c r="W2124">
        <v>0.78</v>
      </c>
      <c r="X2124" t="s">
        <v>108</v>
      </c>
      <c r="Y2124" s="3">
        <v>5.14</v>
      </c>
      <c r="Z2124" t="s">
        <v>9850</v>
      </c>
      <c r="AA2124" t="s">
        <v>4902</v>
      </c>
      <c r="AB2124" t="s">
        <v>53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f t="shared" si="66"/>
        <v>8.02</v>
      </c>
      <c r="AK2124" s="3">
        <f t="shared" si="67"/>
        <v>2.88</v>
      </c>
    </row>
    <row r="2125" spans="1:37">
      <c r="A2125">
        <v>10391945</v>
      </c>
      <c r="B2125" t="s">
        <v>37</v>
      </c>
      <c r="C2125" t="s">
        <v>13730</v>
      </c>
      <c r="E2125" t="s">
        <v>146</v>
      </c>
      <c r="F2125" t="s">
        <v>13731</v>
      </c>
      <c r="G2125" t="s">
        <v>13732</v>
      </c>
      <c r="H2125" t="s">
        <v>42</v>
      </c>
      <c r="I2125" t="s">
        <v>13733</v>
      </c>
      <c r="J2125" t="s">
        <v>13734</v>
      </c>
      <c r="K2125" t="s">
        <v>13735</v>
      </c>
      <c r="L2125" t="s">
        <v>142</v>
      </c>
      <c r="M2125" t="s">
        <v>46</v>
      </c>
      <c r="N2125" t="s">
        <v>47</v>
      </c>
      <c r="O2125">
        <v>1</v>
      </c>
      <c r="P2125">
        <v>1</v>
      </c>
      <c r="Q2125">
        <v>1</v>
      </c>
      <c r="R2125" t="s">
        <v>48</v>
      </c>
      <c r="S2125" t="s">
        <v>49</v>
      </c>
      <c r="T2125" s="3">
        <v>0.84</v>
      </c>
      <c r="U2125" s="3">
        <v>0.23</v>
      </c>
      <c r="V2125" s="3">
        <v>0.94</v>
      </c>
      <c r="W2125">
        <v>0.49</v>
      </c>
      <c r="X2125" t="s">
        <v>50</v>
      </c>
      <c r="Y2125" s="3">
        <v>16.43</v>
      </c>
      <c r="Z2125" t="s">
        <v>9850</v>
      </c>
      <c r="AA2125" t="s">
        <v>10333</v>
      </c>
      <c r="AB2125" t="s">
        <v>53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f t="shared" si="66"/>
        <v>18.440000000000001</v>
      </c>
      <c r="AK2125" s="3">
        <f t="shared" si="67"/>
        <v>2.0100000000000016</v>
      </c>
    </row>
    <row r="2126" spans="1:37">
      <c r="A2126">
        <v>10391062</v>
      </c>
      <c r="B2126" t="s">
        <v>37</v>
      </c>
      <c r="C2126" t="s">
        <v>13736</v>
      </c>
      <c r="E2126" t="s">
        <v>3705</v>
      </c>
      <c r="F2126" t="s">
        <v>13737</v>
      </c>
      <c r="G2126" t="s">
        <v>13738</v>
      </c>
      <c r="H2126" t="s">
        <v>42</v>
      </c>
      <c r="I2126" t="s">
        <v>13739</v>
      </c>
      <c r="J2126" t="s">
        <v>13740</v>
      </c>
      <c r="K2126">
        <v>88074</v>
      </c>
      <c r="L2126" t="s">
        <v>71</v>
      </c>
      <c r="M2126" t="s">
        <v>46</v>
      </c>
      <c r="N2126" t="s">
        <v>47</v>
      </c>
      <c r="O2126">
        <v>2</v>
      </c>
      <c r="P2126">
        <v>1</v>
      </c>
      <c r="Q2126">
        <v>2</v>
      </c>
      <c r="R2126" t="s">
        <v>48</v>
      </c>
      <c r="S2126" t="s">
        <v>49</v>
      </c>
      <c r="T2126" s="3">
        <v>0.84</v>
      </c>
      <c r="U2126" s="3">
        <v>0.23</v>
      </c>
      <c r="V2126" s="3">
        <v>1.81</v>
      </c>
      <c r="W2126">
        <v>0.3</v>
      </c>
      <c r="X2126" t="s">
        <v>108</v>
      </c>
      <c r="Y2126" s="3">
        <v>5.14</v>
      </c>
      <c r="Z2126" t="s">
        <v>9850</v>
      </c>
      <c r="AA2126" t="s">
        <v>13741</v>
      </c>
      <c r="AB2126" t="s">
        <v>53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f t="shared" si="66"/>
        <v>8.02</v>
      </c>
      <c r="AK2126" s="3">
        <f t="shared" si="67"/>
        <v>2.88</v>
      </c>
    </row>
    <row r="2127" spans="1:37">
      <c r="A2127">
        <v>10390582</v>
      </c>
      <c r="B2127" t="s">
        <v>37</v>
      </c>
      <c r="C2127" t="s">
        <v>13742</v>
      </c>
      <c r="E2127" t="s">
        <v>11460</v>
      </c>
      <c r="F2127" t="s">
        <v>13743</v>
      </c>
      <c r="G2127" t="s">
        <v>13744</v>
      </c>
      <c r="H2127" t="s">
        <v>42</v>
      </c>
      <c r="I2127" t="s">
        <v>13745</v>
      </c>
      <c r="J2127" t="s">
        <v>13746</v>
      </c>
      <c r="K2127">
        <v>46354</v>
      </c>
      <c r="L2127" t="s">
        <v>71</v>
      </c>
      <c r="M2127" t="s">
        <v>46</v>
      </c>
      <c r="N2127" t="s">
        <v>47</v>
      </c>
      <c r="O2127">
        <v>1</v>
      </c>
      <c r="P2127">
        <v>1</v>
      </c>
      <c r="Q2127">
        <v>1</v>
      </c>
      <c r="R2127" t="s">
        <v>48</v>
      </c>
      <c r="S2127" t="s">
        <v>49</v>
      </c>
      <c r="T2127" s="3">
        <v>0.84</v>
      </c>
      <c r="U2127" s="3">
        <v>0.23</v>
      </c>
      <c r="V2127" s="3">
        <v>0.94</v>
      </c>
      <c r="W2127">
        <v>0.15</v>
      </c>
      <c r="X2127" t="s">
        <v>108</v>
      </c>
      <c r="Y2127" s="3">
        <v>5.14</v>
      </c>
      <c r="Z2127" t="s">
        <v>9850</v>
      </c>
      <c r="AA2127" t="s">
        <v>6464</v>
      </c>
      <c r="AB2127" t="s">
        <v>53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f t="shared" si="66"/>
        <v>7.15</v>
      </c>
      <c r="AK2127" s="3">
        <f t="shared" si="67"/>
        <v>2.0100000000000007</v>
      </c>
    </row>
    <row r="2128" spans="1:37">
      <c r="A2128">
        <v>10390575</v>
      </c>
      <c r="B2128" t="s">
        <v>37</v>
      </c>
      <c r="C2128" t="s">
        <v>13747</v>
      </c>
      <c r="E2128" t="s">
        <v>1101</v>
      </c>
      <c r="F2128" t="s">
        <v>12888</v>
      </c>
      <c r="G2128" t="s">
        <v>13748</v>
      </c>
      <c r="H2128" t="s">
        <v>42</v>
      </c>
      <c r="I2128" t="s">
        <v>13749</v>
      </c>
      <c r="J2128" t="s">
        <v>13750</v>
      </c>
      <c r="K2128">
        <v>71229</v>
      </c>
      <c r="L2128" t="s">
        <v>71</v>
      </c>
      <c r="M2128" t="s">
        <v>46</v>
      </c>
      <c r="N2128" t="s">
        <v>47</v>
      </c>
      <c r="O2128">
        <v>2</v>
      </c>
      <c r="P2128">
        <v>1</v>
      </c>
      <c r="Q2128">
        <v>2</v>
      </c>
      <c r="R2128" t="s">
        <v>48</v>
      </c>
      <c r="S2128" t="s">
        <v>49</v>
      </c>
      <c r="T2128" s="3">
        <v>0.84</v>
      </c>
      <c r="U2128" s="3">
        <v>0.23</v>
      </c>
      <c r="V2128" s="3">
        <v>1.81</v>
      </c>
      <c r="W2128">
        <v>1.04</v>
      </c>
      <c r="X2128" t="s">
        <v>108</v>
      </c>
      <c r="Y2128" s="3">
        <v>5.14</v>
      </c>
      <c r="Z2128" t="s">
        <v>9686</v>
      </c>
      <c r="AA2128" t="s">
        <v>13751</v>
      </c>
      <c r="AB2128" t="s">
        <v>53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f t="shared" si="66"/>
        <v>8.02</v>
      </c>
      <c r="AK2128" s="3">
        <f t="shared" si="67"/>
        <v>2.88</v>
      </c>
    </row>
    <row r="2129" spans="1:37">
      <c r="A2129">
        <v>10392558</v>
      </c>
      <c r="B2129" t="s">
        <v>37</v>
      </c>
      <c r="C2129" t="s">
        <v>13752</v>
      </c>
      <c r="E2129" t="s">
        <v>13753</v>
      </c>
      <c r="F2129" t="s">
        <v>13754</v>
      </c>
      <c r="G2129" t="s">
        <v>13755</v>
      </c>
      <c r="H2129" t="s">
        <v>42</v>
      </c>
      <c r="I2129" t="s">
        <v>13756</v>
      </c>
      <c r="J2129" t="s">
        <v>13757</v>
      </c>
      <c r="K2129">
        <v>26123</v>
      </c>
      <c r="L2129" t="s">
        <v>71</v>
      </c>
      <c r="M2129" t="s">
        <v>46</v>
      </c>
      <c r="N2129" t="s">
        <v>47</v>
      </c>
      <c r="O2129">
        <v>1</v>
      </c>
      <c r="P2129">
        <v>1</v>
      </c>
      <c r="Q2129">
        <v>1</v>
      </c>
      <c r="R2129" t="s">
        <v>48</v>
      </c>
      <c r="S2129" t="s">
        <v>49</v>
      </c>
      <c r="T2129" s="3">
        <v>0.84</v>
      </c>
      <c r="U2129" s="3">
        <v>0.23</v>
      </c>
      <c r="V2129" s="3">
        <v>0.94</v>
      </c>
      <c r="W2129">
        <v>0.39</v>
      </c>
      <c r="X2129" t="s">
        <v>108</v>
      </c>
      <c r="Y2129" s="3">
        <v>5.14</v>
      </c>
      <c r="Z2129" t="s">
        <v>9850</v>
      </c>
      <c r="AA2129" t="s">
        <v>4279</v>
      </c>
      <c r="AB2129" t="s">
        <v>53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f t="shared" si="66"/>
        <v>7.15</v>
      </c>
      <c r="AK2129" s="3">
        <f t="shared" si="67"/>
        <v>2.0100000000000007</v>
      </c>
    </row>
    <row r="2130" spans="1:37">
      <c r="A2130">
        <v>10389685</v>
      </c>
      <c r="B2130" t="s">
        <v>37</v>
      </c>
      <c r="C2130" t="s">
        <v>13758</v>
      </c>
      <c r="E2130" t="s">
        <v>13759</v>
      </c>
      <c r="F2130" t="s">
        <v>13760</v>
      </c>
      <c r="G2130" t="s">
        <v>13761</v>
      </c>
      <c r="H2130" t="s">
        <v>42</v>
      </c>
      <c r="I2130" t="s">
        <v>13762</v>
      </c>
      <c r="J2130" t="s">
        <v>13763</v>
      </c>
      <c r="K2130">
        <v>8211</v>
      </c>
      <c r="L2130" t="s">
        <v>505</v>
      </c>
      <c r="M2130" t="s">
        <v>46</v>
      </c>
      <c r="N2130" t="s">
        <v>47</v>
      </c>
      <c r="O2130">
        <v>2</v>
      </c>
      <c r="P2130">
        <v>1</v>
      </c>
      <c r="Q2130">
        <v>2</v>
      </c>
      <c r="R2130" t="s">
        <v>48</v>
      </c>
      <c r="S2130" t="s">
        <v>49</v>
      </c>
      <c r="T2130" s="3">
        <v>0.84</v>
      </c>
      <c r="U2130" s="3">
        <v>0.23</v>
      </c>
      <c r="V2130" s="3">
        <v>1.81</v>
      </c>
      <c r="W2130">
        <v>0.78</v>
      </c>
      <c r="X2130" t="s">
        <v>50</v>
      </c>
      <c r="Y2130" s="3">
        <v>9.1999999999999993</v>
      </c>
      <c r="Z2130" t="s">
        <v>9850</v>
      </c>
      <c r="AA2130" t="s">
        <v>1849</v>
      </c>
      <c r="AB2130" t="s">
        <v>53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f t="shared" si="66"/>
        <v>12.08</v>
      </c>
      <c r="AK2130" s="3">
        <f t="shared" si="67"/>
        <v>2.8800000000000008</v>
      </c>
    </row>
    <row r="2131" spans="1:37">
      <c r="A2131">
        <v>10389968</v>
      </c>
      <c r="B2131" t="s">
        <v>37</v>
      </c>
      <c r="C2131" t="s">
        <v>13764</v>
      </c>
      <c r="E2131" t="s">
        <v>13765</v>
      </c>
      <c r="F2131" t="s">
        <v>13766</v>
      </c>
      <c r="G2131" t="s">
        <v>13767</v>
      </c>
      <c r="H2131" t="s">
        <v>42</v>
      </c>
      <c r="I2131" t="s">
        <v>13768</v>
      </c>
      <c r="J2131" t="s">
        <v>13769</v>
      </c>
      <c r="K2131">
        <v>81667</v>
      </c>
      <c r="L2131" t="s">
        <v>71</v>
      </c>
      <c r="M2131" t="s">
        <v>46</v>
      </c>
      <c r="N2131" t="s">
        <v>47</v>
      </c>
      <c r="O2131">
        <v>1</v>
      </c>
      <c r="P2131">
        <v>1</v>
      </c>
      <c r="Q2131">
        <v>1</v>
      </c>
      <c r="R2131" t="s">
        <v>48</v>
      </c>
      <c r="S2131" t="s">
        <v>49</v>
      </c>
      <c r="T2131" s="3">
        <v>0.84</v>
      </c>
      <c r="U2131" s="3">
        <v>0.23</v>
      </c>
      <c r="V2131" s="3">
        <v>0.94</v>
      </c>
      <c r="W2131">
        <v>0.39</v>
      </c>
      <c r="X2131" t="s">
        <v>108</v>
      </c>
      <c r="Y2131" s="3">
        <v>5.14</v>
      </c>
      <c r="Z2131" t="s">
        <v>9850</v>
      </c>
      <c r="AA2131" t="s">
        <v>1802</v>
      </c>
      <c r="AB2131" t="s">
        <v>53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f t="shared" si="66"/>
        <v>7.15</v>
      </c>
      <c r="AK2131" s="3">
        <f t="shared" si="67"/>
        <v>2.0100000000000007</v>
      </c>
    </row>
    <row r="2132" spans="1:37">
      <c r="A2132">
        <v>10390579</v>
      </c>
      <c r="B2132" t="s">
        <v>37</v>
      </c>
      <c r="C2132" t="s">
        <v>13770</v>
      </c>
      <c r="E2132" t="s">
        <v>547</v>
      </c>
      <c r="F2132" t="s">
        <v>13771</v>
      </c>
      <c r="G2132" t="s">
        <v>13772</v>
      </c>
      <c r="H2132" t="s">
        <v>42</v>
      </c>
      <c r="I2132" t="s">
        <v>13773</v>
      </c>
      <c r="J2132" t="s">
        <v>13774</v>
      </c>
      <c r="K2132" t="s">
        <v>13775</v>
      </c>
      <c r="L2132" t="s">
        <v>142</v>
      </c>
      <c r="M2132" t="s">
        <v>46</v>
      </c>
      <c r="N2132" t="s">
        <v>47</v>
      </c>
      <c r="O2132">
        <v>2</v>
      </c>
      <c r="P2132">
        <v>1</v>
      </c>
      <c r="Q2132">
        <v>2</v>
      </c>
      <c r="R2132" t="s">
        <v>48</v>
      </c>
      <c r="S2132" t="s">
        <v>49</v>
      </c>
      <c r="T2132" s="3">
        <v>0.84</v>
      </c>
      <c r="U2132" s="3">
        <v>0.23</v>
      </c>
      <c r="V2132" s="3">
        <v>1.81</v>
      </c>
      <c r="W2132">
        <v>0.78</v>
      </c>
      <c r="X2132" t="s">
        <v>50</v>
      </c>
      <c r="Y2132" s="3">
        <v>16.43</v>
      </c>
      <c r="Z2132" t="s">
        <v>9850</v>
      </c>
      <c r="AA2132" t="s">
        <v>13776</v>
      </c>
      <c r="AB2132" t="s">
        <v>53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f t="shared" si="66"/>
        <v>19.309999999999999</v>
      </c>
      <c r="AK2132" s="3">
        <f t="shared" si="67"/>
        <v>2.879999999999999</v>
      </c>
    </row>
    <row r="2133" spans="1:37">
      <c r="A2133">
        <v>10392293</v>
      </c>
      <c r="B2133" t="s">
        <v>37</v>
      </c>
      <c r="C2133" t="s">
        <v>13777</v>
      </c>
      <c r="E2133" t="s">
        <v>13778</v>
      </c>
      <c r="F2133" t="s">
        <v>13779</v>
      </c>
      <c r="G2133" t="s">
        <v>13780</v>
      </c>
      <c r="H2133" t="s">
        <v>42</v>
      </c>
      <c r="I2133" t="s">
        <v>13781</v>
      </c>
      <c r="J2133" t="s">
        <v>13782</v>
      </c>
      <c r="K2133">
        <v>1020</v>
      </c>
      <c r="L2133" t="s">
        <v>618</v>
      </c>
      <c r="M2133" t="s">
        <v>46</v>
      </c>
      <c r="N2133" t="s">
        <v>47</v>
      </c>
      <c r="O2133">
        <v>1</v>
      </c>
      <c r="P2133">
        <v>1</v>
      </c>
      <c r="Q2133">
        <v>1</v>
      </c>
      <c r="R2133" t="s">
        <v>48</v>
      </c>
      <c r="S2133" t="s">
        <v>49</v>
      </c>
      <c r="T2133" s="3">
        <v>0.84</v>
      </c>
      <c r="U2133" s="3">
        <v>0.23</v>
      </c>
      <c r="V2133" s="3">
        <v>0.94</v>
      </c>
      <c r="W2133">
        <v>0.26</v>
      </c>
      <c r="X2133" t="s">
        <v>50</v>
      </c>
      <c r="Y2133" s="3">
        <v>9.1999999999999993</v>
      </c>
      <c r="Z2133" t="s">
        <v>9686</v>
      </c>
      <c r="AA2133" t="s">
        <v>6634</v>
      </c>
      <c r="AB2133" t="s">
        <v>53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f t="shared" si="66"/>
        <v>11.209999999999999</v>
      </c>
      <c r="AK2133" s="3">
        <f t="shared" si="67"/>
        <v>2.0099999999999998</v>
      </c>
    </row>
    <row r="2134" spans="1:37">
      <c r="A2134">
        <v>10389973</v>
      </c>
      <c r="B2134" t="s">
        <v>37</v>
      </c>
      <c r="C2134" t="s">
        <v>13783</v>
      </c>
      <c r="E2134" t="s">
        <v>13784</v>
      </c>
      <c r="F2134" t="s">
        <v>321</v>
      </c>
      <c r="G2134" t="s">
        <v>13785</v>
      </c>
      <c r="H2134" t="s">
        <v>42</v>
      </c>
      <c r="I2134" t="s">
        <v>13786</v>
      </c>
      <c r="J2134" t="s">
        <v>13787</v>
      </c>
      <c r="K2134" t="s">
        <v>13788</v>
      </c>
      <c r="L2134" t="s">
        <v>142</v>
      </c>
      <c r="M2134" t="s">
        <v>46</v>
      </c>
      <c r="N2134" t="s">
        <v>47</v>
      </c>
      <c r="O2134">
        <v>2</v>
      </c>
      <c r="P2134">
        <v>1</v>
      </c>
      <c r="Q2134">
        <v>2</v>
      </c>
      <c r="R2134" t="s">
        <v>48</v>
      </c>
      <c r="S2134" t="s">
        <v>49</v>
      </c>
      <c r="T2134" s="3">
        <v>0.84</v>
      </c>
      <c r="U2134" s="3">
        <v>0.23</v>
      </c>
      <c r="V2134" s="3">
        <v>1.81</v>
      </c>
      <c r="W2134">
        <v>0.98</v>
      </c>
      <c r="X2134" t="s">
        <v>50</v>
      </c>
      <c r="Y2134" s="3">
        <v>16.43</v>
      </c>
      <c r="Z2134" t="s">
        <v>9850</v>
      </c>
      <c r="AA2134" t="s">
        <v>13789</v>
      </c>
      <c r="AB2134" t="s">
        <v>53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f t="shared" si="66"/>
        <v>19.309999999999999</v>
      </c>
      <c r="AK2134" s="3">
        <f t="shared" si="67"/>
        <v>2.879999999999999</v>
      </c>
    </row>
    <row r="2135" spans="1:37">
      <c r="A2135">
        <v>10389958</v>
      </c>
      <c r="B2135" t="s">
        <v>37</v>
      </c>
      <c r="C2135" t="s">
        <v>13790</v>
      </c>
      <c r="E2135" t="s">
        <v>437</v>
      </c>
      <c r="F2135" t="s">
        <v>1991</v>
      </c>
      <c r="G2135" t="s">
        <v>13791</v>
      </c>
      <c r="H2135" t="s">
        <v>42</v>
      </c>
      <c r="I2135" t="s">
        <v>13792</v>
      </c>
      <c r="J2135" t="s">
        <v>13793</v>
      </c>
      <c r="K2135" t="s">
        <v>13794</v>
      </c>
      <c r="L2135" t="s">
        <v>71</v>
      </c>
      <c r="M2135" t="s">
        <v>46</v>
      </c>
      <c r="N2135" t="s">
        <v>47</v>
      </c>
      <c r="O2135">
        <v>1</v>
      </c>
      <c r="P2135">
        <v>1</v>
      </c>
      <c r="Q2135">
        <v>1</v>
      </c>
      <c r="R2135" t="s">
        <v>48</v>
      </c>
      <c r="S2135" t="s">
        <v>49</v>
      </c>
      <c r="T2135" s="3">
        <v>0.84</v>
      </c>
      <c r="U2135" s="3">
        <v>0.23</v>
      </c>
      <c r="V2135" s="3">
        <v>0.94</v>
      </c>
      <c r="W2135">
        <v>0.15</v>
      </c>
      <c r="X2135" t="s">
        <v>108</v>
      </c>
      <c r="Y2135" s="3">
        <v>5.14</v>
      </c>
      <c r="Z2135" t="s">
        <v>9850</v>
      </c>
      <c r="AA2135" t="s">
        <v>9271</v>
      </c>
      <c r="AB2135" t="s">
        <v>53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f t="shared" si="66"/>
        <v>7.15</v>
      </c>
      <c r="AK2135" s="3">
        <f t="shared" si="67"/>
        <v>2.0100000000000007</v>
      </c>
    </row>
    <row r="2136" spans="1:37">
      <c r="A2136">
        <v>10391499</v>
      </c>
      <c r="B2136" t="s">
        <v>37</v>
      </c>
      <c r="C2136" t="s">
        <v>13795</v>
      </c>
      <c r="E2136" t="s">
        <v>13714</v>
      </c>
      <c r="F2136" t="s">
        <v>13796</v>
      </c>
      <c r="G2136" t="s">
        <v>13797</v>
      </c>
      <c r="H2136" t="s">
        <v>42</v>
      </c>
      <c r="I2136" t="s">
        <v>13798</v>
      </c>
      <c r="J2136" t="s">
        <v>13799</v>
      </c>
      <c r="K2136">
        <v>80336</v>
      </c>
      <c r="L2136" t="s">
        <v>71</v>
      </c>
      <c r="M2136" t="s">
        <v>46</v>
      </c>
      <c r="N2136" t="s">
        <v>47</v>
      </c>
      <c r="O2136">
        <v>2</v>
      </c>
      <c r="P2136">
        <v>1</v>
      </c>
      <c r="Q2136">
        <v>2</v>
      </c>
      <c r="R2136" t="s">
        <v>48</v>
      </c>
      <c r="S2136" t="s">
        <v>49</v>
      </c>
      <c r="T2136" s="3">
        <v>0.84</v>
      </c>
      <c r="U2136" s="3">
        <v>0.23</v>
      </c>
      <c r="V2136" s="3">
        <v>1.81</v>
      </c>
      <c r="W2136">
        <v>0.98</v>
      </c>
      <c r="X2136" t="s">
        <v>108</v>
      </c>
      <c r="Y2136" s="3">
        <v>5.14</v>
      </c>
      <c r="Z2136" t="s">
        <v>9850</v>
      </c>
      <c r="AA2136" t="s">
        <v>13800</v>
      </c>
      <c r="AB2136" t="s">
        <v>53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f t="shared" si="66"/>
        <v>8.02</v>
      </c>
      <c r="AK2136" s="3">
        <f t="shared" si="67"/>
        <v>2.88</v>
      </c>
    </row>
    <row r="2137" spans="1:37">
      <c r="A2137">
        <v>10389689</v>
      </c>
      <c r="B2137" t="s">
        <v>37</v>
      </c>
      <c r="C2137" t="s">
        <v>13801</v>
      </c>
      <c r="E2137" t="s">
        <v>13802</v>
      </c>
      <c r="F2137" t="s">
        <v>13803</v>
      </c>
      <c r="G2137" t="s">
        <v>13804</v>
      </c>
      <c r="H2137" t="s">
        <v>42</v>
      </c>
      <c r="I2137" t="s">
        <v>13805</v>
      </c>
      <c r="J2137" t="s">
        <v>13806</v>
      </c>
      <c r="K2137">
        <v>56332</v>
      </c>
      <c r="L2137" t="s">
        <v>71</v>
      </c>
      <c r="M2137" t="s">
        <v>46</v>
      </c>
      <c r="N2137" t="s">
        <v>47</v>
      </c>
      <c r="O2137">
        <v>2</v>
      </c>
      <c r="P2137">
        <v>1</v>
      </c>
      <c r="Q2137">
        <v>2</v>
      </c>
      <c r="R2137" t="s">
        <v>48</v>
      </c>
      <c r="S2137" t="s">
        <v>49</v>
      </c>
      <c r="T2137" s="3">
        <v>0.84</v>
      </c>
      <c r="U2137" s="3">
        <v>0.23</v>
      </c>
      <c r="V2137" s="3">
        <v>1.81</v>
      </c>
      <c r="W2137">
        <v>0.3</v>
      </c>
      <c r="X2137" t="s">
        <v>108</v>
      </c>
      <c r="Y2137" s="3">
        <v>5.14</v>
      </c>
      <c r="Z2137" t="s">
        <v>9850</v>
      </c>
      <c r="AA2137" t="s">
        <v>9271</v>
      </c>
      <c r="AB2137" t="s">
        <v>53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f t="shared" si="66"/>
        <v>8.02</v>
      </c>
      <c r="AK2137" s="3">
        <f t="shared" si="67"/>
        <v>2.88</v>
      </c>
    </row>
    <row r="2138" spans="1:37">
      <c r="A2138">
        <v>10389972</v>
      </c>
      <c r="B2138" t="s">
        <v>37</v>
      </c>
      <c r="C2138" t="s">
        <v>13807</v>
      </c>
      <c r="E2138" t="s">
        <v>13808</v>
      </c>
      <c r="F2138" t="s">
        <v>13809</v>
      </c>
      <c r="G2138" t="s">
        <v>13810</v>
      </c>
      <c r="H2138" t="s">
        <v>42</v>
      </c>
      <c r="I2138" t="s">
        <v>13811</v>
      </c>
      <c r="J2138" t="s">
        <v>13812</v>
      </c>
      <c r="K2138">
        <v>21397</v>
      </c>
      <c r="L2138" t="s">
        <v>71</v>
      </c>
      <c r="M2138" t="s">
        <v>46</v>
      </c>
      <c r="N2138" t="s">
        <v>47</v>
      </c>
      <c r="O2138">
        <v>1</v>
      </c>
      <c r="P2138">
        <v>1</v>
      </c>
      <c r="Q2138">
        <v>1</v>
      </c>
      <c r="R2138" t="s">
        <v>48</v>
      </c>
      <c r="S2138" t="s">
        <v>49</v>
      </c>
      <c r="T2138" s="3">
        <v>0.84</v>
      </c>
      <c r="U2138" s="3">
        <v>0.23</v>
      </c>
      <c r="V2138" s="3">
        <v>0.94</v>
      </c>
      <c r="W2138">
        <v>0.15</v>
      </c>
      <c r="X2138" t="s">
        <v>108</v>
      </c>
      <c r="Y2138" s="3">
        <v>5.14</v>
      </c>
      <c r="Z2138" t="s">
        <v>9850</v>
      </c>
      <c r="AA2138" t="s">
        <v>9271</v>
      </c>
      <c r="AB2138" t="s">
        <v>53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f t="shared" si="66"/>
        <v>7.15</v>
      </c>
      <c r="AK2138" s="3">
        <f t="shared" si="67"/>
        <v>2.0100000000000007</v>
      </c>
    </row>
    <row r="2139" spans="1:37">
      <c r="A2139">
        <v>10391501</v>
      </c>
      <c r="B2139" t="s">
        <v>37</v>
      </c>
      <c r="C2139" t="s">
        <v>13813</v>
      </c>
      <c r="E2139" t="s">
        <v>1462</v>
      </c>
      <c r="F2139" t="s">
        <v>13814</v>
      </c>
      <c r="G2139" t="s">
        <v>13815</v>
      </c>
      <c r="H2139" t="s">
        <v>42</v>
      </c>
      <c r="I2139" t="s">
        <v>13816</v>
      </c>
      <c r="J2139" t="s">
        <v>13817</v>
      </c>
      <c r="K2139">
        <v>91356</v>
      </c>
      <c r="L2139" t="s">
        <v>71</v>
      </c>
      <c r="M2139" t="s">
        <v>46</v>
      </c>
      <c r="N2139" t="s">
        <v>47</v>
      </c>
      <c r="O2139">
        <v>2</v>
      </c>
      <c r="P2139">
        <v>1</v>
      </c>
      <c r="Q2139">
        <v>2</v>
      </c>
      <c r="R2139" t="s">
        <v>48</v>
      </c>
      <c r="S2139" t="s">
        <v>49</v>
      </c>
      <c r="T2139" s="3">
        <v>0.84</v>
      </c>
      <c r="U2139" s="3">
        <v>0.23</v>
      </c>
      <c r="V2139" s="3">
        <v>1.81</v>
      </c>
      <c r="W2139">
        <v>0.3</v>
      </c>
      <c r="X2139" t="s">
        <v>108</v>
      </c>
      <c r="Y2139" s="3">
        <v>5.14</v>
      </c>
      <c r="Z2139" t="s">
        <v>9850</v>
      </c>
      <c r="AA2139" t="s">
        <v>13741</v>
      </c>
      <c r="AB2139" t="s">
        <v>53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f t="shared" si="66"/>
        <v>8.02</v>
      </c>
      <c r="AK2139" s="3">
        <f t="shared" si="67"/>
        <v>2.88</v>
      </c>
    </row>
    <row r="2140" spans="1:37">
      <c r="A2140">
        <v>10390574</v>
      </c>
      <c r="B2140" t="s">
        <v>37</v>
      </c>
      <c r="C2140" t="s">
        <v>13818</v>
      </c>
      <c r="E2140" t="s">
        <v>13819</v>
      </c>
      <c r="F2140" t="s">
        <v>13820</v>
      </c>
      <c r="G2140" t="s">
        <v>13821</v>
      </c>
      <c r="H2140" t="s">
        <v>42</v>
      </c>
      <c r="I2140" t="s">
        <v>13822</v>
      </c>
      <c r="J2140" t="s">
        <v>13823</v>
      </c>
      <c r="K2140">
        <v>90592</v>
      </c>
      <c r="L2140" t="s">
        <v>71</v>
      </c>
      <c r="M2140" t="s">
        <v>46</v>
      </c>
      <c r="N2140" t="s">
        <v>47</v>
      </c>
      <c r="O2140">
        <v>1</v>
      </c>
      <c r="P2140">
        <v>1</v>
      </c>
      <c r="Q2140">
        <v>1</v>
      </c>
      <c r="R2140" t="s">
        <v>48</v>
      </c>
      <c r="S2140" t="s">
        <v>49</v>
      </c>
      <c r="T2140" s="3">
        <v>0.84</v>
      </c>
      <c r="U2140" s="3">
        <v>0.23</v>
      </c>
      <c r="V2140" s="3">
        <v>0.94</v>
      </c>
      <c r="W2140">
        <v>0.15</v>
      </c>
      <c r="X2140" t="s">
        <v>108</v>
      </c>
      <c r="Y2140" s="3">
        <v>6.54</v>
      </c>
      <c r="Z2140" t="s">
        <v>9850</v>
      </c>
      <c r="AA2140" t="s">
        <v>9271</v>
      </c>
      <c r="AB2140" t="s">
        <v>53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f t="shared" si="66"/>
        <v>8.5500000000000007</v>
      </c>
      <c r="AK2140" s="3">
        <f t="shared" si="67"/>
        <v>2.0100000000000007</v>
      </c>
    </row>
    <row r="2141" spans="1:37">
      <c r="A2141">
        <v>10389965</v>
      </c>
      <c r="B2141" t="s">
        <v>37</v>
      </c>
      <c r="C2141" t="s">
        <v>13824</v>
      </c>
      <c r="E2141" t="s">
        <v>13825</v>
      </c>
      <c r="F2141" t="s">
        <v>13826</v>
      </c>
      <c r="G2141" t="s">
        <v>13827</v>
      </c>
      <c r="H2141" t="s">
        <v>42</v>
      </c>
      <c r="I2141" t="s">
        <v>13828</v>
      </c>
      <c r="J2141" t="s">
        <v>13829</v>
      </c>
      <c r="K2141">
        <v>73312</v>
      </c>
      <c r="L2141" t="s">
        <v>71</v>
      </c>
      <c r="M2141" t="s">
        <v>46</v>
      </c>
      <c r="N2141" t="s">
        <v>47</v>
      </c>
      <c r="O2141">
        <v>1</v>
      </c>
      <c r="P2141">
        <v>1</v>
      </c>
      <c r="Q2141">
        <v>1</v>
      </c>
      <c r="R2141" t="s">
        <v>48</v>
      </c>
      <c r="S2141" t="s">
        <v>49</v>
      </c>
      <c r="T2141" s="3">
        <v>0.84</v>
      </c>
      <c r="U2141" s="3">
        <v>0.23</v>
      </c>
      <c r="V2141" s="3">
        <v>0.94</v>
      </c>
      <c r="W2141">
        <v>1.6</v>
      </c>
      <c r="X2141" t="s">
        <v>108</v>
      </c>
      <c r="Y2141" s="3">
        <v>5.14</v>
      </c>
      <c r="Z2141" t="s">
        <v>9686</v>
      </c>
      <c r="AA2141" t="s">
        <v>8731</v>
      </c>
      <c r="AB2141" t="s">
        <v>53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f t="shared" si="66"/>
        <v>7.15</v>
      </c>
      <c r="AK2141" s="3">
        <f t="shared" si="67"/>
        <v>2.0100000000000007</v>
      </c>
    </row>
    <row r="2142" spans="1:37">
      <c r="A2142">
        <v>10389677</v>
      </c>
      <c r="B2142" t="s">
        <v>37</v>
      </c>
      <c r="C2142" t="s">
        <v>13830</v>
      </c>
      <c r="E2142" t="s">
        <v>13802</v>
      </c>
      <c r="F2142" t="s">
        <v>13831</v>
      </c>
      <c r="G2142" t="s">
        <v>13832</v>
      </c>
      <c r="H2142" t="s">
        <v>42</v>
      </c>
      <c r="I2142" t="s">
        <v>13833</v>
      </c>
      <c r="J2142" t="s">
        <v>13834</v>
      </c>
      <c r="K2142">
        <v>47799</v>
      </c>
      <c r="L2142" t="s">
        <v>71</v>
      </c>
      <c r="M2142" t="s">
        <v>46</v>
      </c>
      <c r="N2142" t="s">
        <v>47</v>
      </c>
      <c r="O2142">
        <v>1</v>
      </c>
      <c r="P2142">
        <v>1</v>
      </c>
      <c r="Q2142">
        <v>1</v>
      </c>
      <c r="R2142" t="s">
        <v>48</v>
      </c>
      <c r="S2142" t="s">
        <v>49</v>
      </c>
      <c r="T2142" s="3">
        <v>0.84</v>
      </c>
      <c r="U2142" s="3">
        <v>0.23</v>
      </c>
      <c r="V2142" s="3">
        <v>0.94</v>
      </c>
      <c r="W2142">
        <v>1.4</v>
      </c>
      <c r="X2142" t="s">
        <v>108</v>
      </c>
      <c r="Y2142" s="3">
        <v>5.14</v>
      </c>
      <c r="Z2142" t="s">
        <v>9686</v>
      </c>
      <c r="AA2142" t="s">
        <v>1297</v>
      </c>
      <c r="AB2142" t="s">
        <v>53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f t="shared" si="66"/>
        <v>7.15</v>
      </c>
      <c r="AK2142" s="3">
        <f t="shared" si="67"/>
        <v>2.0100000000000007</v>
      </c>
    </row>
    <row r="2143" spans="1:37">
      <c r="A2143">
        <v>10389960</v>
      </c>
      <c r="B2143" t="s">
        <v>37</v>
      </c>
      <c r="C2143" t="s">
        <v>13835</v>
      </c>
      <c r="E2143" t="s">
        <v>1292</v>
      </c>
      <c r="F2143" t="s">
        <v>13836</v>
      </c>
      <c r="G2143" t="s">
        <v>13837</v>
      </c>
      <c r="H2143" t="s">
        <v>42</v>
      </c>
      <c r="I2143" t="s">
        <v>13838</v>
      </c>
      <c r="J2143" t="s">
        <v>13839</v>
      </c>
      <c r="K2143">
        <v>41836</v>
      </c>
      <c r="L2143" t="s">
        <v>71</v>
      </c>
      <c r="M2143" t="s">
        <v>46</v>
      </c>
      <c r="N2143" t="s">
        <v>47</v>
      </c>
      <c r="O2143">
        <v>1</v>
      </c>
      <c r="P2143">
        <v>1</v>
      </c>
      <c r="Q2143">
        <v>1</v>
      </c>
      <c r="R2143" t="s">
        <v>48</v>
      </c>
      <c r="S2143" t="s">
        <v>49</v>
      </c>
      <c r="T2143" s="3">
        <v>0.84</v>
      </c>
      <c r="U2143" s="3">
        <v>0.23</v>
      </c>
      <c r="V2143" s="3">
        <v>0.94</v>
      </c>
      <c r="W2143">
        <v>0.15</v>
      </c>
      <c r="X2143" t="s">
        <v>108</v>
      </c>
      <c r="Y2143" s="3">
        <v>5.14</v>
      </c>
      <c r="Z2143" t="s">
        <v>9850</v>
      </c>
      <c r="AA2143" t="s">
        <v>12391</v>
      </c>
      <c r="AB2143" t="s">
        <v>53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f t="shared" si="66"/>
        <v>7.15</v>
      </c>
      <c r="AK2143" s="3">
        <f t="shared" si="67"/>
        <v>2.0100000000000007</v>
      </c>
    </row>
    <row r="2144" spans="1:37">
      <c r="A2144">
        <v>10391256</v>
      </c>
      <c r="B2144" t="s">
        <v>37</v>
      </c>
      <c r="C2144" t="s">
        <v>13840</v>
      </c>
      <c r="E2144" t="s">
        <v>2424</v>
      </c>
      <c r="F2144" t="s">
        <v>7327</v>
      </c>
      <c r="G2144" t="s">
        <v>13841</v>
      </c>
      <c r="H2144" t="s">
        <v>42</v>
      </c>
      <c r="I2144" t="s">
        <v>13842</v>
      </c>
      <c r="J2144" t="s">
        <v>13843</v>
      </c>
      <c r="K2144">
        <v>12357</v>
      </c>
      <c r="L2144" t="s">
        <v>71</v>
      </c>
      <c r="M2144" t="s">
        <v>46</v>
      </c>
      <c r="N2144" t="s">
        <v>47</v>
      </c>
      <c r="O2144">
        <v>1</v>
      </c>
      <c r="P2144">
        <v>1</v>
      </c>
      <c r="Q2144">
        <v>1</v>
      </c>
      <c r="R2144" t="s">
        <v>48</v>
      </c>
      <c r="S2144" t="s">
        <v>49</v>
      </c>
      <c r="T2144" s="3">
        <v>0.84</v>
      </c>
      <c r="U2144" s="3">
        <v>0.23</v>
      </c>
      <c r="V2144" s="3">
        <v>0.94</v>
      </c>
      <c r="W2144">
        <v>0.39</v>
      </c>
      <c r="X2144" t="s">
        <v>108</v>
      </c>
      <c r="Y2144" s="3">
        <v>5.14</v>
      </c>
      <c r="Z2144" t="s">
        <v>9850</v>
      </c>
      <c r="AA2144" t="s">
        <v>11921</v>
      </c>
      <c r="AB2144" t="s">
        <v>53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f t="shared" si="66"/>
        <v>7.15</v>
      </c>
      <c r="AK2144" s="3">
        <f t="shared" si="67"/>
        <v>2.0100000000000007</v>
      </c>
    </row>
    <row r="2145" spans="1:37">
      <c r="A2145">
        <v>10390277</v>
      </c>
      <c r="B2145" t="s">
        <v>37</v>
      </c>
      <c r="C2145" t="s">
        <v>13844</v>
      </c>
      <c r="E2145" t="s">
        <v>13845</v>
      </c>
      <c r="F2145" t="s">
        <v>13846</v>
      </c>
      <c r="G2145" t="s">
        <v>13847</v>
      </c>
      <c r="H2145" t="s">
        <v>42</v>
      </c>
      <c r="I2145" t="s">
        <v>13848</v>
      </c>
      <c r="J2145" t="s">
        <v>13849</v>
      </c>
      <c r="K2145">
        <v>70599</v>
      </c>
      <c r="L2145" t="s">
        <v>71</v>
      </c>
      <c r="M2145" t="s">
        <v>46</v>
      </c>
      <c r="N2145" t="s">
        <v>47</v>
      </c>
      <c r="O2145">
        <v>1</v>
      </c>
      <c r="P2145">
        <v>1</v>
      </c>
      <c r="Q2145">
        <v>1</v>
      </c>
      <c r="R2145" t="s">
        <v>48</v>
      </c>
      <c r="S2145" t="s">
        <v>49</v>
      </c>
      <c r="T2145" s="3">
        <v>0.84</v>
      </c>
      <c r="U2145" s="3">
        <v>0.23</v>
      </c>
      <c r="V2145" s="3">
        <v>0.94</v>
      </c>
      <c r="W2145">
        <v>0.39</v>
      </c>
      <c r="X2145" t="s">
        <v>108</v>
      </c>
      <c r="Y2145" s="3">
        <v>5.14</v>
      </c>
      <c r="Z2145" t="s">
        <v>9850</v>
      </c>
      <c r="AA2145" t="s">
        <v>714</v>
      </c>
      <c r="AB2145" t="s">
        <v>53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f t="shared" si="66"/>
        <v>7.15</v>
      </c>
      <c r="AK2145" s="3">
        <f t="shared" si="67"/>
        <v>2.0100000000000007</v>
      </c>
    </row>
    <row r="2146" spans="1:37">
      <c r="A2146">
        <v>10390580</v>
      </c>
      <c r="B2146" t="s">
        <v>37</v>
      </c>
      <c r="C2146" t="s">
        <v>13850</v>
      </c>
      <c r="E2146" t="s">
        <v>1578</v>
      </c>
      <c r="F2146" t="s">
        <v>13851</v>
      </c>
      <c r="G2146" t="s">
        <v>13852</v>
      </c>
      <c r="H2146" t="s">
        <v>42</v>
      </c>
      <c r="I2146" t="s">
        <v>13853</v>
      </c>
      <c r="J2146" t="s">
        <v>13854</v>
      </c>
      <c r="K2146" t="s">
        <v>12982</v>
      </c>
      <c r="L2146" t="s">
        <v>71</v>
      </c>
      <c r="M2146" t="s">
        <v>46</v>
      </c>
      <c r="N2146" t="s">
        <v>47</v>
      </c>
      <c r="O2146">
        <v>1</v>
      </c>
      <c r="P2146">
        <v>1</v>
      </c>
      <c r="Q2146">
        <v>1</v>
      </c>
      <c r="R2146" t="s">
        <v>48</v>
      </c>
      <c r="S2146" t="s">
        <v>49</v>
      </c>
      <c r="T2146" s="3">
        <v>0.84</v>
      </c>
      <c r="U2146" s="3">
        <v>0.23</v>
      </c>
      <c r="V2146" s="3">
        <v>0.94</v>
      </c>
      <c r="W2146">
        <v>0.15</v>
      </c>
      <c r="X2146" t="s">
        <v>108</v>
      </c>
      <c r="Y2146" s="3">
        <v>5.14</v>
      </c>
      <c r="Z2146" t="s">
        <v>9850</v>
      </c>
      <c r="AA2146" t="s">
        <v>9271</v>
      </c>
      <c r="AB2146" t="s">
        <v>53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f t="shared" si="66"/>
        <v>7.15</v>
      </c>
      <c r="AK2146" s="3">
        <f t="shared" si="67"/>
        <v>2.0100000000000007</v>
      </c>
    </row>
    <row r="2147" spans="1:37">
      <c r="A2147">
        <v>10389683</v>
      </c>
      <c r="B2147" t="s">
        <v>37</v>
      </c>
      <c r="C2147" t="s">
        <v>13855</v>
      </c>
      <c r="E2147" t="s">
        <v>13856</v>
      </c>
      <c r="F2147" t="s">
        <v>13857</v>
      </c>
      <c r="G2147" t="s">
        <v>13858</v>
      </c>
      <c r="H2147" t="s">
        <v>42</v>
      </c>
      <c r="I2147" t="s">
        <v>13859</v>
      </c>
      <c r="J2147" t="s">
        <v>13860</v>
      </c>
      <c r="K2147">
        <v>96117</v>
      </c>
      <c r="L2147" t="s">
        <v>71</v>
      </c>
      <c r="M2147" t="s">
        <v>46</v>
      </c>
      <c r="N2147" t="s">
        <v>47</v>
      </c>
      <c r="O2147">
        <v>1</v>
      </c>
      <c r="P2147">
        <v>1</v>
      </c>
      <c r="Q2147">
        <v>1</v>
      </c>
      <c r="R2147" t="s">
        <v>48</v>
      </c>
      <c r="S2147" t="s">
        <v>49</v>
      </c>
      <c r="T2147" s="3">
        <v>0.84</v>
      </c>
      <c r="U2147" s="3">
        <v>0.23</v>
      </c>
      <c r="V2147" s="3">
        <v>0.94</v>
      </c>
      <c r="W2147">
        <v>0.15</v>
      </c>
      <c r="X2147" t="s">
        <v>108</v>
      </c>
      <c r="Y2147" s="3">
        <v>5.14</v>
      </c>
      <c r="Z2147" t="s">
        <v>9850</v>
      </c>
      <c r="AA2147" t="s">
        <v>12434</v>
      </c>
      <c r="AB2147" t="s">
        <v>53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f t="shared" si="66"/>
        <v>7.15</v>
      </c>
      <c r="AK2147" s="3">
        <f t="shared" si="67"/>
        <v>2.0100000000000007</v>
      </c>
    </row>
    <row r="2148" spans="1:37">
      <c r="A2148">
        <v>10391063</v>
      </c>
      <c r="B2148" t="s">
        <v>37</v>
      </c>
      <c r="C2148" t="s">
        <v>13861</v>
      </c>
      <c r="E2148" t="s">
        <v>12937</v>
      </c>
      <c r="F2148" t="s">
        <v>13862</v>
      </c>
      <c r="G2148" t="s">
        <v>13863</v>
      </c>
      <c r="H2148" t="s">
        <v>42</v>
      </c>
      <c r="I2148" t="s">
        <v>13864</v>
      </c>
      <c r="J2148" t="s">
        <v>13865</v>
      </c>
      <c r="K2148">
        <v>47053</v>
      </c>
      <c r="L2148" t="s">
        <v>71</v>
      </c>
      <c r="M2148" t="s">
        <v>46</v>
      </c>
      <c r="N2148" t="s">
        <v>47</v>
      </c>
      <c r="O2148">
        <v>1</v>
      </c>
      <c r="P2148">
        <v>1</v>
      </c>
      <c r="Q2148">
        <v>1</v>
      </c>
      <c r="R2148" t="s">
        <v>48</v>
      </c>
      <c r="S2148" t="s">
        <v>49</v>
      </c>
      <c r="T2148" s="3">
        <v>0.84</v>
      </c>
      <c r="U2148" s="3">
        <v>0.23</v>
      </c>
      <c r="V2148" s="3">
        <v>0.94</v>
      </c>
      <c r="W2148">
        <v>0.15</v>
      </c>
      <c r="X2148" t="s">
        <v>108</v>
      </c>
      <c r="Y2148" s="3">
        <v>5.14</v>
      </c>
      <c r="Z2148" t="s">
        <v>9850</v>
      </c>
      <c r="AA2148" t="s">
        <v>9271</v>
      </c>
      <c r="AB2148" t="s">
        <v>53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f t="shared" si="66"/>
        <v>7.15</v>
      </c>
      <c r="AK2148" s="3">
        <f t="shared" si="67"/>
        <v>2.0100000000000007</v>
      </c>
    </row>
    <row r="2149" spans="1:37">
      <c r="A2149">
        <v>10389679</v>
      </c>
      <c r="B2149" t="s">
        <v>37</v>
      </c>
      <c r="C2149" t="s">
        <v>13866</v>
      </c>
      <c r="E2149" t="s">
        <v>13867</v>
      </c>
      <c r="F2149" t="s">
        <v>13868</v>
      </c>
      <c r="G2149" t="s">
        <v>13869</v>
      </c>
      <c r="H2149" t="s">
        <v>42</v>
      </c>
      <c r="I2149" t="s">
        <v>13870</v>
      </c>
      <c r="J2149" t="s">
        <v>13871</v>
      </c>
      <c r="K2149">
        <v>12359</v>
      </c>
      <c r="L2149" t="s">
        <v>71</v>
      </c>
      <c r="M2149" t="s">
        <v>46</v>
      </c>
      <c r="N2149" t="s">
        <v>47</v>
      </c>
      <c r="O2149">
        <v>1</v>
      </c>
      <c r="P2149">
        <v>1</v>
      </c>
      <c r="Q2149">
        <v>1</v>
      </c>
      <c r="R2149" t="s">
        <v>48</v>
      </c>
      <c r="S2149" t="s">
        <v>49</v>
      </c>
      <c r="T2149" s="3">
        <v>0.84</v>
      </c>
      <c r="U2149" s="3">
        <v>0.23</v>
      </c>
      <c r="V2149" s="3">
        <v>0.94</v>
      </c>
      <c r="W2149">
        <v>0.14000000000000001</v>
      </c>
      <c r="X2149" t="s">
        <v>108</v>
      </c>
      <c r="Y2149" s="3">
        <v>5.14</v>
      </c>
      <c r="Z2149" t="s">
        <v>9850</v>
      </c>
      <c r="AA2149" t="s">
        <v>213</v>
      </c>
      <c r="AB2149" t="s">
        <v>53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f t="shared" si="66"/>
        <v>7.15</v>
      </c>
      <c r="AK2149" s="3">
        <f t="shared" si="67"/>
        <v>2.0100000000000007</v>
      </c>
    </row>
    <row r="2150" spans="1:37">
      <c r="A2150">
        <v>10391937</v>
      </c>
      <c r="B2150" t="s">
        <v>37</v>
      </c>
      <c r="C2150" t="s">
        <v>13872</v>
      </c>
      <c r="E2150" t="s">
        <v>13873</v>
      </c>
      <c r="F2150" t="s">
        <v>1608</v>
      </c>
      <c r="G2150" t="s">
        <v>13874</v>
      </c>
      <c r="H2150" t="s">
        <v>42</v>
      </c>
      <c r="I2150" t="s">
        <v>13875</v>
      </c>
      <c r="J2150" t="s">
        <v>13876</v>
      </c>
      <c r="K2150">
        <v>92637</v>
      </c>
      <c r="L2150" t="s">
        <v>71</v>
      </c>
      <c r="M2150" t="s">
        <v>46</v>
      </c>
      <c r="N2150" t="s">
        <v>47</v>
      </c>
      <c r="O2150">
        <v>1</v>
      </c>
      <c r="P2150">
        <v>1</v>
      </c>
      <c r="Q2150">
        <v>1</v>
      </c>
      <c r="R2150" t="s">
        <v>48</v>
      </c>
      <c r="S2150" t="s">
        <v>49</v>
      </c>
      <c r="T2150" s="3">
        <v>0.84</v>
      </c>
      <c r="U2150" s="3">
        <v>0.23</v>
      </c>
      <c r="V2150" s="3">
        <v>0.94</v>
      </c>
      <c r="W2150">
        <v>0.15</v>
      </c>
      <c r="X2150" t="s">
        <v>108</v>
      </c>
      <c r="Y2150" s="3">
        <v>5.14</v>
      </c>
      <c r="Z2150" t="s">
        <v>9850</v>
      </c>
      <c r="AA2150" t="s">
        <v>9271</v>
      </c>
      <c r="AB2150" t="s">
        <v>53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f t="shared" si="66"/>
        <v>7.15</v>
      </c>
      <c r="AK2150" s="3">
        <f t="shared" si="67"/>
        <v>2.0100000000000007</v>
      </c>
    </row>
    <row r="2151" spans="1:37">
      <c r="A2151">
        <v>10391942</v>
      </c>
      <c r="B2151" t="s">
        <v>37</v>
      </c>
      <c r="C2151" t="s">
        <v>13877</v>
      </c>
      <c r="E2151" t="s">
        <v>13878</v>
      </c>
      <c r="F2151" t="s">
        <v>13879</v>
      </c>
      <c r="G2151" t="s">
        <v>13880</v>
      </c>
      <c r="H2151" t="s">
        <v>42</v>
      </c>
      <c r="I2151" t="s">
        <v>13881</v>
      </c>
      <c r="J2151" t="s">
        <v>13882</v>
      </c>
      <c r="K2151">
        <v>21493</v>
      </c>
      <c r="L2151" t="s">
        <v>71</v>
      </c>
      <c r="M2151" t="s">
        <v>46</v>
      </c>
      <c r="N2151" t="s">
        <v>47</v>
      </c>
      <c r="O2151">
        <v>1</v>
      </c>
      <c r="P2151">
        <v>1</v>
      </c>
      <c r="Q2151">
        <v>1</v>
      </c>
      <c r="R2151" t="s">
        <v>48</v>
      </c>
      <c r="S2151" t="s">
        <v>49</v>
      </c>
      <c r="T2151" s="3">
        <v>0.84</v>
      </c>
      <c r="U2151" s="3">
        <v>0.23</v>
      </c>
      <c r="V2151" s="3">
        <v>0.94</v>
      </c>
      <c r="W2151">
        <v>0.15</v>
      </c>
      <c r="X2151" t="s">
        <v>108</v>
      </c>
      <c r="Y2151" s="3">
        <v>5.14</v>
      </c>
      <c r="Z2151" t="s">
        <v>9850</v>
      </c>
      <c r="AA2151" t="s">
        <v>9271</v>
      </c>
      <c r="AB2151" t="s">
        <v>53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f t="shared" si="66"/>
        <v>7.15</v>
      </c>
      <c r="AK2151" s="3">
        <f t="shared" si="67"/>
        <v>2.0100000000000007</v>
      </c>
    </row>
    <row r="2152" spans="1:37">
      <c r="A2152">
        <v>10392904</v>
      </c>
      <c r="B2152" t="s">
        <v>37</v>
      </c>
      <c r="C2152" t="s">
        <v>13883</v>
      </c>
      <c r="E2152" t="s">
        <v>13884</v>
      </c>
      <c r="F2152" t="s">
        <v>13885</v>
      </c>
      <c r="G2152" t="s">
        <v>13886</v>
      </c>
      <c r="H2152" t="s">
        <v>42</v>
      </c>
      <c r="I2152" t="s">
        <v>13887</v>
      </c>
      <c r="J2152" t="s">
        <v>13888</v>
      </c>
      <c r="K2152">
        <v>9860</v>
      </c>
      <c r="L2152" t="s">
        <v>505</v>
      </c>
      <c r="M2152" t="s">
        <v>46</v>
      </c>
      <c r="N2152" t="s">
        <v>47</v>
      </c>
      <c r="O2152">
        <v>2</v>
      </c>
      <c r="P2152">
        <v>1</v>
      </c>
      <c r="Q2152">
        <v>2</v>
      </c>
      <c r="R2152" t="s">
        <v>48</v>
      </c>
      <c r="S2152" t="s">
        <v>49</v>
      </c>
      <c r="T2152" s="3">
        <v>0.84</v>
      </c>
      <c r="U2152" s="3">
        <v>0.23</v>
      </c>
      <c r="V2152" s="3">
        <v>1.81</v>
      </c>
      <c r="W2152">
        <v>0.98</v>
      </c>
      <c r="X2152" t="s">
        <v>50</v>
      </c>
      <c r="Y2152" s="3">
        <v>9.1999999999999993</v>
      </c>
      <c r="Z2152" t="s">
        <v>9686</v>
      </c>
      <c r="AA2152" t="s">
        <v>11691</v>
      </c>
      <c r="AB2152" t="s">
        <v>53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f t="shared" si="66"/>
        <v>12.08</v>
      </c>
      <c r="AK2152" s="3">
        <f t="shared" si="67"/>
        <v>2.8800000000000008</v>
      </c>
    </row>
    <row r="2153" spans="1:37">
      <c r="A2153">
        <v>10393392</v>
      </c>
      <c r="B2153" t="s">
        <v>37</v>
      </c>
      <c r="C2153" t="s">
        <v>13889</v>
      </c>
      <c r="E2153" t="s">
        <v>445</v>
      </c>
      <c r="F2153" t="s">
        <v>13890</v>
      </c>
      <c r="G2153" t="s">
        <v>13891</v>
      </c>
      <c r="H2153" t="s">
        <v>42</v>
      </c>
      <c r="I2153" t="s">
        <v>13892</v>
      </c>
      <c r="J2153" t="s">
        <v>13893</v>
      </c>
      <c r="K2153" t="s">
        <v>13894</v>
      </c>
      <c r="L2153" t="s">
        <v>82</v>
      </c>
      <c r="M2153" t="s">
        <v>46</v>
      </c>
      <c r="N2153" t="s">
        <v>47</v>
      </c>
      <c r="O2153">
        <v>1</v>
      </c>
      <c r="P2153">
        <v>1</v>
      </c>
      <c r="Q2153">
        <v>1</v>
      </c>
      <c r="R2153" t="s">
        <v>48</v>
      </c>
      <c r="S2153" t="s">
        <v>49</v>
      </c>
      <c r="T2153" s="3">
        <v>0.84</v>
      </c>
      <c r="U2153" s="3">
        <v>0.23</v>
      </c>
      <c r="V2153" s="3">
        <v>0.94</v>
      </c>
      <c r="W2153">
        <v>0.49</v>
      </c>
      <c r="X2153" t="s">
        <v>50</v>
      </c>
      <c r="Y2153" s="3">
        <v>9.1999999999999993</v>
      </c>
      <c r="Z2153" t="s">
        <v>9850</v>
      </c>
      <c r="AA2153" t="s">
        <v>3486</v>
      </c>
      <c r="AB2153" t="s">
        <v>53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s="3">
        <f t="shared" si="66"/>
        <v>11.209999999999999</v>
      </c>
      <c r="AK2153" s="3">
        <f t="shared" si="67"/>
        <v>2.0099999999999998</v>
      </c>
    </row>
    <row r="2154" spans="1:37">
      <c r="A2154">
        <v>10391506</v>
      </c>
      <c r="B2154" t="s">
        <v>37</v>
      </c>
      <c r="C2154" t="s">
        <v>13895</v>
      </c>
      <c r="E2154" t="s">
        <v>13896</v>
      </c>
      <c r="F2154" t="s">
        <v>13897</v>
      </c>
      <c r="G2154" t="s">
        <v>13898</v>
      </c>
      <c r="H2154" t="s">
        <v>42</v>
      </c>
      <c r="I2154" t="s">
        <v>13899</v>
      </c>
      <c r="J2154" t="s">
        <v>13900</v>
      </c>
      <c r="K2154">
        <v>46499</v>
      </c>
      <c r="L2154" t="s">
        <v>71</v>
      </c>
      <c r="M2154" t="s">
        <v>46</v>
      </c>
      <c r="N2154" t="s">
        <v>47</v>
      </c>
      <c r="O2154">
        <v>2</v>
      </c>
      <c r="P2154">
        <v>1</v>
      </c>
      <c r="Q2154">
        <v>2</v>
      </c>
      <c r="R2154" t="s">
        <v>48</v>
      </c>
      <c r="S2154" t="s">
        <v>49</v>
      </c>
      <c r="T2154" s="3">
        <v>0.84</v>
      </c>
      <c r="U2154" s="3">
        <v>0.23</v>
      </c>
      <c r="V2154" s="3">
        <v>1.81</v>
      </c>
      <c r="W2154">
        <v>0.54</v>
      </c>
      <c r="X2154" t="s">
        <v>108</v>
      </c>
      <c r="Y2154" s="3">
        <v>5.14</v>
      </c>
      <c r="Z2154" t="s">
        <v>9850</v>
      </c>
      <c r="AA2154" t="s">
        <v>13901</v>
      </c>
      <c r="AB2154" t="s">
        <v>53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f t="shared" si="66"/>
        <v>8.02</v>
      </c>
      <c r="AK2154" s="3">
        <f t="shared" si="67"/>
        <v>2.88</v>
      </c>
    </row>
    <row r="2155" spans="1:37">
      <c r="A2155">
        <v>10393068</v>
      </c>
      <c r="B2155" t="s">
        <v>37</v>
      </c>
      <c r="C2155" t="s">
        <v>13902</v>
      </c>
      <c r="E2155" t="s">
        <v>13903</v>
      </c>
      <c r="F2155" t="s">
        <v>13904</v>
      </c>
      <c r="G2155" t="s">
        <v>13905</v>
      </c>
      <c r="H2155" t="s">
        <v>42</v>
      </c>
      <c r="I2155" t="s">
        <v>13906</v>
      </c>
      <c r="J2155" t="s">
        <v>13907</v>
      </c>
      <c r="K2155">
        <v>60318</v>
      </c>
      <c r="L2155" t="s">
        <v>71</v>
      </c>
      <c r="M2155" t="s">
        <v>46</v>
      </c>
      <c r="N2155" t="s">
        <v>47</v>
      </c>
      <c r="O2155">
        <v>2</v>
      </c>
      <c r="P2155">
        <v>1</v>
      </c>
      <c r="Q2155">
        <v>2</v>
      </c>
      <c r="R2155" t="s">
        <v>48</v>
      </c>
      <c r="S2155" t="s">
        <v>49</v>
      </c>
      <c r="T2155" s="3">
        <v>0.84</v>
      </c>
      <c r="U2155" s="3">
        <v>0.23</v>
      </c>
      <c r="V2155" s="3">
        <v>1.81</v>
      </c>
      <c r="W2155">
        <v>0.3</v>
      </c>
      <c r="X2155" t="s">
        <v>108</v>
      </c>
      <c r="Y2155" s="3">
        <v>6.54</v>
      </c>
      <c r="Z2155" t="s">
        <v>9850</v>
      </c>
      <c r="AA2155" t="s">
        <v>13741</v>
      </c>
      <c r="AB2155" t="s">
        <v>53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f t="shared" si="66"/>
        <v>9.42</v>
      </c>
      <c r="AK2155" s="3">
        <f t="shared" si="67"/>
        <v>2.88</v>
      </c>
    </row>
    <row r="2156" spans="1:37">
      <c r="A2156">
        <v>10391941</v>
      </c>
      <c r="B2156" t="s">
        <v>37</v>
      </c>
      <c r="C2156" t="s">
        <v>13908</v>
      </c>
      <c r="E2156" t="s">
        <v>1307</v>
      </c>
      <c r="F2156" t="s">
        <v>8701</v>
      </c>
      <c r="G2156" t="s">
        <v>13909</v>
      </c>
      <c r="H2156" t="s">
        <v>42</v>
      </c>
      <c r="I2156" t="s">
        <v>13910</v>
      </c>
      <c r="J2156" t="s">
        <v>13911</v>
      </c>
      <c r="K2156">
        <v>5692</v>
      </c>
      <c r="L2156" t="s">
        <v>369</v>
      </c>
      <c r="M2156" t="s">
        <v>46</v>
      </c>
      <c r="N2156" t="s">
        <v>47</v>
      </c>
      <c r="O2156">
        <v>5</v>
      </c>
      <c r="P2156">
        <v>1</v>
      </c>
      <c r="Q2156">
        <v>5</v>
      </c>
      <c r="R2156" t="s">
        <v>48</v>
      </c>
      <c r="S2156" t="s">
        <v>49</v>
      </c>
      <c r="T2156" s="3">
        <v>0.84</v>
      </c>
      <c r="U2156" s="3">
        <v>0.23</v>
      </c>
      <c r="V2156" s="3">
        <v>4.42</v>
      </c>
      <c r="W2156">
        <v>2.5499999999999998</v>
      </c>
      <c r="X2156" t="s">
        <v>50</v>
      </c>
      <c r="Y2156" s="3">
        <v>9.1999999999999993</v>
      </c>
      <c r="Z2156" t="s">
        <v>73</v>
      </c>
      <c r="AA2156" t="s">
        <v>13912</v>
      </c>
      <c r="AB2156" t="s">
        <v>53</v>
      </c>
      <c r="AC2156" s="3">
        <v>1.29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f t="shared" si="66"/>
        <v>15.979999999999999</v>
      </c>
      <c r="AK2156" s="3">
        <f t="shared" si="67"/>
        <v>6.7799999999999994</v>
      </c>
    </row>
    <row r="2157" spans="1:37">
      <c r="A2157">
        <v>10391939</v>
      </c>
      <c r="B2157" t="s">
        <v>37</v>
      </c>
      <c r="C2157" t="s">
        <v>13913</v>
      </c>
      <c r="E2157" t="s">
        <v>1430</v>
      </c>
      <c r="F2157" t="s">
        <v>5853</v>
      </c>
      <c r="G2157" t="s">
        <v>13914</v>
      </c>
      <c r="H2157" t="s">
        <v>42</v>
      </c>
      <c r="I2157" t="s">
        <v>13915</v>
      </c>
      <c r="J2157" t="s">
        <v>13916</v>
      </c>
      <c r="K2157" t="s">
        <v>13917</v>
      </c>
      <c r="L2157" t="s">
        <v>142</v>
      </c>
      <c r="M2157" t="s">
        <v>46</v>
      </c>
      <c r="N2157" t="s">
        <v>47</v>
      </c>
      <c r="O2157">
        <v>3</v>
      </c>
      <c r="P2157">
        <v>1</v>
      </c>
      <c r="Q2157">
        <v>3</v>
      </c>
      <c r="R2157" t="s">
        <v>48</v>
      </c>
      <c r="S2157" t="s">
        <v>49</v>
      </c>
      <c r="T2157" s="3">
        <v>0.84</v>
      </c>
      <c r="U2157" s="3">
        <v>0.23</v>
      </c>
      <c r="V2157" s="3">
        <v>2.68</v>
      </c>
      <c r="W2157">
        <v>1.47</v>
      </c>
      <c r="X2157" t="s">
        <v>50</v>
      </c>
      <c r="Y2157" s="3">
        <v>16.43</v>
      </c>
      <c r="Z2157" t="s">
        <v>9686</v>
      </c>
      <c r="AA2157" t="s">
        <v>13918</v>
      </c>
      <c r="AB2157" t="s">
        <v>53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f t="shared" si="66"/>
        <v>20.18</v>
      </c>
      <c r="AK2157" s="3">
        <f t="shared" si="67"/>
        <v>3.75</v>
      </c>
    </row>
    <row r="2158" spans="1:37">
      <c r="A2158">
        <v>10391065</v>
      </c>
      <c r="B2158" t="s">
        <v>37</v>
      </c>
      <c r="C2158" t="s">
        <v>13919</v>
      </c>
      <c r="D2158" t="s">
        <v>13920</v>
      </c>
      <c r="E2158" t="s">
        <v>11577</v>
      </c>
      <c r="F2158" t="s">
        <v>13921</v>
      </c>
      <c r="G2158" t="s">
        <v>13922</v>
      </c>
      <c r="H2158" t="s">
        <v>42</v>
      </c>
      <c r="I2158" t="s">
        <v>13923</v>
      </c>
      <c r="J2158" t="s">
        <v>13924</v>
      </c>
      <c r="K2158">
        <v>9820</v>
      </c>
      <c r="L2158" t="s">
        <v>505</v>
      </c>
      <c r="M2158" t="s">
        <v>46</v>
      </c>
      <c r="N2158" t="s">
        <v>47</v>
      </c>
      <c r="O2158">
        <v>6</v>
      </c>
      <c r="P2158">
        <v>1</v>
      </c>
      <c r="Q2158">
        <v>6</v>
      </c>
      <c r="R2158" t="s">
        <v>48</v>
      </c>
      <c r="S2158" t="s">
        <v>49</v>
      </c>
      <c r="T2158" s="3">
        <v>0.84</v>
      </c>
      <c r="U2158" s="3">
        <v>0.23</v>
      </c>
      <c r="V2158" s="3">
        <v>5.29</v>
      </c>
      <c r="W2158">
        <v>2.41</v>
      </c>
      <c r="X2158" t="s">
        <v>50</v>
      </c>
      <c r="Y2158" s="3">
        <v>9.1999999999999993</v>
      </c>
      <c r="Z2158" t="s">
        <v>83</v>
      </c>
      <c r="AA2158" t="s">
        <v>13925</v>
      </c>
      <c r="AB2158" t="s">
        <v>53</v>
      </c>
      <c r="AC2158" s="3">
        <v>1.27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f t="shared" si="66"/>
        <v>16.829999999999998</v>
      </c>
      <c r="AK2158" s="3">
        <f t="shared" si="67"/>
        <v>7.629999999999999</v>
      </c>
    </row>
    <row r="2159" spans="1:37">
      <c r="A2159">
        <v>10391503</v>
      </c>
      <c r="B2159" t="s">
        <v>37</v>
      </c>
      <c r="C2159" t="s">
        <v>13926</v>
      </c>
      <c r="E2159" t="s">
        <v>39</v>
      </c>
      <c r="F2159" t="s">
        <v>13927</v>
      </c>
      <c r="G2159" t="s">
        <v>13928</v>
      </c>
      <c r="H2159" t="s">
        <v>42</v>
      </c>
      <c r="I2159" t="s">
        <v>13929</v>
      </c>
      <c r="J2159" t="s">
        <v>13930</v>
      </c>
      <c r="K2159">
        <v>80802</v>
      </c>
      <c r="L2159" t="s">
        <v>71</v>
      </c>
      <c r="M2159" t="s">
        <v>46</v>
      </c>
      <c r="N2159" t="s">
        <v>47</v>
      </c>
      <c r="O2159">
        <v>5</v>
      </c>
      <c r="P2159">
        <v>1</v>
      </c>
      <c r="Q2159">
        <v>5</v>
      </c>
      <c r="R2159" t="s">
        <v>48</v>
      </c>
      <c r="S2159" t="s">
        <v>49</v>
      </c>
      <c r="T2159" s="3">
        <v>0.84</v>
      </c>
      <c r="U2159" s="3">
        <v>0.23</v>
      </c>
      <c r="V2159" s="3">
        <v>4.42</v>
      </c>
      <c r="W2159">
        <v>2.68</v>
      </c>
      <c r="X2159" t="s">
        <v>72</v>
      </c>
      <c r="Y2159" s="3">
        <v>6.61</v>
      </c>
      <c r="Z2159" t="s">
        <v>73</v>
      </c>
      <c r="AA2159" t="s">
        <v>13931</v>
      </c>
      <c r="AB2159" t="s">
        <v>53</v>
      </c>
      <c r="AC2159" s="3">
        <v>1.29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f t="shared" si="66"/>
        <v>13.39</v>
      </c>
      <c r="AK2159" s="3">
        <f t="shared" si="67"/>
        <v>6.78</v>
      </c>
    </row>
    <row r="2160" spans="1:37">
      <c r="A2160">
        <v>10391933</v>
      </c>
      <c r="B2160" t="s">
        <v>37</v>
      </c>
      <c r="C2160" t="s">
        <v>13932</v>
      </c>
      <c r="E2160" t="s">
        <v>13933</v>
      </c>
      <c r="F2160" t="s">
        <v>13934</v>
      </c>
      <c r="G2160" t="s">
        <v>13935</v>
      </c>
      <c r="H2160" t="s">
        <v>42</v>
      </c>
      <c r="I2160" t="s">
        <v>13936</v>
      </c>
      <c r="J2160" t="s">
        <v>13937</v>
      </c>
      <c r="K2160" t="s">
        <v>13938</v>
      </c>
      <c r="L2160" t="s">
        <v>82</v>
      </c>
      <c r="M2160" t="s">
        <v>46</v>
      </c>
      <c r="N2160" t="s">
        <v>47</v>
      </c>
      <c r="O2160">
        <v>4</v>
      </c>
      <c r="P2160">
        <v>1</v>
      </c>
      <c r="Q2160">
        <v>4</v>
      </c>
      <c r="R2160" t="s">
        <v>48</v>
      </c>
      <c r="S2160" t="s">
        <v>49</v>
      </c>
      <c r="T2160" s="3">
        <v>0.84</v>
      </c>
      <c r="U2160" s="3">
        <v>0.23</v>
      </c>
      <c r="V2160" s="3">
        <v>3.55</v>
      </c>
      <c r="W2160">
        <v>1.167</v>
      </c>
      <c r="X2160" t="s">
        <v>50</v>
      </c>
      <c r="Y2160" s="3">
        <v>9.1999999999999993</v>
      </c>
      <c r="Z2160" t="s">
        <v>9686</v>
      </c>
      <c r="AA2160" t="s">
        <v>13939</v>
      </c>
      <c r="AB2160" t="s">
        <v>53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f t="shared" si="66"/>
        <v>13.82</v>
      </c>
      <c r="AK2160" s="3">
        <f t="shared" si="67"/>
        <v>4.620000000000001</v>
      </c>
    </row>
    <row r="2161" spans="1:37">
      <c r="A2161">
        <v>10393751</v>
      </c>
      <c r="B2161" t="s">
        <v>37</v>
      </c>
      <c r="C2161" t="s">
        <v>13940</v>
      </c>
      <c r="E2161" t="s">
        <v>2999</v>
      </c>
      <c r="F2161" t="s">
        <v>13941</v>
      </c>
      <c r="G2161" t="s">
        <v>13942</v>
      </c>
      <c r="H2161" t="s">
        <v>42</v>
      </c>
      <c r="I2161" t="s">
        <v>13943</v>
      </c>
      <c r="J2161" t="s">
        <v>13944</v>
      </c>
      <c r="K2161">
        <v>85598</v>
      </c>
      <c r="L2161" t="s">
        <v>71</v>
      </c>
      <c r="M2161" t="s">
        <v>46</v>
      </c>
      <c r="N2161" t="s">
        <v>47</v>
      </c>
      <c r="O2161">
        <v>3</v>
      </c>
      <c r="P2161">
        <v>1</v>
      </c>
      <c r="Q2161">
        <v>3</v>
      </c>
      <c r="R2161" t="s">
        <v>48</v>
      </c>
      <c r="S2161" t="s">
        <v>49</v>
      </c>
      <c r="T2161" s="3">
        <v>0.84</v>
      </c>
      <c r="U2161" s="3">
        <v>0.23</v>
      </c>
      <c r="V2161" s="3">
        <v>2.68</v>
      </c>
      <c r="W2161">
        <v>0.79</v>
      </c>
      <c r="X2161" t="s">
        <v>108</v>
      </c>
      <c r="Y2161" s="3">
        <v>5.14</v>
      </c>
      <c r="Z2161" t="s">
        <v>9850</v>
      </c>
      <c r="AA2161" t="s">
        <v>13945</v>
      </c>
      <c r="AB2161" t="s">
        <v>53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f t="shared" si="66"/>
        <v>8.89</v>
      </c>
      <c r="AK2161" s="3">
        <f t="shared" si="67"/>
        <v>3.7500000000000009</v>
      </c>
    </row>
    <row r="2162" spans="1:37">
      <c r="A2162">
        <v>10393753</v>
      </c>
      <c r="B2162" t="s">
        <v>37</v>
      </c>
      <c r="C2162" t="s">
        <v>13946</v>
      </c>
      <c r="E2162" t="s">
        <v>13947</v>
      </c>
      <c r="F2162" t="s">
        <v>13948</v>
      </c>
      <c r="G2162" t="s">
        <v>13949</v>
      </c>
      <c r="H2162" t="s">
        <v>42</v>
      </c>
      <c r="I2162" t="s">
        <v>13950</v>
      </c>
      <c r="J2162" t="s">
        <v>13951</v>
      </c>
      <c r="K2162" t="s">
        <v>13952</v>
      </c>
      <c r="L2162" t="s">
        <v>82</v>
      </c>
      <c r="M2162" t="s">
        <v>46</v>
      </c>
      <c r="N2162" t="s">
        <v>47</v>
      </c>
      <c r="O2162">
        <v>3</v>
      </c>
      <c r="P2162">
        <v>1</v>
      </c>
      <c r="Q2162">
        <v>3</v>
      </c>
      <c r="R2162" t="s">
        <v>48</v>
      </c>
      <c r="S2162" t="s">
        <v>49</v>
      </c>
      <c r="T2162" s="3">
        <v>0.84</v>
      </c>
      <c r="U2162" s="3">
        <v>0.23</v>
      </c>
      <c r="V2162" s="3">
        <v>2.68</v>
      </c>
      <c r="W2162">
        <v>1.47</v>
      </c>
      <c r="X2162" t="s">
        <v>50</v>
      </c>
      <c r="Y2162" s="3">
        <v>9.1999999999999993</v>
      </c>
      <c r="Z2162" t="s">
        <v>9686</v>
      </c>
      <c r="AA2162" t="s">
        <v>1652</v>
      </c>
      <c r="AB2162" t="s">
        <v>53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f t="shared" si="66"/>
        <v>12.95</v>
      </c>
      <c r="AK2162" s="3">
        <f t="shared" si="67"/>
        <v>3.75</v>
      </c>
    </row>
    <row r="2163" spans="1:37">
      <c r="A2163">
        <v>10393754</v>
      </c>
      <c r="B2163" t="s">
        <v>37</v>
      </c>
      <c r="C2163" t="s">
        <v>13953</v>
      </c>
      <c r="E2163" t="s">
        <v>2999</v>
      </c>
      <c r="F2163" t="s">
        <v>13941</v>
      </c>
      <c r="G2163" t="s">
        <v>13954</v>
      </c>
      <c r="H2163" t="s">
        <v>42</v>
      </c>
      <c r="I2163" t="s">
        <v>13955</v>
      </c>
      <c r="J2163" t="s">
        <v>13944</v>
      </c>
      <c r="K2163">
        <v>85598</v>
      </c>
      <c r="L2163" t="s">
        <v>71</v>
      </c>
      <c r="M2163" t="s">
        <v>46</v>
      </c>
      <c r="N2163" t="s">
        <v>47</v>
      </c>
      <c r="O2163">
        <v>3</v>
      </c>
      <c r="P2163">
        <v>1</v>
      </c>
      <c r="Q2163">
        <v>3</v>
      </c>
      <c r="R2163" t="s">
        <v>48</v>
      </c>
      <c r="S2163" t="s">
        <v>49</v>
      </c>
      <c r="T2163" s="3">
        <v>0.84</v>
      </c>
      <c r="U2163" s="3">
        <v>0.23</v>
      </c>
      <c r="V2163" s="3">
        <v>2.68</v>
      </c>
      <c r="W2163">
        <v>1.4</v>
      </c>
      <c r="X2163" t="s">
        <v>108</v>
      </c>
      <c r="Y2163" s="3">
        <v>5.14</v>
      </c>
      <c r="Z2163" t="s">
        <v>9686</v>
      </c>
      <c r="AA2163" t="s">
        <v>13956</v>
      </c>
      <c r="AB2163" t="s">
        <v>53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f t="shared" si="66"/>
        <v>8.89</v>
      </c>
      <c r="AK2163" s="3">
        <f t="shared" si="67"/>
        <v>3.7500000000000009</v>
      </c>
    </row>
    <row r="2164" spans="1:37">
      <c r="A2164">
        <v>10393750</v>
      </c>
      <c r="B2164" t="s">
        <v>37</v>
      </c>
      <c r="C2164" t="s">
        <v>13957</v>
      </c>
      <c r="E2164" t="s">
        <v>13958</v>
      </c>
      <c r="F2164" t="s">
        <v>13959</v>
      </c>
      <c r="G2164" t="s">
        <v>13960</v>
      </c>
      <c r="H2164" t="s">
        <v>42</v>
      </c>
      <c r="I2164" t="s">
        <v>13961</v>
      </c>
      <c r="J2164" t="s">
        <v>13962</v>
      </c>
      <c r="K2164">
        <v>60388</v>
      </c>
      <c r="L2164" t="s">
        <v>71</v>
      </c>
      <c r="M2164" t="s">
        <v>46</v>
      </c>
      <c r="N2164" t="s">
        <v>47</v>
      </c>
      <c r="O2164">
        <v>3</v>
      </c>
      <c r="P2164">
        <v>1</v>
      </c>
      <c r="Q2164">
        <v>3</v>
      </c>
      <c r="R2164" t="s">
        <v>48</v>
      </c>
      <c r="S2164" t="s">
        <v>49</v>
      </c>
      <c r="T2164" s="3">
        <v>0.84</v>
      </c>
      <c r="U2164" s="3">
        <v>0.23</v>
      </c>
      <c r="V2164" s="3">
        <v>2.68</v>
      </c>
      <c r="W2164">
        <v>0.88</v>
      </c>
      <c r="X2164" t="s">
        <v>108</v>
      </c>
      <c r="Y2164" s="3">
        <v>5.14</v>
      </c>
      <c r="Z2164" t="s">
        <v>9686</v>
      </c>
      <c r="AA2164" t="s">
        <v>13963</v>
      </c>
      <c r="AB2164" t="s">
        <v>53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f t="shared" si="66"/>
        <v>8.89</v>
      </c>
      <c r="AK2164" s="3">
        <f t="shared" si="67"/>
        <v>3.7500000000000009</v>
      </c>
    </row>
    <row r="2165" spans="1:37">
      <c r="A2165">
        <v>10393752</v>
      </c>
      <c r="B2165" t="s">
        <v>37</v>
      </c>
      <c r="C2165" t="s">
        <v>13964</v>
      </c>
      <c r="E2165" t="s">
        <v>13965</v>
      </c>
      <c r="F2165" t="s">
        <v>13966</v>
      </c>
      <c r="G2165" t="s">
        <v>13967</v>
      </c>
      <c r="H2165" t="s">
        <v>42</v>
      </c>
      <c r="I2165" t="s">
        <v>13968</v>
      </c>
      <c r="J2165" t="s">
        <v>13969</v>
      </c>
      <c r="K2165">
        <v>3945</v>
      </c>
      <c r="L2165" t="s">
        <v>505</v>
      </c>
      <c r="M2165" t="s">
        <v>46</v>
      </c>
      <c r="N2165" t="s">
        <v>47</v>
      </c>
      <c r="O2165">
        <v>3</v>
      </c>
      <c r="P2165">
        <v>1</v>
      </c>
      <c r="Q2165">
        <v>3</v>
      </c>
      <c r="R2165" t="s">
        <v>48</v>
      </c>
      <c r="S2165" t="s">
        <v>49</v>
      </c>
      <c r="T2165" s="3">
        <v>0.84</v>
      </c>
      <c r="U2165" s="3">
        <v>0.23</v>
      </c>
      <c r="V2165" s="3">
        <v>2.68</v>
      </c>
      <c r="W2165">
        <v>1.04</v>
      </c>
      <c r="X2165" t="s">
        <v>50</v>
      </c>
      <c r="Y2165" s="3">
        <v>9.1999999999999993</v>
      </c>
      <c r="Z2165" t="s">
        <v>9850</v>
      </c>
      <c r="AA2165" t="s">
        <v>13970</v>
      </c>
      <c r="AB2165" t="s">
        <v>53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f t="shared" si="66"/>
        <v>12.95</v>
      </c>
      <c r="AK2165" s="3">
        <f t="shared" si="67"/>
        <v>3.75</v>
      </c>
    </row>
    <row r="2166" spans="1:37">
      <c r="A2166">
        <v>10393749</v>
      </c>
      <c r="B2166" t="s">
        <v>37</v>
      </c>
      <c r="C2166" t="s">
        <v>13971</v>
      </c>
      <c r="E2166" t="s">
        <v>1712</v>
      </c>
      <c r="F2166" t="s">
        <v>7916</v>
      </c>
      <c r="G2166" t="s">
        <v>13972</v>
      </c>
      <c r="H2166" t="s">
        <v>42</v>
      </c>
      <c r="I2166" t="s">
        <v>13973</v>
      </c>
      <c r="J2166" t="s">
        <v>13974</v>
      </c>
      <c r="K2166">
        <v>52477</v>
      </c>
      <c r="L2166" t="s">
        <v>71</v>
      </c>
      <c r="M2166" t="s">
        <v>46</v>
      </c>
      <c r="N2166" t="s">
        <v>47</v>
      </c>
      <c r="O2166">
        <v>2</v>
      </c>
      <c r="P2166">
        <v>1</v>
      </c>
      <c r="Q2166">
        <v>2</v>
      </c>
      <c r="R2166" t="s">
        <v>48</v>
      </c>
      <c r="S2166" t="s">
        <v>49</v>
      </c>
      <c r="T2166" s="3">
        <v>0.84</v>
      </c>
      <c r="U2166" s="3">
        <v>0.23</v>
      </c>
      <c r="V2166" s="3">
        <v>1.81</v>
      </c>
      <c r="W2166">
        <v>0.98</v>
      </c>
      <c r="X2166" t="s">
        <v>108</v>
      </c>
      <c r="Y2166" s="3">
        <v>5.14</v>
      </c>
      <c r="Z2166" t="s">
        <v>9686</v>
      </c>
      <c r="AA2166" t="s">
        <v>11691</v>
      </c>
      <c r="AB2166" t="s">
        <v>53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f t="shared" si="66"/>
        <v>8.02</v>
      </c>
      <c r="AK2166" s="3">
        <f t="shared" si="67"/>
        <v>2.88</v>
      </c>
    </row>
    <row r="2167" spans="1:37">
      <c r="A2167">
        <v>10393520</v>
      </c>
      <c r="B2167" t="s">
        <v>37</v>
      </c>
      <c r="C2167" t="s">
        <v>13975</v>
      </c>
      <c r="E2167" t="s">
        <v>5371</v>
      </c>
      <c r="F2167" t="s">
        <v>13976</v>
      </c>
      <c r="G2167" t="s">
        <v>13977</v>
      </c>
      <c r="H2167" t="s">
        <v>42</v>
      </c>
      <c r="I2167" t="s">
        <v>13978</v>
      </c>
      <c r="J2167" t="s">
        <v>13979</v>
      </c>
      <c r="K2167">
        <v>79400</v>
      </c>
      <c r="L2167" t="s">
        <v>71</v>
      </c>
      <c r="M2167" t="s">
        <v>46</v>
      </c>
      <c r="N2167" t="s">
        <v>47</v>
      </c>
      <c r="O2167">
        <v>1</v>
      </c>
      <c r="P2167">
        <v>1</v>
      </c>
      <c r="Q2167">
        <v>1</v>
      </c>
      <c r="R2167" t="s">
        <v>48</v>
      </c>
      <c r="S2167" t="s">
        <v>49</v>
      </c>
      <c r="T2167" s="3">
        <v>0.84</v>
      </c>
      <c r="U2167" s="3">
        <v>0.23</v>
      </c>
      <c r="V2167" s="3">
        <v>0.94</v>
      </c>
      <c r="W2167">
        <v>1.4</v>
      </c>
      <c r="X2167" t="s">
        <v>108</v>
      </c>
      <c r="Y2167" s="3">
        <v>5.14</v>
      </c>
      <c r="Z2167" t="s">
        <v>9686</v>
      </c>
      <c r="AA2167" t="s">
        <v>259</v>
      </c>
      <c r="AB2167" t="s">
        <v>53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f t="shared" si="66"/>
        <v>7.15</v>
      </c>
      <c r="AK2167" s="3">
        <f t="shared" si="67"/>
        <v>2.0100000000000007</v>
      </c>
    </row>
    <row r="2168" spans="1:37">
      <c r="A2168">
        <v>10393521</v>
      </c>
      <c r="B2168" t="s">
        <v>37</v>
      </c>
      <c r="C2168" t="s">
        <v>13980</v>
      </c>
      <c r="E2168" t="s">
        <v>13981</v>
      </c>
      <c r="F2168" t="s">
        <v>13982</v>
      </c>
      <c r="G2168" t="s">
        <v>13983</v>
      </c>
      <c r="H2168" t="s">
        <v>42</v>
      </c>
      <c r="I2168" t="s">
        <v>13984</v>
      </c>
      <c r="J2168" t="s">
        <v>13985</v>
      </c>
      <c r="K2168">
        <v>23554</v>
      </c>
      <c r="L2168" t="s">
        <v>71</v>
      </c>
      <c r="M2168" t="s">
        <v>46</v>
      </c>
      <c r="N2168" t="s">
        <v>47</v>
      </c>
      <c r="O2168">
        <v>1</v>
      </c>
      <c r="P2168">
        <v>1</v>
      </c>
      <c r="Q2168">
        <v>1</v>
      </c>
      <c r="R2168" t="s">
        <v>48</v>
      </c>
      <c r="S2168" t="s">
        <v>49</v>
      </c>
      <c r="T2168" s="3">
        <v>0.84</v>
      </c>
      <c r="U2168" s="3">
        <v>0.23</v>
      </c>
      <c r="V2168" s="3">
        <v>0.94</v>
      </c>
      <c r="W2168">
        <v>0.15</v>
      </c>
      <c r="X2168" t="s">
        <v>108</v>
      </c>
      <c r="Y2168" s="3">
        <v>5.14</v>
      </c>
      <c r="Z2168" t="s">
        <v>9850</v>
      </c>
      <c r="AA2168" t="s">
        <v>6464</v>
      </c>
      <c r="AB2168" t="s">
        <v>53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f t="shared" si="66"/>
        <v>7.15</v>
      </c>
      <c r="AK2168" s="3">
        <f t="shared" si="67"/>
        <v>2.0100000000000007</v>
      </c>
    </row>
    <row r="2169" spans="1:37">
      <c r="A2169">
        <v>10393522</v>
      </c>
      <c r="B2169" t="s">
        <v>37</v>
      </c>
      <c r="C2169" t="s">
        <v>13986</v>
      </c>
      <c r="E2169" t="s">
        <v>9520</v>
      </c>
      <c r="F2169" t="s">
        <v>1192</v>
      </c>
      <c r="G2169" t="s">
        <v>13987</v>
      </c>
      <c r="H2169" t="s">
        <v>42</v>
      </c>
      <c r="I2169" t="s">
        <v>13988</v>
      </c>
      <c r="J2169" t="s">
        <v>13989</v>
      </c>
      <c r="K2169">
        <v>78054</v>
      </c>
      <c r="L2169" t="s">
        <v>71</v>
      </c>
      <c r="M2169" t="s">
        <v>46</v>
      </c>
      <c r="N2169" t="s">
        <v>47</v>
      </c>
      <c r="O2169">
        <v>1</v>
      </c>
      <c r="P2169">
        <v>1</v>
      </c>
      <c r="Q2169">
        <v>1</v>
      </c>
      <c r="R2169" t="s">
        <v>48</v>
      </c>
      <c r="S2169" t="s">
        <v>49</v>
      </c>
      <c r="T2169" s="3">
        <v>0.84</v>
      </c>
      <c r="U2169" s="3">
        <v>0.23</v>
      </c>
      <c r="V2169" s="3">
        <v>0.94</v>
      </c>
      <c r="W2169">
        <v>0.15</v>
      </c>
      <c r="X2169" t="s">
        <v>108</v>
      </c>
      <c r="Y2169" s="3">
        <v>5.14</v>
      </c>
      <c r="Z2169" t="s">
        <v>9850</v>
      </c>
      <c r="AA2169" t="s">
        <v>6464</v>
      </c>
      <c r="AB2169" t="s">
        <v>53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f t="shared" si="66"/>
        <v>7.15</v>
      </c>
      <c r="AK2169" s="3">
        <f t="shared" si="67"/>
        <v>2.0100000000000007</v>
      </c>
    </row>
    <row r="2170" spans="1:37">
      <c r="A2170">
        <v>10393755</v>
      </c>
      <c r="B2170" t="s">
        <v>37</v>
      </c>
      <c r="C2170" t="s">
        <v>13990</v>
      </c>
      <c r="E2170" t="s">
        <v>1292</v>
      </c>
      <c r="F2170" t="s">
        <v>13991</v>
      </c>
      <c r="G2170" t="s">
        <v>13992</v>
      </c>
      <c r="H2170" t="s">
        <v>42</v>
      </c>
      <c r="I2170" t="s">
        <v>13993</v>
      </c>
      <c r="J2170" t="s">
        <v>13994</v>
      </c>
      <c r="K2170">
        <v>81925</v>
      </c>
      <c r="L2170" t="s">
        <v>71</v>
      </c>
      <c r="M2170" t="s">
        <v>46</v>
      </c>
      <c r="N2170" t="s">
        <v>47</v>
      </c>
      <c r="O2170">
        <v>1</v>
      </c>
      <c r="P2170">
        <v>1</v>
      </c>
      <c r="Q2170">
        <v>1</v>
      </c>
      <c r="R2170" t="s">
        <v>48</v>
      </c>
      <c r="S2170" t="s">
        <v>49</v>
      </c>
      <c r="T2170" s="3">
        <v>0.84</v>
      </c>
      <c r="U2170" s="3">
        <v>0.23</v>
      </c>
      <c r="V2170" s="3">
        <v>0.94</v>
      </c>
      <c r="W2170">
        <v>0.15</v>
      </c>
      <c r="X2170" t="s">
        <v>108</v>
      </c>
      <c r="Y2170" s="3">
        <v>5.14</v>
      </c>
      <c r="Z2170" t="s">
        <v>9850</v>
      </c>
      <c r="AA2170" t="s">
        <v>6464</v>
      </c>
      <c r="AB2170" t="s">
        <v>53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f t="shared" si="66"/>
        <v>7.15</v>
      </c>
      <c r="AK2170" s="3">
        <f t="shared" si="67"/>
        <v>2.0100000000000007</v>
      </c>
    </row>
    <row r="2171" spans="1:37">
      <c r="A2171">
        <v>10393757</v>
      </c>
      <c r="B2171" t="s">
        <v>37</v>
      </c>
      <c r="C2171" t="s">
        <v>13995</v>
      </c>
      <c r="E2171" t="s">
        <v>13996</v>
      </c>
      <c r="F2171" t="s">
        <v>9745</v>
      </c>
      <c r="G2171" t="s">
        <v>13997</v>
      </c>
      <c r="H2171" t="s">
        <v>42</v>
      </c>
      <c r="I2171" t="s">
        <v>13998</v>
      </c>
      <c r="J2171" t="s">
        <v>13999</v>
      </c>
      <c r="K2171">
        <v>48165</v>
      </c>
      <c r="L2171" t="s">
        <v>71</v>
      </c>
      <c r="M2171" t="s">
        <v>46</v>
      </c>
      <c r="N2171" t="s">
        <v>47</v>
      </c>
      <c r="O2171">
        <v>1</v>
      </c>
      <c r="P2171">
        <v>1</v>
      </c>
      <c r="Q2171">
        <v>1</v>
      </c>
      <c r="R2171" t="s">
        <v>48</v>
      </c>
      <c r="S2171" t="s">
        <v>49</v>
      </c>
      <c r="T2171" s="3">
        <v>0.84</v>
      </c>
      <c r="U2171" s="3">
        <v>0.23</v>
      </c>
      <c r="V2171" s="3">
        <v>0.94</v>
      </c>
      <c r="W2171">
        <v>0.15</v>
      </c>
      <c r="X2171" t="s">
        <v>108</v>
      </c>
      <c r="Y2171" s="3">
        <v>5.14</v>
      </c>
      <c r="Z2171" t="s">
        <v>9850</v>
      </c>
      <c r="AA2171" t="s">
        <v>6464</v>
      </c>
      <c r="AB2171" t="s">
        <v>53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f t="shared" si="66"/>
        <v>7.15</v>
      </c>
      <c r="AK2171" s="3">
        <f t="shared" si="67"/>
        <v>2.0100000000000007</v>
      </c>
    </row>
    <row r="2172" spans="1:37">
      <c r="A2172">
        <v>10389687</v>
      </c>
      <c r="B2172" t="s">
        <v>37</v>
      </c>
      <c r="C2172" t="s">
        <v>14000</v>
      </c>
      <c r="E2172" t="s">
        <v>954</v>
      </c>
      <c r="F2172" t="s">
        <v>14001</v>
      </c>
      <c r="G2172" t="s">
        <v>14002</v>
      </c>
      <c r="H2172" t="s">
        <v>42</v>
      </c>
      <c r="I2172" t="s">
        <v>14003</v>
      </c>
      <c r="J2172" t="s">
        <v>14004</v>
      </c>
      <c r="K2172">
        <v>1514</v>
      </c>
      <c r="L2172" t="s">
        <v>369</v>
      </c>
      <c r="M2172" t="s">
        <v>46</v>
      </c>
      <c r="N2172" t="s">
        <v>47</v>
      </c>
      <c r="O2172">
        <v>3</v>
      </c>
      <c r="P2172">
        <v>1</v>
      </c>
      <c r="Q2172">
        <v>3</v>
      </c>
      <c r="R2172" t="s">
        <v>48</v>
      </c>
      <c r="S2172" t="s">
        <v>49</v>
      </c>
      <c r="T2172" s="3">
        <v>0.84</v>
      </c>
      <c r="U2172" s="3">
        <v>0.23</v>
      </c>
      <c r="V2172" s="3">
        <v>2.68</v>
      </c>
      <c r="W2172">
        <v>1.04</v>
      </c>
      <c r="X2172" t="s">
        <v>50</v>
      </c>
      <c r="Y2172" s="3">
        <v>9.1999999999999993</v>
      </c>
      <c r="Z2172" t="s">
        <v>9850</v>
      </c>
      <c r="AA2172" t="s">
        <v>14005</v>
      </c>
      <c r="AB2172" t="s">
        <v>53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f t="shared" si="66"/>
        <v>12.95</v>
      </c>
      <c r="AK2172" s="3">
        <f t="shared" si="67"/>
        <v>3.75</v>
      </c>
    </row>
    <row r="2173" spans="1:37">
      <c r="A2173">
        <v>10390281</v>
      </c>
      <c r="B2173" t="s">
        <v>37</v>
      </c>
      <c r="C2173" t="s">
        <v>14006</v>
      </c>
      <c r="E2173" t="s">
        <v>1307</v>
      </c>
      <c r="F2173" t="s">
        <v>14007</v>
      </c>
      <c r="G2173" t="s">
        <v>14008</v>
      </c>
      <c r="H2173" t="s">
        <v>42</v>
      </c>
      <c r="I2173" t="s">
        <v>14009</v>
      </c>
      <c r="J2173" t="s">
        <v>14010</v>
      </c>
      <c r="K2173">
        <v>68526</v>
      </c>
      <c r="L2173" t="s">
        <v>71</v>
      </c>
      <c r="M2173" t="s">
        <v>46</v>
      </c>
      <c r="N2173" t="s">
        <v>47</v>
      </c>
      <c r="O2173">
        <v>5</v>
      </c>
      <c r="P2173">
        <v>1</v>
      </c>
      <c r="Q2173">
        <v>5</v>
      </c>
      <c r="R2173" t="s">
        <v>48</v>
      </c>
      <c r="S2173" t="s">
        <v>49</v>
      </c>
      <c r="T2173" s="3">
        <v>0.84</v>
      </c>
      <c r="U2173" s="3">
        <v>0.23</v>
      </c>
      <c r="V2173" s="3">
        <v>4.42</v>
      </c>
      <c r="W2173">
        <v>1.95</v>
      </c>
      <c r="X2173" t="s">
        <v>108</v>
      </c>
      <c r="Y2173" s="3">
        <v>5.14</v>
      </c>
      <c r="Z2173" t="s">
        <v>9686</v>
      </c>
      <c r="AA2173" t="s">
        <v>14011</v>
      </c>
      <c r="AB2173" t="s">
        <v>53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f t="shared" si="66"/>
        <v>10.629999999999999</v>
      </c>
      <c r="AK2173" s="3">
        <f t="shared" si="67"/>
        <v>5.4899999999999993</v>
      </c>
    </row>
    <row r="2174" spans="1:37">
      <c r="A2174">
        <v>10389680</v>
      </c>
      <c r="B2174" t="s">
        <v>37</v>
      </c>
      <c r="C2174" t="s">
        <v>14012</v>
      </c>
      <c r="E2174" t="s">
        <v>14013</v>
      </c>
      <c r="F2174" t="s">
        <v>14014</v>
      </c>
      <c r="G2174" t="s">
        <v>14015</v>
      </c>
      <c r="H2174" t="s">
        <v>42</v>
      </c>
      <c r="I2174" t="s">
        <v>14016</v>
      </c>
      <c r="J2174" t="s">
        <v>14017</v>
      </c>
      <c r="K2174" t="s">
        <v>14018</v>
      </c>
      <c r="L2174" t="s">
        <v>11483</v>
      </c>
      <c r="M2174" t="s">
        <v>46</v>
      </c>
      <c r="N2174" t="s">
        <v>47</v>
      </c>
      <c r="O2174">
        <v>4</v>
      </c>
      <c r="P2174">
        <v>1</v>
      </c>
      <c r="Q2174">
        <v>4</v>
      </c>
      <c r="R2174" t="s">
        <v>48</v>
      </c>
      <c r="S2174" t="s">
        <v>49</v>
      </c>
      <c r="T2174" s="3">
        <v>0.84</v>
      </c>
      <c r="U2174" s="3">
        <v>0.23</v>
      </c>
      <c r="V2174" s="3">
        <v>3.55</v>
      </c>
      <c r="W2174">
        <v>1.31</v>
      </c>
      <c r="X2174" t="s">
        <v>100</v>
      </c>
      <c r="Y2174" s="3">
        <v>21.71</v>
      </c>
      <c r="Z2174" t="s">
        <v>9686</v>
      </c>
      <c r="AA2174" t="s">
        <v>14019</v>
      </c>
      <c r="AB2174" t="s">
        <v>53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f t="shared" si="66"/>
        <v>26.330000000000002</v>
      </c>
      <c r="AK2174" s="3">
        <f t="shared" si="67"/>
        <v>4.620000000000001</v>
      </c>
    </row>
    <row r="2175" spans="1:37">
      <c r="A2175">
        <v>10390577</v>
      </c>
      <c r="B2175" t="s">
        <v>37</v>
      </c>
      <c r="C2175" t="s">
        <v>14020</v>
      </c>
      <c r="E2175" t="s">
        <v>4455</v>
      </c>
      <c r="F2175" t="s">
        <v>14021</v>
      </c>
      <c r="G2175" t="s">
        <v>14022</v>
      </c>
      <c r="H2175" t="s">
        <v>42</v>
      </c>
      <c r="I2175" t="s">
        <v>14023</v>
      </c>
      <c r="J2175" t="s">
        <v>14024</v>
      </c>
      <c r="K2175">
        <v>5221</v>
      </c>
      <c r="L2175" t="s">
        <v>369</v>
      </c>
      <c r="M2175" t="s">
        <v>46</v>
      </c>
      <c r="N2175" t="s">
        <v>47</v>
      </c>
      <c r="O2175">
        <v>4</v>
      </c>
      <c r="P2175">
        <v>1</v>
      </c>
      <c r="Q2175">
        <v>4</v>
      </c>
      <c r="R2175" t="s">
        <v>48</v>
      </c>
      <c r="S2175" t="s">
        <v>49</v>
      </c>
      <c r="T2175" s="3">
        <v>0.84</v>
      </c>
      <c r="U2175" s="3">
        <v>0.23</v>
      </c>
      <c r="V2175" s="3">
        <v>3.55</v>
      </c>
      <c r="W2175">
        <v>1.06</v>
      </c>
      <c r="X2175" t="s">
        <v>50</v>
      </c>
      <c r="Y2175" s="3">
        <v>9.1999999999999993</v>
      </c>
      <c r="Z2175" t="s">
        <v>9850</v>
      </c>
      <c r="AA2175" t="s">
        <v>14025</v>
      </c>
      <c r="AB2175" t="s">
        <v>53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f t="shared" si="66"/>
        <v>13.82</v>
      </c>
      <c r="AK2175" s="3">
        <f t="shared" si="67"/>
        <v>4.620000000000001</v>
      </c>
    </row>
    <row r="2176" spans="1:37">
      <c r="A2176">
        <v>10394065</v>
      </c>
      <c r="B2176" t="s">
        <v>37</v>
      </c>
      <c r="C2176" t="s">
        <v>14026</v>
      </c>
      <c r="E2176" t="s">
        <v>643</v>
      </c>
      <c r="F2176" t="s">
        <v>14027</v>
      </c>
      <c r="G2176" t="s">
        <v>14028</v>
      </c>
      <c r="H2176" t="s">
        <v>42</v>
      </c>
      <c r="I2176" t="s">
        <v>14029</v>
      </c>
      <c r="J2176" t="s">
        <v>14030</v>
      </c>
      <c r="K2176">
        <v>89233</v>
      </c>
      <c r="L2176" t="s">
        <v>71</v>
      </c>
      <c r="M2176" t="s">
        <v>46</v>
      </c>
      <c r="N2176" t="s">
        <v>47</v>
      </c>
      <c r="O2176">
        <v>3</v>
      </c>
      <c r="P2176">
        <v>1</v>
      </c>
      <c r="Q2176">
        <v>3</v>
      </c>
      <c r="R2176" t="s">
        <v>48</v>
      </c>
      <c r="S2176" t="s">
        <v>49</v>
      </c>
      <c r="T2176" s="3">
        <v>0.84</v>
      </c>
      <c r="U2176" s="3">
        <v>0.23</v>
      </c>
      <c r="V2176" s="3">
        <v>2.68</v>
      </c>
      <c r="W2176">
        <v>4.04</v>
      </c>
      <c r="X2176" t="s">
        <v>72</v>
      </c>
      <c r="Y2176" s="3">
        <v>6.61</v>
      </c>
      <c r="Z2176" t="s">
        <v>83</v>
      </c>
      <c r="AA2176" t="s">
        <v>14031</v>
      </c>
      <c r="AB2176" t="s">
        <v>53</v>
      </c>
      <c r="AC2176" s="3">
        <v>1.27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f t="shared" si="66"/>
        <v>11.63</v>
      </c>
      <c r="AK2176" s="3">
        <f t="shared" si="67"/>
        <v>5.0200000000000005</v>
      </c>
    </row>
    <row r="2177" spans="1:37">
      <c r="A2177">
        <v>10394055</v>
      </c>
      <c r="B2177" t="s">
        <v>37</v>
      </c>
      <c r="C2177" t="s">
        <v>14032</v>
      </c>
      <c r="E2177" t="s">
        <v>6255</v>
      </c>
      <c r="F2177" t="s">
        <v>14033</v>
      </c>
      <c r="G2177" t="s">
        <v>14034</v>
      </c>
      <c r="H2177" t="s">
        <v>42</v>
      </c>
      <c r="I2177" t="s">
        <v>14035</v>
      </c>
      <c r="J2177" t="s">
        <v>14036</v>
      </c>
      <c r="K2177">
        <v>78120</v>
      </c>
      <c r="L2177" t="s">
        <v>71</v>
      </c>
      <c r="M2177" t="s">
        <v>46</v>
      </c>
      <c r="N2177" t="s">
        <v>47</v>
      </c>
      <c r="O2177">
        <v>1</v>
      </c>
      <c r="P2177">
        <v>1</v>
      </c>
      <c r="Q2177">
        <v>1</v>
      </c>
      <c r="R2177" t="s">
        <v>48</v>
      </c>
      <c r="S2177" t="s">
        <v>49</v>
      </c>
      <c r="T2177" s="3">
        <v>0.84</v>
      </c>
      <c r="U2177" s="3">
        <v>0.23</v>
      </c>
      <c r="V2177" s="3">
        <v>0.94</v>
      </c>
      <c r="W2177">
        <v>1.4</v>
      </c>
      <c r="X2177" t="s">
        <v>108</v>
      </c>
      <c r="Y2177" s="3">
        <v>5.14</v>
      </c>
      <c r="Z2177" t="s">
        <v>9686</v>
      </c>
      <c r="AA2177" t="s">
        <v>259</v>
      </c>
      <c r="AB2177" t="s">
        <v>53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f t="shared" si="66"/>
        <v>7.15</v>
      </c>
      <c r="AK2177" s="3">
        <f t="shared" si="67"/>
        <v>2.0100000000000007</v>
      </c>
    </row>
    <row r="2178" spans="1:37">
      <c r="A2178">
        <v>10394076</v>
      </c>
      <c r="B2178" t="s">
        <v>37</v>
      </c>
      <c r="C2178" t="s">
        <v>14037</v>
      </c>
      <c r="E2178" t="s">
        <v>9181</v>
      </c>
      <c r="F2178" t="s">
        <v>14038</v>
      </c>
      <c r="G2178" t="s">
        <v>14039</v>
      </c>
      <c r="H2178" t="s">
        <v>42</v>
      </c>
      <c r="I2178" t="s">
        <v>14040</v>
      </c>
      <c r="J2178" t="s">
        <v>14041</v>
      </c>
      <c r="K2178">
        <v>50968</v>
      </c>
      <c r="L2178" t="s">
        <v>71</v>
      </c>
      <c r="M2178" t="s">
        <v>46</v>
      </c>
      <c r="N2178" t="s">
        <v>47</v>
      </c>
      <c r="O2178">
        <v>1</v>
      </c>
      <c r="P2178">
        <v>1</v>
      </c>
      <c r="Q2178">
        <v>1</v>
      </c>
      <c r="R2178" t="s">
        <v>48</v>
      </c>
      <c r="S2178" t="s">
        <v>49</v>
      </c>
      <c r="T2178" s="3">
        <v>0.84</v>
      </c>
      <c r="U2178" s="3">
        <v>0.23</v>
      </c>
      <c r="V2178" s="3">
        <v>0.94</v>
      </c>
      <c r="W2178">
        <v>0.25</v>
      </c>
      <c r="X2178" t="s">
        <v>108</v>
      </c>
      <c r="Y2178" s="3">
        <v>7.94</v>
      </c>
      <c r="Z2178" t="s">
        <v>109</v>
      </c>
      <c r="AA2178" t="s">
        <v>7605</v>
      </c>
      <c r="AB2178" t="s">
        <v>53</v>
      </c>
      <c r="AC2178" s="3">
        <v>1.06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f t="shared" ref="AJ2178:AJ2241" si="68">AI2178+AH2178+AG2178+AF2178+AE2178+AD2178+AC2178+Y2178+V2178+U2178+T2178</f>
        <v>11.01</v>
      </c>
      <c r="AK2178" s="3">
        <f t="shared" ref="AK2178:AK2241" si="69">AJ2178-Y2178</f>
        <v>3.0699999999999994</v>
      </c>
    </row>
    <row r="2179" spans="1:37">
      <c r="A2179">
        <v>10394068</v>
      </c>
      <c r="B2179" t="s">
        <v>37</v>
      </c>
      <c r="C2179" t="s">
        <v>14042</v>
      </c>
      <c r="E2179" t="s">
        <v>14043</v>
      </c>
      <c r="F2179" t="s">
        <v>14044</v>
      </c>
      <c r="G2179" t="s">
        <v>14045</v>
      </c>
      <c r="H2179" t="s">
        <v>42</v>
      </c>
      <c r="I2179" t="s">
        <v>14046</v>
      </c>
      <c r="J2179" t="s">
        <v>14047</v>
      </c>
      <c r="K2179">
        <v>2050</v>
      </c>
      <c r="L2179" t="s">
        <v>505</v>
      </c>
      <c r="M2179" t="s">
        <v>46</v>
      </c>
      <c r="N2179" t="s">
        <v>47</v>
      </c>
      <c r="O2179">
        <v>2</v>
      </c>
      <c r="P2179">
        <v>1</v>
      </c>
      <c r="Q2179">
        <v>2</v>
      </c>
      <c r="R2179" t="s">
        <v>48</v>
      </c>
      <c r="S2179" t="s">
        <v>49</v>
      </c>
      <c r="T2179" s="3">
        <v>0.84</v>
      </c>
      <c r="U2179" s="3">
        <v>0.23</v>
      </c>
      <c r="V2179" s="3">
        <v>1.81</v>
      </c>
      <c r="W2179">
        <v>0.98</v>
      </c>
      <c r="X2179" t="s">
        <v>50</v>
      </c>
      <c r="Y2179" s="3">
        <v>9.1999999999999993</v>
      </c>
      <c r="Z2179" t="s">
        <v>9850</v>
      </c>
      <c r="AA2179" t="s">
        <v>10846</v>
      </c>
      <c r="AB2179" t="s">
        <v>53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f t="shared" si="68"/>
        <v>12.08</v>
      </c>
      <c r="AK2179" s="3">
        <f t="shared" si="69"/>
        <v>2.8800000000000008</v>
      </c>
    </row>
    <row r="2180" spans="1:37">
      <c r="A2180">
        <v>10394072</v>
      </c>
      <c r="B2180" t="s">
        <v>37</v>
      </c>
      <c r="C2180" t="s">
        <v>14048</v>
      </c>
      <c r="E2180" t="s">
        <v>14049</v>
      </c>
      <c r="F2180" t="s">
        <v>14050</v>
      </c>
      <c r="G2180" t="s">
        <v>14051</v>
      </c>
      <c r="H2180" t="s">
        <v>42</v>
      </c>
      <c r="I2180" t="s">
        <v>14052</v>
      </c>
      <c r="J2180" t="s">
        <v>14053</v>
      </c>
      <c r="K2180">
        <v>48920</v>
      </c>
      <c r="L2180" t="s">
        <v>91</v>
      </c>
      <c r="M2180" t="s">
        <v>46</v>
      </c>
      <c r="N2180" t="s">
        <v>47</v>
      </c>
      <c r="O2180">
        <v>2</v>
      </c>
      <c r="P2180">
        <v>1</v>
      </c>
      <c r="Q2180">
        <v>2</v>
      </c>
      <c r="R2180" t="s">
        <v>48</v>
      </c>
      <c r="S2180" t="s">
        <v>49</v>
      </c>
      <c r="T2180" s="3">
        <v>0.84</v>
      </c>
      <c r="U2180" s="3">
        <v>0.23</v>
      </c>
      <c r="V2180" s="3">
        <v>1.81</v>
      </c>
      <c r="W2180">
        <v>0.98</v>
      </c>
      <c r="X2180" t="s">
        <v>50</v>
      </c>
      <c r="Y2180" s="3">
        <v>16.43</v>
      </c>
      <c r="Z2180" t="s">
        <v>9850</v>
      </c>
      <c r="AA2180" t="s">
        <v>14054</v>
      </c>
      <c r="AB2180" t="s">
        <v>53</v>
      </c>
      <c r="AC2180" s="3">
        <v>0</v>
      </c>
      <c r="AD2180" s="3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s="3">
        <f t="shared" si="68"/>
        <v>19.309999999999999</v>
      </c>
      <c r="AK2180" s="3">
        <f t="shared" si="69"/>
        <v>2.879999999999999</v>
      </c>
    </row>
    <row r="2181" spans="1:37">
      <c r="A2181">
        <v>10390585</v>
      </c>
      <c r="B2181" t="s">
        <v>37</v>
      </c>
      <c r="C2181" t="s">
        <v>14055</v>
      </c>
      <c r="E2181" t="s">
        <v>532</v>
      </c>
      <c r="F2181" t="s">
        <v>4078</v>
      </c>
      <c r="G2181" t="s">
        <v>14056</v>
      </c>
      <c r="H2181" t="s">
        <v>42</v>
      </c>
      <c r="I2181" t="s">
        <v>14057</v>
      </c>
      <c r="J2181" t="s">
        <v>14058</v>
      </c>
      <c r="K2181">
        <v>90478</v>
      </c>
      <c r="L2181" t="s">
        <v>71</v>
      </c>
      <c r="M2181" t="s">
        <v>46</v>
      </c>
      <c r="N2181" t="s">
        <v>47</v>
      </c>
      <c r="O2181">
        <v>5</v>
      </c>
      <c r="P2181">
        <v>1</v>
      </c>
      <c r="Q2181">
        <v>5</v>
      </c>
      <c r="R2181" t="s">
        <v>48</v>
      </c>
      <c r="S2181" t="s">
        <v>49</v>
      </c>
      <c r="T2181" s="3">
        <v>0.84</v>
      </c>
      <c r="U2181" s="3">
        <v>0.23</v>
      </c>
      <c r="V2181" s="3">
        <v>4.42</v>
      </c>
      <c r="W2181">
        <v>2.68</v>
      </c>
      <c r="X2181" t="s">
        <v>72</v>
      </c>
      <c r="Y2181" s="3">
        <v>6.61</v>
      </c>
      <c r="Z2181" t="s">
        <v>73</v>
      </c>
      <c r="AA2181" t="s">
        <v>14059</v>
      </c>
      <c r="AB2181" t="s">
        <v>53</v>
      </c>
      <c r="AC2181" s="3">
        <v>1.29</v>
      </c>
      <c r="AD2181" s="3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s="3">
        <f t="shared" si="68"/>
        <v>13.39</v>
      </c>
      <c r="AK2181" s="3">
        <f t="shared" si="69"/>
        <v>6.78</v>
      </c>
    </row>
    <row r="2182" spans="1:37">
      <c r="A2182">
        <v>10390810</v>
      </c>
      <c r="B2182" t="s">
        <v>37</v>
      </c>
      <c r="C2182" t="s">
        <v>14060</v>
      </c>
      <c r="E2182" t="s">
        <v>857</v>
      </c>
      <c r="F2182" t="s">
        <v>14061</v>
      </c>
      <c r="G2182" t="s">
        <v>14062</v>
      </c>
      <c r="H2182" t="s">
        <v>42</v>
      </c>
      <c r="I2182" t="s">
        <v>14063</v>
      </c>
      <c r="J2182" t="s">
        <v>14064</v>
      </c>
      <c r="K2182">
        <v>96479</v>
      </c>
      <c r="L2182" t="s">
        <v>71</v>
      </c>
      <c r="M2182" t="s">
        <v>46</v>
      </c>
      <c r="N2182" t="s">
        <v>47</v>
      </c>
      <c r="O2182">
        <v>9</v>
      </c>
      <c r="P2182">
        <v>1</v>
      </c>
      <c r="Q2182">
        <v>9</v>
      </c>
      <c r="R2182" t="s">
        <v>48</v>
      </c>
      <c r="S2182" t="s">
        <v>49</v>
      </c>
      <c r="T2182" s="3">
        <v>0.84</v>
      </c>
      <c r="U2182" s="3">
        <v>0.23</v>
      </c>
      <c r="V2182" s="3">
        <v>7.9</v>
      </c>
      <c r="W2182">
        <v>5.33</v>
      </c>
      <c r="X2182" t="s">
        <v>72</v>
      </c>
      <c r="Y2182" s="3">
        <v>7.46</v>
      </c>
      <c r="Z2182" t="s">
        <v>83</v>
      </c>
      <c r="AA2182" t="s">
        <v>14065</v>
      </c>
      <c r="AB2182" t="s">
        <v>53</v>
      </c>
      <c r="AC2182" s="3">
        <v>1.27</v>
      </c>
      <c r="AD2182" s="3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s="3">
        <f t="shared" si="68"/>
        <v>17.700000000000003</v>
      </c>
      <c r="AK2182" s="3">
        <f t="shared" si="69"/>
        <v>10.240000000000002</v>
      </c>
    </row>
    <row r="2183" spans="1:37">
      <c r="A2183">
        <v>10389970</v>
      </c>
      <c r="B2183" t="s">
        <v>37</v>
      </c>
      <c r="C2183" t="s">
        <v>14066</v>
      </c>
      <c r="E2183" t="s">
        <v>6693</v>
      </c>
      <c r="F2183" t="s">
        <v>14067</v>
      </c>
      <c r="G2183" t="s">
        <v>14068</v>
      </c>
      <c r="H2183" t="s">
        <v>42</v>
      </c>
      <c r="I2183" t="s">
        <v>14069</v>
      </c>
      <c r="J2183" t="s">
        <v>14070</v>
      </c>
      <c r="K2183">
        <v>8630</v>
      </c>
      <c r="L2183" t="s">
        <v>505</v>
      </c>
      <c r="M2183" t="s">
        <v>46</v>
      </c>
      <c r="N2183" t="s">
        <v>47</v>
      </c>
      <c r="O2183">
        <v>4</v>
      </c>
      <c r="P2183">
        <v>1</v>
      </c>
      <c r="Q2183">
        <v>4</v>
      </c>
      <c r="R2183" t="s">
        <v>48</v>
      </c>
      <c r="S2183" t="s">
        <v>49</v>
      </c>
      <c r="T2183" s="3">
        <v>0.84</v>
      </c>
      <c r="U2183" s="3">
        <v>0.23</v>
      </c>
      <c r="V2183" s="3">
        <v>3.55</v>
      </c>
      <c r="W2183">
        <v>1.56</v>
      </c>
      <c r="X2183" t="s">
        <v>50</v>
      </c>
      <c r="Y2183" s="3">
        <v>9.1999999999999993</v>
      </c>
      <c r="Z2183" t="s">
        <v>9686</v>
      </c>
      <c r="AA2183" t="s">
        <v>538</v>
      </c>
      <c r="AB2183" t="s">
        <v>53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f t="shared" si="68"/>
        <v>13.82</v>
      </c>
      <c r="AK2183" s="3">
        <f t="shared" si="69"/>
        <v>4.620000000000001</v>
      </c>
    </row>
    <row r="2184" spans="1:37">
      <c r="A2184">
        <v>10391061</v>
      </c>
      <c r="B2184" t="s">
        <v>37</v>
      </c>
      <c r="C2184" t="s">
        <v>14071</v>
      </c>
      <c r="E2184" t="s">
        <v>1817</v>
      </c>
      <c r="F2184" t="s">
        <v>2477</v>
      </c>
      <c r="G2184" t="s">
        <v>14072</v>
      </c>
      <c r="H2184" t="s">
        <v>42</v>
      </c>
      <c r="I2184" t="s">
        <v>14073</v>
      </c>
      <c r="J2184" t="s">
        <v>2480</v>
      </c>
      <c r="K2184" t="s">
        <v>2481</v>
      </c>
      <c r="L2184" t="s">
        <v>142</v>
      </c>
      <c r="M2184" t="s">
        <v>46</v>
      </c>
      <c r="N2184" t="s">
        <v>47</v>
      </c>
      <c r="O2184">
        <v>3</v>
      </c>
      <c r="P2184">
        <v>1</v>
      </c>
      <c r="Q2184">
        <v>3</v>
      </c>
      <c r="R2184" t="s">
        <v>48</v>
      </c>
      <c r="S2184" t="s">
        <v>49</v>
      </c>
      <c r="T2184" s="3">
        <v>0.84</v>
      </c>
      <c r="U2184" s="3">
        <v>0.23</v>
      </c>
      <c r="V2184" s="3">
        <v>2.68</v>
      </c>
      <c r="W2184">
        <v>0.42</v>
      </c>
      <c r="X2184" t="s">
        <v>50</v>
      </c>
      <c r="Y2184" s="3">
        <v>16.43</v>
      </c>
      <c r="Z2184" t="s">
        <v>9850</v>
      </c>
      <c r="AA2184" t="s">
        <v>14074</v>
      </c>
      <c r="AB2184" t="s">
        <v>53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f t="shared" si="68"/>
        <v>20.18</v>
      </c>
      <c r="AK2184" s="3">
        <f t="shared" si="69"/>
        <v>3.75</v>
      </c>
    </row>
    <row r="2185" spans="1:37">
      <c r="A2185">
        <v>10389675</v>
      </c>
      <c r="B2185" t="s">
        <v>37</v>
      </c>
      <c r="C2185" t="s">
        <v>14075</v>
      </c>
      <c r="E2185" t="s">
        <v>247</v>
      </c>
      <c r="F2185" t="s">
        <v>14076</v>
      </c>
      <c r="G2185" t="s">
        <v>14077</v>
      </c>
      <c r="H2185" t="s">
        <v>42</v>
      </c>
      <c r="I2185" t="s">
        <v>14078</v>
      </c>
      <c r="J2185" t="s">
        <v>14079</v>
      </c>
      <c r="K2185">
        <v>60596</v>
      </c>
      <c r="L2185" t="s">
        <v>71</v>
      </c>
      <c r="M2185" t="s">
        <v>46</v>
      </c>
      <c r="N2185" t="s">
        <v>47</v>
      </c>
      <c r="O2185">
        <v>4</v>
      </c>
      <c r="P2185">
        <v>1</v>
      </c>
      <c r="Q2185">
        <v>4</v>
      </c>
      <c r="R2185" t="s">
        <v>48</v>
      </c>
      <c r="S2185" t="s">
        <v>49</v>
      </c>
      <c r="T2185" s="3">
        <v>0.84</v>
      </c>
      <c r="U2185" s="3">
        <v>0.23</v>
      </c>
      <c r="V2185" s="3">
        <v>3.55</v>
      </c>
      <c r="W2185">
        <v>1.56</v>
      </c>
      <c r="X2185" t="s">
        <v>108</v>
      </c>
      <c r="Y2185" s="3">
        <v>5.14</v>
      </c>
      <c r="Z2185" t="s">
        <v>9686</v>
      </c>
      <c r="AA2185" t="s">
        <v>2255</v>
      </c>
      <c r="AB2185" t="s">
        <v>53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f t="shared" si="68"/>
        <v>9.76</v>
      </c>
      <c r="AK2185" s="3">
        <f t="shared" si="69"/>
        <v>4.62</v>
      </c>
    </row>
    <row r="2186" spans="1:37">
      <c r="A2186">
        <v>10394493</v>
      </c>
      <c r="B2186" t="s">
        <v>37</v>
      </c>
      <c r="C2186" t="s">
        <v>14080</v>
      </c>
      <c r="E2186" t="s">
        <v>1527</v>
      </c>
      <c r="F2186" t="s">
        <v>14081</v>
      </c>
      <c r="G2186" t="s">
        <v>14082</v>
      </c>
      <c r="H2186" t="s">
        <v>42</v>
      </c>
      <c r="I2186" t="s">
        <v>14083</v>
      </c>
      <c r="J2186" t="s">
        <v>14084</v>
      </c>
      <c r="K2186">
        <v>71522</v>
      </c>
      <c r="L2186" t="s">
        <v>71</v>
      </c>
      <c r="M2186" t="s">
        <v>46</v>
      </c>
      <c r="N2186" t="s">
        <v>47</v>
      </c>
      <c r="O2186">
        <v>3</v>
      </c>
      <c r="P2186">
        <v>1</v>
      </c>
      <c r="Q2186">
        <v>3</v>
      </c>
      <c r="R2186" t="s">
        <v>48</v>
      </c>
      <c r="S2186" t="s">
        <v>49</v>
      </c>
      <c r="T2186" s="3">
        <v>0.84</v>
      </c>
      <c r="U2186" s="3">
        <v>0.23</v>
      </c>
      <c r="V2186" s="3">
        <v>2.68</v>
      </c>
      <c r="W2186">
        <v>1.61</v>
      </c>
      <c r="X2186" t="s">
        <v>108</v>
      </c>
      <c r="Y2186" s="3">
        <v>5.14</v>
      </c>
      <c r="Z2186" t="s">
        <v>9686</v>
      </c>
      <c r="AA2186" t="s">
        <v>14085</v>
      </c>
      <c r="AB2186" t="s">
        <v>53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f t="shared" si="68"/>
        <v>8.89</v>
      </c>
      <c r="AK2186" s="3">
        <f t="shared" si="69"/>
        <v>3.7500000000000009</v>
      </c>
    </row>
    <row r="2187" spans="1:37">
      <c r="A2187">
        <v>10394496</v>
      </c>
      <c r="B2187" t="s">
        <v>37</v>
      </c>
      <c r="C2187" t="s">
        <v>14086</v>
      </c>
      <c r="D2187" t="s">
        <v>14087</v>
      </c>
      <c r="E2187" t="s">
        <v>14088</v>
      </c>
      <c r="F2187" t="s">
        <v>14089</v>
      </c>
      <c r="G2187" t="s">
        <v>14090</v>
      </c>
      <c r="H2187" t="s">
        <v>42</v>
      </c>
      <c r="I2187" t="s">
        <v>14091</v>
      </c>
      <c r="J2187" t="s">
        <v>14092</v>
      </c>
      <c r="K2187" t="s">
        <v>14093</v>
      </c>
      <c r="L2187" t="s">
        <v>130</v>
      </c>
      <c r="M2187" t="s">
        <v>46</v>
      </c>
      <c r="N2187" t="s">
        <v>47</v>
      </c>
      <c r="O2187">
        <v>2</v>
      </c>
      <c r="P2187">
        <v>1</v>
      </c>
      <c r="Q2187">
        <v>2</v>
      </c>
      <c r="R2187" t="s">
        <v>48</v>
      </c>
      <c r="S2187" t="s">
        <v>49</v>
      </c>
      <c r="T2187" s="3">
        <v>0.84</v>
      </c>
      <c r="U2187" s="3">
        <v>0.23</v>
      </c>
      <c r="V2187" s="3">
        <v>1.81</v>
      </c>
      <c r="W2187">
        <v>0.78</v>
      </c>
      <c r="X2187" t="s">
        <v>50</v>
      </c>
      <c r="Y2187" s="3">
        <v>14.26</v>
      </c>
      <c r="Z2187" t="s">
        <v>9850</v>
      </c>
      <c r="AA2187" t="s">
        <v>3797</v>
      </c>
      <c r="AB2187" t="s">
        <v>53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f t="shared" si="68"/>
        <v>17.14</v>
      </c>
      <c r="AK2187" s="3">
        <f t="shared" si="69"/>
        <v>2.8800000000000008</v>
      </c>
    </row>
    <row r="2188" spans="1:37">
      <c r="A2188">
        <v>10385285</v>
      </c>
      <c r="B2188" t="s">
        <v>111</v>
      </c>
      <c r="C2188" t="s">
        <v>14094</v>
      </c>
      <c r="D2188" t="s">
        <v>14095</v>
      </c>
      <c r="E2188" t="s">
        <v>14096</v>
      </c>
      <c r="F2188" t="s">
        <v>14097</v>
      </c>
      <c r="G2188" t="s">
        <v>14098</v>
      </c>
      <c r="H2188" t="s">
        <v>117</v>
      </c>
      <c r="I2188" t="s">
        <v>14099</v>
      </c>
      <c r="J2188" t="s">
        <v>14100</v>
      </c>
      <c r="K2188">
        <v>42600</v>
      </c>
      <c r="L2188" t="s">
        <v>130</v>
      </c>
      <c r="M2188" t="s">
        <v>46</v>
      </c>
      <c r="N2188" t="s">
        <v>47</v>
      </c>
      <c r="O2188">
        <v>96</v>
      </c>
      <c r="P2188">
        <v>3</v>
      </c>
      <c r="Q2188">
        <v>96</v>
      </c>
      <c r="R2188" t="s">
        <v>48</v>
      </c>
      <c r="S2188" t="s">
        <v>49</v>
      </c>
      <c r="T2188" s="3">
        <v>7</v>
      </c>
      <c r="U2188" s="3">
        <v>0.23</v>
      </c>
      <c r="V2188" s="3">
        <v>76.989999999999995</v>
      </c>
      <c r="W2188">
        <v>50</v>
      </c>
      <c r="X2188" t="s">
        <v>50</v>
      </c>
      <c r="Y2188" s="3">
        <v>51.13</v>
      </c>
      <c r="Z2188" t="s">
        <v>132</v>
      </c>
      <c r="AA2188" t="s">
        <v>14101</v>
      </c>
      <c r="AB2188" t="s">
        <v>53</v>
      </c>
      <c r="AC2188" s="3">
        <v>5.61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f t="shared" si="68"/>
        <v>140.95999999999998</v>
      </c>
      <c r="AK2188" s="3">
        <f t="shared" si="69"/>
        <v>89.829999999999984</v>
      </c>
    </row>
    <row r="2189" spans="1:37">
      <c r="A2189">
        <v>10394834</v>
      </c>
      <c r="B2189" t="s">
        <v>37</v>
      </c>
      <c r="C2189" t="s">
        <v>14102</v>
      </c>
      <c r="E2189" t="s">
        <v>14103</v>
      </c>
      <c r="F2189" t="s">
        <v>14104</v>
      </c>
      <c r="G2189" t="s">
        <v>14105</v>
      </c>
      <c r="H2189" t="s">
        <v>42</v>
      </c>
      <c r="I2189" t="s">
        <v>14106</v>
      </c>
      <c r="J2189" t="s">
        <v>14107</v>
      </c>
      <c r="K2189">
        <v>3500</v>
      </c>
      <c r="L2189" t="s">
        <v>505</v>
      </c>
      <c r="M2189" t="s">
        <v>46</v>
      </c>
      <c r="N2189" t="s">
        <v>47</v>
      </c>
      <c r="O2189">
        <v>6</v>
      </c>
      <c r="P2189">
        <v>1</v>
      </c>
      <c r="Q2189">
        <v>6</v>
      </c>
      <c r="R2189" t="s">
        <v>48</v>
      </c>
      <c r="S2189" t="s">
        <v>49</v>
      </c>
      <c r="T2189" s="3">
        <v>0.84</v>
      </c>
      <c r="U2189" s="3">
        <v>0.23</v>
      </c>
      <c r="V2189" s="3">
        <v>5.29</v>
      </c>
      <c r="W2189">
        <v>3.08</v>
      </c>
      <c r="X2189" t="s">
        <v>50</v>
      </c>
      <c r="Y2189" s="3">
        <v>9.1999999999999993</v>
      </c>
      <c r="Z2189" t="s">
        <v>83</v>
      </c>
      <c r="AA2189" t="s">
        <v>14108</v>
      </c>
      <c r="AB2189" t="s">
        <v>53</v>
      </c>
      <c r="AC2189" s="3">
        <v>1.27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f t="shared" si="68"/>
        <v>16.829999999999998</v>
      </c>
      <c r="AK2189" s="3">
        <f t="shared" si="69"/>
        <v>7.629999999999999</v>
      </c>
    </row>
    <row r="2190" spans="1:37">
      <c r="A2190">
        <v>10394831</v>
      </c>
      <c r="B2190" t="s">
        <v>37</v>
      </c>
      <c r="C2190" t="s">
        <v>14109</v>
      </c>
      <c r="E2190" t="s">
        <v>985</v>
      </c>
      <c r="F2190" t="s">
        <v>14110</v>
      </c>
      <c r="G2190" t="s">
        <v>14111</v>
      </c>
      <c r="H2190" t="s">
        <v>42</v>
      </c>
      <c r="I2190" t="s">
        <v>14112</v>
      </c>
      <c r="J2190" t="s">
        <v>14113</v>
      </c>
      <c r="K2190" t="s">
        <v>14114</v>
      </c>
      <c r="L2190" t="s">
        <v>142</v>
      </c>
      <c r="M2190" t="s">
        <v>46</v>
      </c>
      <c r="N2190" t="s">
        <v>47</v>
      </c>
      <c r="O2190">
        <v>6</v>
      </c>
      <c r="P2190">
        <v>1</v>
      </c>
      <c r="Q2190">
        <v>6</v>
      </c>
      <c r="R2190" t="s">
        <v>48</v>
      </c>
      <c r="S2190" t="s">
        <v>49</v>
      </c>
      <c r="T2190" s="3">
        <v>0.84</v>
      </c>
      <c r="U2190" s="3">
        <v>0.23</v>
      </c>
      <c r="V2190" s="3">
        <v>5.29</v>
      </c>
      <c r="W2190">
        <v>2.37</v>
      </c>
      <c r="X2190" t="s">
        <v>50</v>
      </c>
      <c r="Y2190" s="3">
        <v>16.43</v>
      </c>
      <c r="Z2190" t="s">
        <v>73</v>
      </c>
      <c r="AA2190" t="s">
        <v>14115</v>
      </c>
      <c r="AB2190" t="s">
        <v>53</v>
      </c>
      <c r="AC2190" s="3">
        <v>1.29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f t="shared" si="68"/>
        <v>24.08</v>
      </c>
      <c r="AK2190" s="3">
        <f t="shared" si="69"/>
        <v>7.6499999999999986</v>
      </c>
    </row>
    <row r="2191" spans="1:37">
      <c r="A2191">
        <v>10394836</v>
      </c>
      <c r="B2191" t="s">
        <v>37</v>
      </c>
      <c r="C2191" t="s">
        <v>14116</v>
      </c>
      <c r="E2191" t="s">
        <v>14117</v>
      </c>
      <c r="F2191" t="s">
        <v>14118</v>
      </c>
      <c r="G2191" t="s">
        <v>14119</v>
      </c>
      <c r="H2191" t="s">
        <v>42</v>
      </c>
      <c r="I2191" t="s">
        <v>14120</v>
      </c>
      <c r="J2191" t="s">
        <v>14121</v>
      </c>
      <c r="K2191">
        <v>13189</v>
      </c>
      <c r="L2191" t="s">
        <v>71</v>
      </c>
      <c r="M2191" t="s">
        <v>46</v>
      </c>
      <c r="N2191" t="s">
        <v>47</v>
      </c>
      <c r="O2191">
        <v>1</v>
      </c>
      <c r="P2191">
        <v>1</v>
      </c>
      <c r="Q2191">
        <v>1</v>
      </c>
      <c r="R2191" t="s">
        <v>48</v>
      </c>
      <c r="S2191" t="s">
        <v>49</v>
      </c>
      <c r="T2191" s="3">
        <v>0.84</v>
      </c>
      <c r="U2191" s="3">
        <v>0.23</v>
      </c>
      <c r="V2191" s="3">
        <v>0.94</v>
      </c>
      <c r="W2191">
        <v>1.02</v>
      </c>
      <c r="X2191" t="s">
        <v>108</v>
      </c>
      <c r="Y2191" s="3">
        <v>5.14</v>
      </c>
      <c r="Z2191" t="s">
        <v>9686</v>
      </c>
      <c r="AA2191" t="s">
        <v>9992</v>
      </c>
      <c r="AB2191" t="s">
        <v>53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f t="shared" si="68"/>
        <v>7.15</v>
      </c>
      <c r="AK2191" s="3">
        <f t="shared" si="69"/>
        <v>2.0100000000000007</v>
      </c>
    </row>
    <row r="2192" spans="1:37">
      <c r="A2192">
        <v>10394829</v>
      </c>
      <c r="B2192" t="s">
        <v>37</v>
      </c>
      <c r="C2192" t="s">
        <v>14122</v>
      </c>
      <c r="E2192" t="s">
        <v>14123</v>
      </c>
      <c r="F2192" t="s">
        <v>14123</v>
      </c>
      <c r="G2192" t="s">
        <v>14124</v>
      </c>
      <c r="H2192" t="s">
        <v>42</v>
      </c>
      <c r="I2192" t="s">
        <v>14125</v>
      </c>
      <c r="J2192" t="s">
        <v>14126</v>
      </c>
      <c r="K2192">
        <v>92363</v>
      </c>
      <c r="L2192" t="s">
        <v>71</v>
      </c>
      <c r="M2192" t="s">
        <v>46</v>
      </c>
      <c r="N2192" t="s">
        <v>47</v>
      </c>
      <c r="O2192">
        <v>2</v>
      </c>
      <c r="P2192">
        <v>1</v>
      </c>
      <c r="Q2192">
        <v>2</v>
      </c>
      <c r="R2192" t="s">
        <v>48</v>
      </c>
      <c r="S2192" t="s">
        <v>49</v>
      </c>
      <c r="T2192" s="3">
        <v>0.84</v>
      </c>
      <c r="U2192" s="3">
        <v>0.23</v>
      </c>
      <c r="V2192" s="3">
        <v>1.81</v>
      </c>
      <c r="W2192">
        <v>0.98</v>
      </c>
      <c r="X2192" t="s">
        <v>108</v>
      </c>
      <c r="Y2192" s="3">
        <v>5.14</v>
      </c>
      <c r="Z2192" t="s">
        <v>9686</v>
      </c>
      <c r="AA2192" t="s">
        <v>14127</v>
      </c>
      <c r="AB2192" t="s">
        <v>53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f t="shared" si="68"/>
        <v>8.02</v>
      </c>
      <c r="AK2192" s="3">
        <f t="shared" si="69"/>
        <v>2.88</v>
      </c>
    </row>
    <row r="2193" spans="1:37">
      <c r="A2193">
        <v>10393393</v>
      </c>
      <c r="B2193" t="s">
        <v>37</v>
      </c>
      <c r="C2193" t="s">
        <v>14128</v>
      </c>
      <c r="E2193" t="s">
        <v>10878</v>
      </c>
      <c r="F2193" t="s">
        <v>14129</v>
      </c>
      <c r="G2193" t="s">
        <v>14130</v>
      </c>
      <c r="H2193" t="s">
        <v>42</v>
      </c>
      <c r="I2193" t="s">
        <v>14131</v>
      </c>
      <c r="J2193" t="s">
        <v>14132</v>
      </c>
      <c r="K2193">
        <v>81667</v>
      </c>
      <c r="L2193" t="s">
        <v>71</v>
      </c>
      <c r="M2193" t="s">
        <v>46</v>
      </c>
      <c r="N2193" t="s">
        <v>47</v>
      </c>
      <c r="O2193">
        <v>4</v>
      </c>
      <c r="P2193">
        <v>1</v>
      </c>
      <c r="Q2193">
        <v>4</v>
      </c>
      <c r="R2193" t="s">
        <v>48</v>
      </c>
      <c r="S2193" t="s">
        <v>49</v>
      </c>
      <c r="T2193" s="3">
        <v>0.84</v>
      </c>
      <c r="U2193" s="3">
        <v>0.23</v>
      </c>
      <c r="V2193" s="3">
        <v>3.55</v>
      </c>
      <c r="W2193">
        <v>1.56</v>
      </c>
      <c r="X2193" t="s">
        <v>108</v>
      </c>
      <c r="Y2193" s="3">
        <v>5.14</v>
      </c>
      <c r="Z2193" t="s">
        <v>9686</v>
      </c>
      <c r="AA2193" t="s">
        <v>14133</v>
      </c>
      <c r="AB2193" t="s">
        <v>53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f t="shared" si="68"/>
        <v>9.76</v>
      </c>
      <c r="AK2193" s="3">
        <f t="shared" si="69"/>
        <v>4.62</v>
      </c>
    </row>
    <row r="2194" spans="1:37">
      <c r="A2194">
        <v>10393758</v>
      </c>
      <c r="B2194" t="s">
        <v>37</v>
      </c>
      <c r="C2194" t="s">
        <v>14134</v>
      </c>
      <c r="E2194" t="s">
        <v>14135</v>
      </c>
      <c r="F2194" t="s">
        <v>14136</v>
      </c>
      <c r="G2194" t="s">
        <v>14137</v>
      </c>
      <c r="H2194" t="s">
        <v>42</v>
      </c>
      <c r="I2194" t="s">
        <v>14138</v>
      </c>
      <c r="J2194" t="s">
        <v>14139</v>
      </c>
      <c r="K2194" t="s">
        <v>14140</v>
      </c>
      <c r="L2194" t="s">
        <v>82</v>
      </c>
      <c r="M2194" t="s">
        <v>46</v>
      </c>
      <c r="N2194" t="s">
        <v>47</v>
      </c>
      <c r="O2194">
        <v>2</v>
      </c>
      <c r="P2194">
        <v>1</v>
      </c>
      <c r="Q2194">
        <v>2</v>
      </c>
      <c r="R2194" t="s">
        <v>48</v>
      </c>
      <c r="S2194" t="s">
        <v>49</v>
      </c>
      <c r="T2194" s="3">
        <v>0.84</v>
      </c>
      <c r="U2194" s="3">
        <v>0.23</v>
      </c>
      <c r="V2194" s="3">
        <v>1.81</v>
      </c>
      <c r="W2194">
        <v>0.98</v>
      </c>
      <c r="X2194" t="s">
        <v>50</v>
      </c>
      <c r="Y2194" s="3">
        <v>9.1999999999999993</v>
      </c>
      <c r="Z2194" t="s">
        <v>9850</v>
      </c>
      <c r="AA2194" t="s">
        <v>6560</v>
      </c>
      <c r="AB2194" t="s">
        <v>53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f t="shared" si="68"/>
        <v>12.08</v>
      </c>
      <c r="AK2194" s="3">
        <f t="shared" si="69"/>
        <v>2.8800000000000008</v>
      </c>
    </row>
    <row r="2195" spans="1:37">
      <c r="A2195">
        <v>10394052</v>
      </c>
      <c r="B2195" t="s">
        <v>37</v>
      </c>
      <c r="C2195" t="s">
        <v>14141</v>
      </c>
      <c r="E2195" t="s">
        <v>14142</v>
      </c>
      <c r="F2195" t="s">
        <v>14143</v>
      </c>
      <c r="G2195" t="s">
        <v>14144</v>
      </c>
      <c r="H2195" t="s">
        <v>42</v>
      </c>
      <c r="I2195" t="s">
        <v>14145</v>
      </c>
      <c r="J2195" t="s">
        <v>14146</v>
      </c>
      <c r="K2195" t="s">
        <v>14147</v>
      </c>
      <c r="L2195" t="s">
        <v>82</v>
      </c>
      <c r="M2195" t="s">
        <v>46</v>
      </c>
      <c r="N2195" t="s">
        <v>47</v>
      </c>
      <c r="O2195">
        <v>2</v>
      </c>
      <c r="P2195">
        <v>1</v>
      </c>
      <c r="Q2195">
        <v>2</v>
      </c>
      <c r="R2195" t="s">
        <v>48</v>
      </c>
      <c r="S2195" t="s">
        <v>49</v>
      </c>
      <c r="T2195" s="3">
        <v>0.84</v>
      </c>
      <c r="U2195" s="3">
        <v>0.23</v>
      </c>
      <c r="V2195" s="3">
        <v>1.81</v>
      </c>
      <c r="W2195">
        <v>0.98</v>
      </c>
      <c r="X2195" t="s">
        <v>50</v>
      </c>
      <c r="Y2195" s="3">
        <v>9.1999999999999993</v>
      </c>
      <c r="Z2195" t="s">
        <v>9850</v>
      </c>
      <c r="AA2195" t="s">
        <v>14148</v>
      </c>
      <c r="AB2195" t="s">
        <v>53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f t="shared" si="68"/>
        <v>12.08</v>
      </c>
      <c r="AK2195" s="3">
        <f t="shared" si="69"/>
        <v>2.8800000000000008</v>
      </c>
    </row>
    <row r="2196" spans="1:37">
      <c r="A2196">
        <v>10394057</v>
      </c>
      <c r="B2196" t="s">
        <v>37</v>
      </c>
      <c r="C2196" t="s">
        <v>14149</v>
      </c>
      <c r="E2196" t="s">
        <v>14150</v>
      </c>
      <c r="F2196" t="s">
        <v>14151</v>
      </c>
      <c r="G2196" t="s">
        <v>14152</v>
      </c>
      <c r="H2196" t="s">
        <v>42</v>
      </c>
      <c r="I2196" t="s">
        <v>14153</v>
      </c>
      <c r="J2196" t="s">
        <v>14154</v>
      </c>
      <c r="K2196" t="s">
        <v>14155</v>
      </c>
      <c r="L2196" t="s">
        <v>82</v>
      </c>
      <c r="M2196" t="s">
        <v>46</v>
      </c>
      <c r="N2196" t="s">
        <v>47</v>
      </c>
      <c r="O2196">
        <v>2</v>
      </c>
      <c r="P2196">
        <v>1</v>
      </c>
      <c r="Q2196">
        <v>2</v>
      </c>
      <c r="R2196" t="s">
        <v>48</v>
      </c>
      <c r="S2196" t="s">
        <v>49</v>
      </c>
      <c r="T2196" s="3">
        <v>0.84</v>
      </c>
      <c r="U2196" s="3">
        <v>0.23</v>
      </c>
      <c r="V2196" s="3">
        <v>1.81</v>
      </c>
      <c r="W2196">
        <v>0.98</v>
      </c>
      <c r="X2196" t="s">
        <v>50</v>
      </c>
      <c r="Y2196" s="3">
        <v>9.1999999999999993</v>
      </c>
      <c r="Z2196" t="s">
        <v>9850</v>
      </c>
      <c r="AA2196" t="s">
        <v>14156</v>
      </c>
      <c r="AB2196" t="s">
        <v>53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f t="shared" si="68"/>
        <v>12.08</v>
      </c>
      <c r="AK2196" s="3">
        <f t="shared" si="69"/>
        <v>2.8800000000000008</v>
      </c>
    </row>
    <row r="2197" spans="1:37">
      <c r="A2197">
        <v>10399506</v>
      </c>
      <c r="B2197" t="s">
        <v>37</v>
      </c>
      <c r="C2197" t="s">
        <v>14157</v>
      </c>
      <c r="E2197" t="s">
        <v>14158</v>
      </c>
      <c r="F2197" t="s">
        <v>14159</v>
      </c>
      <c r="G2197" t="s">
        <v>14160</v>
      </c>
      <c r="H2197" t="s">
        <v>42</v>
      </c>
      <c r="I2197" t="s">
        <v>14161</v>
      </c>
      <c r="J2197" t="s">
        <v>14162</v>
      </c>
      <c r="K2197">
        <v>51103</v>
      </c>
      <c r="L2197" t="s">
        <v>71</v>
      </c>
      <c r="M2197" t="s">
        <v>46</v>
      </c>
      <c r="N2197" t="s">
        <v>47</v>
      </c>
      <c r="O2197">
        <v>1</v>
      </c>
      <c r="P2197">
        <v>1</v>
      </c>
      <c r="Q2197">
        <v>1</v>
      </c>
      <c r="R2197" t="s">
        <v>48</v>
      </c>
      <c r="S2197" t="s">
        <v>49</v>
      </c>
      <c r="T2197" s="3">
        <v>0.84</v>
      </c>
      <c r="U2197" s="3">
        <v>0.23</v>
      </c>
      <c r="V2197" s="3">
        <v>0.94</v>
      </c>
      <c r="W2197">
        <v>0.49</v>
      </c>
      <c r="X2197" t="s">
        <v>108</v>
      </c>
      <c r="Y2197" s="3">
        <v>5.14</v>
      </c>
      <c r="Z2197" t="s">
        <v>9850</v>
      </c>
      <c r="AA2197" t="s">
        <v>2851</v>
      </c>
      <c r="AB2197" t="s">
        <v>53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f t="shared" si="68"/>
        <v>7.15</v>
      </c>
      <c r="AK2197" s="3">
        <f t="shared" si="69"/>
        <v>2.0100000000000007</v>
      </c>
    </row>
    <row r="2198" spans="1:37">
      <c r="A2198">
        <v>10395629</v>
      </c>
      <c r="B2198" t="s">
        <v>37</v>
      </c>
      <c r="C2198" t="s">
        <v>14163</v>
      </c>
      <c r="E2198" t="s">
        <v>4033</v>
      </c>
      <c r="F2198" t="s">
        <v>14164</v>
      </c>
      <c r="G2198" t="s">
        <v>14165</v>
      </c>
      <c r="H2198" t="s">
        <v>42</v>
      </c>
      <c r="I2198" t="s">
        <v>14166</v>
      </c>
      <c r="J2198" t="s">
        <v>14167</v>
      </c>
      <c r="K2198" t="s">
        <v>14168</v>
      </c>
      <c r="L2198" t="s">
        <v>82</v>
      </c>
      <c r="M2198" t="s">
        <v>46</v>
      </c>
      <c r="N2198" t="s">
        <v>47</v>
      </c>
      <c r="O2198">
        <v>3</v>
      </c>
      <c r="P2198">
        <v>1</v>
      </c>
      <c r="Q2198">
        <v>3</v>
      </c>
      <c r="R2198" t="s">
        <v>48</v>
      </c>
      <c r="S2198" t="s">
        <v>49</v>
      </c>
      <c r="T2198" s="3">
        <v>0.84</v>
      </c>
      <c r="U2198" s="3">
        <v>0.23</v>
      </c>
      <c r="V2198" s="3">
        <v>2.68</v>
      </c>
      <c r="W2198">
        <v>1.1200000000000001</v>
      </c>
      <c r="X2198" t="s">
        <v>50</v>
      </c>
      <c r="Y2198" s="3">
        <v>9.1999999999999993</v>
      </c>
      <c r="Z2198" t="s">
        <v>9686</v>
      </c>
      <c r="AA2198" t="s">
        <v>14169</v>
      </c>
      <c r="AB2198" t="s">
        <v>53</v>
      </c>
      <c r="AC2198" s="3">
        <v>0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f t="shared" si="68"/>
        <v>12.95</v>
      </c>
      <c r="AK2198" s="3">
        <f t="shared" si="69"/>
        <v>3.75</v>
      </c>
    </row>
    <row r="2199" spans="1:37">
      <c r="A2199">
        <v>10398352</v>
      </c>
      <c r="B2199" t="s">
        <v>37</v>
      </c>
      <c r="C2199" t="s">
        <v>14170</v>
      </c>
      <c r="E2199" t="s">
        <v>2751</v>
      </c>
      <c r="F2199" t="s">
        <v>14171</v>
      </c>
      <c r="G2199" t="s">
        <v>14172</v>
      </c>
      <c r="H2199" t="s">
        <v>42</v>
      </c>
      <c r="I2199" t="s">
        <v>14173</v>
      </c>
      <c r="J2199" t="s">
        <v>14174</v>
      </c>
      <c r="K2199">
        <v>85135</v>
      </c>
      <c r="L2199" t="s">
        <v>71</v>
      </c>
      <c r="M2199" t="s">
        <v>46</v>
      </c>
      <c r="N2199" t="s">
        <v>47</v>
      </c>
      <c r="O2199">
        <v>1</v>
      </c>
      <c r="P2199">
        <v>1</v>
      </c>
      <c r="Q2199">
        <v>1</v>
      </c>
      <c r="R2199" t="s">
        <v>48</v>
      </c>
      <c r="S2199" t="s">
        <v>49</v>
      </c>
      <c r="T2199" s="3">
        <v>0.84</v>
      </c>
      <c r="U2199" s="3">
        <v>0.23</v>
      </c>
      <c r="V2199" s="3">
        <v>0.94</v>
      </c>
      <c r="W2199">
        <v>1.4</v>
      </c>
      <c r="X2199" t="s">
        <v>108</v>
      </c>
      <c r="Y2199" s="3">
        <v>5.14</v>
      </c>
      <c r="Z2199" t="s">
        <v>9686</v>
      </c>
      <c r="AA2199" t="s">
        <v>1297</v>
      </c>
      <c r="AB2199" t="s">
        <v>53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f t="shared" si="68"/>
        <v>7.15</v>
      </c>
      <c r="AK2199" s="3">
        <f t="shared" si="69"/>
        <v>2.0100000000000007</v>
      </c>
    </row>
    <row r="2200" spans="1:37">
      <c r="A2200">
        <v>10398601</v>
      </c>
      <c r="B2200" t="s">
        <v>37</v>
      </c>
      <c r="C2200" t="s">
        <v>14175</v>
      </c>
      <c r="E2200" t="s">
        <v>14176</v>
      </c>
      <c r="F2200" t="s">
        <v>454</v>
      </c>
      <c r="G2200" t="s">
        <v>14177</v>
      </c>
      <c r="H2200" t="s">
        <v>42</v>
      </c>
      <c r="I2200" t="s">
        <v>14178</v>
      </c>
      <c r="J2200" t="s">
        <v>14179</v>
      </c>
      <c r="K2200" t="s">
        <v>14180</v>
      </c>
      <c r="L2200" t="s">
        <v>142</v>
      </c>
      <c r="M2200" t="s">
        <v>46</v>
      </c>
      <c r="N2200" t="s">
        <v>47</v>
      </c>
      <c r="O2200">
        <v>1</v>
      </c>
      <c r="P2200">
        <v>1</v>
      </c>
      <c r="Q2200">
        <v>1</v>
      </c>
      <c r="R2200" t="s">
        <v>48</v>
      </c>
      <c r="S2200" t="s">
        <v>49</v>
      </c>
      <c r="T2200" s="3">
        <v>0.84</v>
      </c>
      <c r="U2200" s="3">
        <v>0.23</v>
      </c>
      <c r="V2200" s="3">
        <v>0.94</v>
      </c>
      <c r="W2200">
        <v>2.4</v>
      </c>
      <c r="X2200" t="s">
        <v>50</v>
      </c>
      <c r="Y2200" s="3">
        <v>16.43</v>
      </c>
      <c r="Z2200" t="s">
        <v>9686</v>
      </c>
      <c r="AA2200" t="s">
        <v>1272</v>
      </c>
      <c r="AB2200" t="s">
        <v>53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f t="shared" si="68"/>
        <v>18.440000000000001</v>
      </c>
      <c r="AK2200" s="3">
        <f t="shared" si="69"/>
        <v>2.0100000000000016</v>
      </c>
    </row>
    <row r="2201" spans="1:37">
      <c r="A2201">
        <v>10395632</v>
      </c>
      <c r="B2201" t="s">
        <v>37</v>
      </c>
      <c r="C2201" t="s">
        <v>14181</v>
      </c>
      <c r="E2201" t="s">
        <v>687</v>
      </c>
      <c r="F2201" t="s">
        <v>14182</v>
      </c>
      <c r="G2201" t="s">
        <v>14183</v>
      </c>
      <c r="H2201" t="s">
        <v>42</v>
      </c>
      <c r="I2201" t="s">
        <v>14184</v>
      </c>
      <c r="J2201" t="s">
        <v>14185</v>
      </c>
      <c r="K2201">
        <v>85774</v>
      </c>
      <c r="L2201" t="s">
        <v>71</v>
      </c>
      <c r="M2201" t="s">
        <v>46</v>
      </c>
      <c r="N2201" t="s">
        <v>47</v>
      </c>
      <c r="O2201">
        <v>7</v>
      </c>
      <c r="P2201">
        <v>1</v>
      </c>
      <c r="Q2201">
        <v>7</v>
      </c>
      <c r="R2201" t="s">
        <v>48</v>
      </c>
      <c r="S2201" t="s">
        <v>49</v>
      </c>
      <c r="T2201" s="3">
        <v>0.84</v>
      </c>
      <c r="U2201" s="3">
        <v>0.23</v>
      </c>
      <c r="V2201" s="3">
        <v>6.16</v>
      </c>
      <c r="W2201">
        <v>2.59</v>
      </c>
      <c r="X2201" t="s">
        <v>72</v>
      </c>
      <c r="Y2201" s="3">
        <v>5.44</v>
      </c>
      <c r="Z2201" t="s">
        <v>83</v>
      </c>
      <c r="AA2201" t="s">
        <v>14186</v>
      </c>
      <c r="AB2201" t="s">
        <v>53</v>
      </c>
      <c r="AC2201" s="3">
        <v>1.27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f t="shared" si="68"/>
        <v>13.940000000000001</v>
      </c>
      <c r="AK2201" s="3">
        <f t="shared" si="69"/>
        <v>8.5</v>
      </c>
    </row>
    <row r="2202" spans="1:37">
      <c r="A2202">
        <v>10398600</v>
      </c>
      <c r="B2202" t="s">
        <v>37</v>
      </c>
      <c r="C2202" t="s">
        <v>14187</v>
      </c>
      <c r="E2202" t="s">
        <v>2534</v>
      </c>
      <c r="F2202" t="s">
        <v>14188</v>
      </c>
      <c r="G2202" t="s">
        <v>14189</v>
      </c>
      <c r="H2202" t="s">
        <v>42</v>
      </c>
      <c r="I2202" t="s">
        <v>14190</v>
      </c>
      <c r="J2202" t="s">
        <v>14191</v>
      </c>
      <c r="K2202">
        <v>82041</v>
      </c>
      <c r="L2202" t="s">
        <v>71</v>
      </c>
      <c r="M2202" t="s">
        <v>46</v>
      </c>
      <c r="N2202" t="s">
        <v>47</v>
      </c>
      <c r="O2202">
        <v>1</v>
      </c>
      <c r="P2202">
        <v>1</v>
      </c>
      <c r="Q2202">
        <v>1</v>
      </c>
      <c r="R2202" t="s">
        <v>48</v>
      </c>
      <c r="S2202" t="s">
        <v>49</v>
      </c>
      <c r="T2202" s="3">
        <v>0.84</v>
      </c>
      <c r="U2202" s="3">
        <v>0.23</v>
      </c>
      <c r="V2202" s="3">
        <v>0.94</v>
      </c>
      <c r="W2202">
        <v>1.4</v>
      </c>
      <c r="X2202" t="s">
        <v>108</v>
      </c>
      <c r="Y2202" s="3">
        <v>5.14</v>
      </c>
      <c r="Z2202" t="s">
        <v>9686</v>
      </c>
      <c r="AA2202" t="s">
        <v>178</v>
      </c>
      <c r="AB2202" t="s">
        <v>53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f t="shared" si="68"/>
        <v>7.15</v>
      </c>
      <c r="AK2202" s="3">
        <f t="shared" si="69"/>
        <v>2.0100000000000007</v>
      </c>
    </row>
    <row r="2203" spans="1:37">
      <c r="A2203">
        <v>10395637</v>
      </c>
      <c r="B2203" t="s">
        <v>37</v>
      </c>
      <c r="C2203" t="s">
        <v>14192</v>
      </c>
      <c r="E2203" t="s">
        <v>1600</v>
      </c>
      <c r="F2203" t="s">
        <v>6426</v>
      </c>
      <c r="G2203" t="s">
        <v>14193</v>
      </c>
      <c r="H2203" t="s">
        <v>42</v>
      </c>
      <c r="I2203" t="s">
        <v>14194</v>
      </c>
      <c r="J2203" t="s">
        <v>14195</v>
      </c>
      <c r="K2203" t="s">
        <v>14196</v>
      </c>
      <c r="L2203" t="s">
        <v>142</v>
      </c>
      <c r="M2203" t="s">
        <v>46</v>
      </c>
      <c r="N2203" t="s">
        <v>47</v>
      </c>
      <c r="O2203">
        <v>4</v>
      </c>
      <c r="P2203">
        <v>1</v>
      </c>
      <c r="Q2203">
        <v>4</v>
      </c>
      <c r="R2203" t="s">
        <v>48</v>
      </c>
      <c r="S2203" t="s">
        <v>49</v>
      </c>
      <c r="T2203" s="3">
        <v>0.84</v>
      </c>
      <c r="U2203" s="3">
        <v>0.23</v>
      </c>
      <c r="V2203" s="3">
        <v>3.55</v>
      </c>
      <c r="W2203">
        <v>3.3</v>
      </c>
      <c r="X2203" t="s">
        <v>50</v>
      </c>
      <c r="Y2203" s="3">
        <v>16.43</v>
      </c>
      <c r="Z2203" t="s">
        <v>73</v>
      </c>
      <c r="AA2203" t="s">
        <v>12683</v>
      </c>
      <c r="AB2203" t="s">
        <v>53</v>
      </c>
      <c r="AC2203" s="3">
        <v>1.29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s="3">
        <f t="shared" si="68"/>
        <v>22.34</v>
      </c>
      <c r="AK2203" s="3">
        <f t="shared" si="69"/>
        <v>5.91</v>
      </c>
    </row>
    <row r="2204" spans="1:37">
      <c r="A2204">
        <v>10399371</v>
      </c>
      <c r="B2204" t="s">
        <v>37</v>
      </c>
      <c r="C2204" t="s">
        <v>14197</v>
      </c>
      <c r="E2204" t="s">
        <v>6817</v>
      </c>
      <c r="F2204" t="s">
        <v>14198</v>
      </c>
      <c r="G2204" t="s">
        <v>14199</v>
      </c>
      <c r="H2204" t="s">
        <v>42</v>
      </c>
      <c r="I2204" t="s">
        <v>14200</v>
      </c>
      <c r="J2204" t="s">
        <v>14201</v>
      </c>
      <c r="K2204" t="s">
        <v>7676</v>
      </c>
      <c r="L2204" t="s">
        <v>71</v>
      </c>
      <c r="M2204" t="s">
        <v>46</v>
      </c>
      <c r="N2204" t="s">
        <v>47</v>
      </c>
      <c r="O2204">
        <v>1</v>
      </c>
      <c r="P2204">
        <v>1</v>
      </c>
      <c r="Q2204">
        <v>1</v>
      </c>
      <c r="R2204" t="s">
        <v>48</v>
      </c>
      <c r="S2204" t="s">
        <v>49</v>
      </c>
      <c r="T2204" s="3">
        <v>0.84</v>
      </c>
      <c r="U2204" s="3">
        <v>0.23</v>
      </c>
      <c r="V2204" s="3">
        <v>0.94</v>
      </c>
      <c r="W2204">
        <v>1.4</v>
      </c>
      <c r="X2204" t="s">
        <v>108</v>
      </c>
      <c r="Y2204" s="3">
        <v>5.14</v>
      </c>
      <c r="Z2204" t="s">
        <v>9686</v>
      </c>
      <c r="AA2204" t="s">
        <v>178</v>
      </c>
      <c r="AB2204" t="s">
        <v>53</v>
      </c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f t="shared" si="68"/>
        <v>7.15</v>
      </c>
      <c r="AK2204" s="3">
        <f t="shared" si="69"/>
        <v>2.0100000000000007</v>
      </c>
    </row>
    <row r="2205" spans="1:37">
      <c r="A2205">
        <v>10399759</v>
      </c>
      <c r="B2205" t="s">
        <v>37</v>
      </c>
      <c r="C2205" t="s">
        <v>14202</v>
      </c>
      <c r="E2205" t="s">
        <v>14203</v>
      </c>
      <c r="F2205" t="s">
        <v>39</v>
      </c>
      <c r="G2205" t="s">
        <v>14204</v>
      </c>
      <c r="H2205" t="s">
        <v>42</v>
      </c>
      <c r="I2205" t="s">
        <v>14205</v>
      </c>
      <c r="J2205" t="s">
        <v>14206</v>
      </c>
      <c r="K2205" t="s">
        <v>14207</v>
      </c>
      <c r="L2205" t="s">
        <v>142</v>
      </c>
      <c r="M2205" t="s">
        <v>46</v>
      </c>
      <c r="N2205" t="s">
        <v>47</v>
      </c>
      <c r="O2205">
        <v>1</v>
      </c>
      <c r="P2205">
        <v>1</v>
      </c>
      <c r="Q2205">
        <v>1</v>
      </c>
      <c r="R2205" t="s">
        <v>48</v>
      </c>
      <c r="S2205" t="s">
        <v>49</v>
      </c>
      <c r="T2205" s="3">
        <v>0.84</v>
      </c>
      <c r="U2205" s="3">
        <v>0.23</v>
      </c>
      <c r="V2205" s="3">
        <v>0.94</v>
      </c>
      <c r="W2205">
        <v>1.6</v>
      </c>
      <c r="X2205" t="s">
        <v>50</v>
      </c>
      <c r="Y2205" s="3">
        <v>16.43</v>
      </c>
      <c r="Z2205" t="s">
        <v>9686</v>
      </c>
      <c r="AA2205" t="s">
        <v>490</v>
      </c>
      <c r="AB2205" t="s">
        <v>53</v>
      </c>
      <c r="AC2205" s="3">
        <v>0</v>
      </c>
      <c r="AD2205" s="3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  <c r="AJ2205" s="3">
        <f t="shared" si="68"/>
        <v>18.440000000000001</v>
      </c>
      <c r="AK2205" s="3">
        <f t="shared" si="69"/>
        <v>2.0100000000000016</v>
      </c>
    </row>
    <row r="2206" spans="1:37">
      <c r="A2206">
        <v>10395618</v>
      </c>
      <c r="B2206" t="s">
        <v>37</v>
      </c>
      <c r="C2206" t="s">
        <v>14208</v>
      </c>
      <c r="E2206" t="s">
        <v>1712</v>
      </c>
      <c r="F2206" t="s">
        <v>14209</v>
      </c>
      <c r="G2206" t="s">
        <v>14210</v>
      </c>
      <c r="H2206" t="s">
        <v>42</v>
      </c>
      <c r="I2206" t="s">
        <v>14211</v>
      </c>
      <c r="J2206" t="s">
        <v>14212</v>
      </c>
      <c r="K2206" t="s">
        <v>14213</v>
      </c>
      <c r="L2206" t="s">
        <v>82</v>
      </c>
      <c r="M2206" t="s">
        <v>46</v>
      </c>
      <c r="N2206" t="s">
        <v>47</v>
      </c>
      <c r="O2206">
        <v>4</v>
      </c>
      <c r="P2206">
        <v>1</v>
      </c>
      <c r="Q2206">
        <v>4</v>
      </c>
      <c r="R2206" t="s">
        <v>48</v>
      </c>
      <c r="S2206" t="s">
        <v>49</v>
      </c>
      <c r="T2206" s="3">
        <v>0.84</v>
      </c>
      <c r="U2206" s="3">
        <v>0.23</v>
      </c>
      <c r="V2206" s="3">
        <v>3.55</v>
      </c>
      <c r="W2206">
        <v>1.96</v>
      </c>
      <c r="X2206" t="s">
        <v>50</v>
      </c>
      <c r="Y2206" s="3">
        <v>9.1999999999999993</v>
      </c>
      <c r="Z2206" t="s">
        <v>9686</v>
      </c>
      <c r="AA2206" t="s">
        <v>14214</v>
      </c>
      <c r="AB2206" t="s">
        <v>53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f t="shared" si="68"/>
        <v>13.82</v>
      </c>
      <c r="AK2206" s="3">
        <f t="shared" si="69"/>
        <v>4.620000000000001</v>
      </c>
    </row>
    <row r="2207" spans="1:37">
      <c r="A2207">
        <v>10399764</v>
      </c>
      <c r="B2207" t="s">
        <v>37</v>
      </c>
      <c r="C2207" t="s">
        <v>14215</v>
      </c>
      <c r="E2207" t="s">
        <v>14216</v>
      </c>
      <c r="F2207" t="s">
        <v>14217</v>
      </c>
      <c r="G2207" t="s">
        <v>14218</v>
      </c>
      <c r="H2207" t="s">
        <v>42</v>
      </c>
      <c r="I2207" t="s">
        <v>14219</v>
      </c>
      <c r="J2207" t="s">
        <v>14220</v>
      </c>
      <c r="K2207">
        <v>75015</v>
      </c>
      <c r="L2207" t="s">
        <v>130</v>
      </c>
      <c r="M2207" t="s">
        <v>46</v>
      </c>
      <c r="N2207" t="s">
        <v>47</v>
      </c>
      <c r="O2207">
        <v>1</v>
      </c>
      <c r="P2207">
        <v>1</v>
      </c>
      <c r="Q2207">
        <v>1</v>
      </c>
      <c r="R2207" t="s">
        <v>48</v>
      </c>
      <c r="S2207" t="s">
        <v>49</v>
      </c>
      <c r="T2207" s="3">
        <v>0.84</v>
      </c>
      <c r="U2207" s="3">
        <v>0.23</v>
      </c>
      <c r="V2207" s="3">
        <v>0.94</v>
      </c>
      <c r="W2207">
        <v>0.39</v>
      </c>
      <c r="X2207" t="s">
        <v>50</v>
      </c>
      <c r="Y2207" s="3">
        <v>14.26</v>
      </c>
      <c r="Z2207" t="s">
        <v>9850</v>
      </c>
      <c r="AA2207" t="s">
        <v>714</v>
      </c>
      <c r="AB2207" t="s">
        <v>53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f t="shared" si="68"/>
        <v>16.27</v>
      </c>
      <c r="AK2207" s="3">
        <f t="shared" si="69"/>
        <v>2.0099999999999998</v>
      </c>
    </row>
    <row r="2208" spans="1:37">
      <c r="A2208">
        <v>10395992</v>
      </c>
      <c r="B2208" t="s">
        <v>37</v>
      </c>
      <c r="C2208" t="s">
        <v>14221</v>
      </c>
      <c r="E2208" t="s">
        <v>606</v>
      </c>
      <c r="F2208" t="s">
        <v>14222</v>
      </c>
      <c r="G2208" t="s">
        <v>14223</v>
      </c>
      <c r="H2208" t="s">
        <v>42</v>
      </c>
      <c r="I2208" t="s">
        <v>14224</v>
      </c>
      <c r="J2208" t="s">
        <v>14225</v>
      </c>
      <c r="K2208" t="s">
        <v>14226</v>
      </c>
      <c r="L2208" t="s">
        <v>142</v>
      </c>
      <c r="M2208" t="s">
        <v>46</v>
      </c>
      <c r="N2208" t="s">
        <v>47</v>
      </c>
      <c r="O2208">
        <v>5</v>
      </c>
      <c r="P2208">
        <v>1</v>
      </c>
      <c r="Q2208">
        <v>5</v>
      </c>
      <c r="R2208" t="s">
        <v>48</v>
      </c>
      <c r="S2208" t="s">
        <v>49</v>
      </c>
      <c r="T2208" s="3">
        <v>0.84</v>
      </c>
      <c r="U2208" s="3">
        <v>0.23</v>
      </c>
      <c r="V2208" s="3">
        <v>4.42</v>
      </c>
      <c r="W2208">
        <v>2.15</v>
      </c>
      <c r="X2208" t="s">
        <v>50</v>
      </c>
      <c r="Y2208" s="3">
        <v>16.43</v>
      </c>
      <c r="Z2208" t="s">
        <v>9686</v>
      </c>
      <c r="AA2208" t="s">
        <v>14227</v>
      </c>
      <c r="AB2208" t="s">
        <v>53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s="3">
        <f t="shared" si="68"/>
        <v>21.92</v>
      </c>
      <c r="AK2208" s="3">
        <f t="shared" si="69"/>
        <v>5.490000000000002</v>
      </c>
    </row>
    <row r="2209" spans="1:37">
      <c r="A2209">
        <v>10399761</v>
      </c>
      <c r="B2209" t="s">
        <v>37</v>
      </c>
      <c r="C2209" t="s">
        <v>14228</v>
      </c>
      <c r="E2209" t="s">
        <v>14229</v>
      </c>
      <c r="F2209" t="s">
        <v>14230</v>
      </c>
      <c r="G2209" t="s">
        <v>14231</v>
      </c>
      <c r="H2209" t="s">
        <v>42</v>
      </c>
      <c r="I2209" t="s">
        <v>14232</v>
      </c>
      <c r="J2209" t="s">
        <v>14233</v>
      </c>
      <c r="K2209">
        <v>88662</v>
      </c>
      <c r="L2209" t="s">
        <v>71</v>
      </c>
      <c r="M2209" t="s">
        <v>46</v>
      </c>
      <c r="N2209" t="s">
        <v>47</v>
      </c>
      <c r="O2209">
        <v>1</v>
      </c>
      <c r="P2209">
        <v>1</v>
      </c>
      <c r="Q2209">
        <v>1</v>
      </c>
      <c r="R2209" t="s">
        <v>48</v>
      </c>
      <c r="S2209" t="s">
        <v>49</v>
      </c>
      <c r="T2209" s="3">
        <v>0.84</v>
      </c>
      <c r="U2209" s="3">
        <v>0.23</v>
      </c>
      <c r="V2209" s="3">
        <v>0.94</v>
      </c>
      <c r="W2209">
        <v>0.49</v>
      </c>
      <c r="X2209" t="s">
        <v>108</v>
      </c>
      <c r="Y2209" s="3">
        <v>5.14</v>
      </c>
      <c r="Z2209" t="s">
        <v>9850</v>
      </c>
      <c r="AA2209" t="s">
        <v>10907</v>
      </c>
      <c r="AB2209" t="s">
        <v>53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  <c r="AJ2209" s="3">
        <f t="shared" si="68"/>
        <v>7.15</v>
      </c>
      <c r="AK2209" s="3">
        <f t="shared" si="69"/>
        <v>2.0100000000000007</v>
      </c>
    </row>
    <row r="2210" spans="1:37">
      <c r="A2210">
        <v>10399758</v>
      </c>
      <c r="B2210" t="s">
        <v>37</v>
      </c>
      <c r="C2210" t="s">
        <v>14234</v>
      </c>
      <c r="E2210" t="s">
        <v>14235</v>
      </c>
      <c r="F2210" t="s">
        <v>14236</v>
      </c>
      <c r="G2210" t="s">
        <v>14237</v>
      </c>
      <c r="H2210" t="s">
        <v>42</v>
      </c>
      <c r="I2210" t="s">
        <v>14238</v>
      </c>
      <c r="J2210" t="s">
        <v>14239</v>
      </c>
      <c r="K2210">
        <v>82343</v>
      </c>
      <c r="L2210" t="s">
        <v>71</v>
      </c>
      <c r="M2210" t="s">
        <v>46</v>
      </c>
      <c r="N2210" t="s">
        <v>47</v>
      </c>
      <c r="O2210">
        <v>1</v>
      </c>
      <c r="P2210">
        <v>1</v>
      </c>
      <c r="Q2210">
        <v>1</v>
      </c>
      <c r="R2210" t="s">
        <v>48</v>
      </c>
      <c r="S2210" t="s">
        <v>49</v>
      </c>
      <c r="T2210" s="3">
        <v>0.84</v>
      </c>
      <c r="U2210" s="3">
        <v>0.23</v>
      </c>
      <c r="V2210" s="3">
        <v>0.94</v>
      </c>
      <c r="W2210">
        <v>0.39</v>
      </c>
      <c r="X2210" t="s">
        <v>108</v>
      </c>
      <c r="Y2210" s="3">
        <v>5.14</v>
      </c>
      <c r="Z2210" t="s">
        <v>9850</v>
      </c>
      <c r="AA2210" t="s">
        <v>8507</v>
      </c>
      <c r="AB2210" t="s">
        <v>53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s="3">
        <f t="shared" si="68"/>
        <v>7.15</v>
      </c>
      <c r="AK2210" s="3">
        <f t="shared" si="69"/>
        <v>2.0100000000000007</v>
      </c>
    </row>
    <row r="2211" spans="1:37">
      <c r="A2211">
        <v>10399507</v>
      </c>
      <c r="B2211" t="s">
        <v>37</v>
      </c>
      <c r="C2211" t="s">
        <v>14240</v>
      </c>
      <c r="E2211" t="s">
        <v>14241</v>
      </c>
      <c r="F2211" t="s">
        <v>14242</v>
      </c>
      <c r="G2211" t="s">
        <v>14243</v>
      </c>
      <c r="H2211" t="s">
        <v>42</v>
      </c>
      <c r="I2211" t="s">
        <v>14244</v>
      </c>
      <c r="J2211" t="s">
        <v>14245</v>
      </c>
      <c r="K2211">
        <v>76227</v>
      </c>
      <c r="L2211" t="s">
        <v>71</v>
      </c>
      <c r="M2211" t="s">
        <v>46</v>
      </c>
      <c r="N2211" t="s">
        <v>47</v>
      </c>
      <c r="O2211">
        <v>1</v>
      </c>
      <c r="P2211">
        <v>1</v>
      </c>
      <c r="Q2211">
        <v>1</v>
      </c>
      <c r="R2211" t="s">
        <v>48</v>
      </c>
      <c r="S2211" t="s">
        <v>49</v>
      </c>
      <c r="T2211" s="3">
        <v>0.84</v>
      </c>
      <c r="U2211" s="3">
        <v>0.23</v>
      </c>
      <c r="V2211" s="3">
        <v>0.94</v>
      </c>
      <c r="W2211">
        <v>0.39</v>
      </c>
      <c r="X2211" t="s">
        <v>108</v>
      </c>
      <c r="Y2211" s="3">
        <v>5.14</v>
      </c>
      <c r="Z2211" t="s">
        <v>9850</v>
      </c>
      <c r="AA2211" t="s">
        <v>110</v>
      </c>
      <c r="AB2211" t="s">
        <v>53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f t="shared" si="68"/>
        <v>7.15</v>
      </c>
      <c r="AK2211" s="3">
        <f t="shared" si="69"/>
        <v>2.0100000000000007</v>
      </c>
    </row>
    <row r="2212" spans="1:37">
      <c r="A2212">
        <v>10390584</v>
      </c>
      <c r="B2212" t="s">
        <v>37</v>
      </c>
      <c r="C2212" t="s">
        <v>14246</v>
      </c>
      <c r="E2212" t="s">
        <v>14247</v>
      </c>
      <c r="F2212" t="s">
        <v>14248</v>
      </c>
      <c r="G2212" t="s">
        <v>14249</v>
      </c>
      <c r="H2212" t="s">
        <v>42</v>
      </c>
      <c r="I2212" t="s">
        <v>14250</v>
      </c>
      <c r="J2212" t="s">
        <v>14251</v>
      </c>
      <c r="K2212">
        <v>9006</v>
      </c>
      <c r="L2212" t="s">
        <v>3924</v>
      </c>
      <c r="M2212" t="s">
        <v>46</v>
      </c>
      <c r="N2212" t="s">
        <v>47</v>
      </c>
      <c r="O2212">
        <v>3</v>
      </c>
      <c r="P2212">
        <v>1</v>
      </c>
      <c r="Q2212">
        <v>3</v>
      </c>
      <c r="R2212" t="s">
        <v>48</v>
      </c>
      <c r="S2212" t="s">
        <v>49</v>
      </c>
      <c r="T2212" s="3">
        <v>0.84</v>
      </c>
      <c r="U2212" s="3">
        <v>0.23</v>
      </c>
      <c r="V2212" s="3">
        <v>2.68</v>
      </c>
      <c r="W2212">
        <v>1.35</v>
      </c>
      <c r="X2212" t="s">
        <v>100</v>
      </c>
      <c r="Y2212" s="3">
        <v>21.7</v>
      </c>
      <c r="Z2212" t="s">
        <v>9850</v>
      </c>
      <c r="AA2212" t="s">
        <v>14252</v>
      </c>
      <c r="AB2212" t="s">
        <v>53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f t="shared" si="68"/>
        <v>25.45</v>
      </c>
      <c r="AK2212" s="3">
        <f t="shared" si="69"/>
        <v>3.75</v>
      </c>
    </row>
    <row r="2213" spans="1:37">
      <c r="A2213">
        <v>10399760</v>
      </c>
      <c r="B2213" t="s">
        <v>37</v>
      </c>
      <c r="C2213" t="s">
        <v>14253</v>
      </c>
      <c r="E2213" t="s">
        <v>1478</v>
      </c>
      <c r="F2213" t="s">
        <v>14254</v>
      </c>
      <c r="G2213" t="s">
        <v>14255</v>
      </c>
      <c r="H2213" t="s">
        <v>42</v>
      </c>
      <c r="I2213" t="s">
        <v>14256</v>
      </c>
      <c r="J2213" t="s">
        <v>14257</v>
      </c>
      <c r="K2213" t="s">
        <v>14258</v>
      </c>
      <c r="L2213" t="s">
        <v>82</v>
      </c>
      <c r="M2213" t="s">
        <v>46</v>
      </c>
      <c r="N2213" t="s">
        <v>47</v>
      </c>
      <c r="O2213">
        <v>1</v>
      </c>
      <c r="P2213">
        <v>1</v>
      </c>
      <c r="Q2213">
        <v>1</v>
      </c>
      <c r="R2213" t="s">
        <v>48</v>
      </c>
      <c r="S2213" t="s">
        <v>49</v>
      </c>
      <c r="T2213" s="3">
        <v>0.84</v>
      </c>
      <c r="U2213" s="3">
        <v>0.23</v>
      </c>
      <c r="V2213" s="3">
        <v>0.94</v>
      </c>
      <c r="W2213">
        <v>0.49</v>
      </c>
      <c r="X2213" t="s">
        <v>50</v>
      </c>
      <c r="Y2213" s="3">
        <v>9.1999999999999993</v>
      </c>
      <c r="Z2213" t="s">
        <v>9850</v>
      </c>
      <c r="AA2213" t="s">
        <v>11149</v>
      </c>
      <c r="AB2213" t="s">
        <v>53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s="3">
        <f t="shared" si="68"/>
        <v>11.209999999999999</v>
      </c>
      <c r="AK2213" s="3">
        <f t="shared" si="69"/>
        <v>2.0099999999999998</v>
      </c>
    </row>
    <row r="2214" spans="1:37">
      <c r="A2214">
        <v>10398342</v>
      </c>
      <c r="B2214" t="s">
        <v>37</v>
      </c>
      <c r="C2214" t="s">
        <v>14259</v>
      </c>
      <c r="E2214" t="s">
        <v>11460</v>
      </c>
      <c r="F2214" t="s">
        <v>14260</v>
      </c>
      <c r="G2214" t="s">
        <v>14261</v>
      </c>
      <c r="H2214" t="s">
        <v>42</v>
      </c>
      <c r="I2214" t="s">
        <v>14262</v>
      </c>
      <c r="J2214" t="s">
        <v>14263</v>
      </c>
      <c r="K2214">
        <v>55268</v>
      </c>
      <c r="L2214" t="s">
        <v>71</v>
      </c>
      <c r="M2214" t="s">
        <v>46</v>
      </c>
      <c r="N2214" t="s">
        <v>47</v>
      </c>
      <c r="O2214">
        <v>1</v>
      </c>
      <c r="P2214">
        <v>1</v>
      </c>
      <c r="Q2214">
        <v>1</v>
      </c>
      <c r="R2214" t="s">
        <v>48</v>
      </c>
      <c r="S2214" t="s">
        <v>49</v>
      </c>
      <c r="T2214" s="3">
        <v>0.84</v>
      </c>
      <c r="U2214" s="3">
        <v>0.23</v>
      </c>
      <c r="V2214" s="3">
        <v>0.94</v>
      </c>
      <c r="W2214">
        <v>0.15</v>
      </c>
      <c r="X2214" t="s">
        <v>108</v>
      </c>
      <c r="Y2214" s="3">
        <v>5.14</v>
      </c>
      <c r="Z2214" t="s">
        <v>9850</v>
      </c>
      <c r="AA2214" t="s">
        <v>6464</v>
      </c>
      <c r="AB2214" t="s">
        <v>53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f t="shared" si="68"/>
        <v>7.15</v>
      </c>
      <c r="AK2214" s="3">
        <f t="shared" si="69"/>
        <v>2.0100000000000007</v>
      </c>
    </row>
    <row r="2215" spans="1:37">
      <c r="A2215">
        <v>10398339</v>
      </c>
      <c r="B2215" t="s">
        <v>37</v>
      </c>
      <c r="C2215" t="s">
        <v>14264</v>
      </c>
      <c r="E2215" t="s">
        <v>4850</v>
      </c>
      <c r="F2215" t="s">
        <v>14265</v>
      </c>
      <c r="G2215" t="s">
        <v>14266</v>
      </c>
      <c r="H2215" t="s">
        <v>42</v>
      </c>
      <c r="I2215" t="s">
        <v>14267</v>
      </c>
      <c r="J2215" t="s">
        <v>14268</v>
      </c>
      <c r="K2215">
        <v>42369</v>
      </c>
      <c r="L2215" t="s">
        <v>71</v>
      </c>
      <c r="M2215" t="s">
        <v>46</v>
      </c>
      <c r="N2215" t="s">
        <v>47</v>
      </c>
      <c r="O2215">
        <v>1</v>
      </c>
      <c r="P2215">
        <v>1</v>
      </c>
      <c r="Q2215">
        <v>1</v>
      </c>
      <c r="R2215" t="s">
        <v>48</v>
      </c>
      <c r="S2215" t="s">
        <v>49</v>
      </c>
      <c r="T2215" s="3">
        <v>0.84</v>
      </c>
      <c r="U2215" s="3">
        <v>0.23</v>
      </c>
      <c r="V2215" s="3">
        <v>0.94</v>
      </c>
      <c r="W2215">
        <v>0.15</v>
      </c>
      <c r="X2215" t="s">
        <v>108</v>
      </c>
      <c r="Y2215" s="3">
        <v>6.54</v>
      </c>
      <c r="Z2215" t="s">
        <v>9850</v>
      </c>
      <c r="AA2215" t="s">
        <v>9271</v>
      </c>
      <c r="AB2215" t="s">
        <v>53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f t="shared" si="68"/>
        <v>8.5500000000000007</v>
      </c>
      <c r="AK2215" s="3">
        <f t="shared" si="69"/>
        <v>2.0100000000000007</v>
      </c>
    </row>
    <row r="2216" spans="1:37">
      <c r="A2216">
        <v>10398344</v>
      </c>
      <c r="B2216" t="s">
        <v>37</v>
      </c>
      <c r="C2216" t="s">
        <v>14269</v>
      </c>
      <c r="E2216" t="s">
        <v>14270</v>
      </c>
      <c r="F2216" t="s">
        <v>14271</v>
      </c>
      <c r="G2216" t="s">
        <v>14272</v>
      </c>
      <c r="H2216" t="s">
        <v>42</v>
      </c>
      <c r="I2216" t="s">
        <v>14273</v>
      </c>
      <c r="J2216" t="s">
        <v>14274</v>
      </c>
      <c r="K2216">
        <v>15910</v>
      </c>
      <c r="L2216" t="s">
        <v>71</v>
      </c>
      <c r="M2216" t="s">
        <v>46</v>
      </c>
      <c r="N2216" t="s">
        <v>47</v>
      </c>
      <c r="O2216">
        <v>1</v>
      </c>
      <c r="P2216">
        <v>1</v>
      </c>
      <c r="Q2216">
        <v>1</v>
      </c>
      <c r="R2216" t="s">
        <v>48</v>
      </c>
      <c r="S2216" t="s">
        <v>49</v>
      </c>
      <c r="T2216" s="3">
        <v>0.84</v>
      </c>
      <c r="U2216" s="3">
        <v>0.23</v>
      </c>
      <c r="V2216" s="3">
        <v>0.94</v>
      </c>
      <c r="W2216">
        <v>0.15</v>
      </c>
      <c r="X2216" t="s">
        <v>108</v>
      </c>
      <c r="Y2216" s="3">
        <v>5.14</v>
      </c>
      <c r="Z2216" t="s">
        <v>9850</v>
      </c>
      <c r="AA2216" t="s">
        <v>9271</v>
      </c>
      <c r="AB2216" t="s">
        <v>53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f t="shared" si="68"/>
        <v>7.15</v>
      </c>
      <c r="AK2216" s="3">
        <f t="shared" si="69"/>
        <v>2.0100000000000007</v>
      </c>
    </row>
    <row r="2217" spans="1:37">
      <c r="A2217">
        <v>10398347</v>
      </c>
      <c r="B2217" t="s">
        <v>37</v>
      </c>
      <c r="C2217" t="s">
        <v>14275</v>
      </c>
      <c r="E2217" t="s">
        <v>643</v>
      </c>
      <c r="F2217" t="s">
        <v>14276</v>
      </c>
      <c r="G2217" t="s">
        <v>14277</v>
      </c>
      <c r="H2217" t="s">
        <v>42</v>
      </c>
      <c r="I2217" t="s">
        <v>14278</v>
      </c>
      <c r="J2217" t="s">
        <v>14279</v>
      </c>
      <c r="K2217">
        <v>22763</v>
      </c>
      <c r="L2217" t="s">
        <v>71</v>
      </c>
      <c r="M2217" t="s">
        <v>46</v>
      </c>
      <c r="N2217" t="s">
        <v>47</v>
      </c>
      <c r="O2217">
        <v>1</v>
      </c>
      <c r="P2217">
        <v>1</v>
      </c>
      <c r="Q2217">
        <v>1</v>
      </c>
      <c r="R2217" t="s">
        <v>48</v>
      </c>
      <c r="S2217" t="s">
        <v>49</v>
      </c>
      <c r="T2217" s="3">
        <v>0.84</v>
      </c>
      <c r="U2217" s="3">
        <v>0.23</v>
      </c>
      <c r="V2217" s="3">
        <v>0.94</v>
      </c>
      <c r="W2217">
        <v>0.15</v>
      </c>
      <c r="X2217" t="s">
        <v>108</v>
      </c>
      <c r="Y2217" s="3">
        <v>5.14</v>
      </c>
      <c r="Z2217" t="s">
        <v>9850</v>
      </c>
      <c r="AA2217" t="s">
        <v>6464</v>
      </c>
      <c r="AB2217" t="s">
        <v>53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f t="shared" si="68"/>
        <v>7.15</v>
      </c>
      <c r="AK2217" s="3">
        <f t="shared" si="69"/>
        <v>2.0100000000000007</v>
      </c>
    </row>
    <row r="2218" spans="1:37">
      <c r="A2218">
        <v>10398349</v>
      </c>
      <c r="B2218" t="s">
        <v>37</v>
      </c>
      <c r="C2218" t="s">
        <v>14280</v>
      </c>
      <c r="E2218" t="s">
        <v>12943</v>
      </c>
      <c r="F2218" t="s">
        <v>14281</v>
      </c>
      <c r="G2218" t="s">
        <v>14282</v>
      </c>
      <c r="H2218" t="s">
        <v>42</v>
      </c>
      <c r="I2218" t="s">
        <v>14283</v>
      </c>
      <c r="J2218" t="s">
        <v>14284</v>
      </c>
      <c r="K2218">
        <v>90431</v>
      </c>
      <c r="L2218" t="s">
        <v>71</v>
      </c>
      <c r="M2218" t="s">
        <v>46</v>
      </c>
      <c r="N2218" t="s">
        <v>47</v>
      </c>
      <c r="O2218">
        <v>1</v>
      </c>
      <c r="P2218">
        <v>1</v>
      </c>
      <c r="Q2218">
        <v>1</v>
      </c>
      <c r="R2218" t="s">
        <v>48</v>
      </c>
      <c r="S2218" t="s">
        <v>49</v>
      </c>
      <c r="T2218" s="3">
        <v>0.84</v>
      </c>
      <c r="U2218" s="3">
        <v>0.23</v>
      </c>
      <c r="V2218" s="3">
        <v>0.94</v>
      </c>
      <c r="W2218">
        <v>0.15</v>
      </c>
      <c r="X2218" t="s">
        <v>108</v>
      </c>
      <c r="Y2218" s="3">
        <v>5.14</v>
      </c>
      <c r="Z2218" t="s">
        <v>9850</v>
      </c>
      <c r="AA2218" t="s">
        <v>9271</v>
      </c>
      <c r="AB2218" t="s">
        <v>53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f t="shared" si="68"/>
        <v>7.15</v>
      </c>
      <c r="AK2218" s="3">
        <f t="shared" si="69"/>
        <v>2.0100000000000007</v>
      </c>
    </row>
    <row r="2219" spans="1:37">
      <c r="A2219">
        <v>10399765</v>
      </c>
      <c r="B2219" t="s">
        <v>37</v>
      </c>
      <c r="C2219" t="s">
        <v>14285</v>
      </c>
      <c r="E2219" t="s">
        <v>3574</v>
      </c>
      <c r="F2219" t="s">
        <v>14286</v>
      </c>
      <c r="G2219" t="s">
        <v>14287</v>
      </c>
      <c r="H2219" t="s">
        <v>42</v>
      </c>
      <c r="I2219" t="s">
        <v>14288</v>
      </c>
      <c r="J2219" t="s">
        <v>14289</v>
      </c>
      <c r="K2219">
        <v>55271</v>
      </c>
      <c r="L2219" t="s">
        <v>71</v>
      </c>
      <c r="M2219" t="s">
        <v>46</v>
      </c>
      <c r="N2219" t="s">
        <v>47</v>
      </c>
      <c r="O2219">
        <v>1</v>
      </c>
      <c r="P2219">
        <v>1</v>
      </c>
      <c r="Q2219">
        <v>1</v>
      </c>
      <c r="R2219" t="s">
        <v>48</v>
      </c>
      <c r="S2219" t="s">
        <v>49</v>
      </c>
      <c r="T2219" s="3">
        <v>0.84</v>
      </c>
      <c r="U2219" s="3">
        <v>0.23</v>
      </c>
      <c r="V2219" s="3">
        <v>0.94</v>
      </c>
      <c r="W2219">
        <v>0.15</v>
      </c>
      <c r="X2219" t="s">
        <v>108</v>
      </c>
      <c r="Y2219" s="3">
        <v>5.14</v>
      </c>
      <c r="Z2219" t="s">
        <v>9850</v>
      </c>
      <c r="AA2219" t="s">
        <v>9271</v>
      </c>
      <c r="AB2219" t="s">
        <v>53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f t="shared" si="68"/>
        <v>7.15</v>
      </c>
      <c r="AK2219" s="3">
        <f t="shared" si="69"/>
        <v>2.0100000000000007</v>
      </c>
    </row>
    <row r="2220" spans="1:37">
      <c r="A2220">
        <v>10398806</v>
      </c>
      <c r="B2220" t="s">
        <v>37</v>
      </c>
      <c r="C2220" t="s">
        <v>14290</v>
      </c>
      <c r="E2220" t="s">
        <v>247</v>
      </c>
      <c r="F2220" t="s">
        <v>14291</v>
      </c>
      <c r="G2220" t="s">
        <v>14292</v>
      </c>
      <c r="H2220" t="s">
        <v>42</v>
      </c>
      <c r="I2220" t="s">
        <v>14293</v>
      </c>
      <c r="J2220" t="s">
        <v>14294</v>
      </c>
      <c r="K2220">
        <v>67227</v>
      </c>
      <c r="L2220" t="s">
        <v>71</v>
      </c>
      <c r="M2220" t="s">
        <v>46</v>
      </c>
      <c r="N2220" t="s">
        <v>47</v>
      </c>
      <c r="O2220">
        <v>1</v>
      </c>
      <c r="P2220">
        <v>1</v>
      </c>
      <c r="Q2220">
        <v>1</v>
      </c>
      <c r="R2220" t="s">
        <v>48</v>
      </c>
      <c r="S2220" t="s">
        <v>49</v>
      </c>
      <c r="T2220" s="3">
        <v>0.84</v>
      </c>
      <c r="U2220" s="3">
        <v>0.23</v>
      </c>
      <c r="V2220" s="3">
        <v>0.94</v>
      </c>
      <c r="W2220">
        <v>0.15</v>
      </c>
      <c r="X2220" t="s">
        <v>108</v>
      </c>
      <c r="Y2220" s="3">
        <v>5.14</v>
      </c>
      <c r="Z2220" t="s">
        <v>9850</v>
      </c>
      <c r="AA2220" t="s">
        <v>6464</v>
      </c>
      <c r="AB2220" t="s">
        <v>53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f t="shared" si="68"/>
        <v>7.15</v>
      </c>
      <c r="AK2220" s="3">
        <f t="shared" si="69"/>
        <v>2.0100000000000007</v>
      </c>
    </row>
    <row r="2221" spans="1:37">
      <c r="A2221">
        <v>10399766</v>
      </c>
      <c r="B2221" t="s">
        <v>37</v>
      </c>
      <c r="C2221" t="s">
        <v>14295</v>
      </c>
      <c r="E2221" t="s">
        <v>14296</v>
      </c>
      <c r="F2221" t="s">
        <v>14297</v>
      </c>
      <c r="G2221" t="s">
        <v>14298</v>
      </c>
      <c r="H2221" t="s">
        <v>42</v>
      </c>
      <c r="I2221" t="s">
        <v>14299</v>
      </c>
      <c r="J2221" t="s">
        <v>14300</v>
      </c>
      <c r="K2221">
        <v>80997</v>
      </c>
      <c r="L2221" t="s">
        <v>71</v>
      </c>
      <c r="M2221" t="s">
        <v>46</v>
      </c>
      <c r="N2221" t="s">
        <v>47</v>
      </c>
      <c r="O2221">
        <v>1</v>
      </c>
      <c r="P2221">
        <v>1</v>
      </c>
      <c r="Q2221">
        <v>1</v>
      </c>
      <c r="R2221" t="s">
        <v>48</v>
      </c>
      <c r="S2221" t="s">
        <v>49</v>
      </c>
      <c r="T2221" s="3">
        <v>0.84</v>
      </c>
      <c r="U2221" s="3">
        <v>0.23</v>
      </c>
      <c r="V2221" s="3">
        <v>0.94</v>
      </c>
      <c r="W2221">
        <v>0.15</v>
      </c>
      <c r="X2221" t="s">
        <v>108</v>
      </c>
      <c r="Y2221" s="3">
        <v>5.14</v>
      </c>
      <c r="Z2221" t="s">
        <v>9850</v>
      </c>
      <c r="AA2221" t="s">
        <v>9271</v>
      </c>
      <c r="AB2221" t="s">
        <v>53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f t="shared" si="68"/>
        <v>7.15</v>
      </c>
      <c r="AK2221" s="3">
        <f t="shared" si="69"/>
        <v>2.0100000000000007</v>
      </c>
    </row>
    <row r="2222" spans="1:37">
      <c r="A2222">
        <v>10399756</v>
      </c>
      <c r="B2222" t="s">
        <v>37</v>
      </c>
      <c r="C2222" t="s">
        <v>14301</v>
      </c>
      <c r="E2222" t="s">
        <v>500</v>
      </c>
      <c r="F2222" t="s">
        <v>14302</v>
      </c>
      <c r="G2222" t="s">
        <v>14303</v>
      </c>
      <c r="H2222" t="s">
        <v>42</v>
      </c>
      <c r="I2222" t="s">
        <v>14304</v>
      </c>
      <c r="J2222" t="s">
        <v>14305</v>
      </c>
      <c r="K2222">
        <v>31157</v>
      </c>
      <c r="L2222" t="s">
        <v>71</v>
      </c>
      <c r="M2222" t="s">
        <v>46</v>
      </c>
      <c r="N2222" t="s">
        <v>47</v>
      </c>
      <c r="O2222">
        <v>1</v>
      </c>
      <c r="P2222">
        <v>1</v>
      </c>
      <c r="Q2222">
        <v>1</v>
      </c>
      <c r="R2222" t="s">
        <v>48</v>
      </c>
      <c r="S2222" t="s">
        <v>49</v>
      </c>
      <c r="T2222" s="3">
        <v>0.84</v>
      </c>
      <c r="U2222" s="3">
        <v>0.23</v>
      </c>
      <c r="V2222" s="3">
        <v>0.94</v>
      </c>
      <c r="W2222">
        <v>0.15</v>
      </c>
      <c r="X2222" t="s">
        <v>108</v>
      </c>
      <c r="Y2222" s="3">
        <v>5.14</v>
      </c>
      <c r="Z2222" t="s">
        <v>9850</v>
      </c>
      <c r="AA2222" t="s">
        <v>6464</v>
      </c>
      <c r="AB2222" t="s">
        <v>53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f t="shared" si="68"/>
        <v>7.15</v>
      </c>
      <c r="AK2222" s="3">
        <f t="shared" si="69"/>
        <v>2.0100000000000007</v>
      </c>
    </row>
    <row r="2223" spans="1:37">
      <c r="A2223">
        <v>10395636</v>
      </c>
      <c r="B2223" t="s">
        <v>37</v>
      </c>
      <c r="C2223" t="s">
        <v>14306</v>
      </c>
      <c r="E2223" t="s">
        <v>1395</v>
      </c>
      <c r="F2223" t="s">
        <v>5148</v>
      </c>
      <c r="G2223" t="s">
        <v>14307</v>
      </c>
      <c r="H2223" t="s">
        <v>42</v>
      </c>
      <c r="I2223" t="s">
        <v>14308</v>
      </c>
      <c r="J2223" t="s">
        <v>14309</v>
      </c>
      <c r="K2223" t="s">
        <v>14310</v>
      </c>
      <c r="L2223" t="s">
        <v>142</v>
      </c>
      <c r="M2223" t="s">
        <v>46</v>
      </c>
      <c r="N2223" t="s">
        <v>47</v>
      </c>
      <c r="O2223">
        <v>2</v>
      </c>
      <c r="P2223">
        <v>1</v>
      </c>
      <c r="Q2223">
        <v>2</v>
      </c>
      <c r="R2223" t="s">
        <v>48</v>
      </c>
      <c r="S2223" t="s">
        <v>49</v>
      </c>
      <c r="T2223" s="3">
        <v>0.84</v>
      </c>
      <c r="U2223" s="3">
        <v>0.23</v>
      </c>
      <c r="V2223" s="3">
        <v>1.81</v>
      </c>
      <c r="W2223">
        <v>0.98</v>
      </c>
      <c r="X2223" t="s">
        <v>50</v>
      </c>
      <c r="Y2223" s="3">
        <v>16.43</v>
      </c>
      <c r="Z2223" t="s">
        <v>9850</v>
      </c>
      <c r="AA2223" t="s">
        <v>10846</v>
      </c>
      <c r="AB2223" t="s">
        <v>53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f t="shared" si="68"/>
        <v>19.309999999999999</v>
      </c>
      <c r="AK2223" s="3">
        <f t="shared" si="69"/>
        <v>2.879999999999999</v>
      </c>
    </row>
    <row r="2224" spans="1:37">
      <c r="A2224">
        <v>10395990</v>
      </c>
      <c r="B2224" t="s">
        <v>37</v>
      </c>
      <c r="C2224" t="s">
        <v>14311</v>
      </c>
      <c r="E2224" t="s">
        <v>14312</v>
      </c>
      <c r="F2224" t="s">
        <v>14313</v>
      </c>
      <c r="G2224" t="s">
        <v>14314</v>
      </c>
      <c r="H2224" t="s">
        <v>42</v>
      </c>
      <c r="I2224" t="s">
        <v>14315</v>
      </c>
      <c r="J2224" t="s">
        <v>14316</v>
      </c>
      <c r="K2224" t="s">
        <v>14317</v>
      </c>
      <c r="L2224" t="s">
        <v>82</v>
      </c>
      <c r="M2224" t="s">
        <v>46</v>
      </c>
      <c r="N2224" t="s">
        <v>47</v>
      </c>
      <c r="O2224">
        <v>2</v>
      </c>
      <c r="P2224">
        <v>1</v>
      </c>
      <c r="Q2224">
        <v>2</v>
      </c>
      <c r="R2224" t="s">
        <v>48</v>
      </c>
      <c r="S2224" t="s">
        <v>49</v>
      </c>
      <c r="T2224" s="3">
        <v>0.84</v>
      </c>
      <c r="U2224" s="3">
        <v>0.23</v>
      </c>
      <c r="V2224" s="3">
        <v>1.81</v>
      </c>
      <c r="W2224">
        <v>1.41</v>
      </c>
      <c r="X2224" t="s">
        <v>50</v>
      </c>
      <c r="Y2224" s="3">
        <v>9.1999999999999993</v>
      </c>
      <c r="Z2224" t="s">
        <v>9686</v>
      </c>
      <c r="AA2224" t="s">
        <v>14318</v>
      </c>
      <c r="AB2224" t="s">
        <v>53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f t="shared" si="68"/>
        <v>12.08</v>
      </c>
      <c r="AK2224" s="3">
        <f t="shared" si="69"/>
        <v>2.8800000000000008</v>
      </c>
    </row>
    <row r="2225" spans="1:37">
      <c r="A2225">
        <v>10395613</v>
      </c>
      <c r="B2225" t="s">
        <v>37</v>
      </c>
      <c r="C2225" t="s">
        <v>14319</v>
      </c>
      <c r="E2225" t="s">
        <v>14320</v>
      </c>
      <c r="F2225" t="s">
        <v>14321</v>
      </c>
      <c r="G2225" t="s">
        <v>14322</v>
      </c>
      <c r="H2225" t="s">
        <v>42</v>
      </c>
      <c r="I2225" t="s">
        <v>14323</v>
      </c>
      <c r="J2225" t="s">
        <v>14324</v>
      </c>
      <c r="K2225" t="s">
        <v>14325</v>
      </c>
      <c r="L2225" t="s">
        <v>142</v>
      </c>
      <c r="M2225" t="s">
        <v>46</v>
      </c>
      <c r="N2225" t="s">
        <v>47</v>
      </c>
      <c r="O2225">
        <v>2</v>
      </c>
      <c r="P2225">
        <v>1</v>
      </c>
      <c r="Q2225">
        <v>2</v>
      </c>
      <c r="R2225" t="s">
        <v>48</v>
      </c>
      <c r="S2225" t="s">
        <v>49</v>
      </c>
      <c r="T2225" s="3">
        <v>0.84</v>
      </c>
      <c r="U2225" s="3">
        <v>0.23</v>
      </c>
      <c r="V2225" s="3">
        <v>1.81</v>
      </c>
      <c r="W2225">
        <v>0.98</v>
      </c>
      <c r="X2225" t="s">
        <v>50</v>
      </c>
      <c r="Y2225" s="3">
        <v>16.43</v>
      </c>
      <c r="Z2225" t="s">
        <v>9850</v>
      </c>
      <c r="AA2225" t="s">
        <v>14326</v>
      </c>
      <c r="AB2225" t="s">
        <v>53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f t="shared" si="68"/>
        <v>19.309999999999999</v>
      </c>
      <c r="AK2225" s="3">
        <f t="shared" si="69"/>
        <v>2.879999999999999</v>
      </c>
    </row>
    <row r="2226" spans="1:37">
      <c r="A2226">
        <v>10395987</v>
      </c>
      <c r="B2226" t="s">
        <v>37</v>
      </c>
      <c r="C2226" t="s">
        <v>14327</v>
      </c>
      <c r="E2226" t="s">
        <v>3512</v>
      </c>
      <c r="F2226" t="s">
        <v>14328</v>
      </c>
      <c r="G2226" t="s">
        <v>14329</v>
      </c>
      <c r="H2226" t="s">
        <v>42</v>
      </c>
      <c r="I2226" t="s">
        <v>14330</v>
      </c>
      <c r="J2226" t="s">
        <v>14331</v>
      </c>
      <c r="K2226" t="s">
        <v>14332</v>
      </c>
      <c r="L2226" t="s">
        <v>142</v>
      </c>
      <c r="M2226" t="s">
        <v>46</v>
      </c>
      <c r="N2226" t="s">
        <v>47</v>
      </c>
      <c r="O2226">
        <v>2</v>
      </c>
      <c r="P2226">
        <v>1</v>
      </c>
      <c r="Q2226">
        <v>2</v>
      </c>
      <c r="R2226" t="s">
        <v>48</v>
      </c>
      <c r="S2226" t="s">
        <v>49</v>
      </c>
      <c r="T2226" s="3">
        <v>0.84</v>
      </c>
      <c r="U2226" s="3">
        <v>0.23</v>
      </c>
      <c r="V2226" s="3">
        <v>1.81</v>
      </c>
      <c r="W2226">
        <v>0.78</v>
      </c>
      <c r="X2226" t="s">
        <v>50</v>
      </c>
      <c r="Y2226" s="3">
        <v>16.43</v>
      </c>
      <c r="Z2226" t="s">
        <v>9850</v>
      </c>
      <c r="AA2226" t="s">
        <v>14333</v>
      </c>
      <c r="AB2226" t="s">
        <v>53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f t="shared" si="68"/>
        <v>19.309999999999999</v>
      </c>
      <c r="AK2226" s="3">
        <f t="shared" si="69"/>
        <v>2.879999999999999</v>
      </c>
    </row>
    <row r="2227" spans="1:37">
      <c r="A2227">
        <v>10396971</v>
      </c>
      <c r="B2227" t="s">
        <v>37</v>
      </c>
      <c r="C2227" t="s">
        <v>14334</v>
      </c>
      <c r="E2227" t="s">
        <v>687</v>
      </c>
      <c r="F2227" t="s">
        <v>14335</v>
      </c>
      <c r="G2227" t="s">
        <v>14336</v>
      </c>
      <c r="H2227" t="s">
        <v>42</v>
      </c>
      <c r="I2227" t="s">
        <v>14337</v>
      </c>
      <c r="J2227" t="s">
        <v>14338</v>
      </c>
      <c r="K2227">
        <v>47198</v>
      </c>
      <c r="L2227" t="s">
        <v>71</v>
      </c>
      <c r="M2227" t="s">
        <v>46</v>
      </c>
      <c r="N2227" t="s">
        <v>47</v>
      </c>
      <c r="O2227">
        <v>3</v>
      </c>
      <c r="P2227">
        <v>1</v>
      </c>
      <c r="Q2227">
        <v>3</v>
      </c>
      <c r="R2227" t="s">
        <v>48</v>
      </c>
      <c r="S2227" t="s">
        <v>49</v>
      </c>
      <c r="T2227" s="3">
        <v>0.84</v>
      </c>
      <c r="U2227" s="3">
        <v>0.23</v>
      </c>
      <c r="V2227" s="3">
        <v>2.68</v>
      </c>
      <c r="W2227">
        <v>1.6</v>
      </c>
      <c r="X2227" t="s">
        <v>108</v>
      </c>
      <c r="Y2227" s="3">
        <v>5.13</v>
      </c>
      <c r="Z2227" t="s">
        <v>9686</v>
      </c>
      <c r="AA2227" t="s">
        <v>14339</v>
      </c>
      <c r="AB2227" t="s">
        <v>53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f t="shared" si="68"/>
        <v>8.8800000000000008</v>
      </c>
      <c r="AK2227" s="3">
        <f t="shared" si="69"/>
        <v>3.7500000000000009</v>
      </c>
    </row>
    <row r="2228" spans="1:37">
      <c r="A2228">
        <v>10395198</v>
      </c>
      <c r="B2228" t="s">
        <v>37</v>
      </c>
      <c r="C2228" t="s">
        <v>14340</v>
      </c>
      <c r="E2228" t="s">
        <v>532</v>
      </c>
      <c r="F2228" t="s">
        <v>14341</v>
      </c>
      <c r="G2228" t="s">
        <v>14342</v>
      </c>
      <c r="H2228" t="s">
        <v>42</v>
      </c>
      <c r="I2228" t="s">
        <v>14343</v>
      </c>
      <c r="J2228" t="s">
        <v>14344</v>
      </c>
      <c r="K2228">
        <v>14165</v>
      </c>
      <c r="L2228" t="s">
        <v>71</v>
      </c>
      <c r="M2228" t="s">
        <v>46</v>
      </c>
      <c r="N2228" t="s">
        <v>47</v>
      </c>
      <c r="O2228">
        <v>2</v>
      </c>
      <c r="P2228">
        <v>1</v>
      </c>
      <c r="Q2228">
        <v>2</v>
      </c>
      <c r="R2228" t="s">
        <v>48</v>
      </c>
      <c r="S2228" t="s">
        <v>49</v>
      </c>
      <c r="T2228" s="3">
        <v>0.84</v>
      </c>
      <c r="U2228" s="3">
        <v>0.23</v>
      </c>
      <c r="V2228" s="3">
        <v>1.81</v>
      </c>
      <c r="W2228">
        <v>0.88</v>
      </c>
      <c r="X2228" t="s">
        <v>108</v>
      </c>
      <c r="Y2228" s="3">
        <v>5.14</v>
      </c>
      <c r="Z2228" t="s">
        <v>9850</v>
      </c>
      <c r="AA2228" t="s">
        <v>14345</v>
      </c>
      <c r="AB2228" t="s">
        <v>53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>
        <f t="shared" si="68"/>
        <v>8.02</v>
      </c>
      <c r="AK2228" s="3">
        <f t="shared" si="69"/>
        <v>2.88</v>
      </c>
    </row>
    <row r="2229" spans="1:37">
      <c r="A2229">
        <v>10395638</v>
      </c>
      <c r="B2229" t="s">
        <v>37</v>
      </c>
      <c r="C2229" t="s">
        <v>14346</v>
      </c>
      <c r="E2229" t="s">
        <v>5391</v>
      </c>
      <c r="F2229" t="s">
        <v>13289</v>
      </c>
      <c r="G2229" t="s">
        <v>14347</v>
      </c>
      <c r="H2229" t="s">
        <v>42</v>
      </c>
      <c r="I2229" t="s">
        <v>14348</v>
      </c>
      <c r="J2229" t="s">
        <v>14349</v>
      </c>
      <c r="K2229">
        <v>84307</v>
      </c>
      <c r="L2229" t="s">
        <v>71</v>
      </c>
      <c r="M2229" t="s">
        <v>46</v>
      </c>
      <c r="N2229" t="s">
        <v>47</v>
      </c>
      <c r="O2229">
        <v>2</v>
      </c>
      <c r="P2229">
        <v>1</v>
      </c>
      <c r="Q2229">
        <v>2</v>
      </c>
      <c r="R2229" t="s">
        <v>48</v>
      </c>
      <c r="S2229" t="s">
        <v>49</v>
      </c>
      <c r="T2229" s="3">
        <v>0.84</v>
      </c>
      <c r="U2229" s="3">
        <v>0.23</v>
      </c>
      <c r="V2229" s="3">
        <v>1.81</v>
      </c>
      <c r="W2229">
        <v>0.78</v>
      </c>
      <c r="X2229" t="s">
        <v>108</v>
      </c>
      <c r="Y2229" s="3">
        <v>5.14</v>
      </c>
      <c r="Z2229" t="s">
        <v>9850</v>
      </c>
      <c r="AA2229" t="s">
        <v>14350</v>
      </c>
      <c r="AB2229" t="s">
        <v>53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  <c r="AJ2229" s="3">
        <f t="shared" si="68"/>
        <v>8.02</v>
      </c>
      <c r="AK2229" s="3">
        <f t="shared" si="69"/>
        <v>2.88</v>
      </c>
    </row>
    <row r="2230" spans="1:37">
      <c r="A2230">
        <v>10395624</v>
      </c>
      <c r="B2230" t="s">
        <v>37</v>
      </c>
      <c r="C2230" t="s">
        <v>14351</v>
      </c>
      <c r="D2230" t="s">
        <v>14352</v>
      </c>
      <c r="E2230" t="s">
        <v>1324</v>
      </c>
      <c r="F2230" t="s">
        <v>14353</v>
      </c>
      <c r="G2230" t="s">
        <v>14354</v>
      </c>
      <c r="H2230" t="s">
        <v>42</v>
      </c>
      <c r="I2230" t="s">
        <v>14355</v>
      </c>
      <c r="J2230" t="s">
        <v>14356</v>
      </c>
      <c r="K2230">
        <v>44800</v>
      </c>
      <c r="L2230" t="s">
        <v>130</v>
      </c>
      <c r="M2230" t="s">
        <v>46</v>
      </c>
      <c r="N2230" t="s">
        <v>47</v>
      </c>
      <c r="O2230">
        <v>2</v>
      </c>
      <c r="P2230">
        <v>1</v>
      </c>
      <c r="Q2230">
        <v>2</v>
      </c>
      <c r="R2230" t="s">
        <v>48</v>
      </c>
      <c r="S2230" t="s">
        <v>49</v>
      </c>
      <c r="T2230" s="3">
        <v>0.84</v>
      </c>
      <c r="U2230" s="3">
        <v>0.23</v>
      </c>
      <c r="V2230" s="3">
        <v>1.81</v>
      </c>
      <c r="W2230">
        <v>0.63700000000000001</v>
      </c>
      <c r="X2230" t="s">
        <v>50</v>
      </c>
      <c r="Y2230" s="3">
        <v>14.26</v>
      </c>
      <c r="Z2230" t="s">
        <v>9850</v>
      </c>
      <c r="AA2230" t="s">
        <v>14357</v>
      </c>
      <c r="AB2230" t="s">
        <v>53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f t="shared" si="68"/>
        <v>17.14</v>
      </c>
      <c r="AK2230" s="3">
        <f t="shared" si="69"/>
        <v>2.8800000000000008</v>
      </c>
    </row>
    <row r="2231" spans="1:37">
      <c r="A2231">
        <v>10399508</v>
      </c>
      <c r="B2231" t="s">
        <v>37</v>
      </c>
      <c r="C2231" t="s">
        <v>14358</v>
      </c>
      <c r="E2231" t="s">
        <v>14359</v>
      </c>
      <c r="F2231" t="s">
        <v>13167</v>
      </c>
      <c r="G2231" t="s">
        <v>14360</v>
      </c>
      <c r="H2231" t="s">
        <v>42</v>
      </c>
      <c r="I2231" t="s">
        <v>14361</v>
      </c>
      <c r="J2231" t="s">
        <v>14362</v>
      </c>
      <c r="K2231" t="s">
        <v>14363</v>
      </c>
      <c r="L2231" t="s">
        <v>82</v>
      </c>
      <c r="M2231" t="s">
        <v>46</v>
      </c>
      <c r="N2231" t="s">
        <v>47</v>
      </c>
      <c r="O2231">
        <v>5</v>
      </c>
      <c r="P2231">
        <v>1</v>
      </c>
      <c r="Q2231">
        <v>5</v>
      </c>
      <c r="R2231" t="s">
        <v>48</v>
      </c>
      <c r="S2231" t="s">
        <v>49</v>
      </c>
      <c r="T2231" s="3">
        <v>0.84</v>
      </c>
      <c r="U2231" s="3">
        <v>0.23</v>
      </c>
      <c r="V2231" s="3">
        <v>4.42</v>
      </c>
      <c r="W2231">
        <v>1.96</v>
      </c>
      <c r="X2231" t="s">
        <v>50</v>
      </c>
      <c r="Y2231" s="3">
        <v>9.19</v>
      </c>
      <c r="Z2231" t="s">
        <v>73</v>
      </c>
      <c r="AA2231" t="s">
        <v>14364</v>
      </c>
      <c r="AB2231" t="s">
        <v>53</v>
      </c>
      <c r="AC2231" s="3">
        <v>1.29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f t="shared" si="68"/>
        <v>15.97</v>
      </c>
      <c r="AK2231" s="3">
        <f t="shared" si="69"/>
        <v>6.7800000000000011</v>
      </c>
    </row>
    <row r="2232" spans="1:37">
      <c r="A2232">
        <v>10397271</v>
      </c>
      <c r="B2232" t="s">
        <v>37</v>
      </c>
      <c r="C2232" t="s">
        <v>14365</v>
      </c>
      <c r="E2232" t="s">
        <v>14366</v>
      </c>
      <c r="F2232" t="s">
        <v>14367</v>
      </c>
      <c r="G2232" t="s">
        <v>14368</v>
      </c>
      <c r="H2232" t="s">
        <v>42</v>
      </c>
      <c r="I2232" t="s">
        <v>14369</v>
      </c>
      <c r="J2232" t="s">
        <v>14370</v>
      </c>
      <c r="K2232">
        <v>2260</v>
      </c>
      <c r="L2232" t="s">
        <v>505</v>
      </c>
      <c r="M2232" t="s">
        <v>46</v>
      </c>
      <c r="N2232" t="s">
        <v>47</v>
      </c>
      <c r="O2232">
        <v>4</v>
      </c>
      <c r="P2232">
        <v>1</v>
      </c>
      <c r="Q2232">
        <v>4</v>
      </c>
      <c r="R2232" t="s">
        <v>48</v>
      </c>
      <c r="S2232" t="s">
        <v>49</v>
      </c>
      <c r="T2232" s="3">
        <v>0.84</v>
      </c>
      <c r="U2232" s="3">
        <v>0.23</v>
      </c>
      <c r="V2232" s="3">
        <v>3.55</v>
      </c>
      <c r="W2232">
        <v>1.53</v>
      </c>
      <c r="X2232" t="s">
        <v>50</v>
      </c>
      <c r="Y2232" s="3">
        <v>9.19</v>
      </c>
      <c r="Z2232" t="s">
        <v>9686</v>
      </c>
      <c r="AA2232" t="s">
        <v>14371</v>
      </c>
      <c r="AB2232" t="s">
        <v>53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f t="shared" si="68"/>
        <v>13.809999999999999</v>
      </c>
      <c r="AK2232" s="3">
        <f t="shared" si="69"/>
        <v>4.6199999999999992</v>
      </c>
    </row>
    <row r="2233" spans="1:37">
      <c r="A2233">
        <v>10396688</v>
      </c>
      <c r="B2233" t="s">
        <v>37</v>
      </c>
      <c r="C2233" t="s">
        <v>14372</v>
      </c>
      <c r="E2233" t="s">
        <v>14373</v>
      </c>
      <c r="F2233" t="s">
        <v>14374</v>
      </c>
      <c r="G2233" t="s">
        <v>14375</v>
      </c>
      <c r="H2233" t="s">
        <v>42</v>
      </c>
      <c r="I2233" t="s">
        <v>14376</v>
      </c>
      <c r="J2233" t="s">
        <v>14377</v>
      </c>
      <c r="K2233">
        <v>3630</v>
      </c>
      <c r="L2233" t="s">
        <v>505</v>
      </c>
      <c r="M2233" t="s">
        <v>46</v>
      </c>
      <c r="N2233" t="s">
        <v>47</v>
      </c>
      <c r="O2233">
        <v>5</v>
      </c>
      <c r="P2233">
        <v>1</v>
      </c>
      <c r="Q2233">
        <v>5</v>
      </c>
      <c r="R2233" t="s">
        <v>48</v>
      </c>
      <c r="S2233" t="s">
        <v>49</v>
      </c>
      <c r="T2233" s="3">
        <v>0.84</v>
      </c>
      <c r="U2233" s="3">
        <v>0.23</v>
      </c>
      <c r="V2233" s="3">
        <v>4.42</v>
      </c>
      <c r="W2233">
        <v>2.11</v>
      </c>
      <c r="X2233" t="s">
        <v>50</v>
      </c>
      <c r="Y2233" s="3">
        <v>9.19</v>
      </c>
      <c r="Z2233" t="s">
        <v>73</v>
      </c>
      <c r="AA2233" t="s">
        <v>14378</v>
      </c>
      <c r="AB2233" t="s">
        <v>53</v>
      </c>
      <c r="AC2233" s="3">
        <v>1.29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f t="shared" si="68"/>
        <v>15.97</v>
      </c>
      <c r="AK2233" s="3">
        <f t="shared" si="69"/>
        <v>6.7800000000000011</v>
      </c>
    </row>
    <row r="2234" spans="1:37">
      <c r="A2234">
        <v>10396692</v>
      </c>
      <c r="B2234" t="s">
        <v>37</v>
      </c>
      <c r="C2234" t="s">
        <v>14379</v>
      </c>
      <c r="E2234" t="s">
        <v>10285</v>
      </c>
      <c r="F2234" t="s">
        <v>14380</v>
      </c>
      <c r="G2234" t="s">
        <v>14381</v>
      </c>
      <c r="H2234" t="s">
        <v>42</v>
      </c>
      <c r="I2234" t="s">
        <v>14382</v>
      </c>
      <c r="J2234" t="s">
        <v>14383</v>
      </c>
      <c r="K2234">
        <v>88131</v>
      </c>
      <c r="L2234" t="s">
        <v>71</v>
      </c>
      <c r="M2234" t="s">
        <v>46</v>
      </c>
      <c r="N2234" t="s">
        <v>47</v>
      </c>
      <c r="O2234">
        <v>2</v>
      </c>
      <c r="P2234">
        <v>1</v>
      </c>
      <c r="Q2234">
        <v>2</v>
      </c>
      <c r="R2234" t="s">
        <v>48</v>
      </c>
      <c r="S2234" t="s">
        <v>49</v>
      </c>
      <c r="T2234" s="3">
        <v>0.84</v>
      </c>
      <c r="U2234" s="3">
        <v>0.23</v>
      </c>
      <c r="V2234" s="3">
        <v>1.81</v>
      </c>
      <c r="W2234">
        <v>1.55</v>
      </c>
      <c r="X2234" t="s">
        <v>108</v>
      </c>
      <c r="Y2234" s="3">
        <v>5.14</v>
      </c>
      <c r="Z2234" t="s">
        <v>9686</v>
      </c>
      <c r="AA2234" t="s">
        <v>14384</v>
      </c>
      <c r="AB2234" t="s">
        <v>53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f t="shared" si="68"/>
        <v>8.02</v>
      </c>
      <c r="AK2234" s="3">
        <f t="shared" si="69"/>
        <v>2.88</v>
      </c>
    </row>
    <row r="2235" spans="1:37">
      <c r="A2235">
        <v>10397272</v>
      </c>
      <c r="B2235" t="s">
        <v>37</v>
      </c>
      <c r="C2235" t="s">
        <v>14385</v>
      </c>
      <c r="D2235" t="s">
        <v>14386</v>
      </c>
      <c r="E2235" t="s">
        <v>8765</v>
      </c>
      <c r="F2235" t="s">
        <v>14387</v>
      </c>
      <c r="G2235" t="s">
        <v>14388</v>
      </c>
      <c r="H2235" t="s">
        <v>42</v>
      </c>
      <c r="I2235" t="s">
        <v>14389</v>
      </c>
      <c r="J2235" t="s">
        <v>14390</v>
      </c>
      <c r="K2235">
        <v>50933</v>
      </c>
      <c r="L2235" t="s">
        <v>71</v>
      </c>
      <c r="M2235" t="s">
        <v>46</v>
      </c>
      <c r="N2235" t="s">
        <v>47</v>
      </c>
      <c r="O2235">
        <v>4</v>
      </c>
      <c r="P2235">
        <v>1</v>
      </c>
      <c r="Q2235">
        <v>4</v>
      </c>
      <c r="R2235" t="s">
        <v>48</v>
      </c>
      <c r="S2235" t="s">
        <v>49</v>
      </c>
      <c r="T2235" s="3">
        <v>0.84</v>
      </c>
      <c r="U2235" s="3">
        <v>0.23</v>
      </c>
      <c r="V2235" s="3">
        <v>3.55</v>
      </c>
      <c r="W2235">
        <v>1.56</v>
      </c>
      <c r="X2235" t="s">
        <v>108</v>
      </c>
      <c r="Y2235" s="3">
        <v>5.13</v>
      </c>
      <c r="Z2235" t="s">
        <v>9686</v>
      </c>
      <c r="AA2235" t="s">
        <v>538</v>
      </c>
      <c r="AB2235" t="s">
        <v>53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f t="shared" si="68"/>
        <v>9.75</v>
      </c>
      <c r="AK2235" s="3">
        <f t="shared" si="69"/>
        <v>4.62</v>
      </c>
    </row>
    <row r="2236" spans="1:37">
      <c r="A2236">
        <v>10396973</v>
      </c>
      <c r="B2236" t="s">
        <v>37</v>
      </c>
      <c r="C2236" t="s">
        <v>14391</v>
      </c>
      <c r="E2236" t="s">
        <v>14392</v>
      </c>
      <c r="F2236" t="s">
        <v>14393</v>
      </c>
      <c r="G2236" t="s">
        <v>14394</v>
      </c>
      <c r="H2236" t="s">
        <v>42</v>
      </c>
      <c r="I2236" t="s">
        <v>14395</v>
      </c>
      <c r="J2236" t="s">
        <v>14396</v>
      </c>
      <c r="K2236">
        <v>87734</v>
      </c>
      <c r="L2236" t="s">
        <v>71</v>
      </c>
      <c r="M2236" t="s">
        <v>46</v>
      </c>
      <c r="N2236" t="s">
        <v>47</v>
      </c>
      <c r="O2236">
        <v>2</v>
      </c>
      <c r="P2236">
        <v>1</v>
      </c>
      <c r="Q2236">
        <v>2</v>
      </c>
      <c r="R2236" t="s">
        <v>48</v>
      </c>
      <c r="S2236" t="s">
        <v>49</v>
      </c>
      <c r="T2236" s="3">
        <v>0.84</v>
      </c>
      <c r="U2236" s="3">
        <v>0.23</v>
      </c>
      <c r="V2236" s="3">
        <v>1.81</v>
      </c>
      <c r="W2236">
        <v>0.78</v>
      </c>
      <c r="X2236" t="s">
        <v>108</v>
      </c>
      <c r="Y2236" s="3">
        <v>5.14</v>
      </c>
      <c r="Z2236" t="s">
        <v>9850</v>
      </c>
      <c r="AA2236" t="s">
        <v>1849</v>
      </c>
      <c r="AB2236" t="s">
        <v>53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s="3">
        <f t="shared" si="68"/>
        <v>8.02</v>
      </c>
      <c r="AK2236" s="3">
        <f t="shared" si="69"/>
        <v>2.88</v>
      </c>
    </row>
    <row r="2237" spans="1:37">
      <c r="A2237">
        <v>10396974</v>
      </c>
      <c r="B2237" t="s">
        <v>37</v>
      </c>
      <c r="C2237" t="s">
        <v>14397</v>
      </c>
      <c r="E2237" t="s">
        <v>14398</v>
      </c>
      <c r="F2237" t="s">
        <v>14399</v>
      </c>
      <c r="G2237" t="s">
        <v>14400</v>
      </c>
      <c r="H2237" t="s">
        <v>42</v>
      </c>
      <c r="I2237" t="s">
        <v>14395</v>
      </c>
      <c r="J2237" t="s">
        <v>14401</v>
      </c>
      <c r="K2237">
        <v>4802</v>
      </c>
      <c r="L2237" t="s">
        <v>505</v>
      </c>
      <c r="M2237" t="s">
        <v>46</v>
      </c>
      <c r="N2237" t="s">
        <v>47</v>
      </c>
      <c r="O2237">
        <v>4</v>
      </c>
      <c r="P2237">
        <v>1</v>
      </c>
      <c r="Q2237">
        <v>4</v>
      </c>
      <c r="R2237" t="s">
        <v>48</v>
      </c>
      <c r="S2237" t="s">
        <v>49</v>
      </c>
      <c r="T2237" s="3">
        <v>0.84</v>
      </c>
      <c r="U2237" s="3">
        <v>0.23</v>
      </c>
      <c r="V2237" s="3">
        <v>3.55</v>
      </c>
      <c r="W2237">
        <v>1.56</v>
      </c>
      <c r="X2237" t="s">
        <v>50</v>
      </c>
      <c r="Y2237" s="3">
        <v>9.19</v>
      </c>
      <c r="Z2237" t="s">
        <v>9686</v>
      </c>
      <c r="AA2237" t="s">
        <v>14402</v>
      </c>
      <c r="AB2237" t="s">
        <v>53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f t="shared" si="68"/>
        <v>13.809999999999999</v>
      </c>
      <c r="AK2237" s="3">
        <f t="shared" si="69"/>
        <v>4.6199999999999992</v>
      </c>
    </row>
    <row r="2238" spans="1:37">
      <c r="A2238">
        <v>10397511</v>
      </c>
      <c r="B2238" t="s">
        <v>37</v>
      </c>
      <c r="C2238" t="s">
        <v>14403</v>
      </c>
      <c r="E2238" t="s">
        <v>3574</v>
      </c>
      <c r="F2238" t="s">
        <v>11355</v>
      </c>
      <c r="G2238" t="s">
        <v>14404</v>
      </c>
      <c r="H2238" t="s">
        <v>42</v>
      </c>
      <c r="I2238" t="s">
        <v>14405</v>
      </c>
      <c r="J2238" t="s">
        <v>11358</v>
      </c>
      <c r="K2238">
        <v>76547</v>
      </c>
      <c r="L2238" t="s">
        <v>71</v>
      </c>
      <c r="M2238" t="s">
        <v>46</v>
      </c>
      <c r="N2238" t="s">
        <v>47</v>
      </c>
      <c r="O2238">
        <v>5</v>
      </c>
      <c r="P2238">
        <v>1</v>
      </c>
      <c r="Q2238">
        <v>5</v>
      </c>
      <c r="R2238" t="s">
        <v>48</v>
      </c>
      <c r="S2238" t="s">
        <v>49</v>
      </c>
      <c r="T2238" s="3">
        <v>0.84</v>
      </c>
      <c r="U2238" s="3">
        <v>0.23</v>
      </c>
      <c r="V2238" s="3">
        <v>4.42</v>
      </c>
      <c r="W2238">
        <v>0.75</v>
      </c>
      <c r="X2238" t="s">
        <v>108</v>
      </c>
      <c r="Y2238" s="3">
        <v>5.13</v>
      </c>
      <c r="Z2238" t="s">
        <v>9686</v>
      </c>
      <c r="AA2238" t="s">
        <v>6464</v>
      </c>
      <c r="AB2238" t="s">
        <v>53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f t="shared" si="68"/>
        <v>10.620000000000001</v>
      </c>
      <c r="AK2238" s="3">
        <f t="shared" si="69"/>
        <v>5.4900000000000011</v>
      </c>
    </row>
    <row r="2239" spans="1:37">
      <c r="A2239">
        <v>10396691</v>
      </c>
      <c r="B2239" t="s">
        <v>37</v>
      </c>
      <c r="C2239" t="s">
        <v>14406</v>
      </c>
      <c r="E2239" t="s">
        <v>14407</v>
      </c>
      <c r="F2239" t="s">
        <v>14408</v>
      </c>
      <c r="G2239" t="s">
        <v>14409</v>
      </c>
      <c r="H2239" t="s">
        <v>42</v>
      </c>
      <c r="I2239" t="s">
        <v>14410</v>
      </c>
      <c r="J2239" t="s">
        <v>14411</v>
      </c>
      <c r="K2239" t="s">
        <v>14412</v>
      </c>
      <c r="L2239" t="s">
        <v>82</v>
      </c>
      <c r="M2239" t="s">
        <v>46</v>
      </c>
      <c r="N2239" t="s">
        <v>47</v>
      </c>
      <c r="O2239">
        <v>5</v>
      </c>
      <c r="P2239">
        <v>1</v>
      </c>
      <c r="Q2239">
        <v>5</v>
      </c>
      <c r="R2239" t="s">
        <v>48</v>
      </c>
      <c r="S2239" t="s">
        <v>49</v>
      </c>
      <c r="T2239" s="3">
        <v>0.84</v>
      </c>
      <c r="U2239" s="3">
        <v>0.23</v>
      </c>
      <c r="V2239" s="3">
        <v>4.42</v>
      </c>
      <c r="W2239">
        <v>1.8</v>
      </c>
      <c r="X2239" t="s">
        <v>50</v>
      </c>
      <c r="Y2239" s="3">
        <v>9.19</v>
      </c>
      <c r="Z2239" t="s">
        <v>73</v>
      </c>
      <c r="AA2239" t="s">
        <v>2505</v>
      </c>
      <c r="AB2239" t="s">
        <v>53</v>
      </c>
      <c r="AC2239" s="3">
        <v>1.29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f t="shared" si="68"/>
        <v>15.97</v>
      </c>
      <c r="AK2239" s="3">
        <f t="shared" si="69"/>
        <v>6.7800000000000011</v>
      </c>
    </row>
    <row r="2240" spans="1:37">
      <c r="A2240">
        <v>10395616</v>
      </c>
      <c r="B2240" t="s">
        <v>37</v>
      </c>
      <c r="C2240" t="s">
        <v>14413</v>
      </c>
      <c r="E2240" t="s">
        <v>1932</v>
      </c>
      <c r="F2240" t="s">
        <v>14414</v>
      </c>
      <c r="G2240" t="s">
        <v>14415</v>
      </c>
      <c r="H2240" t="s">
        <v>42</v>
      </c>
      <c r="I2240" t="s">
        <v>14416</v>
      </c>
      <c r="J2240" t="s">
        <v>14417</v>
      </c>
      <c r="K2240" t="s">
        <v>14418</v>
      </c>
      <c r="L2240" t="s">
        <v>82</v>
      </c>
      <c r="M2240" t="s">
        <v>46</v>
      </c>
      <c r="N2240" t="s">
        <v>47</v>
      </c>
      <c r="O2240">
        <v>2</v>
      </c>
      <c r="P2240">
        <v>1</v>
      </c>
      <c r="Q2240">
        <v>2</v>
      </c>
      <c r="R2240" t="s">
        <v>48</v>
      </c>
      <c r="S2240" t="s">
        <v>49</v>
      </c>
      <c r="T2240" s="3">
        <v>0.84</v>
      </c>
      <c r="U2240" s="3">
        <v>0.23</v>
      </c>
      <c r="V2240" s="3">
        <v>1.81</v>
      </c>
      <c r="W2240">
        <v>0.78</v>
      </c>
      <c r="X2240" t="s">
        <v>50</v>
      </c>
      <c r="Y2240" s="3">
        <v>9.1999999999999993</v>
      </c>
      <c r="Z2240" t="s">
        <v>9850</v>
      </c>
      <c r="AA2240" t="s">
        <v>14419</v>
      </c>
      <c r="AB2240" t="s">
        <v>53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f t="shared" si="68"/>
        <v>12.08</v>
      </c>
      <c r="AK2240" s="3">
        <f t="shared" si="69"/>
        <v>2.8800000000000008</v>
      </c>
    </row>
    <row r="2241" spans="1:37">
      <c r="A2241">
        <v>10397798</v>
      </c>
      <c r="B2241" t="s">
        <v>37</v>
      </c>
      <c r="C2241" t="s">
        <v>14420</v>
      </c>
      <c r="E2241" t="s">
        <v>14421</v>
      </c>
      <c r="F2241" t="s">
        <v>14422</v>
      </c>
      <c r="G2241" t="s">
        <v>14423</v>
      </c>
      <c r="H2241" t="s">
        <v>42</v>
      </c>
      <c r="I2241" t="s">
        <v>14424</v>
      </c>
      <c r="J2241" t="s">
        <v>14425</v>
      </c>
      <c r="K2241">
        <v>60528</v>
      </c>
      <c r="L2241" t="s">
        <v>71</v>
      </c>
      <c r="M2241" t="s">
        <v>46</v>
      </c>
      <c r="N2241" t="s">
        <v>47</v>
      </c>
      <c r="O2241">
        <v>4</v>
      </c>
      <c r="P2241">
        <v>1</v>
      </c>
      <c r="Q2241">
        <v>4</v>
      </c>
      <c r="R2241" t="s">
        <v>48</v>
      </c>
      <c r="S2241" t="s">
        <v>49</v>
      </c>
      <c r="T2241" s="3">
        <v>0.84</v>
      </c>
      <c r="U2241" s="3">
        <v>0.23</v>
      </c>
      <c r="V2241" s="3">
        <v>3.55</v>
      </c>
      <c r="W2241">
        <v>1.56</v>
      </c>
      <c r="X2241" t="s">
        <v>108</v>
      </c>
      <c r="Y2241" s="3">
        <v>5.13</v>
      </c>
      <c r="Z2241" t="s">
        <v>9686</v>
      </c>
      <c r="AA2241" t="s">
        <v>3216</v>
      </c>
      <c r="AB2241" t="s">
        <v>53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f t="shared" si="68"/>
        <v>9.75</v>
      </c>
      <c r="AK2241" s="3">
        <f t="shared" si="69"/>
        <v>4.62</v>
      </c>
    </row>
    <row r="2242" spans="1:37">
      <c r="A2242">
        <v>10397275</v>
      </c>
      <c r="B2242" t="s">
        <v>37</v>
      </c>
      <c r="C2242" t="s">
        <v>14426</v>
      </c>
      <c r="E2242" t="s">
        <v>694</v>
      </c>
      <c r="F2242" t="s">
        <v>14427</v>
      </c>
      <c r="G2242" t="s">
        <v>14428</v>
      </c>
      <c r="H2242" t="s">
        <v>42</v>
      </c>
      <c r="I2242" t="s">
        <v>14429</v>
      </c>
      <c r="J2242" t="s">
        <v>14430</v>
      </c>
      <c r="K2242">
        <v>2900</v>
      </c>
      <c r="L2242" t="s">
        <v>505</v>
      </c>
      <c r="M2242" t="s">
        <v>46</v>
      </c>
      <c r="N2242" t="s">
        <v>47</v>
      </c>
      <c r="O2242">
        <v>1</v>
      </c>
      <c r="P2242">
        <v>1</v>
      </c>
      <c r="Q2242">
        <v>1</v>
      </c>
      <c r="R2242" t="s">
        <v>48</v>
      </c>
      <c r="S2242" t="s">
        <v>49</v>
      </c>
      <c r="T2242" s="3">
        <v>0.84</v>
      </c>
      <c r="U2242" s="3">
        <v>0.23</v>
      </c>
      <c r="V2242" s="3">
        <v>0.94</v>
      </c>
      <c r="W2242">
        <v>0.49</v>
      </c>
      <c r="X2242" t="s">
        <v>50</v>
      </c>
      <c r="Y2242" s="3">
        <v>9.19</v>
      </c>
      <c r="Z2242" t="s">
        <v>9850</v>
      </c>
      <c r="AA2242" t="s">
        <v>498</v>
      </c>
      <c r="AB2242" t="s">
        <v>53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f t="shared" ref="AJ2242:AJ2305" si="70">AI2242+AH2242+AG2242+AF2242+AE2242+AD2242+AC2242+Y2242+V2242+U2242+T2242</f>
        <v>11.2</v>
      </c>
      <c r="AK2242" s="3">
        <f t="shared" ref="AK2242:AK2305" si="71">AJ2242-Y2242</f>
        <v>2.0099999999999998</v>
      </c>
    </row>
    <row r="2243" spans="1:37">
      <c r="A2243">
        <v>10396324</v>
      </c>
      <c r="B2243" t="s">
        <v>37</v>
      </c>
      <c r="C2243" t="s">
        <v>14431</v>
      </c>
      <c r="E2243" t="s">
        <v>14432</v>
      </c>
      <c r="F2243" t="s">
        <v>14433</v>
      </c>
      <c r="G2243" t="s">
        <v>14434</v>
      </c>
      <c r="H2243" t="s">
        <v>42</v>
      </c>
      <c r="I2243" t="s">
        <v>14435</v>
      </c>
      <c r="J2243" t="s">
        <v>14436</v>
      </c>
      <c r="K2243">
        <v>10623</v>
      </c>
      <c r="L2243" t="s">
        <v>71</v>
      </c>
      <c r="M2243" t="s">
        <v>46</v>
      </c>
      <c r="N2243" t="s">
        <v>47</v>
      </c>
      <c r="O2243">
        <v>1</v>
      </c>
      <c r="P2243">
        <v>1</v>
      </c>
      <c r="Q2243">
        <v>1</v>
      </c>
      <c r="R2243" t="s">
        <v>48</v>
      </c>
      <c r="S2243" t="s">
        <v>49</v>
      </c>
      <c r="T2243" s="3">
        <v>0.84</v>
      </c>
      <c r="U2243" s="3">
        <v>0.23</v>
      </c>
      <c r="V2243" s="3">
        <v>0.94</v>
      </c>
      <c r="W2243">
        <v>0.49</v>
      </c>
      <c r="X2243" t="s">
        <v>108</v>
      </c>
      <c r="Y2243" s="3">
        <v>5.13</v>
      </c>
      <c r="Z2243" t="s">
        <v>9850</v>
      </c>
      <c r="AA2243" t="s">
        <v>966</v>
      </c>
      <c r="AB2243" t="s">
        <v>53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f t="shared" si="70"/>
        <v>7.1400000000000006</v>
      </c>
      <c r="AK2243" s="3">
        <f t="shared" si="71"/>
        <v>2.0100000000000007</v>
      </c>
    </row>
    <row r="2244" spans="1:37">
      <c r="A2244">
        <v>10398061</v>
      </c>
      <c r="B2244" t="s">
        <v>37</v>
      </c>
      <c r="C2244" t="s">
        <v>14437</v>
      </c>
      <c r="D2244" t="s">
        <v>14438</v>
      </c>
      <c r="E2244" t="s">
        <v>4006</v>
      </c>
      <c r="F2244" t="s">
        <v>14439</v>
      </c>
      <c r="G2244" t="s">
        <v>14440</v>
      </c>
      <c r="H2244" t="s">
        <v>42</v>
      </c>
      <c r="I2244" t="s">
        <v>14441</v>
      </c>
      <c r="J2244" t="s">
        <v>14442</v>
      </c>
      <c r="K2244">
        <v>92290</v>
      </c>
      <c r="L2244" t="s">
        <v>130</v>
      </c>
      <c r="M2244" t="s">
        <v>46</v>
      </c>
      <c r="N2244" t="s">
        <v>47</v>
      </c>
      <c r="O2244">
        <v>2</v>
      </c>
      <c r="P2244">
        <v>1</v>
      </c>
      <c r="Q2244">
        <v>2</v>
      </c>
      <c r="R2244" t="s">
        <v>48</v>
      </c>
      <c r="S2244" t="s">
        <v>49</v>
      </c>
      <c r="T2244" s="3">
        <v>0.84</v>
      </c>
      <c r="U2244" s="3">
        <v>0.23</v>
      </c>
      <c r="V2244" s="3">
        <v>1.81</v>
      </c>
      <c r="W2244">
        <v>0.98</v>
      </c>
      <c r="X2244" t="s">
        <v>50</v>
      </c>
      <c r="Y2244" s="3">
        <v>14.26</v>
      </c>
      <c r="Z2244" t="s">
        <v>9686</v>
      </c>
      <c r="AA2244" t="s">
        <v>966</v>
      </c>
      <c r="AB2244" t="s">
        <v>53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f t="shared" si="70"/>
        <v>17.14</v>
      </c>
      <c r="AK2244" s="3">
        <f t="shared" si="71"/>
        <v>2.8800000000000008</v>
      </c>
    </row>
    <row r="2245" spans="1:37">
      <c r="A2245">
        <v>10395628</v>
      </c>
      <c r="B2245" t="s">
        <v>37</v>
      </c>
      <c r="C2245" t="s">
        <v>14443</v>
      </c>
      <c r="E2245" t="s">
        <v>14444</v>
      </c>
      <c r="F2245" t="s">
        <v>14445</v>
      </c>
      <c r="G2245" t="s">
        <v>14446</v>
      </c>
      <c r="H2245" t="s">
        <v>42</v>
      </c>
      <c r="I2245" t="s">
        <v>14447</v>
      </c>
      <c r="J2245" t="s">
        <v>14448</v>
      </c>
      <c r="K2245">
        <v>92286</v>
      </c>
      <c r="L2245" t="s">
        <v>71</v>
      </c>
      <c r="M2245" t="s">
        <v>46</v>
      </c>
      <c r="N2245" t="s">
        <v>47</v>
      </c>
      <c r="O2245">
        <v>1</v>
      </c>
      <c r="P2245">
        <v>1</v>
      </c>
      <c r="Q2245">
        <v>1</v>
      </c>
      <c r="R2245" t="s">
        <v>48</v>
      </c>
      <c r="S2245" t="s">
        <v>49</v>
      </c>
      <c r="T2245" s="3">
        <v>0.84</v>
      </c>
      <c r="U2245" s="3">
        <v>0.23</v>
      </c>
      <c r="V2245" s="3">
        <v>0.94</v>
      </c>
      <c r="W2245">
        <v>1.4</v>
      </c>
      <c r="X2245" t="s">
        <v>108</v>
      </c>
      <c r="Y2245" s="3">
        <v>5.13</v>
      </c>
      <c r="Z2245" t="s">
        <v>9686</v>
      </c>
      <c r="AA2245" t="s">
        <v>198</v>
      </c>
      <c r="AB2245" t="s">
        <v>53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f t="shared" si="70"/>
        <v>7.1400000000000006</v>
      </c>
      <c r="AK2245" s="3">
        <f t="shared" si="71"/>
        <v>2.0100000000000007</v>
      </c>
    </row>
    <row r="2246" spans="1:37">
      <c r="A2246">
        <v>10396975</v>
      </c>
      <c r="B2246" t="s">
        <v>37</v>
      </c>
      <c r="C2246" t="s">
        <v>14449</v>
      </c>
      <c r="E2246" t="s">
        <v>14450</v>
      </c>
      <c r="F2246" t="s">
        <v>14451</v>
      </c>
      <c r="G2246" t="s">
        <v>14452</v>
      </c>
      <c r="H2246" t="s">
        <v>42</v>
      </c>
      <c r="I2246" t="s">
        <v>14453</v>
      </c>
      <c r="J2246" t="s">
        <v>14454</v>
      </c>
      <c r="K2246">
        <v>50733</v>
      </c>
      <c r="L2246" t="s">
        <v>71</v>
      </c>
      <c r="M2246" t="s">
        <v>46</v>
      </c>
      <c r="N2246" t="s">
        <v>47</v>
      </c>
      <c r="O2246">
        <v>1</v>
      </c>
      <c r="P2246">
        <v>1</v>
      </c>
      <c r="Q2246">
        <v>1</v>
      </c>
      <c r="R2246" t="s">
        <v>48</v>
      </c>
      <c r="S2246" t="s">
        <v>49</v>
      </c>
      <c r="T2246" s="3">
        <v>0.84</v>
      </c>
      <c r="U2246" s="3">
        <v>0.23</v>
      </c>
      <c r="V2246" s="3">
        <v>0.94</v>
      </c>
      <c r="W2246">
        <v>1.02</v>
      </c>
      <c r="X2246" t="s">
        <v>108</v>
      </c>
      <c r="Y2246" s="3">
        <v>5.13</v>
      </c>
      <c r="Z2246" t="s">
        <v>9686</v>
      </c>
      <c r="AA2246" t="s">
        <v>1754</v>
      </c>
      <c r="AB2246" t="s">
        <v>53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f t="shared" si="70"/>
        <v>7.1400000000000006</v>
      </c>
      <c r="AK2246" s="3">
        <f t="shared" si="71"/>
        <v>2.0100000000000007</v>
      </c>
    </row>
    <row r="2247" spans="1:37">
      <c r="A2247">
        <v>10397792</v>
      </c>
      <c r="B2247" t="s">
        <v>37</v>
      </c>
      <c r="C2247" t="s">
        <v>14455</v>
      </c>
      <c r="E2247" t="s">
        <v>14456</v>
      </c>
      <c r="F2247" t="s">
        <v>14457</v>
      </c>
      <c r="G2247" t="s">
        <v>14458</v>
      </c>
      <c r="H2247" t="s">
        <v>42</v>
      </c>
      <c r="I2247" t="s">
        <v>14459</v>
      </c>
      <c r="J2247" t="s">
        <v>14460</v>
      </c>
      <c r="K2247">
        <v>24105</v>
      </c>
      <c r="L2247" t="s">
        <v>71</v>
      </c>
      <c r="M2247" t="s">
        <v>46</v>
      </c>
      <c r="N2247" t="s">
        <v>47</v>
      </c>
      <c r="O2247">
        <v>2</v>
      </c>
      <c r="P2247">
        <v>1</v>
      </c>
      <c r="Q2247">
        <v>2</v>
      </c>
      <c r="R2247" t="s">
        <v>48</v>
      </c>
      <c r="S2247" t="s">
        <v>49</v>
      </c>
      <c r="T2247" s="3">
        <v>0.84</v>
      </c>
      <c r="U2247" s="3">
        <v>0.23</v>
      </c>
      <c r="V2247" s="3">
        <v>1.81</v>
      </c>
      <c r="W2247">
        <v>0.3</v>
      </c>
      <c r="X2247" t="s">
        <v>108</v>
      </c>
      <c r="Y2247" s="3">
        <v>5.13</v>
      </c>
      <c r="Z2247" t="s">
        <v>9850</v>
      </c>
      <c r="AA2247" t="s">
        <v>6464</v>
      </c>
      <c r="AB2247" t="s">
        <v>53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f t="shared" si="70"/>
        <v>8.01</v>
      </c>
      <c r="AK2247" s="3">
        <f t="shared" si="71"/>
        <v>2.88</v>
      </c>
    </row>
    <row r="2248" spans="1:37">
      <c r="A2248">
        <v>10395639</v>
      </c>
      <c r="B2248" t="s">
        <v>37</v>
      </c>
      <c r="C2248" t="s">
        <v>14461</v>
      </c>
      <c r="E2248" t="s">
        <v>1395</v>
      </c>
      <c r="F2248" t="s">
        <v>14462</v>
      </c>
      <c r="G2248" t="s">
        <v>14463</v>
      </c>
      <c r="H2248" t="s">
        <v>42</v>
      </c>
      <c r="I2248" t="s">
        <v>14464</v>
      </c>
      <c r="J2248" t="s">
        <v>14465</v>
      </c>
      <c r="K2248" t="s">
        <v>9779</v>
      </c>
      <c r="L2248" t="s">
        <v>91</v>
      </c>
      <c r="M2248" t="s">
        <v>46</v>
      </c>
      <c r="N2248" t="s">
        <v>47</v>
      </c>
      <c r="O2248">
        <v>1</v>
      </c>
      <c r="P2248">
        <v>1</v>
      </c>
      <c r="Q2248">
        <v>1</v>
      </c>
      <c r="R2248" t="s">
        <v>48</v>
      </c>
      <c r="S2248" t="s">
        <v>49</v>
      </c>
      <c r="T2248" s="3">
        <v>0.84</v>
      </c>
      <c r="U2248" s="3">
        <v>0.23</v>
      </c>
      <c r="V2248" s="3">
        <v>0.94</v>
      </c>
      <c r="W2248">
        <v>0.49</v>
      </c>
      <c r="X2248" t="s">
        <v>1702</v>
      </c>
      <c r="Y2248" s="3">
        <v>24.7</v>
      </c>
      <c r="Z2248" t="s">
        <v>9850</v>
      </c>
      <c r="AA2248" t="s">
        <v>7163</v>
      </c>
      <c r="AB2248" t="s">
        <v>53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f t="shared" si="70"/>
        <v>26.71</v>
      </c>
      <c r="AK2248" s="3">
        <f t="shared" si="71"/>
        <v>2.0100000000000016</v>
      </c>
    </row>
    <row r="2249" spans="1:37">
      <c r="A2249">
        <v>10395609</v>
      </c>
      <c r="B2249" t="s">
        <v>37</v>
      </c>
      <c r="C2249" t="s">
        <v>14466</v>
      </c>
      <c r="E2249" t="s">
        <v>3574</v>
      </c>
      <c r="F2249" t="s">
        <v>14467</v>
      </c>
      <c r="G2249" t="s">
        <v>14468</v>
      </c>
      <c r="H2249" t="s">
        <v>42</v>
      </c>
      <c r="I2249" t="s">
        <v>14469</v>
      </c>
      <c r="J2249" t="s">
        <v>14470</v>
      </c>
      <c r="K2249">
        <v>42119</v>
      </c>
      <c r="L2249" t="s">
        <v>71</v>
      </c>
      <c r="M2249" t="s">
        <v>46</v>
      </c>
      <c r="N2249" t="s">
        <v>47</v>
      </c>
      <c r="O2249">
        <v>1</v>
      </c>
      <c r="P2249">
        <v>1</v>
      </c>
      <c r="Q2249">
        <v>1</v>
      </c>
      <c r="R2249" t="s">
        <v>48</v>
      </c>
      <c r="S2249" t="s">
        <v>49</v>
      </c>
      <c r="T2249" s="3">
        <v>0.84</v>
      </c>
      <c r="U2249" s="3">
        <v>0.23</v>
      </c>
      <c r="V2249" s="3">
        <v>0.94</v>
      </c>
      <c r="W2249">
        <v>0.39</v>
      </c>
      <c r="X2249" t="s">
        <v>108</v>
      </c>
      <c r="Y2249" s="3">
        <v>5.13</v>
      </c>
      <c r="Z2249" t="s">
        <v>9850</v>
      </c>
      <c r="AA2249" t="s">
        <v>9223</v>
      </c>
      <c r="AB2249" t="s">
        <v>53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f t="shared" si="70"/>
        <v>7.1400000000000006</v>
      </c>
      <c r="AK2249" s="3">
        <f t="shared" si="71"/>
        <v>2.0100000000000007</v>
      </c>
    </row>
    <row r="2250" spans="1:37">
      <c r="A2250">
        <v>10399370</v>
      </c>
      <c r="B2250" t="s">
        <v>37</v>
      </c>
      <c r="C2250" t="s">
        <v>14471</v>
      </c>
      <c r="E2250" t="s">
        <v>14472</v>
      </c>
      <c r="F2250" t="s">
        <v>14473</v>
      </c>
      <c r="G2250" t="s">
        <v>14474</v>
      </c>
      <c r="H2250" t="s">
        <v>42</v>
      </c>
      <c r="I2250" t="s">
        <v>14475</v>
      </c>
      <c r="J2250" t="s">
        <v>14476</v>
      </c>
      <c r="K2250">
        <v>10115</v>
      </c>
      <c r="L2250" t="s">
        <v>71</v>
      </c>
      <c r="M2250" t="s">
        <v>46</v>
      </c>
      <c r="N2250" t="s">
        <v>47</v>
      </c>
      <c r="O2250">
        <v>2</v>
      </c>
      <c r="P2250">
        <v>1</v>
      </c>
      <c r="Q2250">
        <v>2</v>
      </c>
      <c r="R2250" t="s">
        <v>48</v>
      </c>
      <c r="S2250" t="s">
        <v>49</v>
      </c>
      <c r="T2250" s="3">
        <v>0.84</v>
      </c>
      <c r="U2250" s="3">
        <v>0.23</v>
      </c>
      <c r="V2250" s="3">
        <v>1.81</v>
      </c>
      <c r="W2250">
        <v>0.78</v>
      </c>
      <c r="X2250" t="s">
        <v>108</v>
      </c>
      <c r="Y2250" s="3">
        <v>5.13</v>
      </c>
      <c r="Z2250" t="s">
        <v>9850</v>
      </c>
      <c r="AA2250" t="s">
        <v>14477</v>
      </c>
      <c r="AB2250" t="s">
        <v>53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f t="shared" si="70"/>
        <v>8.01</v>
      </c>
      <c r="AK2250" s="3">
        <f t="shared" si="71"/>
        <v>2.88</v>
      </c>
    </row>
    <row r="2251" spans="1:37">
      <c r="A2251">
        <v>10398073</v>
      </c>
      <c r="B2251" t="s">
        <v>37</v>
      </c>
      <c r="C2251" t="s">
        <v>14478</v>
      </c>
      <c r="E2251" t="s">
        <v>14479</v>
      </c>
      <c r="F2251" t="s">
        <v>7416</v>
      </c>
      <c r="G2251" t="s">
        <v>14480</v>
      </c>
      <c r="H2251" t="s">
        <v>42</v>
      </c>
      <c r="I2251" t="s">
        <v>14481</v>
      </c>
      <c r="J2251" t="s">
        <v>14482</v>
      </c>
      <c r="K2251">
        <v>28205</v>
      </c>
      <c r="L2251" t="s">
        <v>71</v>
      </c>
      <c r="M2251" t="s">
        <v>46</v>
      </c>
      <c r="N2251" t="s">
        <v>47</v>
      </c>
      <c r="O2251">
        <v>1</v>
      </c>
      <c r="P2251">
        <v>1</v>
      </c>
      <c r="Q2251">
        <v>1</v>
      </c>
      <c r="R2251" t="s">
        <v>48</v>
      </c>
      <c r="S2251" t="s">
        <v>49</v>
      </c>
      <c r="T2251" s="3">
        <v>0.84</v>
      </c>
      <c r="U2251" s="3">
        <v>0.23</v>
      </c>
      <c r="V2251" s="3">
        <v>0.94</v>
      </c>
      <c r="W2251">
        <v>1.4</v>
      </c>
      <c r="X2251" t="s">
        <v>108</v>
      </c>
      <c r="Y2251" s="3">
        <v>5.13</v>
      </c>
      <c r="Z2251" t="s">
        <v>9686</v>
      </c>
      <c r="AA2251" t="s">
        <v>297</v>
      </c>
      <c r="AB2251" t="s">
        <v>53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f t="shared" si="70"/>
        <v>7.1400000000000006</v>
      </c>
      <c r="AK2251" s="3">
        <f t="shared" si="71"/>
        <v>2.0100000000000007</v>
      </c>
    </row>
    <row r="2252" spans="1:37">
      <c r="A2252">
        <v>10398059</v>
      </c>
      <c r="B2252" t="s">
        <v>37</v>
      </c>
      <c r="C2252" t="s">
        <v>14483</v>
      </c>
      <c r="D2252" t="s">
        <v>14484</v>
      </c>
      <c r="E2252" t="s">
        <v>14485</v>
      </c>
      <c r="F2252" t="s">
        <v>14486</v>
      </c>
      <c r="G2252" t="s">
        <v>14487</v>
      </c>
      <c r="H2252" t="s">
        <v>42</v>
      </c>
      <c r="I2252" t="s">
        <v>14488</v>
      </c>
      <c r="J2252" t="s">
        <v>14489</v>
      </c>
      <c r="K2252">
        <v>79807</v>
      </c>
      <c r="L2252" t="s">
        <v>71</v>
      </c>
      <c r="M2252" t="s">
        <v>46</v>
      </c>
      <c r="N2252" t="s">
        <v>47</v>
      </c>
      <c r="O2252">
        <v>2</v>
      </c>
      <c r="P2252">
        <v>1</v>
      </c>
      <c r="Q2252">
        <v>2</v>
      </c>
      <c r="R2252" t="s">
        <v>48</v>
      </c>
      <c r="S2252" t="s">
        <v>49</v>
      </c>
      <c r="T2252" s="3">
        <v>0.84</v>
      </c>
      <c r="U2252" s="3">
        <v>0.23</v>
      </c>
      <c r="V2252" s="3">
        <v>1.81</v>
      </c>
      <c r="W2252">
        <v>0.9</v>
      </c>
      <c r="X2252" t="s">
        <v>108</v>
      </c>
      <c r="Y2252" s="3">
        <v>5.13</v>
      </c>
      <c r="Z2252" t="s">
        <v>9850</v>
      </c>
      <c r="AA2252" t="s">
        <v>14490</v>
      </c>
      <c r="AB2252" t="s">
        <v>53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f t="shared" si="70"/>
        <v>8.01</v>
      </c>
      <c r="AK2252" s="3">
        <f t="shared" si="71"/>
        <v>2.88</v>
      </c>
    </row>
    <row r="2253" spans="1:37">
      <c r="A2253">
        <v>10398068</v>
      </c>
      <c r="B2253" t="s">
        <v>37</v>
      </c>
      <c r="C2253" t="s">
        <v>14491</v>
      </c>
      <c r="E2253" t="s">
        <v>1608</v>
      </c>
      <c r="F2253" t="s">
        <v>14492</v>
      </c>
      <c r="G2253" t="s">
        <v>14493</v>
      </c>
      <c r="H2253" t="s">
        <v>42</v>
      </c>
      <c r="I2253" t="s">
        <v>14494</v>
      </c>
      <c r="J2253" t="s">
        <v>14495</v>
      </c>
      <c r="K2253">
        <v>82229</v>
      </c>
      <c r="L2253" t="s">
        <v>71</v>
      </c>
      <c r="M2253" t="s">
        <v>46</v>
      </c>
      <c r="N2253" t="s">
        <v>47</v>
      </c>
      <c r="O2253">
        <v>1</v>
      </c>
      <c r="P2253">
        <v>1</v>
      </c>
      <c r="Q2253">
        <v>1</v>
      </c>
      <c r="R2253" t="s">
        <v>48</v>
      </c>
      <c r="S2253" t="s">
        <v>49</v>
      </c>
      <c r="T2253" s="3">
        <v>0.84</v>
      </c>
      <c r="U2253" s="3">
        <v>0.23</v>
      </c>
      <c r="V2253" s="3">
        <v>0.94</v>
      </c>
      <c r="W2253">
        <v>1.02</v>
      </c>
      <c r="X2253" t="s">
        <v>108</v>
      </c>
      <c r="Y2253" s="3">
        <v>5.13</v>
      </c>
      <c r="Z2253" t="s">
        <v>9686</v>
      </c>
      <c r="AA2253" t="s">
        <v>1625</v>
      </c>
      <c r="AB2253" t="s">
        <v>53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f t="shared" si="70"/>
        <v>7.1400000000000006</v>
      </c>
      <c r="AK2253" s="3">
        <f t="shared" si="71"/>
        <v>2.0100000000000007</v>
      </c>
    </row>
    <row r="2254" spans="1:37">
      <c r="A2254">
        <v>10395640</v>
      </c>
      <c r="B2254" t="s">
        <v>37</v>
      </c>
      <c r="C2254" t="s">
        <v>14496</v>
      </c>
      <c r="E2254" t="s">
        <v>186</v>
      </c>
      <c r="F2254" t="s">
        <v>11563</v>
      </c>
      <c r="G2254" t="s">
        <v>14497</v>
      </c>
      <c r="H2254" t="s">
        <v>42</v>
      </c>
      <c r="I2254" t="s">
        <v>14498</v>
      </c>
      <c r="J2254" t="s">
        <v>11566</v>
      </c>
      <c r="K2254">
        <v>95703</v>
      </c>
      <c r="L2254" t="s">
        <v>71</v>
      </c>
      <c r="M2254" t="s">
        <v>46</v>
      </c>
      <c r="N2254" t="s">
        <v>47</v>
      </c>
      <c r="O2254">
        <v>1</v>
      </c>
      <c r="P2254">
        <v>1</v>
      </c>
      <c r="Q2254">
        <v>1</v>
      </c>
      <c r="R2254" t="s">
        <v>48</v>
      </c>
      <c r="S2254" t="s">
        <v>49</v>
      </c>
      <c r="T2254" s="3">
        <v>0.84</v>
      </c>
      <c r="U2254" s="3">
        <v>0.23</v>
      </c>
      <c r="V2254" s="3">
        <v>0.94</v>
      </c>
      <c r="W2254">
        <v>0.39</v>
      </c>
      <c r="X2254" t="s">
        <v>108</v>
      </c>
      <c r="Y2254" s="3">
        <v>5.13</v>
      </c>
      <c r="Z2254" t="s">
        <v>9850</v>
      </c>
      <c r="AA2254" t="s">
        <v>9223</v>
      </c>
      <c r="AB2254" t="s">
        <v>53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f t="shared" si="70"/>
        <v>7.1400000000000006</v>
      </c>
      <c r="AK2254" s="3">
        <f t="shared" si="71"/>
        <v>2.0100000000000007</v>
      </c>
    </row>
    <row r="2255" spans="1:37">
      <c r="A2255">
        <v>10398070</v>
      </c>
      <c r="B2255" t="s">
        <v>37</v>
      </c>
      <c r="C2255" t="s">
        <v>14499</v>
      </c>
      <c r="E2255" t="s">
        <v>6283</v>
      </c>
      <c r="F2255" t="s">
        <v>14500</v>
      </c>
      <c r="G2255" t="s">
        <v>14501</v>
      </c>
      <c r="H2255" t="s">
        <v>42</v>
      </c>
      <c r="I2255" t="s">
        <v>14502</v>
      </c>
      <c r="J2255" t="s">
        <v>14503</v>
      </c>
      <c r="K2255">
        <v>22391</v>
      </c>
      <c r="L2255" t="s">
        <v>71</v>
      </c>
      <c r="M2255" t="s">
        <v>46</v>
      </c>
      <c r="N2255" t="s">
        <v>47</v>
      </c>
      <c r="O2255">
        <v>2</v>
      </c>
      <c r="P2255">
        <v>1</v>
      </c>
      <c r="Q2255">
        <v>2</v>
      </c>
      <c r="R2255" t="s">
        <v>48</v>
      </c>
      <c r="S2255" t="s">
        <v>49</v>
      </c>
      <c r="T2255" s="3">
        <v>0.84</v>
      </c>
      <c r="U2255" s="3">
        <v>0.23</v>
      </c>
      <c r="V2255" s="3">
        <v>1.81</v>
      </c>
      <c r="W2255">
        <v>0.63</v>
      </c>
      <c r="X2255" t="s">
        <v>108</v>
      </c>
      <c r="Y2255" s="3">
        <v>5.13</v>
      </c>
      <c r="Z2255" t="s">
        <v>9850</v>
      </c>
      <c r="AA2255" t="s">
        <v>14504</v>
      </c>
      <c r="AB2255" t="s">
        <v>53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f t="shared" si="70"/>
        <v>8.01</v>
      </c>
      <c r="AK2255" s="3">
        <f t="shared" si="71"/>
        <v>2.88</v>
      </c>
    </row>
    <row r="2256" spans="1:37">
      <c r="A2256">
        <v>10398337</v>
      </c>
      <c r="B2256" t="s">
        <v>37</v>
      </c>
      <c r="C2256" t="s">
        <v>14505</v>
      </c>
      <c r="D2256" t="s">
        <v>14506</v>
      </c>
      <c r="E2256" t="s">
        <v>14507</v>
      </c>
      <c r="F2256" t="s">
        <v>14508</v>
      </c>
      <c r="G2256" t="s">
        <v>14509</v>
      </c>
      <c r="H2256" t="s">
        <v>42</v>
      </c>
      <c r="I2256" t="s">
        <v>14510</v>
      </c>
      <c r="J2256" t="s">
        <v>14511</v>
      </c>
      <c r="K2256">
        <v>2000</v>
      </c>
      <c r="L2256" t="s">
        <v>505</v>
      </c>
      <c r="M2256" t="s">
        <v>46</v>
      </c>
      <c r="N2256" t="s">
        <v>47</v>
      </c>
      <c r="O2256">
        <v>2</v>
      </c>
      <c r="P2256">
        <v>1</v>
      </c>
      <c r="Q2256">
        <v>2</v>
      </c>
      <c r="R2256" t="s">
        <v>48</v>
      </c>
      <c r="S2256" t="s">
        <v>49</v>
      </c>
      <c r="T2256" s="3">
        <v>0.84</v>
      </c>
      <c r="U2256" s="3">
        <v>0.23</v>
      </c>
      <c r="V2256" s="3">
        <v>1.81</v>
      </c>
      <c r="W2256">
        <v>0.59</v>
      </c>
      <c r="X2256" t="s">
        <v>50</v>
      </c>
      <c r="Y2256" s="3">
        <v>9.19</v>
      </c>
      <c r="Z2256" t="s">
        <v>9850</v>
      </c>
      <c r="AA2256" t="s">
        <v>2704</v>
      </c>
      <c r="AB2256" t="s">
        <v>53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f t="shared" si="70"/>
        <v>12.07</v>
      </c>
      <c r="AK2256" s="3">
        <f t="shared" si="71"/>
        <v>2.8800000000000008</v>
      </c>
    </row>
    <row r="2257" spans="1:37">
      <c r="A2257">
        <v>10398076</v>
      </c>
      <c r="B2257" t="s">
        <v>37</v>
      </c>
      <c r="C2257" t="s">
        <v>14512</v>
      </c>
      <c r="E2257" t="s">
        <v>1918</v>
      </c>
      <c r="F2257" t="s">
        <v>14513</v>
      </c>
      <c r="G2257" t="s">
        <v>14514</v>
      </c>
      <c r="H2257" t="s">
        <v>42</v>
      </c>
      <c r="I2257" t="s">
        <v>14515</v>
      </c>
      <c r="J2257" t="s">
        <v>14516</v>
      </c>
      <c r="K2257" t="s">
        <v>14517</v>
      </c>
      <c r="L2257" t="s">
        <v>142</v>
      </c>
      <c r="M2257" t="s">
        <v>46</v>
      </c>
      <c r="N2257" t="s">
        <v>47</v>
      </c>
      <c r="O2257">
        <v>1</v>
      </c>
      <c r="P2257">
        <v>1</v>
      </c>
      <c r="Q2257">
        <v>1</v>
      </c>
      <c r="R2257" t="s">
        <v>48</v>
      </c>
      <c r="S2257" t="s">
        <v>49</v>
      </c>
      <c r="T2257" s="3">
        <v>0.84</v>
      </c>
      <c r="U2257" s="3">
        <v>0.23</v>
      </c>
      <c r="V2257" s="3">
        <v>0.94</v>
      </c>
      <c r="W2257">
        <v>0.49</v>
      </c>
      <c r="X2257" t="s">
        <v>50</v>
      </c>
      <c r="Y2257" s="3">
        <v>16.43</v>
      </c>
      <c r="Z2257" t="s">
        <v>9850</v>
      </c>
      <c r="AA2257" t="s">
        <v>3486</v>
      </c>
      <c r="AB2257" t="s">
        <v>53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f t="shared" si="70"/>
        <v>18.440000000000001</v>
      </c>
      <c r="AK2257" s="3">
        <f t="shared" si="71"/>
        <v>2.0100000000000016</v>
      </c>
    </row>
    <row r="2258" spans="1:37">
      <c r="A2258">
        <v>10399501</v>
      </c>
      <c r="B2258" t="s">
        <v>37</v>
      </c>
      <c r="C2258" t="s">
        <v>14518</v>
      </c>
      <c r="D2258" t="s">
        <v>14519</v>
      </c>
      <c r="E2258" t="s">
        <v>14520</v>
      </c>
      <c r="F2258" t="s">
        <v>14521</v>
      </c>
      <c r="G2258" t="s">
        <v>14522</v>
      </c>
      <c r="H2258" t="s">
        <v>42</v>
      </c>
      <c r="I2258" t="s">
        <v>14523</v>
      </c>
      <c r="J2258" t="s">
        <v>14524</v>
      </c>
      <c r="K2258">
        <v>2800</v>
      </c>
      <c r="L2258" t="s">
        <v>505</v>
      </c>
      <c r="M2258" t="s">
        <v>46</v>
      </c>
      <c r="N2258" t="s">
        <v>47</v>
      </c>
      <c r="O2258">
        <v>2</v>
      </c>
      <c r="P2258">
        <v>1</v>
      </c>
      <c r="Q2258">
        <v>2</v>
      </c>
      <c r="R2258" t="s">
        <v>48</v>
      </c>
      <c r="S2258" t="s">
        <v>49</v>
      </c>
      <c r="T2258" s="3">
        <v>0.84</v>
      </c>
      <c r="U2258" s="3">
        <v>0.23</v>
      </c>
      <c r="V2258" s="3">
        <v>1.81</v>
      </c>
      <c r="W2258">
        <v>0.98</v>
      </c>
      <c r="X2258" t="s">
        <v>50</v>
      </c>
      <c r="Y2258" s="3">
        <v>9.19</v>
      </c>
      <c r="Z2258" t="s">
        <v>9850</v>
      </c>
      <c r="AA2258" t="s">
        <v>13238</v>
      </c>
      <c r="AB2258" t="s">
        <v>53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s="3">
        <f t="shared" si="70"/>
        <v>12.07</v>
      </c>
      <c r="AK2258" s="3">
        <f t="shared" si="71"/>
        <v>2.8800000000000008</v>
      </c>
    </row>
    <row r="2259" spans="1:37">
      <c r="A2259">
        <v>10395996</v>
      </c>
      <c r="B2259" t="s">
        <v>37</v>
      </c>
      <c r="C2259" t="s">
        <v>14525</v>
      </c>
      <c r="E2259" t="s">
        <v>3731</v>
      </c>
      <c r="F2259" t="s">
        <v>14526</v>
      </c>
      <c r="G2259" t="s">
        <v>14527</v>
      </c>
      <c r="H2259" t="s">
        <v>42</v>
      </c>
      <c r="I2259" t="s">
        <v>14528</v>
      </c>
      <c r="J2259" t="s">
        <v>14529</v>
      </c>
      <c r="K2259">
        <v>12109</v>
      </c>
      <c r="L2259" t="s">
        <v>71</v>
      </c>
      <c r="M2259" t="s">
        <v>46</v>
      </c>
      <c r="N2259" t="s">
        <v>47</v>
      </c>
      <c r="O2259">
        <v>1</v>
      </c>
      <c r="P2259">
        <v>1</v>
      </c>
      <c r="Q2259">
        <v>1</v>
      </c>
      <c r="R2259" t="s">
        <v>48</v>
      </c>
      <c r="S2259" t="s">
        <v>49</v>
      </c>
      <c r="T2259" s="3">
        <v>0.84</v>
      </c>
      <c r="U2259" s="3">
        <v>0.23</v>
      </c>
      <c r="V2259" s="3">
        <v>0.94</v>
      </c>
      <c r="W2259">
        <v>0.15</v>
      </c>
      <c r="X2259" t="s">
        <v>108</v>
      </c>
      <c r="Y2259" s="3">
        <v>5.13</v>
      </c>
      <c r="Z2259" t="s">
        <v>9850</v>
      </c>
      <c r="AA2259" t="s">
        <v>6464</v>
      </c>
      <c r="AB2259" t="s">
        <v>53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s="3">
        <f t="shared" si="70"/>
        <v>7.1400000000000006</v>
      </c>
      <c r="AK2259" s="3">
        <f t="shared" si="71"/>
        <v>2.0100000000000007</v>
      </c>
    </row>
    <row r="2260" spans="1:37">
      <c r="A2260">
        <v>10396690</v>
      </c>
      <c r="B2260" t="s">
        <v>37</v>
      </c>
      <c r="C2260" t="s">
        <v>14530</v>
      </c>
      <c r="E2260" t="s">
        <v>240</v>
      </c>
      <c r="F2260" t="s">
        <v>14531</v>
      </c>
      <c r="G2260" t="s">
        <v>14532</v>
      </c>
      <c r="H2260" t="s">
        <v>42</v>
      </c>
      <c r="I2260" t="s">
        <v>14533</v>
      </c>
      <c r="J2260" t="s">
        <v>14534</v>
      </c>
      <c r="K2260">
        <v>21039</v>
      </c>
      <c r="L2260" t="s">
        <v>71</v>
      </c>
      <c r="M2260" t="s">
        <v>46</v>
      </c>
      <c r="N2260" t="s">
        <v>47</v>
      </c>
      <c r="O2260">
        <v>1</v>
      </c>
      <c r="P2260">
        <v>1</v>
      </c>
      <c r="Q2260">
        <v>1</v>
      </c>
      <c r="R2260" t="s">
        <v>48</v>
      </c>
      <c r="S2260" t="s">
        <v>49</v>
      </c>
      <c r="T2260" s="3">
        <v>0.84</v>
      </c>
      <c r="U2260" s="3">
        <v>0.23</v>
      </c>
      <c r="V2260" s="3">
        <v>0.94</v>
      </c>
      <c r="W2260">
        <v>0.15</v>
      </c>
      <c r="X2260" t="s">
        <v>108</v>
      </c>
      <c r="Y2260" s="3">
        <v>5.13</v>
      </c>
      <c r="Z2260" t="s">
        <v>9850</v>
      </c>
      <c r="AA2260" t="s">
        <v>9271</v>
      </c>
      <c r="AB2260" t="s">
        <v>53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f t="shared" si="70"/>
        <v>7.1400000000000006</v>
      </c>
      <c r="AK2260" s="3">
        <f t="shared" si="71"/>
        <v>2.0100000000000007</v>
      </c>
    </row>
    <row r="2261" spans="1:37">
      <c r="A2261">
        <v>10399503</v>
      </c>
      <c r="B2261" t="s">
        <v>37</v>
      </c>
      <c r="C2261" t="s">
        <v>14535</v>
      </c>
      <c r="E2261" t="s">
        <v>14536</v>
      </c>
      <c r="F2261" t="s">
        <v>14537</v>
      </c>
      <c r="G2261" t="s">
        <v>14538</v>
      </c>
      <c r="H2261" t="s">
        <v>42</v>
      </c>
      <c r="I2261" t="s">
        <v>14539</v>
      </c>
      <c r="J2261" t="s">
        <v>14540</v>
      </c>
      <c r="K2261">
        <v>57562</v>
      </c>
      <c r="L2261" t="s">
        <v>71</v>
      </c>
      <c r="M2261" t="s">
        <v>46</v>
      </c>
      <c r="N2261" t="s">
        <v>47</v>
      </c>
      <c r="O2261">
        <v>2</v>
      </c>
      <c r="P2261">
        <v>1</v>
      </c>
      <c r="Q2261">
        <v>2</v>
      </c>
      <c r="R2261" t="s">
        <v>48</v>
      </c>
      <c r="S2261" t="s">
        <v>49</v>
      </c>
      <c r="T2261" s="3">
        <v>0.84</v>
      </c>
      <c r="U2261" s="3">
        <v>0.23</v>
      </c>
      <c r="V2261" s="3">
        <v>1.81</v>
      </c>
      <c r="W2261">
        <v>0.98</v>
      </c>
      <c r="X2261" t="s">
        <v>108</v>
      </c>
      <c r="Y2261" s="3">
        <v>5.13</v>
      </c>
      <c r="Z2261" t="s">
        <v>9850</v>
      </c>
      <c r="AA2261" t="s">
        <v>13800</v>
      </c>
      <c r="AB2261" t="s">
        <v>53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f t="shared" si="70"/>
        <v>8.01</v>
      </c>
      <c r="AK2261" s="3">
        <f t="shared" si="71"/>
        <v>2.88</v>
      </c>
    </row>
    <row r="2262" spans="1:37">
      <c r="A2262">
        <v>10397273</v>
      </c>
      <c r="B2262" t="s">
        <v>37</v>
      </c>
      <c r="C2262" t="s">
        <v>14541</v>
      </c>
      <c r="E2262" t="s">
        <v>650</v>
      </c>
      <c r="F2262" t="s">
        <v>1608</v>
      </c>
      <c r="G2262" t="s">
        <v>14542</v>
      </c>
      <c r="H2262" t="s">
        <v>42</v>
      </c>
      <c r="I2262" t="s">
        <v>14543</v>
      </c>
      <c r="J2262" t="s">
        <v>14544</v>
      </c>
      <c r="K2262">
        <v>14055</v>
      </c>
      <c r="L2262" t="s">
        <v>71</v>
      </c>
      <c r="M2262" t="s">
        <v>46</v>
      </c>
      <c r="N2262" t="s">
        <v>47</v>
      </c>
      <c r="O2262">
        <v>1</v>
      </c>
      <c r="P2262">
        <v>1</v>
      </c>
      <c r="Q2262">
        <v>1</v>
      </c>
      <c r="R2262" t="s">
        <v>48</v>
      </c>
      <c r="S2262" t="s">
        <v>49</v>
      </c>
      <c r="T2262" s="3">
        <v>0.84</v>
      </c>
      <c r="U2262" s="3">
        <v>0.23</v>
      </c>
      <c r="V2262" s="3">
        <v>0.94</v>
      </c>
      <c r="W2262">
        <v>0.15</v>
      </c>
      <c r="X2262" t="s">
        <v>108</v>
      </c>
      <c r="Y2262" s="3">
        <v>5.13</v>
      </c>
      <c r="Z2262" t="s">
        <v>9850</v>
      </c>
      <c r="AA2262" t="s">
        <v>9271</v>
      </c>
      <c r="AB2262" t="s">
        <v>53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f t="shared" si="70"/>
        <v>7.1400000000000006</v>
      </c>
      <c r="AK2262" s="3">
        <f t="shared" si="71"/>
        <v>2.0100000000000007</v>
      </c>
    </row>
    <row r="2263" spans="1:37">
      <c r="A2263">
        <v>10396969</v>
      </c>
      <c r="B2263" t="s">
        <v>37</v>
      </c>
      <c r="C2263" t="s">
        <v>14545</v>
      </c>
      <c r="E2263" t="s">
        <v>11518</v>
      </c>
      <c r="F2263" t="s">
        <v>14546</v>
      </c>
      <c r="G2263" t="s">
        <v>14547</v>
      </c>
      <c r="H2263" t="s">
        <v>42</v>
      </c>
      <c r="I2263" t="s">
        <v>14548</v>
      </c>
      <c r="J2263" t="s">
        <v>14549</v>
      </c>
      <c r="K2263">
        <v>97082</v>
      </c>
      <c r="L2263" t="s">
        <v>71</v>
      </c>
      <c r="M2263" t="s">
        <v>46</v>
      </c>
      <c r="N2263" t="s">
        <v>47</v>
      </c>
      <c r="O2263">
        <v>1</v>
      </c>
      <c r="P2263">
        <v>1</v>
      </c>
      <c r="Q2263">
        <v>1</v>
      </c>
      <c r="R2263" t="s">
        <v>48</v>
      </c>
      <c r="S2263" t="s">
        <v>49</v>
      </c>
      <c r="T2263" s="3">
        <v>0.84</v>
      </c>
      <c r="U2263" s="3">
        <v>0.23</v>
      </c>
      <c r="V2263" s="3">
        <v>0.94</v>
      </c>
      <c r="W2263">
        <v>0.15</v>
      </c>
      <c r="X2263" t="s">
        <v>108</v>
      </c>
      <c r="Y2263" s="3">
        <v>5.13</v>
      </c>
      <c r="Z2263" t="s">
        <v>9850</v>
      </c>
      <c r="AA2263" t="s">
        <v>6464</v>
      </c>
      <c r="AB2263" t="s">
        <v>53</v>
      </c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f t="shared" si="70"/>
        <v>7.1400000000000006</v>
      </c>
      <c r="AK2263" s="3">
        <f t="shared" si="71"/>
        <v>2.0100000000000007</v>
      </c>
    </row>
    <row r="2264" spans="1:37">
      <c r="A2264">
        <v>10398065</v>
      </c>
      <c r="B2264" t="s">
        <v>37</v>
      </c>
      <c r="C2264" t="s">
        <v>14550</v>
      </c>
      <c r="E2264" t="s">
        <v>2366</v>
      </c>
      <c r="F2264" t="s">
        <v>14551</v>
      </c>
      <c r="G2264" t="s">
        <v>14552</v>
      </c>
      <c r="H2264" t="s">
        <v>42</v>
      </c>
      <c r="I2264" t="s">
        <v>14553</v>
      </c>
      <c r="J2264" t="s">
        <v>14554</v>
      </c>
      <c r="K2264">
        <v>68782</v>
      </c>
      <c r="L2264" t="s">
        <v>71</v>
      </c>
      <c r="M2264" t="s">
        <v>46</v>
      </c>
      <c r="N2264" t="s">
        <v>47</v>
      </c>
      <c r="O2264">
        <v>2</v>
      </c>
      <c r="P2264">
        <v>1</v>
      </c>
      <c r="Q2264">
        <v>2</v>
      </c>
      <c r="R2264" t="s">
        <v>48</v>
      </c>
      <c r="S2264" t="s">
        <v>49</v>
      </c>
      <c r="T2264" s="3">
        <v>0.84</v>
      </c>
      <c r="U2264" s="3">
        <v>0.23</v>
      </c>
      <c r="V2264" s="3">
        <v>1.81</v>
      </c>
      <c r="W2264">
        <v>0.3</v>
      </c>
      <c r="X2264" t="s">
        <v>108</v>
      </c>
      <c r="Y2264" s="3">
        <v>5.13</v>
      </c>
      <c r="Z2264" t="s">
        <v>9850</v>
      </c>
      <c r="AA2264" t="s">
        <v>13741</v>
      </c>
      <c r="AB2264" t="s">
        <v>53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f t="shared" si="70"/>
        <v>8.01</v>
      </c>
      <c r="AK2264" s="3">
        <f t="shared" si="71"/>
        <v>2.88</v>
      </c>
    </row>
    <row r="2265" spans="1:37">
      <c r="A2265">
        <v>10397788</v>
      </c>
      <c r="B2265" t="s">
        <v>37</v>
      </c>
      <c r="C2265" t="s">
        <v>14555</v>
      </c>
      <c r="E2265" t="s">
        <v>10719</v>
      </c>
      <c r="F2265" t="s">
        <v>10720</v>
      </c>
      <c r="G2265" t="s">
        <v>14556</v>
      </c>
      <c r="H2265" t="s">
        <v>42</v>
      </c>
      <c r="I2265" t="s">
        <v>14557</v>
      </c>
      <c r="J2265" t="s">
        <v>14558</v>
      </c>
      <c r="K2265">
        <v>87629</v>
      </c>
      <c r="L2265" t="s">
        <v>71</v>
      </c>
      <c r="M2265" t="s">
        <v>46</v>
      </c>
      <c r="N2265" t="s">
        <v>47</v>
      </c>
      <c r="O2265">
        <v>1</v>
      </c>
      <c r="P2265">
        <v>1</v>
      </c>
      <c r="Q2265">
        <v>1</v>
      </c>
      <c r="R2265" t="s">
        <v>48</v>
      </c>
      <c r="S2265" t="s">
        <v>49</v>
      </c>
      <c r="T2265" s="3">
        <v>0.84</v>
      </c>
      <c r="U2265" s="3">
        <v>0.23</v>
      </c>
      <c r="V2265" s="3">
        <v>0.94</v>
      </c>
      <c r="W2265">
        <v>0.39</v>
      </c>
      <c r="X2265" t="s">
        <v>108</v>
      </c>
      <c r="Y2265" s="3">
        <v>5.13</v>
      </c>
      <c r="Z2265" t="s">
        <v>9850</v>
      </c>
      <c r="AA2265" t="s">
        <v>9851</v>
      </c>
      <c r="AB2265" t="s">
        <v>53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f t="shared" si="70"/>
        <v>7.1400000000000006</v>
      </c>
      <c r="AK2265" s="3">
        <f t="shared" si="71"/>
        <v>2.0100000000000007</v>
      </c>
    </row>
    <row r="2266" spans="1:37">
      <c r="A2266">
        <v>10397794</v>
      </c>
      <c r="B2266" t="s">
        <v>37</v>
      </c>
      <c r="C2266" t="s">
        <v>14559</v>
      </c>
      <c r="E2266" t="s">
        <v>14560</v>
      </c>
      <c r="F2266" t="s">
        <v>14561</v>
      </c>
      <c r="G2266" t="s">
        <v>14562</v>
      </c>
      <c r="H2266" t="s">
        <v>42</v>
      </c>
      <c r="I2266" t="s">
        <v>14563</v>
      </c>
      <c r="J2266" t="s">
        <v>14564</v>
      </c>
      <c r="K2266">
        <v>44892</v>
      </c>
      <c r="L2266" t="s">
        <v>71</v>
      </c>
      <c r="M2266" t="s">
        <v>46</v>
      </c>
      <c r="N2266" t="s">
        <v>47</v>
      </c>
      <c r="O2266">
        <v>1</v>
      </c>
      <c r="P2266">
        <v>1</v>
      </c>
      <c r="Q2266">
        <v>1</v>
      </c>
      <c r="R2266" t="s">
        <v>48</v>
      </c>
      <c r="S2266" t="s">
        <v>49</v>
      </c>
      <c r="T2266" s="3">
        <v>0.84</v>
      </c>
      <c r="U2266" s="3">
        <v>0.23</v>
      </c>
      <c r="V2266" s="3">
        <v>0.94</v>
      </c>
      <c r="W2266">
        <v>0.15</v>
      </c>
      <c r="X2266" t="s">
        <v>108</v>
      </c>
      <c r="Y2266" s="3">
        <v>5.13</v>
      </c>
      <c r="Z2266" t="s">
        <v>9850</v>
      </c>
      <c r="AA2266" t="s">
        <v>6464</v>
      </c>
      <c r="AB2266" t="s">
        <v>53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f t="shared" si="70"/>
        <v>7.1400000000000006</v>
      </c>
      <c r="AK2266" s="3">
        <f t="shared" si="71"/>
        <v>2.0100000000000007</v>
      </c>
    </row>
    <row r="2267" spans="1:37">
      <c r="A2267">
        <v>10399369</v>
      </c>
      <c r="B2267" t="s">
        <v>37</v>
      </c>
      <c r="C2267" t="s">
        <v>14565</v>
      </c>
      <c r="E2267" t="s">
        <v>1121</v>
      </c>
      <c r="F2267" t="s">
        <v>14566</v>
      </c>
      <c r="G2267" t="s">
        <v>14567</v>
      </c>
      <c r="H2267" t="s">
        <v>42</v>
      </c>
      <c r="I2267" t="s">
        <v>14568</v>
      </c>
      <c r="J2267" t="s">
        <v>14569</v>
      </c>
      <c r="K2267">
        <v>6540</v>
      </c>
      <c r="L2267" t="s">
        <v>505</v>
      </c>
      <c r="M2267" t="s">
        <v>46</v>
      </c>
      <c r="N2267" t="s">
        <v>47</v>
      </c>
      <c r="O2267">
        <v>2</v>
      </c>
      <c r="P2267">
        <v>1</v>
      </c>
      <c r="Q2267">
        <v>2</v>
      </c>
      <c r="R2267" t="s">
        <v>48</v>
      </c>
      <c r="S2267" t="s">
        <v>49</v>
      </c>
      <c r="T2267" s="3">
        <v>0.84</v>
      </c>
      <c r="U2267" s="3">
        <v>0.23</v>
      </c>
      <c r="V2267" s="3">
        <v>1.81</v>
      </c>
      <c r="W2267">
        <v>0.71</v>
      </c>
      <c r="X2267" t="s">
        <v>50</v>
      </c>
      <c r="Y2267" s="3">
        <v>9.19</v>
      </c>
      <c r="Z2267" t="s">
        <v>9850</v>
      </c>
      <c r="AA2267" t="s">
        <v>10575</v>
      </c>
      <c r="AB2267" t="s">
        <v>53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f t="shared" si="70"/>
        <v>12.07</v>
      </c>
      <c r="AK2267" s="3">
        <f t="shared" si="71"/>
        <v>2.8800000000000008</v>
      </c>
    </row>
    <row r="2268" spans="1:37">
      <c r="A2268">
        <v>10397796</v>
      </c>
      <c r="B2268" t="s">
        <v>37</v>
      </c>
      <c r="C2268" t="s">
        <v>14570</v>
      </c>
      <c r="E2268" t="s">
        <v>3582</v>
      </c>
      <c r="F2268" t="s">
        <v>14571</v>
      </c>
      <c r="G2268" t="s">
        <v>14572</v>
      </c>
      <c r="H2268" t="s">
        <v>42</v>
      </c>
      <c r="I2268" t="s">
        <v>14573</v>
      </c>
      <c r="J2268" t="s">
        <v>14574</v>
      </c>
      <c r="K2268">
        <v>70499</v>
      </c>
      <c r="L2268" t="s">
        <v>71</v>
      </c>
      <c r="M2268" t="s">
        <v>46</v>
      </c>
      <c r="N2268" t="s">
        <v>47</v>
      </c>
      <c r="O2268">
        <v>1</v>
      </c>
      <c r="P2268">
        <v>1</v>
      </c>
      <c r="Q2268">
        <v>1</v>
      </c>
      <c r="R2268" t="s">
        <v>48</v>
      </c>
      <c r="S2268" t="s">
        <v>49</v>
      </c>
      <c r="T2268" s="3">
        <v>0.84</v>
      </c>
      <c r="U2268" s="3">
        <v>0.23</v>
      </c>
      <c r="V2268" s="3">
        <v>0.94</v>
      </c>
      <c r="W2268">
        <v>0.14000000000000001</v>
      </c>
      <c r="X2268" t="s">
        <v>108</v>
      </c>
      <c r="Y2268" s="3">
        <v>5.13</v>
      </c>
      <c r="Z2268" t="s">
        <v>9850</v>
      </c>
      <c r="AA2268" t="s">
        <v>6478</v>
      </c>
      <c r="AB2268" t="s">
        <v>53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s="3">
        <f t="shared" si="70"/>
        <v>7.1400000000000006</v>
      </c>
      <c r="AK2268" s="3">
        <f t="shared" si="71"/>
        <v>2.0100000000000007</v>
      </c>
    </row>
    <row r="2269" spans="1:37">
      <c r="A2269">
        <v>10397274</v>
      </c>
      <c r="B2269" t="s">
        <v>37</v>
      </c>
      <c r="C2269" t="s">
        <v>14575</v>
      </c>
      <c r="E2269" t="s">
        <v>5128</v>
      </c>
      <c r="F2269" t="s">
        <v>14576</v>
      </c>
      <c r="G2269" t="s">
        <v>14577</v>
      </c>
      <c r="H2269" t="s">
        <v>42</v>
      </c>
      <c r="I2269" t="s">
        <v>14578</v>
      </c>
      <c r="J2269" t="s">
        <v>14579</v>
      </c>
      <c r="K2269">
        <v>52066</v>
      </c>
      <c r="L2269" t="s">
        <v>71</v>
      </c>
      <c r="M2269" t="s">
        <v>46</v>
      </c>
      <c r="N2269" t="s">
        <v>47</v>
      </c>
      <c r="O2269">
        <v>1</v>
      </c>
      <c r="P2269">
        <v>1</v>
      </c>
      <c r="Q2269">
        <v>1</v>
      </c>
      <c r="R2269" t="s">
        <v>48</v>
      </c>
      <c r="S2269" t="s">
        <v>49</v>
      </c>
      <c r="T2269" s="3">
        <v>0.84</v>
      </c>
      <c r="U2269" s="3">
        <v>0.23</v>
      </c>
      <c r="V2269" s="3">
        <v>0.94</v>
      </c>
      <c r="W2269">
        <v>0.15</v>
      </c>
      <c r="X2269" t="s">
        <v>108</v>
      </c>
      <c r="Y2269" s="3">
        <v>5.13</v>
      </c>
      <c r="Z2269" t="s">
        <v>9850</v>
      </c>
      <c r="AA2269" t="s">
        <v>9271</v>
      </c>
      <c r="AB2269" t="s">
        <v>53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f t="shared" si="70"/>
        <v>7.1400000000000006</v>
      </c>
      <c r="AK2269" s="3">
        <f t="shared" si="71"/>
        <v>2.0100000000000007</v>
      </c>
    </row>
    <row r="2270" spans="1:37">
      <c r="A2270">
        <v>10397514</v>
      </c>
      <c r="B2270" t="s">
        <v>37</v>
      </c>
      <c r="C2270" t="s">
        <v>14580</v>
      </c>
      <c r="E2270" t="s">
        <v>240</v>
      </c>
      <c r="F2270" t="s">
        <v>14531</v>
      </c>
      <c r="G2270" t="s">
        <v>14581</v>
      </c>
      <c r="H2270" t="s">
        <v>42</v>
      </c>
      <c r="I2270" t="s">
        <v>14582</v>
      </c>
      <c r="J2270" t="s">
        <v>14534</v>
      </c>
      <c r="K2270">
        <v>21039</v>
      </c>
      <c r="L2270" t="s">
        <v>71</v>
      </c>
      <c r="M2270" t="s">
        <v>46</v>
      </c>
      <c r="N2270" t="s">
        <v>47</v>
      </c>
      <c r="O2270">
        <v>1</v>
      </c>
      <c r="P2270">
        <v>1</v>
      </c>
      <c r="Q2270">
        <v>1</v>
      </c>
      <c r="R2270" t="s">
        <v>48</v>
      </c>
      <c r="S2270" t="s">
        <v>49</v>
      </c>
      <c r="T2270" s="3">
        <v>0.84</v>
      </c>
      <c r="U2270" s="3">
        <v>0.23</v>
      </c>
      <c r="V2270" s="3">
        <v>0.94</v>
      </c>
      <c r="W2270">
        <v>0.15</v>
      </c>
      <c r="X2270" t="s">
        <v>108</v>
      </c>
      <c r="Y2270" s="3">
        <v>5.13</v>
      </c>
      <c r="Z2270" t="s">
        <v>9850</v>
      </c>
      <c r="AA2270" t="s">
        <v>9271</v>
      </c>
      <c r="AB2270" t="s">
        <v>53</v>
      </c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s="3">
        <f t="shared" si="70"/>
        <v>7.1400000000000006</v>
      </c>
      <c r="AK2270" s="3">
        <f t="shared" si="71"/>
        <v>2.0100000000000007</v>
      </c>
    </row>
    <row r="2271" spans="1:37">
      <c r="A2271">
        <v>10396972</v>
      </c>
      <c r="B2271" t="s">
        <v>37</v>
      </c>
      <c r="C2271" t="s">
        <v>14583</v>
      </c>
      <c r="E2271" t="s">
        <v>14584</v>
      </c>
      <c r="F2271" t="s">
        <v>14585</v>
      </c>
      <c r="G2271" t="s">
        <v>14586</v>
      </c>
      <c r="H2271" t="s">
        <v>42</v>
      </c>
      <c r="I2271" t="s">
        <v>14587</v>
      </c>
      <c r="J2271" t="s">
        <v>14588</v>
      </c>
      <c r="K2271">
        <v>3293</v>
      </c>
      <c r="L2271" t="s">
        <v>505</v>
      </c>
      <c r="M2271" t="s">
        <v>46</v>
      </c>
      <c r="N2271" t="s">
        <v>47</v>
      </c>
      <c r="O2271">
        <v>4</v>
      </c>
      <c r="P2271">
        <v>1</v>
      </c>
      <c r="Q2271">
        <v>4</v>
      </c>
      <c r="R2271" t="s">
        <v>48</v>
      </c>
      <c r="S2271" t="s">
        <v>49</v>
      </c>
      <c r="T2271" s="3">
        <v>0.84</v>
      </c>
      <c r="U2271" s="3">
        <v>0.23</v>
      </c>
      <c r="V2271" s="3">
        <v>3.55</v>
      </c>
      <c r="W2271">
        <v>1.96</v>
      </c>
      <c r="X2271" t="s">
        <v>50</v>
      </c>
      <c r="Y2271" s="3">
        <v>9.19</v>
      </c>
      <c r="Z2271" t="s">
        <v>9686</v>
      </c>
      <c r="AA2271" t="s">
        <v>13617</v>
      </c>
      <c r="AB2271" t="s">
        <v>53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f t="shared" si="70"/>
        <v>13.809999999999999</v>
      </c>
      <c r="AK2271" s="3">
        <f t="shared" si="71"/>
        <v>4.6199999999999992</v>
      </c>
    </row>
    <row r="2272" spans="1:37">
      <c r="A2272">
        <v>10400060</v>
      </c>
      <c r="B2272" t="s">
        <v>37</v>
      </c>
      <c r="C2272" t="s">
        <v>14589</v>
      </c>
      <c r="E2272" t="s">
        <v>1244</v>
      </c>
      <c r="F2272" t="s">
        <v>14590</v>
      </c>
      <c r="G2272" t="s">
        <v>14591</v>
      </c>
      <c r="H2272" t="s">
        <v>42</v>
      </c>
      <c r="I2272" t="s">
        <v>14592</v>
      </c>
      <c r="J2272" t="s">
        <v>14593</v>
      </c>
      <c r="K2272">
        <v>13465</v>
      </c>
      <c r="L2272" t="s">
        <v>71</v>
      </c>
      <c r="M2272" t="s">
        <v>46</v>
      </c>
      <c r="N2272" t="s">
        <v>47</v>
      </c>
      <c r="O2272">
        <v>4</v>
      </c>
      <c r="P2272">
        <v>1</v>
      </c>
      <c r="Q2272">
        <v>4</v>
      </c>
      <c r="R2272" t="s">
        <v>48</v>
      </c>
      <c r="S2272" t="s">
        <v>49</v>
      </c>
      <c r="T2272" s="3">
        <v>0.84</v>
      </c>
      <c r="U2272" s="3">
        <v>0.23</v>
      </c>
      <c r="V2272" s="3">
        <v>3.55</v>
      </c>
      <c r="W2272">
        <v>1.89</v>
      </c>
      <c r="X2272" t="s">
        <v>108</v>
      </c>
      <c r="Y2272" s="3">
        <v>5.13</v>
      </c>
      <c r="Z2272" t="s">
        <v>9686</v>
      </c>
      <c r="AA2272" t="s">
        <v>14594</v>
      </c>
      <c r="AB2272" t="s">
        <v>53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f t="shared" si="70"/>
        <v>9.75</v>
      </c>
      <c r="AK2272" s="3">
        <f t="shared" si="71"/>
        <v>4.62</v>
      </c>
    </row>
    <row r="2273" spans="1:37">
      <c r="A2273">
        <v>10400059</v>
      </c>
      <c r="B2273" t="s">
        <v>37</v>
      </c>
      <c r="C2273" t="s">
        <v>14595</v>
      </c>
      <c r="E2273" t="s">
        <v>6902</v>
      </c>
      <c r="F2273" t="s">
        <v>14596</v>
      </c>
      <c r="G2273" t="s">
        <v>14597</v>
      </c>
      <c r="H2273" t="s">
        <v>42</v>
      </c>
      <c r="I2273" t="s">
        <v>14598</v>
      </c>
      <c r="J2273" t="s">
        <v>14599</v>
      </c>
      <c r="K2273" t="s">
        <v>14600</v>
      </c>
      <c r="L2273" t="s">
        <v>82</v>
      </c>
      <c r="M2273" t="s">
        <v>46</v>
      </c>
      <c r="N2273" t="s">
        <v>47</v>
      </c>
      <c r="O2273">
        <v>2</v>
      </c>
      <c r="P2273">
        <v>1</v>
      </c>
      <c r="Q2273">
        <v>2</v>
      </c>
      <c r="R2273" t="s">
        <v>48</v>
      </c>
      <c r="S2273" t="s">
        <v>49</v>
      </c>
      <c r="T2273" s="3">
        <v>0.84</v>
      </c>
      <c r="U2273" s="3">
        <v>0.23</v>
      </c>
      <c r="V2273" s="3">
        <v>1.81</v>
      </c>
      <c r="W2273">
        <v>0.78</v>
      </c>
      <c r="X2273" t="s">
        <v>50</v>
      </c>
      <c r="Y2273" s="3">
        <v>9.19</v>
      </c>
      <c r="Z2273" t="s">
        <v>9850</v>
      </c>
      <c r="AA2273" t="s">
        <v>14601</v>
      </c>
      <c r="AB2273" t="s">
        <v>53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f t="shared" si="70"/>
        <v>12.07</v>
      </c>
      <c r="AK2273" s="3">
        <f t="shared" si="71"/>
        <v>2.8800000000000008</v>
      </c>
    </row>
    <row r="2274" spans="1:37">
      <c r="A2274">
        <v>10399763</v>
      </c>
      <c r="B2274" t="s">
        <v>37</v>
      </c>
      <c r="C2274" t="s">
        <v>14602</v>
      </c>
      <c r="E2274" t="s">
        <v>731</v>
      </c>
      <c r="F2274" t="s">
        <v>14603</v>
      </c>
      <c r="G2274" t="s">
        <v>14604</v>
      </c>
      <c r="H2274" t="s">
        <v>42</v>
      </c>
      <c r="I2274" t="s">
        <v>14605</v>
      </c>
      <c r="J2274" t="s">
        <v>14606</v>
      </c>
      <c r="K2274">
        <v>26127</v>
      </c>
      <c r="L2274" t="s">
        <v>71</v>
      </c>
      <c r="M2274" t="s">
        <v>46</v>
      </c>
      <c r="N2274" t="s">
        <v>47</v>
      </c>
      <c r="O2274">
        <v>4</v>
      </c>
      <c r="P2274">
        <v>1</v>
      </c>
      <c r="Q2274">
        <v>4</v>
      </c>
      <c r="R2274" t="s">
        <v>48</v>
      </c>
      <c r="S2274" t="s">
        <v>49</v>
      </c>
      <c r="T2274" s="3">
        <v>0.84</v>
      </c>
      <c r="U2274" s="3">
        <v>0.23</v>
      </c>
      <c r="V2274" s="3">
        <v>3.55</v>
      </c>
      <c r="W2274">
        <v>1.76</v>
      </c>
      <c r="X2274" t="s">
        <v>72</v>
      </c>
      <c r="Y2274" s="3">
        <v>5.43</v>
      </c>
      <c r="Z2274" t="s">
        <v>73</v>
      </c>
      <c r="AA2274" t="s">
        <v>14607</v>
      </c>
      <c r="AB2274" t="s">
        <v>53</v>
      </c>
      <c r="AC2274" s="3">
        <v>1.29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f t="shared" si="70"/>
        <v>11.34</v>
      </c>
      <c r="AK2274" s="3">
        <f t="shared" si="71"/>
        <v>5.91</v>
      </c>
    </row>
    <row r="2275" spans="1:37">
      <c r="A2275">
        <v>10395611</v>
      </c>
      <c r="B2275" t="s">
        <v>37</v>
      </c>
      <c r="C2275" t="s">
        <v>14608</v>
      </c>
      <c r="E2275" t="s">
        <v>14609</v>
      </c>
      <c r="F2275" t="s">
        <v>14610</v>
      </c>
      <c r="G2275" t="s">
        <v>14611</v>
      </c>
      <c r="H2275" t="s">
        <v>42</v>
      </c>
      <c r="I2275" t="s">
        <v>14612</v>
      </c>
      <c r="J2275" t="s">
        <v>14613</v>
      </c>
      <c r="K2275">
        <v>65824</v>
      </c>
      <c r="L2275" t="s">
        <v>71</v>
      </c>
      <c r="M2275" t="s">
        <v>46</v>
      </c>
      <c r="N2275" t="s">
        <v>47</v>
      </c>
      <c r="O2275">
        <v>3</v>
      </c>
      <c r="P2275">
        <v>1</v>
      </c>
      <c r="Q2275">
        <v>3</v>
      </c>
      <c r="R2275" t="s">
        <v>48</v>
      </c>
      <c r="S2275" t="s">
        <v>49</v>
      </c>
      <c r="T2275" s="3">
        <v>0.84</v>
      </c>
      <c r="U2275" s="3">
        <v>0.23</v>
      </c>
      <c r="V2275" s="3">
        <v>2.68</v>
      </c>
      <c r="W2275">
        <v>1.47</v>
      </c>
      <c r="X2275" t="s">
        <v>108</v>
      </c>
      <c r="Y2275" s="3">
        <v>5.13</v>
      </c>
      <c r="Z2275" t="s">
        <v>9686</v>
      </c>
      <c r="AA2275" t="s">
        <v>14614</v>
      </c>
      <c r="AB2275" t="s">
        <v>53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f t="shared" si="70"/>
        <v>8.8800000000000008</v>
      </c>
      <c r="AK2275" s="3">
        <f t="shared" si="71"/>
        <v>3.7500000000000009</v>
      </c>
    </row>
    <row r="2276" spans="1:37">
      <c r="A2276">
        <v>10399762</v>
      </c>
      <c r="B2276" t="s">
        <v>37</v>
      </c>
      <c r="C2276" t="s">
        <v>14615</v>
      </c>
      <c r="E2276" t="s">
        <v>3148</v>
      </c>
      <c r="F2276" t="s">
        <v>14616</v>
      </c>
      <c r="G2276" t="s">
        <v>14617</v>
      </c>
      <c r="H2276" t="s">
        <v>42</v>
      </c>
      <c r="I2276" t="s">
        <v>14618</v>
      </c>
      <c r="J2276" t="s">
        <v>14619</v>
      </c>
      <c r="K2276" t="s">
        <v>14620</v>
      </c>
      <c r="L2276" t="s">
        <v>82</v>
      </c>
      <c r="M2276" t="s">
        <v>46</v>
      </c>
      <c r="N2276" t="s">
        <v>47</v>
      </c>
      <c r="O2276">
        <v>3</v>
      </c>
      <c r="P2276">
        <v>1</v>
      </c>
      <c r="Q2276">
        <v>3</v>
      </c>
      <c r="R2276" t="s">
        <v>48</v>
      </c>
      <c r="S2276" t="s">
        <v>49</v>
      </c>
      <c r="T2276" s="3">
        <v>0.84</v>
      </c>
      <c r="U2276" s="3">
        <v>0.23</v>
      </c>
      <c r="V2276" s="3">
        <v>2.68</v>
      </c>
      <c r="W2276">
        <v>1.17</v>
      </c>
      <c r="X2276" t="s">
        <v>50</v>
      </c>
      <c r="Y2276" s="3">
        <v>9.19</v>
      </c>
      <c r="Z2276" t="s">
        <v>9686</v>
      </c>
      <c r="AA2276" t="s">
        <v>14621</v>
      </c>
      <c r="AB2276" t="s">
        <v>53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f t="shared" si="70"/>
        <v>12.94</v>
      </c>
      <c r="AK2276" s="3">
        <f t="shared" si="71"/>
        <v>3.75</v>
      </c>
    </row>
    <row r="2277" spans="1:37">
      <c r="A2277">
        <v>10400646</v>
      </c>
      <c r="B2277" t="s">
        <v>37</v>
      </c>
      <c r="C2277" t="s">
        <v>14622</v>
      </c>
      <c r="E2277" t="s">
        <v>14623</v>
      </c>
      <c r="F2277" t="s">
        <v>14624</v>
      </c>
      <c r="G2277" t="s">
        <v>14625</v>
      </c>
      <c r="H2277" t="s">
        <v>42</v>
      </c>
      <c r="I2277" t="s">
        <v>14626</v>
      </c>
      <c r="J2277" t="s">
        <v>14627</v>
      </c>
      <c r="K2277" t="s">
        <v>14628</v>
      </c>
      <c r="L2277" t="s">
        <v>142</v>
      </c>
      <c r="M2277" t="s">
        <v>46</v>
      </c>
      <c r="N2277" t="s">
        <v>47</v>
      </c>
      <c r="O2277">
        <v>2</v>
      </c>
      <c r="P2277">
        <v>1</v>
      </c>
      <c r="Q2277">
        <v>2</v>
      </c>
      <c r="R2277" t="s">
        <v>48</v>
      </c>
      <c r="S2277" t="s">
        <v>49</v>
      </c>
      <c r="T2277" s="3">
        <v>0.84</v>
      </c>
      <c r="U2277" s="3">
        <v>0.23</v>
      </c>
      <c r="V2277" s="3">
        <v>1.81</v>
      </c>
      <c r="W2277">
        <v>3.9</v>
      </c>
      <c r="X2277" t="s">
        <v>50</v>
      </c>
      <c r="Y2277" s="3">
        <v>16.43</v>
      </c>
      <c r="Z2277" t="s">
        <v>83</v>
      </c>
      <c r="AA2277" t="s">
        <v>14629</v>
      </c>
      <c r="AB2277" t="s">
        <v>53</v>
      </c>
      <c r="AC2277" s="3">
        <v>1.27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f t="shared" si="70"/>
        <v>20.58</v>
      </c>
      <c r="AK2277" s="3">
        <f t="shared" si="71"/>
        <v>4.1499999999999986</v>
      </c>
    </row>
    <row r="2278" spans="1:37">
      <c r="A2278">
        <v>10400063</v>
      </c>
      <c r="B2278" t="s">
        <v>37</v>
      </c>
      <c r="C2278" t="s">
        <v>14630</v>
      </c>
      <c r="E2278" t="s">
        <v>14631</v>
      </c>
      <c r="F2278" t="s">
        <v>14632</v>
      </c>
      <c r="G2278" t="s">
        <v>14633</v>
      </c>
      <c r="H2278" t="s">
        <v>42</v>
      </c>
      <c r="I2278" t="s">
        <v>14634</v>
      </c>
      <c r="J2278" t="s">
        <v>14635</v>
      </c>
      <c r="K2278" t="s">
        <v>14636</v>
      </c>
      <c r="L2278" t="s">
        <v>82</v>
      </c>
      <c r="M2278" t="s">
        <v>46</v>
      </c>
      <c r="N2278" t="s">
        <v>47</v>
      </c>
      <c r="O2278">
        <v>2</v>
      </c>
      <c r="P2278">
        <v>1</v>
      </c>
      <c r="Q2278">
        <v>2</v>
      </c>
      <c r="R2278" t="s">
        <v>48</v>
      </c>
      <c r="S2278" t="s">
        <v>49</v>
      </c>
      <c r="T2278" s="3">
        <v>0.84</v>
      </c>
      <c r="U2278" s="3">
        <v>0.23</v>
      </c>
      <c r="V2278" s="3">
        <v>1.81</v>
      </c>
      <c r="W2278">
        <v>0.78</v>
      </c>
      <c r="X2278" t="s">
        <v>50</v>
      </c>
      <c r="Y2278" s="3">
        <v>9.19</v>
      </c>
      <c r="Z2278" t="s">
        <v>9850</v>
      </c>
      <c r="AA2278" t="s">
        <v>14637</v>
      </c>
      <c r="AB2278" t="s">
        <v>53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f t="shared" si="70"/>
        <v>12.07</v>
      </c>
      <c r="AK2278" s="3">
        <f t="shared" si="71"/>
        <v>2.8800000000000008</v>
      </c>
    </row>
    <row r="2279" spans="1:37">
      <c r="A2279">
        <v>10400890</v>
      </c>
      <c r="B2279" t="s">
        <v>37</v>
      </c>
      <c r="C2279" t="s">
        <v>14638</v>
      </c>
      <c r="E2279" t="s">
        <v>4020</v>
      </c>
      <c r="F2279" t="s">
        <v>14639</v>
      </c>
      <c r="G2279" t="s">
        <v>14640</v>
      </c>
      <c r="H2279" t="s">
        <v>42</v>
      </c>
      <c r="I2279" t="s">
        <v>14641</v>
      </c>
      <c r="J2279" t="s">
        <v>14642</v>
      </c>
      <c r="K2279" t="s">
        <v>14643</v>
      </c>
      <c r="L2279" t="s">
        <v>82</v>
      </c>
      <c r="M2279" t="s">
        <v>46</v>
      </c>
      <c r="N2279" t="s">
        <v>47</v>
      </c>
      <c r="O2279">
        <v>2</v>
      </c>
      <c r="P2279">
        <v>1</v>
      </c>
      <c r="Q2279">
        <v>2</v>
      </c>
      <c r="R2279" t="s">
        <v>48</v>
      </c>
      <c r="S2279" t="s">
        <v>49</v>
      </c>
      <c r="T2279" s="3">
        <v>0.84</v>
      </c>
      <c r="U2279" s="3">
        <v>0.23</v>
      </c>
      <c r="V2279" s="3">
        <v>1.81</v>
      </c>
      <c r="W2279">
        <v>0.78</v>
      </c>
      <c r="X2279" t="s">
        <v>50</v>
      </c>
      <c r="Y2279" s="3">
        <v>9.19</v>
      </c>
      <c r="Z2279" t="s">
        <v>9850</v>
      </c>
      <c r="AA2279" t="s">
        <v>14644</v>
      </c>
      <c r="AB2279" t="s">
        <v>53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f t="shared" si="70"/>
        <v>12.07</v>
      </c>
      <c r="AK2279" s="3">
        <f t="shared" si="71"/>
        <v>2.8800000000000008</v>
      </c>
    </row>
    <row r="2280" spans="1:37">
      <c r="A2280">
        <v>10401705</v>
      </c>
      <c r="B2280" t="s">
        <v>37</v>
      </c>
      <c r="C2280" t="s">
        <v>14645</v>
      </c>
      <c r="E2280" t="s">
        <v>14646</v>
      </c>
      <c r="F2280" t="s">
        <v>14647</v>
      </c>
      <c r="G2280" t="s">
        <v>14648</v>
      </c>
      <c r="H2280" t="s">
        <v>42</v>
      </c>
      <c r="I2280" t="s">
        <v>14649</v>
      </c>
      <c r="J2280" t="s">
        <v>14650</v>
      </c>
      <c r="K2280">
        <v>9150</v>
      </c>
      <c r="L2280" t="s">
        <v>369</v>
      </c>
      <c r="M2280" t="s">
        <v>46</v>
      </c>
      <c r="N2280" t="s">
        <v>47</v>
      </c>
      <c r="O2280">
        <v>2</v>
      </c>
      <c r="P2280">
        <v>1</v>
      </c>
      <c r="Q2280">
        <v>2</v>
      </c>
      <c r="R2280" t="s">
        <v>48</v>
      </c>
      <c r="S2280" t="s">
        <v>49</v>
      </c>
      <c r="T2280" s="3">
        <v>0.84</v>
      </c>
      <c r="U2280" s="3">
        <v>0.23</v>
      </c>
      <c r="V2280" s="3">
        <v>1.81</v>
      </c>
      <c r="W2280">
        <v>0.54</v>
      </c>
      <c r="X2280" t="s">
        <v>50</v>
      </c>
      <c r="Y2280" s="3">
        <v>9.19</v>
      </c>
      <c r="Z2280" t="s">
        <v>9850</v>
      </c>
      <c r="AA2280" t="s">
        <v>13901</v>
      </c>
      <c r="AB2280" t="s">
        <v>53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f t="shared" si="70"/>
        <v>12.07</v>
      </c>
      <c r="AK2280" s="3">
        <f t="shared" si="71"/>
        <v>2.8800000000000008</v>
      </c>
    </row>
    <row r="2281" spans="1:37">
      <c r="A2281">
        <v>10395621</v>
      </c>
      <c r="B2281" t="s">
        <v>37</v>
      </c>
      <c r="C2281" t="s">
        <v>14651</v>
      </c>
      <c r="E2281" t="s">
        <v>14652</v>
      </c>
      <c r="F2281" t="s">
        <v>14653</v>
      </c>
      <c r="G2281" t="s">
        <v>14654</v>
      </c>
      <c r="H2281" t="s">
        <v>42</v>
      </c>
      <c r="I2281" t="s">
        <v>14655</v>
      </c>
      <c r="J2281" t="s">
        <v>14656</v>
      </c>
      <c r="K2281" t="s">
        <v>14657</v>
      </c>
      <c r="L2281" t="s">
        <v>82</v>
      </c>
      <c r="M2281" t="s">
        <v>46</v>
      </c>
      <c r="N2281" t="s">
        <v>47</v>
      </c>
      <c r="O2281">
        <v>2</v>
      </c>
      <c r="P2281">
        <v>1</v>
      </c>
      <c r="Q2281">
        <v>2</v>
      </c>
      <c r="R2281" t="s">
        <v>48</v>
      </c>
      <c r="S2281" t="s">
        <v>49</v>
      </c>
      <c r="T2281" s="3">
        <v>0.84</v>
      </c>
      <c r="U2281" s="3">
        <v>0.23</v>
      </c>
      <c r="V2281" s="3">
        <v>1.81</v>
      </c>
      <c r="W2281">
        <v>0.63</v>
      </c>
      <c r="X2281" t="s">
        <v>50</v>
      </c>
      <c r="Y2281" s="3">
        <v>9.19</v>
      </c>
      <c r="Z2281" t="s">
        <v>9850</v>
      </c>
      <c r="AA2281" t="s">
        <v>729</v>
      </c>
      <c r="AB2281" t="s">
        <v>53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f t="shared" si="70"/>
        <v>12.07</v>
      </c>
      <c r="AK2281" s="3">
        <f t="shared" si="71"/>
        <v>2.8800000000000008</v>
      </c>
    </row>
    <row r="2282" spans="1:37">
      <c r="A2282">
        <v>10400058</v>
      </c>
      <c r="B2282" t="s">
        <v>37</v>
      </c>
      <c r="C2282" t="s">
        <v>14658</v>
      </c>
      <c r="E2282" t="s">
        <v>7998</v>
      </c>
      <c r="F2282" t="s">
        <v>4939</v>
      </c>
      <c r="G2282" t="s">
        <v>14659</v>
      </c>
      <c r="H2282" t="s">
        <v>42</v>
      </c>
      <c r="I2282" t="s">
        <v>14660</v>
      </c>
      <c r="J2282" t="s">
        <v>14661</v>
      </c>
      <c r="K2282">
        <v>35315</v>
      </c>
      <c r="L2282" t="s">
        <v>71</v>
      </c>
      <c r="M2282" t="s">
        <v>46</v>
      </c>
      <c r="N2282" t="s">
        <v>47</v>
      </c>
      <c r="O2282">
        <v>2</v>
      </c>
      <c r="P2282">
        <v>1</v>
      </c>
      <c r="Q2282">
        <v>2</v>
      </c>
      <c r="R2282" t="s">
        <v>48</v>
      </c>
      <c r="S2282" t="s">
        <v>49</v>
      </c>
      <c r="T2282" s="3">
        <v>0.84</v>
      </c>
      <c r="U2282" s="3">
        <v>0.23</v>
      </c>
      <c r="V2282" s="3">
        <v>1.81</v>
      </c>
      <c r="W2282">
        <v>0.34</v>
      </c>
      <c r="X2282" t="s">
        <v>108</v>
      </c>
      <c r="Y2282" s="3">
        <v>5.13</v>
      </c>
      <c r="Z2282" t="s">
        <v>9850</v>
      </c>
      <c r="AA2282" t="s">
        <v>14662</v>
      </c>
      <c r="AB2282" t="s">
        <v>53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f t="shared" si="70"/>
        <v>8.01</v>
      </c>
      <c r="AK2282" s="3">
        <f t="shared" si="71"/>
        <v>2.88</v>
      </c>
    </row>
    <row r="2283" spans="1:37">
      <c r="A2283">
        <v>10401711</v>
      </c>
      <c r="B2283" t="s">
        <v>37</v>
      </c>
      <c r="C2283" t="s">
        <v>14663</v>
      </c>
      <c r="E2283" t="s">
        <v>14664</v>
      </c>
      <c r="F2283" t="s">
        <v>14665</v>
      </c>
      <c r="G2283" t="s">
        <v>14666</v>
      </c>
      <c r="H2283" t="s">
        <v>42</v>
      </c>
      <c r="I2283" t="s">
        <v>14667</v>
      </c>
      <c r="J2283" t="s">
        <v>14668</v>
      </c>
      <c r="K2283" t="s">
        <v>14669</v>
      </c>
      <c r="L2283" t="s">
        <v>82</v>
      </c>
      <c r="M2283" t="s">
        <v>46</v>
      </c>
      <c r="N2283" t="s">
        <v>47</v>
      </c>
      <c r="O2283">
        <v>2</v>
      </c>
      <c r="P2283">
        <v>1</v>
      </c>
      <c r="Q2283">
        <v>2</v>
      </c>
      <c r="R2283" t="s">
        <v>48</v>
      </c>
      <c r="S2283" t="s">
        <v>49</v>
      </c>
      <c r="T2283" s="3">
        <v>0.84</v>
      </c>
      <c r="U2283" s="3">
        <v>0.23</v>
      </c>
      <c r="V2283" s="3">
        <v>1.81</v>
      </c>
      <c r="W2283">
        <v>0.98</v>
      </c>
      <c r="X2283" t="s">
        <v>50</v>
      </c>
      <c r="Y2283" s="3">
        <v>9.19</v>
      </c>
      <c r="Z2283" t="s">
        <v>9850</v>
      </c>
      <c r="AA2283" t="s">
        <v>14670</v>
      </c>
      <c r="AB2283" t="s">
        <v>53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s="3">
        <f t="shared" si="70"/>
        <v>12.07</v>
      </c>
      <c r="AK2283" s="3">
        <f t="shared" si="71"/>
        <v>2.8800000000000008</v>
      </c>
    </row>
    <row r="2284" spans="1:37">
      <c r="A2284">
        <v>10401713</v>
      </c>
      <c r="B2284" t="s">
        <v>37</v>
      </c>
      <c r="C2284" t="s">
        <v>14671</v>
      </c>
      <c r="E2284" t="s">
        <v>14672</v>
      </c>
      <c r="F2284" t="s">
        <v>14673</v>
      </c>
      <c r="G2284" t="s">
        <v>14674</v>
      </c>
      <c r="H2284" t="s">
        <v>42</v>
      </c>
      <c r="I2284" t="s">
        <v>14675</v>
      </c>
      <c r="J2284" t="s">
        <v>14676</v>
      </c>
      <c r="K2284">
        <v>50999</v>
      </c>
      <c r="L2284" t="s">
        <v>71</v>
      </c>
      <c r="M2284" t="s">
        <v>46</v>
      </c>
      <c r="N2284" t="s">
        <v>47</v>
      </c>
      <c r="O2284">
        <v>2</v>
      </c>
      <c r="P2284">
        <v>1</v>
      </c>
      <c r="Q2284">
        <v>2</v>
      </c>
      <c r="R2284" t="s">
        <v>48</v>
      </c>
      <c r="S2284" t="s">
        <v>49</v>
      </c>
      <c r="T2284" s="3">
        <v>0.84</v>
      </c>
      <c r="U2284" s="3">
        <v>0.23</v>
      </c>
      <c r="V2284" s="3">
        <v>1.81</v>
      </c>
      <c r="W2284">
        <v>0.3</v>
      </c>
      <c r="X2284" t="s">
        <v>108</v>
      </c>
      <c r="Y2284" s="3">
        <v>5.13</v>
      </c>
      <c r="Z2284" t="s">
        <v>9850</v>
      </c>
      <c r="AA2284" t="s">
        <v>9271</v>
      </c>
      <c r="AB2284" t="s">
        <v>53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f t="shared" si="70"/>
        <v>8.01</v>
      </c>
      <c r="AK2284" s="3">
        <f t="shared" si="71"/>
        <v>2.88</v>
      </c>
    </row>
    <row r="2285" spans="1:37">
      <c r="A2285">
        <v>10401714</v>
      </c>
      <c r="B2285" t="s">
        <v>37</v>
      </c>
      <c r="C2285" t="s">
        <v>14677</v>
      </c>
      <c r="E2285" t="s">
        <v>223</v>
      </c>
      <c r="F2285" t="s">
        <v>14678</v>
      </c>
      <c r="G2285" t="s">
        <v>14679</v>
      </c>
      <c r="H2285" t="s">
        <v>42</v>
      </c>
      <c r="I2285" t="s">
        <v>14680</v>
      </c>
      <c r="J2285" t="s">
        <v>14681</v>
      </c>
      <c r="K2285">
        <v>66999</v>
      </c>
      <c r="L2285" t="s">
        <v>71</v>
      </c>
      <c r="M2285" t="s">
        <v>46</v>
      </c>
      <c r="N2285" t="s">
        <v>47</v>
      </c>
      <c r="O2285">
        <v>2</v>
      </c>
      <c r="P2285">
        <v>1</v>
      </c>
      <c r="Q2285">
        <v>2</v>
      </c>
      <c r="R2285" t="s">
        <v>48</v>
      </c>
      <c r="S2285" t="s">
        <v>49</v>
      </c>
      <c r="T2285" s="3">
        <v>0.84</v>
      </c>
      <c r="U2285" s="3">
        <v>0.23</v>
      </c>
      <c r="V2285" s="3">
        <v>1.81</v>
      </c>
      <c r="W2285">
        <v>0.28000000000000003</v>
      </c>
      <c r="X2285" t="s">
        <v>108</v>
      </c>
      <c r="Y2285" s="3">
        <v>5.13</v>
      </c>
      <c r="Z2285" t="s">
        <v>9850</v>
      </c>
      <c r="AA2285" t="s">
        <v>14682</v>
      </c>
      <c r="AB2285" t="s">
        <v>53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f t="shared" si="70"/>
        <v>8.01</v>
      </c>
      <c r="AK2285" s="3">
        <f t="shared" si="71"/>
        <v>2.88</v>
      </c>
    </row>
    <row r="2286" spans="1:37">
      <c r="A2286">
        <v>10405478</v>
      </c>
      <c r="B2286" t="s">
        <v>37</v>
      </c>
      <c r="C2286" t="s">
        <v>14683</v>
      </c>
      <c r="E2286" t="s">
        <v>14684</v>
      </c>
      <c r="F2286" t="s">
        <v>14685</v>
      </c>
      <c r="G2286" t="s">
        <v>14686</v>
      </c>
      <c r="H2286" t="s">
        <v>42</v>
      </c>
      <c r="I2286" t="s">
        <v>14687</v>
      </c>
      <c r="J2286" t="s">
        <v>14688</v>
      </c>
      <c r="K2286">
        <v>81369</v>
      </c>
      <c r="L2286" t="s">
        <v>71</v>
      </c>
      <c r="M2286" t="s">
        <v>46</v>
      </c>
      <c r="N2286" t="s">
        <v>47</v>
      </c>
      <c r="O2286">
        <v>2</v>
      </c>
      <c r="P2286">
        <v>1</v>
      </c>
      <c r="Q2286">
        <v>2</v>
      </c>
      <c r="R2286" t="s">
        <v>48</v>
      </c>
      <c r="S2286" t="s">
        <v>49</v>
      </c>
      <c r="T2286" s="3">
        <v>0.84</v>
      </c>
      <c r="U2286" s="3">
        <v>0.23</v>
      </c>
      <c r="V2286" s="3">
        <v>1.81</v>
      </c>
      <c r="W2286">
        <v>0.98</v>
      </c>
      <c r="X2286" t="s">
        <v>108</v>
      </c>
      <c r="Y2286" s="3">
        <v>5.13</v>
      </c>
      <c r="Z2286" t="s">
        <v>9850</v>
      </c>
      <c r="AA2286" t="s">
        <v>14689</v>
      </c>
      <c r="AB2286" t="s">
        <v>53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f t="shared" si="70"/>
        <v>8.01</v>
      </c>
      <c r="AK2286" s="3">
        <f t="shared" si="71"/>
        <v>2.88</v>
      </c>
    </row>
    <row r="2287" spans="1:37">
      <c r="A2287">
        <v>10403311</v>
      </c>
      <c r="B2287" t="s">
        <v>37</v>
      </c>
      <c r="C2287" t="s">
        <v>14690</v>
      </c>
      <c r="E2287" t="s">
        <v>4735</v>
      </c>
      <c r="F2287" t="s">
        <v>14691</v>
      </c>
      <c r="G2287" t="s">
        <v>14692</v>
      </c>
      <c r="H2287" t="s">
        <v>42</v>
      </c>
      <c r="I2287" t="s">
        <v>14693</v>
      </c>
      <c r="J2287" t="s">
        <v>14694</v>
      </c>
      <c r="K2287" t="s">
        <v>10918</v>
      </c>
      <c r="L2287" t="s">
        <v>82</v>
      </c>
      <c r="M2287" t="s">
        <v>46</v>
      </c>
      <c r="N2287" t="s">
        <v>47</v>
      </c>
      <c r="O2287">
        <v>2</v>
      </c>
      <c r="P2287">
        <v>1</v>
      </c>
      <c r="Q2287">
        <v>2</v>
      </c>
      <c r="R2287" t="s">
        <v>48</v>
      </c>
      <c r="S2287" t="s">
        <v>49</v>
      </c>
      <c r="T2287" s="3">
        <v>0.84</v>
      </c>
      <c r="U2287" s="3">
        <v>0.23</v>
      </c>
      <c r="V2287" s="3">
        <v>1.81</v>
      </c>
      <c r="W2287">
        <v>0.78</v>
      </c>
      <c r="X2287" t="s">
        <v>50</v>
      </c>
      <c r="Y2287" s="3">
        <v>9.19</v>
      </c>
      <c r="Z2287" t="s">
        <v>9850</v>
      </c>
      <c r="AA2287" t="s">
        <v>14695</v>
      </c>
      <c r="AB2287" t="s">
        <v>53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f t="shared" si="70"/>
        <v>12.07</v>
      </c>
      <c r="AK2287" s="3">
        <f t="shared" si="71"/>
        <v>2.8800000000000008</v>
      </c>
    </row>
    <row r="2288" spans="1:37">
      <c r="A2288">
        <v>10404217</v>
      </c>
      <c r="B2288" t="s">
        <v>37</v>
      </c>
      <c r="C2288" t="s">
        <v>14696</v>
      </c>
      <c r="E2288" t="s">
        <v>14697</v>
      </c>
      <c r="F2288" t="s">
        <v>14698</v>
      </c>
      <c r="G2288" t="s">
        <v>14699</v>
      </c>
      <c r="H2288" t="s">
        <v>42</v>
      </c>
      <c r="I2288" t="s">
        <v>14700</v>
      </c>
      <c r="J2288" t="s">
        <v>14701</v>
      </c>
      <c r="K2288">
        <v>93059</v>
      </c>
      <c r="L2288" t="s">
        <v>71</v>
      </c>
      <c r="M2288" t="s">
        <v>46</v>
      </c>
      <c r="N2288" t="s">
        <v>47</v>
      </c>
      <c r="O2288">
        <v>2</v>
      </c>
      <c r="P2288">
        <v>1</v>
      </c>
      <c r="Q2288">
        <v>2</v>
      </c>
      <c r="R2288" t="s">
        <v>48</v>
      </c>
      <c r="S2288" t="s">
        <v>49</v>
      </c>
      <c r="T2288" s="3">
        <v>0.84</v>
      </c>
      <c r="U2288" s="3">
        <v>0.23</v>
      </c>
      <c r="V2288" s="3">
        <v>1.81</v>
      </c>
      <c r="W2288">
        <v>2.9</v>
      </c>
      <c r="X2288" t="s">
        <v>72</v>
      </c>
      <c r="Y2288" s="3">
        <v>5.43</v>
      </c>
      <c r="Z2288" t="s">
        <v>73</v>
      </c>
      <c r="AA2288" t="s">
        <v>14702</v>
      </c>
      <c r="AB2288" t="s">
        <v>53</v>
      </c>
      <c r="AC2288" s="3">
        <v>1.29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s="3">
        <f t="shared" si="70"/>
        <v>9.6</v>
      </c>
      <c r="AK2288" s="3">
        <f t="shared" si="71"/>
        <v>4.17</v>
      </c>
    </row>
    <row r="2289" spans="1:37">
      <c r="A2289">
        <v>10402880</v>
      </c>
      <c r="B2289" t="s">
        <v>37</v>
      </c>
      <c r="C2289" t="s">
        <v>14703</v>
      </c>
      <c r="E2289" t="s">
        <v>14704</v>
      </c>
      <c r="F2289" t="s">
        <v>14705</v>
      </c>
      <c r="G2289" t="s">
        <v>14706</v>
      </c>
      <c r="H2289" t="s">
        <v>42</v>
      </c>
      <c r="I2289" t="s">
        <v>14707</v>
      </c>
      <c r="J2289" t="s">
        <v>14708</v>
      </c>
      <c r="K2289">
        <v>5030</v>
      </c>
      <c r="L2289" t="s">
        <v>505</v>
      </c>
      <c r="M2289" t="s">
        <v>46</v>
      </c>
      <c r="N2289" t="s">
        <v>47</v>
      </c>
      <c r="O2289">
        <v>2</v>
      </c>
      <c r="P2289">
        <v>1</v>
      </c>
      <c r="Q2289">
        <v>2</v>
      </c>
      <c r="R2289" t="s">
        <v>48</v>
      </c>
      <c r="S2289" t="s">
        <v>49</v>
      </c>
      <c r="T2289" s="3">
        <v>0.84</v>
      </c>
      <c r="U2289" s="3">
        <v>0.23</v>
      </c>
      <c r="V2289" s="3">
        <v>1.81</v>
      </c>
      <c r="W2289">
        <v>0.88</v>
      </c>
      <c r="X2289" t="s">
        <v>50</v>
      </c>
      <c r="Y2289" s="3">
        <v>9.19</v>
      </c>
      <c r="Z2289" t="s">
        <v>9686</v>
      </c>
      <c r="AA2289" t="s">
        <v>14709</v>
      </c>
      <c r="AB2289" t="s">
        <v>53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f t="shared" si="70"/>
        <v>12.07</v>
      </c>
      <c r="AK2289" s="3">
        <f t="shared" si="71"/>
        <v>2.8800000000000008</v>
      </c>
    </row>
    <row r="2290" spans="1:37">
      <c r="A2290">
        <v>10403096</v>
      </c>
      <c r="B2290" t="s">
        <v>37</v>
      </c>
      <c r="C2290" t="s">
        <v>14710</v>
      </c>
      <c r="E2290" t="s">
        <v>437</v>
      </c>
      <c r="F2290" t="s">
        <v>11255</v>
      </c>
      <c r="G2290" t="s">
        <v>14711</v>
      </c>
      <c r="H2290" t="s">
        <v>42</v>
      </c>
      <c r="I2290" t="s">
        <v>14712</v>
      </c>
      <c r="J2290" t="s">
        <v>11258</v>
      </c>
      <c r="K2290">
        <v>33442</v>
      </c>
      <c r="L2290" t="s">
        <v>71</v>
      </c>
      <c r="M2290" t="s">
        <v>46</v>
      </c>
      <c r="N2290" t="s">
        <v>47</v>
      </c>
      <c r="O2290">
        <v>2</v>
      </c>
      <c r="P2290">
        <v>1</v>
      </c>
      <c r="Q2290">
        <v>2</v>
      </c>
      <c r="R2290" t="s">
        <v>48</v>
      </c>
      <c r="S2290" t="s">
        <v>49</v>
      </c>
      <c r="T2290" s="3">
        <v>0.84</v>
      </c>
      <c r="U2290" s="3">
        <v>0.23</v>
      </c>
      <c r="V2290" s="3">
        <v>1.81</v>
      </c>
      <c r="W2290">
        <v>0.98</v>
      </c>
      <c r="X2290" t="s">
        <v>108</v>
      </c>
      <c r="Y2290" s="3">
        <v>5.13</v>
      </c>
      <c r="Z2290" t="s">
        <v>9850</v>
      </c>
      <c r="AA2290" t="s">
        <v>13238</v>
      </c>
      <c r="AB2290" t="s">
        <v>53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f t="shared" si="70"/>
        <v>8.01</v>
      </c>
      <c r="AK2290" s="3">
        <f t="shared" si="71"/>
        <v>2.88</v>
      </c>
    </row>
    <row r="2291" spans="1:37">
      <c r="A2291">
        <v>10403100</v>
      </c>
      <c r="B2291" t="s">
        <v>37</v>
      </c>
      <c r="C2291" t="s">
        <v>14713</v>
      </c>
      <c r="E2291" t="s">
        <v>484</v>
      </c>
      <c r="F2291" t="s">
        <v>1991</v>
      </c>
      <c r="G2291" t="s">
        <v>14714</v>
      </c>
      <c r="H2291" t="s">
        <v>42</v>
      </c>
      <c r="I2291" t="s">
        <v>14715</v>
      </c>
      <c r="J2291" t="s">
        <v>14716</v>
      </c>
      <c r="K2291">
        <v>60435</v>
      </c>
      <c r="L2291" t="s">
        <v>71</v>
      </c>
      <c r="M2291" t="s">
        <v>46</v>
      </c>
      <c r="N2291" t="s">
        <v>47</v>
      </c>
      <c r="O2291">
        <v>2</v>
      </c>
      <c r="P2291">
        <v>1</v>
      </c>
      <c r="Q2291">
        <v>2</v>
      </c>
      <c r="R2291" t="s">
        <v>48</v>
      </c>
      <c r="S2291" t="s">
        <v>49</v>
      </c>
      <c r="T2291" s="3">
        <v>0.84</v>
      </c>
      <c r="U2291" s="3">
        <v>0.23</v>
      </c>
      <c r="V2291" s="3">
        <v>1.81</v>
      </c>
      <c r="W2291">
        <v>0.78</v>
      </c>
      <c r="X2291" t="s">
        <v>108</v>
      </c>
      <c r="Y2291" s="3">
        <v>5.13</v>
      </c>
      <c r="Z2291" t="s">
        <v>9850</v>
      </c>
      <c r="AA2291" t="s">
        <v>14601</v>
      </c>
      <c r="AB2291" t="s">
        <v>53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f t="shared" si="70"/>
        <v>8.01</v>
      </c>
      <c r="AK2291" s="3">
        <f t="shared" si="71"/>
        <v>2.88</v>
      </c>
    </row>
    <row r="2292" spans="1:37">
      <c r="A2292">
        <v>10402173</v>
      </c>
      <c r="B2292" t="s">
        <v>37</v>
      </c>
      <c r="C2292" t="s">
        <v>14717</v>
      </c>
      <c r="E2292" t="s">
        <v>500</v>
      </c>
      <c r="F2292" t="s">
        <v>14718</v>
      </c>
      <c r="G2292" t="s">
        <v>14719</v>
      </c>
      <c r="H2292" t="s">
        <v>42</v>
      </c>
      <c r="I2292" t="s">
        <v>14720</v>
      </c>
      <c r="J2292" t="s">
        <v>14721</v>
      </c>
      <c r="K2292">
        <v>20253</v>
      </c>
      <c r="L2292" t="s">
        <v>71</v>
      </c>
      <c r="M2292" t="s">
        <v>46</v>
      </c>
      <c r="N2292" t="s">
        <v>47</v>
      </c>
      <c r="O2292">
        <v>2</v>
      </c>
      <c r="P2292">
        <v>1</v>
      </c>
      <c r="Q2292">
        <v>2</v>
      </c>
      <c r="R2292" t="s">
        <v>48</v>
      </c>
      <c r="S2292" t="s">
        <v>49</v>
      </c>
      <c r="T2292" s="3">
        <v>0.84</v>
      </c>
      <c r="U2292" s="3">
        <v>0.23</v>
      </c>
      <c r="V2292" s="3">
        <v>1.81</v>
      </c>
      <c r="W2292">
        <v>1.04</v>
      </c>
      <c r="X2292" t="s">
        <v>108</v>
      </c>
      <c r="Y2292" s="3">
        <v>5.13</v>
      </c>
      <c r="Z2292" t="s">
        <v>14722</v>
      </c>
      <c r="AA2292" t="s">
        <v>14723</v>
      </c>
      <c r="AB2292" t="s">
        <v>53</v>
      </c>
      <c r="AC2292" s="3">
        <v>0.27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f t="shared" si="70"/>
        <v>8.2800000000000011</v>
      </c>
      <c r="AK2292" s="3">
        <f t="shared" si="71"/>
        <v>3.1500000000000012</v>
      </c>
    </row>
    <row r="2293" spans="1:37">
      <c r="A2293">
        <v>10400913</v>
      </c>
      <c r="B2293" t="s">
        <v>37</v>
      </c>
      <c r="C2293" t="s">
        <v>14724</v>
      </c>
      <c r="E2293" t="s">
        <v>14725</v>
      </c>
      <c r="F2293" t="s">
        <v>14726</v>
      </c>
      <c r="G2293" t="s">
        <v>14727</v>
      </c>
      <c r="H2293" t="s">
        <v>42</v>
      </c>
      <c r="I2293" t="s">
        <v>14728</v>
      </c>
      <c r="J2293" t="s">
        <v>14729</v>
      </c>
      <c r="K2293">
        <v>80798</v>
      </c>
      <c r="L2293" t="s">
        <v>71</v>
      </c>
      <c r="M2293" t="s">
        <v>46</v>
      </c>
      <c r="N2293" t="s">
        <v>47</v>
      </c>
      <c r="O2293">
        <v>3</v>
      </c>
      <c r="P2293">
        <v>1</v>
      </c>
      <c r="Q2293">
        <v>3</v>
      </c>
      <c r="R2293" t="s">
        <v>48</v>
      </c>
      <c r="S2293" t="s">
        <v>49</v>
      </c>
      <c r="T2293" s="3">
        <v>0.84</v>
      </c>
      <c r="U2293" s="3">
        <v>0.23</v>
      </c>
      <c r="V2293" s="3">
        <v>2.68</v>
      </c>
      <c r="W2293">
        <v>1.47</v>
      </c>
      <c r="X2293" t="s">
        <v>108</v>
      </c>
      <c r="Y2293" s="3">
        <v>5.13</v>
      </c>
      <c r="Z2293" t="s">
        <v>9686</v>
      </c>
      <c r="AA2293" t="s">
        <v>1768</v>
      </c>
      <c r="AB2293" t="s">
        <v>53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f t="shared" si="70"/>
        <v>8.8800000000000008</v>
      </c>
      <c r="AK2293" s="3">
        <f t="shared" si="71"/>
        <v>3.7500000000000009</v>
      </c>
    </row>
    <row r="2294" spans="1:37">
      <c r="A2294">
        <v>10400908</v>
      </c>
      <c r="B2294" t="s">
        <v>37</v>
      </c>
      <c r="C2294" t="s">
        <v>14730</v>
      </c>
      <c r="E2294" t="s">
        <v>5091</v>
      </c>
      <c r="F2294" t="s">
        <v>14731</v>
      </c>
      <c r="G2294" t="s">
        <v>14732</v>
      </c>
      <c r="H2294" t="s">
        <v>42</v>
      </c>
      <c r="I2294" t="s">
        <v>14733</v>
      </c>
      <c r="J2294" t="s">
        <v>14734</v>
      </c>
      <c r="K2294">
        <v>40789</v>
      </c>
      <c r="L2294" t="s">
        <v>71</v>
      </c>
      <c r="M2294" t="s">
        <v>46</v>
      </c>
      <c r="N2294" t="s">
        <v>47</v>
      </c>
      <c r="O2294">
        <v>4</v>
      </c>
      <c r="P2294">
        <v>1</v>
      </c>
      <c r="Q2294">
        <v>4</v>
      </c>
      <c r="R2294" t="s">
        <v>48</v>
      </c>
      <c r="S2294" t="s">
        <v>49</v>
      </c>
      <c r="T2294" s="3">
        <v>0.84</v>
      </c>
      <c r="U2294" s="3">
        <v>0.23</v>
      </c>
      <c r="V2294" s="3">
        <v>3.55</v>
      </c>
      <c r="W2294">
        <v>1.96</v>
      </c>
      <c r="X2294" t="s">
        <v>108</v>
      </c>
      <c r="Y2294" s="3">
        <v>5.13</v>
      </c>
      <c r="Z2294" t="s">
        <v>9686</v>
      </c>
      <c r="AA2294" t="s">
        <v>14735</v>
      </c>
      <c r="AB2294" t="s">
        <v>53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f t="shared" si="70"/>
        <v>9.75</v>
      </c>
      <c r="AK2294" s="3">
        <f t="shared" si="71"/>
        <v>4.62</v>
      </c>
    </row>
    <row r="2295" spans="1:37">
      <c r="A2295">
        <v>10401217</v>
      </c>
      <c r="B2295" t="s">
        <v>37</v>
      </c>
      <c r="C2295" t="s">
        <v>14736</v>
      </c>
      <c r="E2295" t="s">
        <v>157</v>
      </c>
      <c r="F2295" t="s">
        <v>14737</v>
      </c>
      <c r="G2295" t="s">
        <v>14738</v>
      </c>
      <c r="H2295" t="s">
        <v>42</v>
      </c>
      <c r="I2295" t="s">
        <v>14739</v>
      </c>
      <c r="J2295" t="s">
        <v>14740</v>
      </c>
      <c r="K2295">
        <v>12047</v>
      </c>
      <c r="L2295" t="s">
        <v>71</v>
      </c>
      <c r="M2295" t="s">
        <v>46</v>
      </c>
      <c r="N2295" t="s">
        <v>47</v>
      </c>
      <c r="O2295">
        <v>6</v>
      </c>
      <c r="P2295">
        <v>1</v>
      </c>
      <c r="Q2295">
        <v>6</v>
      </c>
      <c r="R2295" t="s">
        <v>48</v>
      </c>
      <c r="S2295" t="s">
        <v>49</v>
      </c>
      <c r="T2295" s="3">
        <v>0.84</v>
      </c>
      <c r="U2295" s="3">
        <v>0.23</v>
      </c>
      <c r="V2295" s="3">
        <v>5.29</v>
      </c>
      <c r="W2295">
        <v>2.82</v>
      </c>
      <c r="X2295" t="s">
        <v>72</v>
      </c>
      <c r="Y2295" s="3">
        <v>5.43</v>
      </c>
      <c r="Z2295" t="s">
        <v>83</v>
      </c>
      <c r="AA2295" t="s">
        <v>14741</v>
      </c>
      <c r="AB2295" t="s">
        <v>53</v>
      </c>
      <c r="AC2295" s="3">
        <v>1.27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f t="shared" si="70"/>
        <v>13.059999999999999</v>
      </c>
      <c r="AK2295" s="3">
        <f t="shared" si="71"/>
        <v>7.629999999999999</v>
      </c>
    </row>
    <row r="2296" spans="1:37">
      <c r="A2296">
        <v>10404219</v>
      </c>
      <c r="B2296" t="s">
        <v>37</v>
      </c>
      <c r="C2296" t="s">
        <v>14742</v>
      </c>
      <c r="E2296" t="s">
        <v>14743</v>
      </c>
      <c r="F2296" t="s">
        <v>4437</v>
      </c>
      <c r="G2296" t="s">
        <v>14744</v>
      </c>
      <c r="H2296" t="s">
        <v>42</v>
      </c>
      <c r="I2296" t="s">
        <v>14745</v>
      </c>
      <c r="J2296" t="s">
        <v>14746</v>
      </c>
      <c r="K2296">
        <v>38230</v>
      </c>
      <c r="L2296" t="s">
        <v>130</v>
      </c>
      <c r="M2296" t="s">
        <v>46</v>
      </c>
      <c r="N2296" t="s">
        <v>47</v>
      </c>
      <c r="O2296">
        <v>2</v>
      </c>
      <c r="P2296">
        <v>1</v>
      </c>
      <c r="Q2296">
        <v>2</v>
      </c>
      <c r="R2296" t="s">
        <v>48</v>
      </c>
      <c r="S2296" t="s">
        <v>49</v>
      </c>
      <c r="T2296" s="3">
        <v>0.84</v>
      </c>
      <c r="U2296" s="3">
        <v>0.23</v>
      </c>
      <c r="V2296" s="3">
        <v>1.81</v>
      </c>
      <c r="W2296">
        <v>0.98</v>
      </c>
      <c r="X2296" t="s">
        <v>50</v>
      </c>
      <c r="Y2296" s="3">
        <v>14.26</v>
      </c>
      <c r="Z2296" t="s">
        <v>9850</v>
      </c>
      <c r="AA2296" t="s">
        <v>3432</v>
      </c>
      <c r="AB2296" t="s">
        <v>53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f t="shared" si="70"/>
        <v>17.14</v>
      </c>
      <c r="AK2296" s="3">
        <f t="shared" si="71"/>
        <v>2.8800000000000008</v>
      </c>
    </row>
    <row r="2297" spans="1:37">
      <c r="A2297">
        <v>10401941</v>
      </c>
      <c r="B2297" t="s">
        <v>37</v>
      </c>
      <c r="C2297" t="s">
        <v>14747</v>
      </c>
      <c r="E2297" t="s">
        <v>809</v>
      </c>
      <c r="F2297" t="s">
        <v>14748</v>
      </c>
      <c r="G2297" t="s">
        <v>14749</v>
      </c>
      <c r="H2297" t="s">
        <v>42</v>
      </c>
      <c r="I2297" t="s">
        <v>14750</v>
      </c>
      <c r="J2297" t="s">
        <v>14751</v>
      </c>
      <c r="K2297">
        <v>88299</v>
      </c>
      <c r="L2297" t="s">
        <v>71</v>
      </c>
      <c r="M2297" t="s">
        <v>46</v>
      </c>
      <c r="N2297" t="s">
        <v>47</v>
      </c>
      <c r="O2297">
        <v>2</v>
      </c>
      <c r="P2297">
        <v>1</v>
      </c>
      <c r="Q2297">
        <v>2</v>
      </c>
      <c r="R2297" t="s">
        <v>48</v>
      </c>
      <c r="S2297" t="s">
        <v>49</v>
      </c>
      <c r="T2297" s="3">
        <v>0.84</v>
      </c>
      <c r="U2297" s="3">
        <v>0.23</v>
      </c>
      <c r="V2297" s="3">
        <v>1.81</v>
      </c>
      <c r="W2297">
        <v>0.78</v>
      </c>
      <c r="X2297" t="s">
        <v>108</v>
      </c>
      <c r="Y2297" s="3">
        <v>5.13</v>
      </c>
      <c r="Z2297" t="s">
        <v>9850</v>
      </c>
      <c r="AA2297" t="s">
        <v>14752</v>
      </c>
      <c r="AB2297" t="s">
        <v>53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f t="shared" si="70"/>
        <v>8.01</v>
      </c>
      <c r="AK2297" s="3">
        <f t="shared" si="71"/>
        <v>2.88</v>
      </c>
    </row>
    <row r="2298" spans="1:37">
      <c r="A2298">
        <v>10400906</v>
      </c>
      <c r="B2298" t="s">
        <v>37</v>
      </c>
      <c r="C2298" t="s">
        <v>14753</v>
      </c>
      <c r="E2298" t="s">
        <v>1512</v>
      </c>
      <c r="F2298" t="s">
        <v>14754</v>
      </c>
      <c r="G2298" t="s">
        <v>14755</v>
      </c>
      <c r="H2298" t="s">
        <v>42</v>
      </c>
      <c r="I2298" t="s">
        <v>14756</v>
      </c>
      <c r="J2298" t="s">
        <v>14757</v>
      </c>
      <c r="K2298">
        <v>12307</v>
      </c>
      <c r="L2298" t="s">
        <v>71</v>
      </c>
      <c r="M2298" t="s">
        <v>46</v>
      </c>
      <c r="N2298" t="s">
        <v>47</v>
      </c>
      <c r="O2298">
        <v>5</v>
      </c>
      <c r="P2298">
        <v>1</v>
      </c>
      <c r="Q2298">
        <v>5</v>
      </c>
      <c r="R2298" t="s">
        <v>48</v>
      </c>
      <c r="S2298" t="s">
        <v>49</v>
      </c>
      <c r="T2298" s="3">
        <v>0.84</v>
      </c>
      <c r="U2298" s="3">
        <v>0.23</v>
      </c>
      <c r="V2298" s="3">
        <v>4.42</v>
      </c>
      <c r="W2298">
        <v>2.11</v>
      </c>
      <c r="X2298" t="s">
        <v>72</v>
      </c>
      <c r="Y2298" s="3">
        <v>5.43</v>
      </c>
      <c r="Z2298" t="s">
        <v>73</v>
      </c>
      <c r="AA2298" t="s">
        <v>14758</v>
      </c>
      <c r="AB2298" t="s">
        <v>53</v>
      </c>
      <c r="AC2298" s="3">
        <v>1.29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f t="shared" si="70"/>
        <v>12.21</v>
      </c>
      <c r="AK2298" s="3">
        <f t="shared" si="71"/>
        <v>6.7800000000000011</v>
      </c>
    </row>
    <row r="2299" spans="1:37">
      <c r="A2299">
        <v>10400917</v>
      </c>
      <c r="B2299" t="s">
        <v>37</v>
      </c>
      <c r="C2299" t="s">
        <v>14759</v>
      </c>
      <c r="E2299" t="s">
        <v>1236</v>
      </c>
      <c r="F2299" t="s">
        <v>14760</v>
      </c>
      <c r="G2299" t="s">
        <v>14761</v>
      </c>
      <c r="H2299" t="s">
        <v>42</v>
      </c>
      <c r="I2299" t="s">
        <v>14762</v>
      </c>
      <c r="J2299" t="s">
        <v>14763</v>
      </c>
      <c r="K2299">
        <v>77704</v>
      </c>
      <c r="L2299" t="s">
        <v>71</v>
      </c>
      <c r="M2299" t="s">
        <v>46</v>
      </c>
      <c r="N2299" t="s">
        <v>47</v>
      </c>
      <c r="O2299">
        <v>4</v>
      </c>
      <c r="P2299">
        <v>1</v>
      </c>
      <c r="Q2299">
        <v>4</v>
      </c>
      <c r="R2299" t="s">
        <v>48</v>
      </c>
      <c r="S2299" t="s">
        <v>49</v>
      </c>
      <c r="T2299" s="3">
        <v>0.84</v>
      </c>
      <c r="U2299" s="3">
        <v>0.23</v>
      </c>
      <c r="V2299" s="3">
        <v>3.55</v>
      </c>
      <c r="W2299">
        <v>0.6</v>
      </c>
      <c r="X2299" t="s">
        <v>108</v>
      </c>
      <c r="Y2299" s="3">
        <v>5.13</v>
      </c>
      <c r="Z2299" t="s">
        <v>9850</v>
      </c>
      <c r="AA2299" t="s">
        <v>13741</v>
      </c>
      <c r="AB2299" t="s">
        <v>53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f t="shared" si="70"/>
        <v>9.75</v>
      </c>
      <c r="AK2299" s="3">
        <f t="shared" si="71"/>
        <v>4.62</v>
      </c>
    </row>
    <row r="2300" spans="1:37">
      <c r="A2300">
        <v>10396970</v>
      </c>
      <c r="B2300" t="s">
        <v>37</v>
      </c>
      <c r="C2300" t="s">
        <v>14764</v>
      </c>
      <c r="E2300" t="s">
        <v>2366</v>
      </c>
      <c r="F2300" t="s">
        <v>14765</v>
      </c>
      <c r="G2300" t="s">
        <v>14766</v>
      </c>
      <c r="H2300" t="s">
        <v>42</v>
      </c>
      <c r="I2300" t="s">
        <v>14767</v>
      </c>
      <c r="J2300" t="s">
        <v>14768</v>
      </c>
      <c r="K2300" t="s">
        <v>14769</v>
      </c>
      <c r="L2300" t="s">
        <v>2198</v>
      </c>
      <c r="M2300" t="s">
        <v>46</v>
      </c>
      <c r="N2300" t="s">
        <v>47</v>
      </c>
      <c r="O2300">
        <v>2</v>
      </c>
      <c r="P2300">
        <v>1</v>
      </c>
      <c r="Q2300">
        <v>2</v>
      </c>
      <c r="R2300" t="s">
        <v>48</v>
      </c>
      <c r="S2300" t="s">
        <v>49</v>
      </c>
      <c r="T2300" s="3">
        <v>0.84</v>
      </c>
      <c r="U2300" s="3">
        <v>0.23</v>
      </c>
      <c r="V2300" s="3">
        <v>1.81</v>
      </c>
      <c r="W2300">
        <v>0.69</v>
      </c>
      <c r="X2300" t="s">
        <v>50</v>
      </c>
      <c r="Y2300" s="3">
        <v>16.43</v>
      </c>
      <c r="Z2300" t="s">
        <v>9850</v>
      </c>
      <c r="AA2300" t="s">
        <v>5817</v>
      </c>
      <c r="AB2300" t="s">
        <v>53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f t="shared" si="70"/>
        <v>19.309999999999999</v>
      </c>
      <c r="AK2300" s="3">
        <f t="shared" si="71"/>
        <v>2.879999999999999</v>
      </c>
    </row>
    <row r="2301" spans="1:37">
      <c r="A2301">
        <v>10404674</v>
      </c>
      <c r="B2301" t="s">
        <v>37</v>
      </c>
      <c r="C2301" t="s">
        <v>14770</v>
      </c>
      <c r="E2301" t="s">
        <v>14771</v>
      </c>
      <c r="F2301" t="s">
        <v>14772</v>
      </c>
      <c r="G2301" t="s">
        <v>14773</v>
      </c>
      <c r="H2301" t="s">
        <v>42</v>
      </c>
      <c r="I2301" t="s">
        <v>14774</v>
      </c>
      <c r="J2301" t="s">
        <v>14775</v>
      </c>
      <c r="K2301">
        <v>5772</v>
      </c>
      <c r="L2301" t="s">
        <v>369</v>
      </c>
      <c r="M2301" t="s">
        <v>46</v>
      </c>
      <c r="N2301" t="s">
        <v>47</v>
      </c>
      <c r="O2301">
        <v>2</v>
      </c>
      <c r="P2301">
        <v>1</v>
      </c>
      <c r="Q2301">
        <v>2</v>
      </c>
      <c r="R2301" t="s">
        <v>48</v>
      </c>
      <c r="S2301" t="s">
        <v>49</v>
      </c>
      <c r="T2301" s="3">
        <v>0.84</v>
      </c>
      <c r="U2301" s="3">
        <v>0.23</v>
      </c>
      <c r="V2301" s="3">
        <v>1.81</v>
      </c>
      <c r="W2301">
        <v>0.98</v>
      </c>
      <c r="X2301" t="s">
        <v>50</v>
      </c>
      <c r="Y2301" s="3">
        <v>9.19</v>
      </c>
      <c r="Z2301" t="s">
        <v>9850</v>
      </c>
      <c r="AA2301" t="s">
        <v>14776</v>
      </c>
      <c r="AB2301" t="s">
        <v>53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f t="shared" si="70"/>
        <v>12.07</v>
      </c>
      <c r="AK2301" s="3">
        <f t="shared" si="71"/>
        <v>2.8800000000000008</v>
      </c>
    </row>
    <row r="2302" spans="1:37">
      <c r="A2302">
        <v>10404425</v>
      </c>
      <c r="B2302" t="s">
        <v>37</v>
      </c>
      <c r="C2302" t="s">
        <v>14777</v>
      </c>
      <c r="E2302" t="s">
        <v>1571</v>
      </c>
      <c r="F2302" t="s">
        <v>14778</v>
      </c>
      <c r="G2302" t="s">
        <v>14779</v>
      </c>
      <c r="H2302" t="s">
        <v>42</v>
      </c>
      <c r="I2302" t="s">
        <v>14780</v>
      </c>
      <c r="J2302" t="s">
        <v>14781</v>
      </c>
      <c r="K2302">
        <v>24647</v>
      </c>
      <c r="L2302" t="s">
        <v>71</v>
      </c>
      <c r="M2302" t="s">
        <v>46</v>
      </c>
      <c r="N2302" t="s">
        <v>47</v>
      </c>
      <c r="O2302">
        <v>2</v>
      </c>
      <c r="P2302">
        <v>1</v>
      </c>
      <c r="Q2302">
        <v>2</v>
      </c>
      <c r="R2302" t="s">
        <v>48</v>
      </c>
      <c r="S2302" t="s">
        <v>49</v>
      </c>
      <c r="T2302" s="3">
        <v>0.84</v>
      </c>
      <c r="U2302" s="3">
        <v>0.23</v>
      </c>
      <c r="V2302" s="3">
        <v>1.81</v>
      </c>
      <c r="W2302">
        <v>1.64</v>
      </c>
      <c r="X2302" t="s">
        <v>72</v>
      </c>
      <c r="Y2302" s="3">
        <v>5.43</v>
      </c>
      <c r="Z2302" t="s">
        <v>73</v>
      </c>
      <c r="AA2302" t="s">
        <v>14782</v>
      </c>
      <c r="AB2302" t="s">
        <v>53</v>
      </c>
      <c r="AC2302" s="3">
        <v>1.29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f t="shared" si="70"/>
        <v>9.6</v>
      </c>
      <c r="AK2302" s="3">
        <f t="shared" si="71"/>
        <v>4.17</v>
      </c>
    </row>
    <row r="2303" spans="1:37">
      <c r="A2303">
        <v>10404423</v>
      </c>
      <c r="B2303" t="s">
        <v>37</v>
      </c>
      <c r="C2303" t="s">
        <v>14783</v>
      </c>
      <c r="E2303" t="s">
        <v>3705</v>
      </c>
      <c r="F2303" t="s">
        <v>14784</v>
      </c>
      <c r="G2303" t="s">
        <v>14785</v>
      </c>
      <c r="H2303" t="s">
        <v>42</v>
      </c>
      <c r="I2303" t="s">
        <v>14786</v>
      </c>
      <c r="J2303" t="s">
        <v>14787</v>
      </c>
      <c r="K2303">
        <v>31275</v>
      </c>
      <c r="L2303" t="s">
        <v>71</v>
      </c>
      <c r="M2303" t="s">
        <v>46</v>
      </c>
      <c r="N2303" t="s">
        <v>47</v>
      </c>
      <c r="O2303">
        <v>2</v>
      </c>
      <c r="P2303">
        <v>1</v>
      </c>
      <c r="Q2303">
        <v>2</v>
      </c>
      <c r="R2303" t="s">
        <v>48</v>
      </c>
      <c r="S2303" t="s">
        <v>49</v>
      </c>
      <c r="T2303" s="3">
        <v>0.84</v>
      </c>
      <c r="U2303" s="3">
        <v>0.23</v>
      </c>
      <c r="V2303" s="3">
        <v>1.81</v>
      </c>
      <c r="W2303">
        <v>0.98</v>
      </c>
      <c r="X2303" t="s">
        <v>108</v>
      </c>
      <c r="Y2303" s="3">
        <v>5.13</v>
      </c>
      <c r="Z2303" t="s">
        <v>9686</v>
      </c>
      <c r="AA2303" t="s">
        <v>11510</v>
      </c>
      <c r="AB2303" t="s">
        <v>53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f t="shared" si="70"/>
        <v>8.01</v>
      </c>
      <c r="AK2303" s="3">
        <f t="shared" si="71"/>
        <v>2.88</v>
      </c>
    </row>
    <row r="2304" spans="1:37">
      <c r="A2304">
        <v>10404422</v>
      </c>
      <c r="B2304" t="s">
        <v>37</v>
      </c>
      <c r="C2304" t="s">
        <v>14788</v>
      </c>
      <c r="E2304" t="s">
        <v>857</v>
      </c>
      <c r="F2304" t="s">
        <v>14789</v>
      </c>
      <c r="G2304" t="s">
        <v>14790</v>
      </c>
      <c r="H2304" t="s">
        <v>42</v>
      </c>
      <c r="I2304" t="s">
        <v>14791</v>
      </c>
      <c r="J2304" t="s">
        <v>14792</v>
      </c>
      <c r="K2304">
        <v>38644</v>
      </c>
      <c r="L2304" t="s">
        <v>71</v>
      </c>
      <c r="M2304" t="s">
        <v>46</v>
      </c>
      <c r="N2304" t="s">
        <v>47</v>
      </c>
      <c r="O2304">
        <v>2</v>
      </c>
      <c r="P2304">
        <v>1</v>
      </c>
      <c r="Q2304">
        <v>2</v>
      </c>
      <c r="R2304" t="s">
        <v>48</v>
      </c>
      <c r="S2304" t="s">
        <v>49</v>
      </c>
      <c r="T2304" s="3">
        <v>0.84</v>
      </c>
      <c r="U2304" s="3">
        <v>0.23</v>
      </c>
      <c r="V2304" s="3">
        <v>1.81</v>
      </c>
      <c r="W2304">
        <v>0.88</v>
      </c>
      <c r="X2304" t="s">
        <v>108</v>
      </c>
      <c r="Y2304" s="3">
        <v>5.13</v>
      </c>
      <c r="Z2304" t="s">
        <v>9850</v>
      </c>
      <c r="AA2304" t="s">
        <v>14793</v>
      </c>
      <c r="AB2304" t="s">
        <v>53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f t="shared" si="70"/>
        <v>8.01</v>
      </c>
      <c r="AK2304" s="3">
        <f t="shared" si="71"/>
        <v>2.88</v>
      </c>
    </row>
    <row r="2305" spans="1:37">
      <c r="A2305">
        <v>10404672</v>
      </c>
      <c r="B2305" t="s">
        <v>37</v>
      </c>
      <c r="C2305" t="s">
        <v>14794</v>
      </c>
      <c r="E2305" t="s">
        <v>657</v>
      </c>
      <c r="F2305" t="s">
        <v>2769</v>
      </c>
      <c r="G2305" t="s">
        <v>14795</v>
      </c>
      <c r="H2305" t="s">
        <v>42</v>
      </c>
      <c r="I2305" t="s">
        <v>14796</v>
      </c>
      <c r="J2305" t="s">
        <v>14797</v>
      </c>
      <c r="K2305">
        <v>79541</v>
      </c>
      <c r="L2305" t="s">
        <v>71</v>
      </c>
      <c r="M2305" t="s">
        <v>46</v>
      </c>
      <c r="N2305" t="s">
        <v>47</v>
      </c>
      <c r="O2305">
        <v>2</v>
      </c>
      <c r="P2305">
        <v>1</v>
      </c>
      <c r="Q2305">
        <v>2</v>
      </c>
      <c r="R2305" t="s">
        <v>48</v>
      </c>
      <c r="S2305" t="s">
        <v>49</v>
      </c>
      <c r="T2305" s="3">
        <v>0.84</v>
      </c>
      <c r="U2305" s="3">
        <v>0.23</v>
      </c>
      <c r="V2305" s="3">
        <v>1.81</v>
      </c>
      <c r="W2305">
        <v>0.78</v>
      </c>
      <c r="X2305" t="s">
        <v>108</v>
      </c>
      <c r="Y2305" s="3">
        <v>5.13</v>
      </c>
      <c r="Z2305" t="s">
        <v>9850</v>
      </c>
      <c r="AA2305" t="s">
        <v>14798</v>
      </c>
      <c r="AB2305" t="s">
        <v>53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f t="shared" si="70"/>
        <v>8.01</v>
      </c>
      <c r="AK2305" s="3">
        <f t="shared" si="71"/>
        <v>2.88</v>
      </c>
    </row>
    <row r="2306" spans="1:37">
      <c r="A2306">
        <v>10404421</v>
      </c>
      <c r="B2306" t="s">
        <v>37</v>
      </c>
      <c r="C2306" t="s">
        <v>14799</v>
      </c>
      <c r="E2306" t="s">
        <v>14800</v>
      </c>
      <c r="F2306" t="s">
        <v>14801</v>
      </c>
      <c r="G2306" t="s">
        <v>14802</v>
      </c>
      <c r="H2306" t="s">
        <v>42</v>
      </c>
      <c r="I2306" t="s">
        <v>14803</v>
      </c>
      <c r="J2306" t="s">
        <v>14804</v>
      </c>
      <c r="K2306">
        <v>1950</v>
      </c>
      <c r="L2306" t="s">
        <v>505</v>
      </c>
      <c r="M2306" t="s">
        <v>46</v>
      </c>
      <c r="N2306" t="s">
        <v>47</v>
      </c>
      <c r="O2306">
        <v>2</v>
      </c>
      <c r="P2306">
        <v>1</v>
      </c>
      <c r="Q2306">
        <v>2</v>
      </c>
      <c r="R2306" t="s">
        <v>48</v>
      </c>
      <c r="S2306" t="s">
        <v>49</v>
      </c>
      <c r="T2306" s="3">
        <v>0.84</v>
      </c>
      <c r="U2306" s="3">
        <v>0.23</v>
      </c>
      <c r="V2306" s="3">
        <v>1.81</v>
      </c>
      <c r="W2306">
        <v>0.78</v>
      </c>
      <c r="X2306" t="s">
        <v>50</v>
      </c>
      <c r="Y2306" s="3">
        <v>9.19</v>
      </c>
      <c r="Z2306" t="s">
        <v>9850</v>
      </c>
      <c r="AA2306" t="s">
        <v>14805</v>
      </c>
      <c r="AB2306" t="s">
        <v>53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f t="shared" ref="AJ2306:AJ2369" si="72">AI2306+AH2306+AG2306+AF2306+AE2306+AD2306+AC2306+Y2306+V2306+U2306+T2306</f>
        <v>12.07</v>
      </c>
      <c r="AK2306" s="3">
        <f t="shared" ref="AK2306:AK2369" si="73">AJ2306-Y2306</f>
        <v>2.8800000000000008</v>
      </c>
    </row>
    <row r="2307" spans="1:37">
      <c r="A2307">
        <v>10402873</v>
      </c>
      <c r="B2307" t="s">
        <v>37</v>
      </c>
      <c r="C2307" t="s">
        <v>14806</v>
      </c>
      <c r="E2307" t="s">
        <v>14807</v>
      </c>
      <c r="F2307" t="s">
        <v>14808</v>
      </c>
      <c r="G2307" t="s">
        <v>14809</v>
      </c>
      <c r="H2307" t="s">
        <v>42</v>
      </c>
      <c r="I2307" t="s">
        <v>14810</v>
      </c>
      <c r="J2307" t="s">
        <v>14811</v>
      </c>
      <c r="K2307">
        <v>1850</v>
      </c>
      <c r="L2307" t="s">
        <v>505</v>
      </c>
      <c r="M2307" t="s">
        <v>46</v>
      </c>
      <c r="N2307" t="s">
        <v>47</v>
      </c>
      <c r="O2307">
        <v>2</v>
      </c>
      <c r="P2307">
        <v>1</v>
      </c>
      <c r="Q2307">
        <v>2</v>
      </c>
      <c r="R2307" t="s">
        <v>48</v>
      </c>
      <c r="S2307" t="s">
        <v>49</v>
      </c>
      <c r="T2307" s="3">
        <v>0.84</v>
      </c>
      <c r="U2307" s="3">
        <v>0.23</v>
      </c>
      <c r="V2307" s="3">
        <v>1.81</v>
      </c>
      <c r="W2307">
        <v>0.78</v>
      </c>
      <c r="X2307" t="s">
        <v>50</v>
      </c>
      <c r="Y2307" s="3">
        <v>9.19</v>
      </c>
      <c r="Z2307" t="s">
        <v>9850</v>
      </c>
      <c r="AA2307" t="s">
        <v>14812</v>
      </c>
      <c r="AB2307" t="s">
        <v>53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f t="shared" si="72"/>
        <v>12.07</v>
      </c>
      <c r="AK2307" s="3">
        <f t="shared" si="73"/>
        <v>2.8800000000000008</v>
      </c>
    </row>
    <row r="2308" spans="1:37">
      <c r="A2308">
        <v>10400900</v>
      </c>
      <c r="B2308" t="s">
        <v>37</v>
      </c>
      <c r="C2308" t="s">
        <v>14813</v>
      </c>
      <c r="E2308" t="s">
        <v>14814</v>
      </c>
      <c r="F2308" t="s">
        <v>14815</v>
      </c>
      <c r="G2308" t="s">
        <v>14816</v>
      </c>
      <c r="H2308" t="s">
        <v>42</v>
      </c>
      <c r="I2308" t="s">
        <v>14817</v>
      </c>
      <c r="J2308" t="s">
        <v>14818</v>
      </c>
      <c r="K2308">
        <v>59302</v>
      </c>
      <c r="L2308" t="s">
        <v>71</v>
      </c>
      <c r="M2308" t="s">
        <v>46</v>
      </c>
      <c r="N2308" t="s">
        <v>47</v>
      </c>
      <c r="O2308">
        <v>2</v>
      </c>
      <c r="P2308">
        <v>1</v>
      </c>
      <c r="Q2308">
        <v>2</v>
      </c>
      <c r="R2308" t="s">
        <v>48</v>
      </c>
      <c r="S2308" t="s">
        <v>49</v>
      </c>
      <c r="T2308" s="3">
        <v>0.84</v>
      </c>
      <c r="U2308" s="3">
        <v>0.23</v>
      </c>
      <c r="V2308" s="3">
        <v>1.81</v>
      </c>
      <c r="W2308">
        <v>0.3</v>
      </c>
      <c r="X2308" t="s">
        <v>108</v>
      </c>
      <c r="Y2308" s="3">
        <v>5.13</v>
      </c>
      <c r="Z2308" t="s">
        <v>9850</v>
      </c>
      <c r="AA2308" t="s">
        <v>6464</v>
      </c>
      <c r="AB2308" t="s">
        <v>53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f t="shared" si="72"/>
        <v>8.01</v>
      </c>
      <c r="AK2308" s="3">
        <f t="shared" si="73"/>
        <v>2.88</v>
      </c>
    </row>
    <row r="2309" spans="1:37">
      <c r="A2309">
        <v>10404417</v>
      </c>
      <c r="B2309" t="s">
        <v>37</v>
      </c>
      <c r="C2309" t="s">
        <v>14819</v>
      </c>
      <c r="E2309" t="s">
        <v>240</v>
      </c>
      <c r="F2309" t="s">
        <v>14820</v>
      </c>
      <c r="G2309" t="s">
        <v>14821</v>
      </c>
      <c r="H2309" t="s">
        <v>42</v>
      </c>
      <c r="I2309" t="s">
        <v>14822</v>
      </c>
      <c r="J2309" t="s">
        <v>14823</v>
      </c>
      <c r="K2309">
        <v>21039</v>
      </c>
      <c r="L2309" t="s">
        <v>71</v>
      </c>
      <c r="M2309" t="s">
        <v>46</v>
      </c>
      <c r="N2309" t="s">
        <v>47</v>
      </c>
      <c r="O2309">
        <v>2</v>
      </c>
      <c r="P2309">
        <v>1</v>
      </c>
      <c r="Q2309">
        <v>2</v>
      </c>
      <c r="R2309" t="s">
        <v>48</v>
      </c>
      <c r="S2309" t="s">
        <v>49</v>
      </c>
      <c r="T2309" s="3">
        <v>0.84</v>
      </c>
      <c r="U2309" s="3">
        <v>0.23</v>
      </c>
      <c r="V2309" s="3">
        <v>1.81</v>
      </c>
      <c r="W2309">
        <v>0.3</v>
      </c>
      <c r="X2309" t="s">
        <v>108</v>
      </c>
      <c r="Y2309" s="3">
        <v>5.13</v>
      </c>
      <c r="Z2309" t="s">
        <v>9850</v>
      </c>
      <c r="AA2309" t="s">
        <v>14824</v>
      </c>
      <c r="AB2309" t="s">
        <v>53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f t="shared" si="72"/>
        <v>8.01</v>
      </c>
      <c r="AK2309" s="3">
        <f t="shared" si="73"/>
        <v>2.88</v>
      </c>
    </row>
    <row r="2310" spans="1:37">
      <c r="A2310">
        <v>10401219</v>
      </c>
      <c r="B2310" t="s">
        <v>37</v>
      </c>
      <c r="C2310" t="s">
        <v>14825</v>
      </c>
      <c r="E2310" t="s">
        <v>14826</v>
      </c>
      <c r="F2310" t="s">
        <v>14827</v>
      </c>
      <c r="G2310" t="s">
        <v>14828</v>
      </c>
      <c r="H2310" t="s">
        <v>42</v>
      </c>
      <c r="I2310" t="s">
        <v>14829</v>
      </c>
      <c r="J2310" t="s">
        <v>14830</v>
      </c>
      <c r="K2310">
        <v>12353</v>
      </c>
      <c r="L2310" t="s">
        <v>71</v>
      </c>
      <c r="M2310" t="s">
        <v>46</v>
      </c>
      <c r="N2310" t="s">
        <v>47</v>
      </c>
      <c r="O2310">
        <v>2</v>
      </c>
      <c r="P2310">
        <v>1</v>
      </c>
      <c r="Q2310">
        <v>2</v>
      </c>
      <c r="R2310" t="s">
        <v>48</v>
      </c>
      <c r="S2310" t="s">
        <v>49</v>
      </c>
      <c r="T2310" s="3">
        <v>0.84</v>
      </c>
      <c r="U2310" s="3">
        <v>0.23</v>
      </c>
      <c r="V2310" s="3">
        <v>1.81</v>
      </c>
      <c r="W2310">
        <v>0.3</v>
      </c>
      <c r="X2310" t="s">
        <v>108</v>
      </c>
      <c r="Y2310" s="3">
        <v>5.13</v>
      </c>
      <c r="Z2310" t="s">
        <v>9850</v>
      </c>
      <c r="AA2310" t="s">
        <v>6464</v>
      </c>
      <c r="AB2310" t="s">
        <v>53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f t="shared" si="72"/>
        <v>8.01</v>
      </c>
      <c r="AK2310" s="3">
        <f t="shared" si="73"/>
        <v>2.88</v>
      </c>
    </row>
    <row r="2311" spans="1:37">
      <c r="A2311">
        <v>10398064</v>
      </c>
      <c r="B2311" t="s">
        <v>37</v>
      </c>
      <c r="C2311" t="s">
        <v>14831</v>
      </c>
      <c r="E2311" t="s">
        <v>6077</v>
      </c>
      <c r="F2311" t="s">
        <v>14832</v>
      </c>
      <c r="G2311" t="s">
        <v>14833</v>
      </c>
      <c r="H2311" t="s">
        <v>42</v>
      </c>
      <c r="I2311" t="s">
        <v>14834</v>
      </c>
      <c r="J2311" t="s">
        <v>14835</v>
      </c>
      <c r="K2311" t="s">
        <v>14836</v>
      </c>
      <c r="L2311" t="s">
        <v>142</v>
      </c>
      <c r="M2311" t="s">
        <v>46</v>
      </c>
      <c r="N2311" t="s">
        <v>47</v>
      </c>
      <c r="O2311">
        <v>3</v>
      </c>
      <c r="P2311">
        <v>1</v>
      </c>
      <c r="Q2311">
        <v>3</v>
      </c>
      <c r="R2311" t="s">
        <v>48</v>
      </c>
      <c r="S2311" t="s">
        <v>49</v>
      </c>
      <c r="T2311" s="3">
        <v>0.84</v>
      </c>
      <c r="U2311" s="3">
        <v>0.23</v>
      </c>
      <c r="V2311" s="3">
        <v>2.68</v>
      </c>
      <c r="W2311">
        <v>1.36</v>
      </c>
      <c r="X2311" t="s">
        <v>50</v>
      </c>
      <c r="Y2311" s="3">
        <v>16.43</v>
      </c>
      <c r="Z2311" t="s">
        <v>73</v>
      </c>
      <c r="AA2311" t="s">
        <v>14837</v>
      </c>
      <c r="AB2311" t="s">
        <v>53</v>
      </c>
      <c r="AC2311" s="3">
        <v>1.29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f t="shared" si="72"/>
        <v>21.47</v>
      </c>
      <c r="AK2311" s="3">
        <f t="shared" si="73"/>
        <v>5.0399999999999991</v>
      </c>
    </row>
    <row r="2312" spans="1:37">
      <c r="A2312">
        <v>10399504</v>
      </c>
      <c r="B2312" t="s">
        <v>37</v>
      </c>
      <c r="C2312" t="s">
        <v>14838</v>
      </c>
      <c r="E2312" t="s">
        <v>10813</v>
      </c>
      <c r="F2312" t="s">
        <v>14839</v>
      </c>
      <c r="G2312" t="s">
        <v>14840</v>
      </c>
      <c r="H2312" t="s">
        <v>42</v>
      </c>
      <c r="I2312" t="s">
        <v>14841</v>
      </c>
      <c r="J2312" t="s">
        <v>14842</v>
      </c>
      <c r="K2312" t="s">
        <v>14843</v>
      </c>
      <c r="L2312" t="s">
        <v>82</v>
      </c>
      <c r="M2312" t="s">
        <v>46</v>
      </c>
      <c r="N2312" t="s">
        <v>47</v>
      </c>
      <c r="O2312">
        <v>5</v>
      </c>
      <c r="P2312">
        <v>1</v>
      </c>
      <c r="Q2312">
        <v>5</v>
      </c>
      <c r="R2312" t="s">
        <v>48</v>
      </c>
      <c r="S2312" t="s">
        <v>49</v>
      </c>
      <c r="T2312" s="3">
        <v>0.84</v>
      </c>
      <c r="U2312" s="3">
        <v>0.23</v>
      </c>
      <c r="V2312" s="3">
        <v>4.42</v>
      </c>
      <c r="W2312">
        <v>2.2000000000000002</v>
      </c>
      <c r="X2312" t="s">
        <v>50</v>
      </c>
      <c r="Y2312" s="3">
        <v>9.1999999999999993</v>
      </c>
      <c r="Z2312" t="s">
        <v>73</v>
      </c>
      <c r="AA2312" t="s">
        <v>14844</v>
      </c>
      <c r="AB2312" t="s">
        <v>53</v>
      </c>
      <c r="AC2312" s="3">
        <v>1.29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f t="shared" si="72"/>
        <v>15.979999999999999</v>
      </c>
      <c r="AK2312" s="3">
        <f t="shared" si="73"/>
        <v>6.7799999999999994</v>
      </c>
    </row>
    <row r="2313" spans="1:37">
      <c r="A2313">
        <v>10401222</v>
      </c>
      <c r="B2313" t="s">
        <v>37</v>
      </c>
      <c r="C2313" t="s">
        <v>14845</v>
      </c>
      <c r="E2313" t="s">
        <v>11677</v>
      </c>
      <c r="F2313" t="s">
        <v>14846</v>
      </c>
      <c r="G2313" t="s">
        <v>14847</v>
      </c>
      <c r="H2313" t="s">
        <v>42</v>
      </c>
      <c r="I2313" t="s">
        <v>14848</v>
      </c>
      <c r="J2313" t="s">
        <v>14849</v>
      </c>
      <c r="K2313">
        <v>1410</v>
      </c>
      <c r="L2313" t="s">
        <v>505</v>
      </c>
      <c r="M2313" t="s">
        <v>46</v>
      </c>
      <c r="N2313" t="s">
        <v>47</v>
      </c>
      <c r="O2313">
        <v>7</v>
      </c>
      <c r="P2313">
        <v>1</v>
      </c>
      <c r="Q2313">
        <v>7</v>
      </c>
      <c r="R2313" t="s">
        <v>48</v>
      </c>
      <c r="S2313" t="s">
        <v>49</v>
      </c>
      <c r="T2313" s="3">
        <v>0.84</v>
      </c>
      <c r="U2313" s="3">
        <v>0.23</v>
      </c>
      <c r="V2313" s="3">
        <v>6.16</v>
      </c>
      <c r="W2313">
        <v>3.89</v>
      </c>
      <c r="X2313" t="s">
        <v>50</v>
      </c>
      <c r="Y2313" s="3">
        <v>9.19</v>
      </c>
      <c r="Z2313" t="s">
        <v>83</v>
      </c>
      <c r="AA2313" t="s">
        <v>14850</v>
      </c>
      <c r="AB2313" t="s">
        <v>53</v>
      </c>
      <c r="AC2313" s="3">
        <v>1.27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f t="shared" si="72"/>
        <v>17.689999999999998</v>
      </c>
      <c r="AK2313" s="3">
        <f t="shared" si="73"/>
        <v>8.4999999999999982</v>
      </c>
    </row>
    <row r="2314" spans="1:37">
      <c r="A2314">
        <v>10401708</v>
      </c>
      <c r="B2314" t="s">
        <v>37</v>
      </c>
      <c r="C2314" t="s">
        <v>14851</v>
      </c>
      <c r="E2314" t="s">
        <v>687</v>
      </c>
      <c r="F2314" t="s">
        <v>14852</v>
      </c>
      <c r="G2314" t="s">
        <v>14853</v>
      </c>
      <c r="H2314" t="s">
        <v>42</v>
      </c>
      <c r="I2314" t="s">
        <v>14854</v>
      </c>
      <c r="J2314" t="s">
        <v>14855</v>
      </c>
      <c r="K2314">
        <v>48147</v>
      </c>
      <c r="L2314" t="s">
        <v>71</v>
      </c>
      <c r="M2314" t="s">
        <v>46</v>
      </c>
      <c r="N2314" t="s">
        <v>47</v>
      </c>
      <c r="O2314">
        <v>4</v>
      </c>
      <c r="P2314">
        <v>1</v>
      </c>
      <c r="Q2314">
        <v>4</v>
      </c>
      <c r="R2314" t="s">
        <v>48</v>
      </c>
      <c r="S2314" t="s">
        <v>49</v>
      </c>
      <c r="T2314" s="3">
        <v>0.84</v>
      </c>
      <c r="U2314" s="3">
        <v>0.23</v>
      </c>
      <c r="V2314" s="3">
        <v>3.55</v>
      </c>
      <c r="W2314">
        <v>3.31</v>
      </c>
      <c r="X2314" t="s">
        <v>72</v>
      </c>
      <c r="Y2314" s="3">
        <v>6.6</v>
      </c>
      <c r="Z2314" t="s">
        <v>83</v>
      </c>
      <c r="AA2314" t="s">
        <v>14856</v>
      </c>
      <c r="AB2314" t="s">
        <v>53</v>
      </c>
      <c r="AC2314" s="3">
        <v>1.27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f t="shared" si="72"/>
        <v>12.489999999999998</v>
      </c>
      <c r="AK2314" s="3">
        <f t="shared" si="73"/>
        <v>5.8899999999999988</v>
      </c>
    </row>
    <row r="2315" spans="1:37">
      <c r="A2315">
        <v>10401221</v>
      </c>
      <c r="B2315" t="s">
        <v>37</v>
      </c>
      <c r="C2315" t="s">
        <v>14857</v>
      </c>
      <c r="E2315" t="s">
        <v>5345</v>
      </c>
      <c r="F2315" t="s">
        <v>14858</v>
      </c>
      <c r="G2315" t="s">
        <v>14859</v>
      </c>
      <c r="H2315" t="s">
        <v>42</v>
      </c>
      <c r="I2315" t="s">
        <v>14860</v>
      </c>
      <c r="J2315" t="s">
        <v>14861</v>
      </c>
      <c r="K2315">
        <v>97516</v>
      </c>
      <c r="L2315" t="s">
        <v>71</v>
      </c>
      <c r="M2315" t="s">
        <v>46</v>
      </c>
      <c r="N2315" t="s">
        <v>47</v>
      </c>
      <c r="O2315">
        <v>3</v>
      </c>
      <c r="P2315">
        <v>1</v>
      </c>
      <c r="Q2315">
        <v>3</v>
      </c>
      <c r="R2315" t="s">
        <v>48</v>
      </c>
      <c r="S2315" t="s">
        <v>49</v>
      </c>
      <c r="T2315" s="3">
        <v>0.84</v>
      </c>
      <c r="U2315" s="3">
        <v>0.23</v>
      </c>
      <c r="V2315" s="3">
        <v>2.68</v>
      </c>
      <c r="W2315">
        <v>1.27</v>
      </c>
      <c r="X2315" t="s">
        <v>108</v>
      </c>
      <c r="Y2315" s="3">
        <v>5.13</v>
      </c>
      <c r="Z2315" t="s">
        <v>9686</v>
      </c>
      <c r="AA2315" t="s">
        <v>14862</v>
      </c>
      <c r="AB2315" t="s">
        <v>53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f t="shared" si="72"/>
        <v>8.8800000000000008</v>
      </c>
      <c r="AK2315" s="3">
        <f t="shared" si="73"/>
        <v>3.7500000000000009</v>
      </c>
    </row>
    <row r="2316" spans="1:37">
      <c r="A2316">
        <v>10401939</v>
      </c>
      <c r="B2316" t="s">
        <v>37</v>
      </c>
      <c r="C2316" t="s">
        <v>14863</v>
      </c>
      <c r="E2316" t="s">
        <v>3681</v>
      </c>
      <c r="F2316" t="s">
        <v>14864</v>
      </c>
      <c r="G2316" t="s">
        <v>14865</v>
      </c>
      <c r="H2316" t="s">
        <v>42</v>
      </c>
      <c r="I2316" t="s">
        <v>14866</v>
      </c>
      <c r="J2316" t="s">
        <v>14867</v>
      </c>
      <c r="K2316">
        <v>2620</v>
      </c>
      <c r="L2316" t="s">
        <v>505</v>
      </c>
      <c r="M2316" t="s">
        <v>46</v>
      </c>
      <c r="N2316" t="s">
        <v>47</v>
      </c>
      <c r="O2316">
        <v>3</v>
      </c>
      <c r="P2316">
        <v>1</v>
      </c>
      <c r="Q2316">
        <v>3</v>
      </c>
      <c r="R2316" t="s">
        <v>48</v>
      </c>
      <c r="S2316" t="s">
        <v>49</v>
      </c>
      <c r="T2316" s="3">
        <v>0.84</v>
      </c>
      <c r="U2316" s="3">
        <v>0.23</v>
      </c>
      <c r="V2316" s="3">
        <v>2.68</v>
      </c>
      <c r="W2316">
        <v>1.17</v>
      </c>
      <c r="X2316" t="s">
        <v>50</v>
      </c>
      <c r="Y2316" s="3">
        <v>9.19</v>
      </c>
      <c r="Z2316" t="s">
        <v>9686</v>
      </c>
      <c r="AA2316" t="s">
        <v>14868</v>
      </c>
      <c r="AB2316" t="s">
        <v>53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f t="shared" si="72"/>
        <v>12.94</v>
      </c>
      <c r="AK2316" s="3">
        <f t="shared" si="73"/>
        <v>3.75</v>
      </c>
    </row>
    <row r="2317" spans="1:37">
      <c r="A2317">
        <v>10402176</v>
      </c>
      <c r="B2317" t="s">
        <v>37</v>
      </c>
      <c r="C2317" t="s">
        <v>14869</v>
      </c>
      <c r="E2317" t="s">
        <v>864</v>
      </c>
      <c r="F2317" t="s">
        <v>14870</v>
      </c>
      <c r="G2317" t="s">
        <v>14871</v>
      </c>
      <c r="H2317" t="s">
        <v>42</v>
      </c>
      <c r="I2317" t="s">
        <v>14872</v>
      </c>
      <c r="J2317" t="s">
        <v>14873</v>
      </c>
      <c r="K2317">
        <v>83558</v>
      </c>
      <c r="L2317" t="s">
        <v>71</v>
      </c>
      <c r="M2317" t="s">
        <v>46</v>
      </c>
      <c r="N2317" t="s">
        <v>47</v>
      </c>
      <c r="O2317">
        <v>7</v>
      </c>
      <c r="P2317">
        <v>1</v>
      </c>
      <c r="Q2317">
        <v>7</v>
      </c>
      <c r="R2317" t="s">
        <v>48</v>
      </c>
      <c r="S2317" t="s">
        <v>49</v>
      </c>
      <c r="T2317" s="3">
        <v>0.84</v>
      </c>
      <c r="U2317" s="3">
        <v>0.23</v>
      </c>
      <c r="V2317" s="3">
        <v>6.16</v>
      </c>
      <c r="W2317">
        <v>2.2799999999999998</v>
      </c>
      <c r="X2317" t="s">
        <v>72</v>
      </c>
      <c r="Y2317" s="3">
        <v>5.43</v>
      </c>
      <c r="Z2317" t="s">
        <v>73</v>
      </c>
      <c r="AA2317" t="s">
        <v>14874</v>
      </c>
      <c r="AB2317" t="s">
        <v>53</v>
      </c>
      <c r="AC2317" s="3">
        <v>1.29</v>
      </c>
      <c r="AD2317" s="3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f t="shared" si="72"/>
        <v>13.95</v>
      </c>
      <c r="AK2317" s="3">
        <f t="shared" si="73"/>
        <v>8.52</v>
      </c>
    </row>
    <row r="2318" spans="1:37">
      <c r="A2318">
        <v>10402174</v>
      </c>
      <c r="B2318" t="s">
        <v>37</v>
      </c>
      <c r="C2318" t="s">
        <v>14875</v>
      </c>
      <c r="E2318" t="s">
        <v>14876</v>
      </c>
      <c r="F2318" t="s">
        <v>14877</v>
      </c>
      <c r="G2318" t="s">
        <v>14878</v>
      </c>
      <c r="H2318" t="s">
        <v>42</v>
      </c>
      <c r="I2318" t="s">
        <v>14879</v>
      </c>
      <c r="J2318" t="s">
        <v>14880</v>
      </c>
      <c r="K2318" t="s">
        <v>14881</v>
      </c>
      <c r="L2318" t="s">
        <v>142</v>
      </c>
      <c r="M2318" t="s">
        <v>46</v>
      </c>
      <c r="N2318" t="s">
        <v>47</v>
      </c>
      <c r="O2318">
        <v>8</v>
      </c>
      <c r="P2318">
        <v>1</v>
      </c>
      <c r="Q2318">
        <v>8</v>
      </c>
      <c r="R2318" t="s">
        <v>48</v>
      </c>
      <c r="S2318" t="s">
        <v>49</v>
      </c>
      <c r="T2318" s="3">
        <v>0.84</v>
      </c>
      <c r="U2318" s="3">
        <v>0.23</v>
      </c>
      <c r="V2318" s="3">
        <v>7.03</v>
      </c>
      <c r="W2318">
        <v>3.34</v>
      </c>
      <c r="X2318" t="s">
        <v>50</v>
      </c>
      <c r="Y2318" s="3">
        <v>16.43</v>
      </c>
      <c r="Z2318" t="s">
        <v>83</v>
      </c>
      <c r="AA2318" t="s">
        <v>14882</v>
      </c>
      <c r="AB2318" t="s">
        <v>53</v>
      </c>
      <c r="AC2318" s="3">
        <v>1.27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f t="shared" si="72"/>
        <v>25.8</v>
      </c>
      <c r="AK2318" s="3">
        <f t="shared" si="73"/>
        <v>9.370000000000001</v>
      </c>
    </row>
    <row r="2319" spans="1:37">
      <c r="A2319">
        <v>10402377</v>
      </c>
      <c r="B2319" t="s">
        <v>37</v>
      </c>
      <c r="C2319" t="s">
        <v>14883</v>
      </c>
      <c r="E2319" t="s">
        <v>14884</v>
      </c>
      <c r="F2319" t="s">
        <v>14885</v>
      </c>
      <c r="G2319" t="s">
        <v>14886</v>
      </c>
      <c r="H2319" t="s">
        <v>42</v>
      </c>
      <c r="I2319" t="s">
        <v>14887</v>
      </c>
      <c r="J2319" t="s">
        <v>14888</v>
      </c>
      <c r="K2319">
        <v>45490</v>
      </c>
      <c r="L2319" t="s">
        <v>130</v>
      </c>
      <c r="M2319" t="s">
        <v>46</v>
      </c>
      <c r="N2319" t="s">
        <v>47</v>
      </c>
      <c r="O2319">
        <v>4</v>
      </c>
      <c r="P2319">
        <v>1</v>
      </c>
      <c r="Q2319">
        <v>4</v>
      </c>
      <c r="R2319" t="s">
        <v>48</v>
      </c>
      <c r="S2319" t="s">
        <v>49</v>
      </c>
      <c r="T2319" s="3">
        <v>0.84</v>
      </c>
      <c r="U2319" s="3">
        <v>0.23</v>
      </c>
      <c r="V2319" s="3">
        <v>3.55</v>
      </c>
      <c r="W2319">
        <v>1.56</v>
      </c>
      <c r="X2319" t="s">
        <v>50</v>
      </c>
      <c r="Y2319" s="3">
        <v>14.26</v>
      </c>
      <c r="Z2319" t="s">
        <v>9686</v>
      </c>
      <c r="AA2319" t="s">
        <v>429</v>
      </c>
      <c r="AB2319" t="s">
        <v>53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f t="shared" si="72"/>
        <v>18.88</v>
      </c>
      <c r="AK2319" s="3">
        <f t="shared" si="73"/>
        <v>4.6199999999999992</v>
      </c>
    </row>
    <row r="2320" spans="1:37">
      <c r="A2320">
        <v>10400065</v>
      </c>
      <c r="B2320" t="s">
        <v>37</v>
      </c>
      <c r="C2320" t="s">
        <v>14889</v>
      </c>
      <c r="E2320" t="s">
        <v>14890</v>
      </c>
      <c r="F2320" t="s">
        <v>14891</v>
      </c>
      <c r="G2320" t="s">
        <v>14892</v>
      </c>
      <c r="H2320" t="s">
        <v>42</v>
      </c>
      <c r="I2320" t="s">
        <v>14893</v>
      </c>
      <c r="J2320" t="s">
        <v>14894</v>
      </c>
      <c r="K2320">
        <v>28660</v>
      </c>
      <c r="L2320" t="s">
        <v>91</v>
      </c>
      <c r="M2320" t="s">
        <v>46</v>
      </c>
      <c r="N2320" t="s">
        <v>47</v>
      </c>
      <c r="O2320">
        <v>6</v>
      </c>
      <c r="P2320">
        <v>1</v>
      </c>
      <c r="Q2320">
        <v>6</v>
      </c>
      <c r="R2320" t="s">
        <v>48</v>
      </c>
      <c r="S2320" t="s">
        <v>49</v>
      </c>
      <c r="T2320" s="3">
        <v>0.84</v>
      </c>
      <c r="U2320" s="3">
        <v>0.23</v>
      </c>
      <c r="V2320" s="3">
        <v>5.29</v>
      </c>
      <c r="W2320">
        <v>1.34</v>
      </c>
      <c r="X2320" t="s">
        <v>50</v>
      </c>
      <c r="Y2320" s="3">
        <v>16.43</v>
      </c>
      <c r="Z2320" t="s">
        <v>73</v>
      </c>
      <c r="AA2320" t="s">
        <v>14895</v>
      </c>
      <c r="AB2320" t="s">
        <v>53</v>
      </c>
      <c r="AC2320" s="3">
        <v>1.29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f t="shared" si="72"/>
        <v>24.08</v>
      </c>
      <c r="AK2320" s="3">
        <f t="shared" si="73"/>
        <v>7.6499999999999986</v>
      </c>
    </row>
    <row r="2321" spans="1:37">
      <c r="A2321">
        <v>10402172</v>
      </c>
      <c r="B2321" t="s">
        <v>37</v>
      </c>
      <c r="C2321" t="s">
        <v>14896</v>
      </c>
      <c r="E2321" t="s">
        <v>14897</v>
      </c>
      <c r="F2321" t="s">
        <v>14898</v>
      </c>
      <c r="G2321" t="s">
        <v>14899</v>
      </c>
      <c r="H2321" t="s">
        <v>42</v>
      </c>
      <c r="I2321" t="s">
        <v>14900</v>
      </c>
      <c r="J2321" t="s">
        <v>14901</v>
      </c>
      <c r="K2321">
        <v>53229</v>
      </c>
      <c r="L2321" t="s">
        <v>71</v>
      </c>
      <c r="M2321" t="s">
        <v>46</v>
      </c>
      <c r="N2321" t="s">
        <v>47</v>
      </c>
      <c r="O2321">
        <v>3</v>
      </c>
      <c r="P2321">
        <v>1</v>
      </c>
      <c r="Q2321">
        <v>3</v>
      </c>
      <c r="R2321" t="s">
        <v>48</v>
      </c>
      <c r="S2321" t="s">
        <v>49</v>
      </c>
      <c r="T2321" s="3">
        <v>0.84</v>
      </c>
      <c r="U2321" s="3">
        <v>0.23</v>
      </c>
      <c r="V2321" s="3">
        <v>2.68</v>
      </c>
      <c r="W2321">
        <v>1.35</v>
      </c>
      <c r="X2321" t="s">
        <v>108</v>
      </c>
      <c r="Y2321" s="3">
        <v>5.13</v>
      </c>
      <c r="Z2321" t="s">
        <v>9686</v>
      </c>
      <c r="AA2321" t="s">
        <v>4155</v>
      </c>
      <c r="AB2321" t="s">
        <v>53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f t="shared" si="72"/>
        <v>8.8800000000000008</v>
      </c>
      <c r="AK2321" s="3">
        <f t="shared" si="73"/>
        <v>3.7500000000000009</v>
      </c>
    </row>
    <row r="2322" spans="1:37">
      <c r="A2322">
        <v>10402877</v>
      </c>
      <c r="B2322" t="s">
        <v>37</v>
      </c>
      <c r="C2322" t="s">
        <v>14902</v>
      </c>
      <c r="E2322" t="s">
        <v>14903</v>
      </c>
      <c r="F2322" t="s">
        <v>14904</v>
      </c>
      <c r="G2322" t="s">
        <v>14905</v>
      </c>
      <c r="H2322" t="s">
        <v>42</v>
      </c>
      <c r="I2322" t="s">
        <v>14906</v>
      </c>
      <c r="J2322" t="s">
        <v>14907</v>
      </c>
      <c r="K2322" t="s">
        <v>14908</v>
      </c>
      <c r="L2322" t="s">
        <v>82</v>
      </c>
      <c r="M2322" t="s">
        <v>46</v>
      </c>
      <c r="N2322" t="s">
        <v>47</v>
      </c>
      <c r="O2322">
        <v>3</v>
      </c>
      <c r="P2322">
        <v>1</v>
      </c>
      <c r="Q2322">
        <v>3</v>
      </c>
      <c r="R2322" t="s">
        <v>48</v>
      </c>
      <c r="S2322" t="s">
        <v>49</v>
      </c>
      <c r="T2322" s="3">
        <v>0.84</v>
      </c>
      <c r="U2322" s="3">
        <v>0.23</v>
      </c>
      <c r="V2322" s="3">
        <v>2.68</v>
      </c>
      <c r="W2322">
        <v>1.37</v>
      </c>
      <c r="X2322" t="s">
        <v>50</v>
      </c>
      <c r="Y2322" s="3">
        <v>9.19</v>
      </c>
      <c r="Z2322" t="s">
        <v>9686</v>
      </c>
      <c r="AA2322" t="s">
        <v>14909</v>
      </c>
      <c r="AB2322" t="s">
        <v>53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f t="shared" si="72"/>
        <v>12.94</v>
      </c>
      <c r="AK2322" s="3">
        <f t="shared" si="73"/>
        <v>3.75</v>
      </c>
    </row>
    <row r="2323" spans="1:37">
      <c r="A2323">
        <v>10400349</v>
      </c>
      <c r="B2323" t="s">
        <v>37</v>
      </c>
      <c r="C2323" t="s">
        <v>14910</v>
      </c>
      <c r="E2323" t="s">
        <v>3746</v>
      </c>
      <c r="F2323" t="s">
        <v>14911</v>
      </c>
      <c r="G2323" t="s">
        <v>14912</v>
      </c>
      <c r="H2323" t="s">
        <v>42</v>
      </c>
      <c r="I2323" t="s">
        <v>14913</v>
      </c>
      <c r="J2323" t="s">
        <v>14914</v>
      </c>
      <c r="K2323">
        <v>81545</v>
      </c>
      <c r="L2323" t="s">
        <v>71</v>
      </c>
      <c r="M2323" t="s">
        <v>46</v>
      </c>
      <c r="N2323" t="s">
        <v>47</v>
      </c>
      <c r="O2323">
        <v>4</v>
      </c>
      <c r="P2323">
        <v>1</v>
      </c>
      <c r="Q2323">
        <v>4</v>
      </c>
      <c r="R2323" t="s">
        <v>48</v>
      </c>
      <c r="S2323" t="s">
        <v>49</v>
      </c>
      <c r="T2323" s="3">
        <v>0.84</v>
      </c>
      <c r="U2323" s="3">
        <v>0.23</v>
      </c>
      <c r="V2323" s="3">
        <v>3.55</v>
      </c>
      <c r="W2323">
        <v>1.67</v>
      </c>
      <c r="X2323" t="s">
        <v>72</v>
      </c>
      <c r="Y2323" s="3">
        <v>5.44</v>
      </c>
      <c r="Z2323" t="s">
        <v>73</v>
      </c>
      <c r="AA2323" t="s">
        <v>14915</v>
      </c>
      <c r="AB2323" t="s">
        <v>53</v>
      </c>
      <c r="AC2323" s="3">
        <v>1.29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f t="shared" si="72"/>
        <v>11.350000000000001</v>
      </c>
      <c r="AK2323" s="3">
        <f t="shared" si="73"/>
        <v>5.910000000000001</v>
      </c>
    </row>
    <row r="2324" spans="1:37">
      <c r="A2324">
        <v>10400348</v>
      </c>
      <c r="B2324" t="s">
        <v>37</v>
      </c>
      <c r="C2324" t="s">
        <v>14916</v>
      </c>
      <c r="E2324" t="s">
        <v>1221</v>
      </c>
      <c r="F2324" t="s">
        <v>14917</v>
      </c>
      <c r="G2324" t="s">
        <v>14918</v>
      </c>
      <c r="H2324" t="s">
        <v>42</v>
      </c>
      <c r="I2324" t="s">
        <v>14919</v>
      </c>
      <c r="J2324" t="s">
        <v>14920</v>
      </c>
      <c r="K2324">
        <v>48308</v>
      </c>
      <c r="L2324" t="s">
        <v>71</v>
      </c>
      <c r="M2324" t="s">
        <v>46</v>
      </c>
      <c r="N2324" t="s">
        <v>47</v>
      </c>
      <c r="O2324">
        <v>4</v>
      </c>
      <c r="P2324">
        <v>1</v>
      </c>
      <c r="Q2324">
        <v>4</v>
      </c>
      <c r="R2324" t="s">
        <v>48</v>
      </c>
      <c r="S2324" t="s">
        <v>49</v>
      </c>
      <c r="T2324" s="3">
        <v>0.84</v>
      </c>
      <c r="U2324" s="3">
        <v>0.23</v>
      </c>
      <c r="V2324" s="3">
        <v>3.55</v>
      </c>
      <c r="W2324">
        <v>1.1599999999999999</v>
      </c>
      <c r="X2324" t="s">
        <v>72</v>
      </c>
      <c r="Y2324" s="3">
        <v>5.44</v>
      </c>
      <c r="Z2324" t="s">
        <v>73</v>
      </c>
      <c r="AA2324" t="s">
        <v>14921</v>
      </c>
      <c r="AB2324" t="s">
        <v>53</v>
      </c>
      <c r="AC2324" s="3">
        <v>1.29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f t="shared" si="72"/>
        <v>11.350000000000001</v>
      </c>
      <c r="AK2324" s="3">
        <f t="shared" si="73"/>
        <v>5.910000000000001</v>
      </c>
    </row>
    <row r="2325" spans="1:37">
      <c r="A2325">
        <v>10400064</v>
      </c>
      <c r="B2325" t="s">
        <v>37</v>
      </c>
      <c r="C2325" t="s">
        <v>14922</v>
      </c>
      <c r="E2325" t="s">
        <v>1330</v>
      </c>
      <c r="F2325" t="s">
        <v>14923</v>
      </c>
      <c r="G2325" t="s">
        <v>14924</v>
      </c>
      <c r="H2325" t="s">
        <v>42</v>
      </c>
      <c r="I2325" t="s">
        <v>14925</v>
      </c>
      <c r="J2325" t="s">
        <v>14926</v>
      </c>
      <c r="K2325">
        <v>41515</v>
      </c>
      <c r="L2325" t="s">
        <v>71</v>
      </c>
      <c r="M2325" t="s">
        <v>46</v>
      </c>
      <c r="N2325" t="s">
        <v>47</v>
      </c>
      <c r="O2325">
        <v>1</v>
      </c>
      <c r="P2325">
        <v>1</v>
      </c>
      <c r="Q2325">
        <v>1</v>
      </c>
      <c r="R2325" t="s">
        <v>48</v>
      </c>
      <c r="S2325" t="s">
        <v>49</v>
      </c>
      <c r="T2325" s="3">
        <v>0.84</v>
      </c>
      <c r="U2325" s="3">
        <v>0.23</v>
      </c>
      <c r="V2325" s="3">
        <v>0.94</v>
      </c>
      <c r="W2325">
        <v>2.4</v>
      </c>
      <c r="X2325" t="s">
        <v>108</v>
      </c>
      <c r="Y2325" s="3">
        <v>5.14</v>
      </c>
      <c r="Z2325" t="s">
        <v>9686</v>
      </c>
      <c r="AA2325" t="s">
        <v>1272</v>
      </c>
      <c r="AB2325" t="s">
        <v>53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f t="shared" si="72"/>
        <v>7.15</v>
      </c>
      <c r="AK2325" s="3">
        <f t="shared" si="73"/>
        <v>2.0100000000000007</v>
      </c>
    </row>
    <row r="2326" spans="1:37">
      <c r="A2326">
        <v>10401474</v>
      </c>
      <c r="B2326" t="s">
        <v>37</v>
      </c>
      <c r="C2326" t="s">
        <v>14927</v>
      </c>
      <c r="E2326" t="s">
        <v>12843</v>
      </c>
      <c r="F2326" t="s">
        <v>14928</v>
      </c>
      <c r="G2326" t="s">
        <v>14929</v>
      </c>
      <c r="H2326" t="s">
        <v>42</v>
      </c>
      <c r="I2326" t="s">
        <v>14930</v>
      </c>
      <c r="J2326" t="s">
        <v>14931</v>
      </c>
      <c r="K2326">
        <v>75057</v>
      </c>
      <c r="L2326" t="s">
        <v>71</v>
      </c>
      <c r="M2326" t="s">
        <v>46</v>
      </c>
      <c r="N2326" t="s">
        <v>47</v>
      </c>
      <c r="O2326">
        <v>1</v>
      </c>
      <c r="P2326">
        <v>1</v>
      </c>
      <c r="Q2326">
        <v>1</v>
      </c>
      <c r="R2326" t="s">
        <v>48</v>
      </c>
      <c r="S2326" t="s">
        <v>49</v>
      </c>
      <c r="T2326" s="3">
        <v>0.84</v>
      </c>
      <c r="U2326" s="3">
        <v>0.23</v>
      </c>
      <c r="V2326" s="3">
        <v>0.94</v>
      </c>
      <c r="W2326">
        <v>0.45</v>
      </c>
      <c r="X2326" t="s">
        <v>108</v>
      </c>
      <c r="Y2326" s="3">
        <v>5.14</v>
      </c>
      <c r="Z2326" t="s">
        <v>9850</v>
      </c>
      <c r="AA2326" t="s">
        <v>14932</v>
      </c>
      <c r="AB2326" t="s">
        <v>53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f t="shared" si="72"/>
        <v>7.15</v>
      </c>
      <c r="AK2326" s="3">
        <f t="shared" si="73"/>
        <v>2.0100000000000007</v>
      </c>
    </row>
    <row r="2327" spans="1:37">
      <c r="A2327">
        <v>10400347</v>
      </c>
      <c r="B2327" t="s">
        <v>37</v>
      </c>
      <c r="C2327" t="s">
        <v>14933</v>
      </c>
      <c r="E2327" t="s">
        <v>2099</v>
      </c>
      <c r="F2327" t="s">
        <v>14934</v>
      </c>
      <c r="G2327" t="s">
        <v>14935</v>
      </c>
      <c r="H2327" t="s">
        <v>42</v>
      </c>
      <c r="I2327" t="s">
        <v>14936</v>
      </c>
      <c r="J2327" t="s">
        <v>14937</v>
      </c>
      <c r="K2327" t="s">
        <v>14938</v>
      </c>
      <c r="L2327" t="s">
        <v>71</v>
      </c>
      <c r="M2327" t="s">
        <v>46</v>
      </c>
      <c r="N2327" t="s">
        <v>47</v>
      </c>
      <c r="O2327">
        <v>1</v>
      </c>
      <c r="P2327">
        <v>1</v>
      </c>
      <c r="Q2327">
        <v>1</v>
      </c>
      <c r="R2327" t="s">
        <v>48</v>
      </c>
      <c r="S2327" t="s">
        <v>49</v>
      </c>
      <c r="T2327" s="3">
        <v>0.84</v>
      </c>
      <c r="U2327" s="3">
        <v>0.23</v>
      </c>
      <c r="V2327" s="3">
        <v>0.94</v>
      </c>
      <c r="W2327">
        <v>0.39</v>
      </c>
      <c r="X2327" t="s">
        <v>108</v>
      </c>
      <c r="Y2327" s="3">
        <v>5.14</v>
      </c>
      <c r="Z2327" t="s">
        <v>9850</v>
      </c>
      <c r="AA2327" t="s">
        <v>9223</v>
      </c>
      <c r="AB2327" t="s">
        <v>53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f t="shared" si="72"/>
        <v>7.15</v>
      </c>
      <c r="AK2327" s="3">
        <f t="shared" si="73"/>
        <v>2.0100000000000007</v>
      </c>
    </row>
    <row r="2328" spans="1:37">
      <c r="A2328">
        <v>10402171</v>
      </c>
      <c r="B2328" t="s">
        <v>37</v>
      </c>
      <c r="C2328" t="s">
        <v>14939</v>
      </c>
      <c r="E2328" t="s">
        <v>5561</v>
      </c>
      <c r="F2328" t="s">
        <v>2554</v>
      </c>
      <c r="G2328" t="s">
        <v>14940</v>
      </c>
      <c r="H2328" t="s">
        <v>42</v>
      </c>
      <c r="I2328" t="s">
        <v>14941</v>
      </c>
      <c r="J2328" t="s">
        <v>14942</v>
      </c>
      <c r="K2328" t="s">
        <v>14943</v>
      </c>
      <c r="L2328" t="s">
        <v>142</v>
      </c>
      <c r="M2328" t="s">
        <v>46</v>
      </c>
      <c r="N2328" t="s">
        <v>47</v>
      </c>
      <c r="O2328">
        <v>1</v>
      </c>
      <c r="P2328">
        <v>1</v>
      </c>
      <c r="Q2328">
        <v>1</v>
      </c>
      <c r="R2328" t="s">
        <v>48</v>
      </c>
      <c r="S2328" t="s">
        <v>49</v>
      </c>
      <c r="T2328" s="3">
        <v>0.84</v>
      </c>
      <c r="U2328" s="3">
        <v>0.23</v>
      </c>
      <c r="V2328" s="3">
        <v>0.94</v>
      </c>
      <c r="W2328">
        <v>0.49</v>
      </c>
      <c r="X2328" t="s">
        <v>50</v>
      </c>
      <c r="Y2328" s="3">
        <v>16.43</v>
      </c>
      <c r="Z2328" t="s">
        <v>9686</v>
      </c>
      <c r="AA2328" t="s">
        <v>966</v>
      </c>
      <c r="AB2328" t="s">
        <v>53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f t="shared" si="72"/>
        <v>18.440000000000001</v>
      </c>
      <c r="AK2328" s="3">
        <f t="shared" si="73"/>
        <v>2.0100000000000016</v>
      </c>
    </row>
    <row r="2329" spans="1:37">
      <c r="A2329">
        <v>10400652</v>
      </c>
      <c r="B2329" t="s">
        <v>37</v>
      </c>
      <c r="C2329" t="s">
        <v>14944</v>
      </c>
      <c r="E2329" t="s">
        <v>14945</v>
      </c>
      <c r="F2329" t="s">
        <v>14946</v>
      </c>
      <c r="G2329" t="s">
        <v>14947</v>
      </c>
      <c r="H2329" t="s">
        <v>42</v>
      </c>
      <c r="I2329" t="s">
        <v>14948</v>
      </c>
      <c r="J2329" t="s">
        <v>14949</v>
      </c>
      <c r="K2329" t="s">
        <v>14950</v>
      </c>
      <c r="L2329" t="s">
        <v>82</v>
      </c>
      <c r="M2329" t="s">
        <v>46</v>
      </c>
      <c r="N2329" t="s">
        <v>47</v>
      </c>
      <c r="O2329">
        <v>1</v>
      </c>
      <c r="P2329">
        <v>1</v>
      </c>
      <c r="Q2329">
        <v>1</v>
      </c>
      <c r="R2329" t="s">
        <v>48</v>
      </c>
      <c r="S2329" t="s">
        <v>49</v>
      </c>
      <c r="T2329" s="3">
        <v>0.84</v>
      </c>
      <c r="U2329" s="3">
        <v>0.23</v>
      </c>
      <c r="V2329" s="3">
        <v>0.94</v>
      </c>
      <c r="W2329">
        <v>0.39</v>
      </c>
      <c r="X2329" t="s">
        <v>50</v>
      </c>
      <c r="Y2329" s="3">
        <v>9.1999999999999993</v>
      </c>
      <c r="Z2329" t="s">
        <v>9850</v>
      </c>
      <c r="AA2329" t="s">
        <v>9223</v>
      </c>
      <c r="AB2329" t="s">
        <v>53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f t="shared" si="72"/>
        <v>11.209999999999999</v>
      </c>
      <c r="AK2329" s="3">
        <f t="shared" si="73"/>
        <v>2.0099999999999998</v>
      </c>
    </row>
    <row r="2330" spans="1:37">
      <c r="A2330">
        <v>10401944</v>
      </c>
      <c r="B2330" t="s">
        <v>37</v>
      </c>
      <c r="C2330" t="s">
        <v>14951</v>
      </c>
      <c r="E2330" t="s">
        <v>1330</v>
      </c>
      <c r="F2330" t="s">
        <v>14952</v>
      </c>
      <c r="G2330" t="s">
        <v>14953</v>
      </c>
      <c r="H2330" t="s">
        <v>42</v>
      </c>
      <c r="I2330" t="s">
        <v>14954</v>
      </c>
      <c r="J2330" t="s">
        <v>14955</v>
      </c>
      <c r="K2330">
        <v>67061</v>
      </c>
      <c r="L2330" t="s">
        <v>71</v>
      </c>
      <c r="M2330" t="s">
        <v>46</v>
      </c>
      <c r="N2330" t="s">
        <v>47</v>
      </c>
      <c r="O2330">
        <v>1</v>
      </c>
      <c r="P2330">
        <v>1</v>
      </c>
      <c r="Q2330">
        <v>1</v>
      </c>
      <c r="R2330" t="s">
        <v>48</v>
      </c>
      <c r="S2330" t="s">
        <v>49</v>
      </c>
      <c r="T2330" s="3">
        <v>0.84</v>
      </c>
      <c r="U2330" s="3">
        <v>0.23</v>
      </c>
      <c r="V2330" s="3">
        <v>0.94</v>
      </c>
      <c r="W2330">
        <v>1.4</v>
      </c>
      <c r="X2330" t="s">
        <v>108</v>
      </c>
      <c r="Y2330" s="3">
        <v>5.13</v>
      </c>
      <c r="Z2330" t="s">
        <v>9686</v>
      </c>
      <c r="AA2330" t="s">
        <v>259</v>
      </c>
      <c r="AB2330" t="s">
        <v>53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f t="shared" si="72"/>
        <v>7.1400000000000006</v>
      </c>
      <c r="AK2330" s="3">
        <f t="shared" si="73"/>
        <v>2.0100000000000007</v>
      </c>
    </row>
    <row r="2331" spans="1:37">
      <c r="A2331">
        <v>10400651</v>
      </c>
      <c r="B2331" t="s">
        <v>37</v>
      </c>
      <c r="C2331" t="s">
        <v>14956</v>
      </c>
      <c r="E2331" t="s">
        <v>5271</v>
      </c>
      <c r="F2331" t="s">
        <v>10396</v>
      </c>
      <c r="G2331" t="s">
        <v>14957</v>
      </c>
      <c r="H2331" t="s">
        <v>42</v>
      </c>
      <c r="I2331" t="s">
        <v>14958</v>
      </c>
      <c r="J2331" t="s">
        <v>14959</v>
      </c>
      <c r="K2331">
        <v>81667</v>
      </c>
      <c r="L2331" t="s">
        <v>71</v>
      </c>
      <c r="M2331" t="s">
        <v>46</v>
      </c>
      <c r="N2331" t="s">
        <v>47</v>
      </c>
      <c r="O2331">
        <v>1</v>
      </c>
      <c r="P2331">
        <v>1</v>
      </c>
      <c r="Q2331">
        <v>1</v>
      </c>
      <c r="R2331" t="s">
        <v>48</v>
      </c>
      <c r="S2331" t="s">
        <v>49</v>
      </c>
      <c r="T2331" s="3">
        <v>0.84</v>
      </c>
      <c r="U2331" s="3">
        <v>0.23</v>
      </c>
      <c r="V2331" s="3">
        <v>0.94</v>
      </c>
      <c r="W2331">
        <v>1.4</v>
      </c>
      <c r="X2331" t="s">
        <v>108</v>
      </c>
      <c r="Y2331" s="3">
        <v>5.14</v>
      </c>
      <c r="Z2331" t="s">
        <v>9686</v>
      </c>
      <c r="AA2331" t="s">
        <v>11156</v>
      </c>
      <c r="AB2331" t="s">
        <v>53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f t="shared" si="72"/>
        <v>7.15</v>
      </c>
      <c r="AK2331" s="3">
        <f t="shared" si="73"/>
        <v>2.0100000000000007</v>
      </c>
    </row>
    <row r="2332" spans="1:37">
      <c r="A2332">
        <v>10402169</v>
      </c>
      <c r="B2332" t="s">
        <v>37</v>
      </c>
      <c r="C2332" t="s">
        <v>14960</v>
      </c>
      <c r="E2332" t="s">
        <v>1185</v>
      </c>
      <c r="F2332" t="s">
        <v>3476</v>
      </c>
      <c r="G2332" t="s">
        <v>14961</v>
      </c>
      <c r="H2332" t="s">
        <v>42</v>
      </c>
      <c r="I2332" t="s">
        <v>14962</v>
      </c>
      <c r="J2332" t="s">
        <v>14963</v>
      </c>
      <c r="K2332">
        <v>22763</v>
      </c>
      <c r="L2332" t="s">
        <v>71</v>
      </c>
      <c r="M2332" t="s">
        <v>46</v>
      </c>
      <c r="N2332" t="s">
        <v>47</v>
      </c>
      <c r="O2332">
        <v>1</v>
      </c>
      <c r="P2332">
        <v>1</v>
      </c>
      <c r="Q2332">
        <v>1</v>
      </c>
      <c r="R2332" t="s">
        <v>48</v>
      </c>
      <c r="S2332" t="s">
        <v>49</v>
      </c>
      <c r="T2332" s="3">
        <v>0.84</v>
      </c>
      <c r="U2332" s="3">
        <v>0.23</v>
      </c>
      <c r="V2332" s="3">
        <v>0.94</v>
      </c>
      <c r="W2332">
        <v>1.4</v>
      </c>
      <c r="X2332" t="s">
        <v>108</v>
      </c>
      <c r="Y2332" s="3">
        <v>5.13</v>
      </c>
      <c r="Z2332" t="s">
        <v>9686</v>
      </c>
      <c r="AA2332" t="s">
        <v>259</v>
      </c>
      <c r="AB2332" t="s">
        <v>53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f t="shared" si="72"/>
        <v>7.1400000000000006</v>
      </c>
      <c r="AK2332" s="3">
        <f t="shared" si="73"/>
        <v>2.0100000000000007</v>
      </c>
    </row>
    <row r="2333" spans="1:37">
      <c r="A2333">
        <v>10400061</v>
      </c>
      <c r="B2333" t="s">
        <v>37</v>
      </c>
      <c r="C2333" t="s">
        <v>14964</v>
      </c>
      <c r="E2333" t="s">
        <v>2374</v>
      </c>
      <c r="F2333" t="s">
        <v>14965</v>
      </c>
      <c r="G2333" t="s">
        <v>14966</v>
      </c>
      <c r="H2333" t="s">
        <v>42</v>
      </c>
      <c r="I2333" t="s">
        <v>14967</v>
      </c>
      <c r="J2333" t="s">
        <v>14968</v>
      </c>
      <c r="K2333">
        <v>74140</v>
      </c>
      <c r="L2333" t="s">
        <v>130</v>
      </c>
      <c r="M2333" t="s">
        <v>46</v>
      </c>
      <c r="N2333" t="s">
        <v>47</v>
      </c>
      <c r="O2333">
        <v>1</v>
      </c>
      <c r="P2333">
        <v>1</v>
      </c>
      <c r="Q2333">
        <v>1</v>
      </c>
      <c r="R2333" t="s">
        <v>48</v>
      </c>
      <c r="S2333" t="s">
        <v>49</v>
      </c>
      <c r="T2333" s="3">
        <v>0.84</v>
      </c>
      <c r="U2333" s="3">
        <v>0.23</v>
      </c>
      <c r="V2333" s="3">
        <v>0.94</v>
      </c>
      <c r="W2333">
        <v>0.39</v>
      </c>
      <c r="X2333" t="s">
        <v>50</v>
      </c>
      <c r="Y2333" s="3">
        <v>14.26</v>
      </c>
      <c r="Z2333" t="s">
        <v>9850</v>
      </c>
      <c r="AA2333" t="s">
        <v>110</v>
      </c>
      <c r="AB2333" t="s">
        <v>53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f t="shared" si="72"/>
        <v>16.27</v>
      </c>
      <c r="AK2333" s="3">
        <f t="shared" si="73"/>
        <v>2.0099999999999998</v>
      </c>
    </row>
    <row r="2334" spans="1:37">
      <c r="A2334">
        <v>10401709</v>
      </c>
      <c r="B2334" t="s">
        <v>37</v>
      </c>
      <c r="C2334" t="s">
        <v>14969</v>
      </c>
      <c r="E2334" t="s">
        <v>1865</v>
      </c>
      <c r="F2334" t="s">
        <v>14970</v>
      </c>
      <c r="G2334" t="s">
        <v>14971</v>
      </c>
      <c r="H2334" t="s">
        <v>42</v>
      </c>
      <c r="I2334" t="s">
        <v>14972</v>
      </c>
      <c r="J2334" t="s">
        <v>14973</v>
      </c>
      <c r="K2334" t="s">
        <v>14974</v>
      </c>
      <c r="L2334" t="s">
        <v>2198</v>
      </c>
      <c r="M2334" t="s">
        <v>46</v>
      </c>
      <c r="N2334" t="s">
        <v>47</v>
      </c>
      <c r="O2334">
        <v>1</v>
      </c>
      <c r="P2334">
        <v>1</v>
      </c>
      <c r="Q2334">
        <v>1</v>
      </c>
      <c r="R2334" t="s">
        <v>48</v>
      </c>
      <c r="S2334" t="s">
        <v>49</v>
      </c>
      <c r="T2334" s="3">
        <v>0.84</v>
      </c>
      <c r="U2334" s="3">
        <v>0.23</v>
      </c>
      <c r="V2334" s="3">
        <v>0.94</v>
      </c>
      <c r="W2334">
        <v>0.39</v>
      </c>
      <c r="X2334" t="s">
        <v>50</v>
      </c>
      <c r="Y2334" s="3">
        <v>16.43</v>
      </c>
      <c r="Z2334" t="s">
        <v>9850</v>
      </c>
      <c r="AA2334" t="s">
        <v>1802</v>
      </c>
      <c r="AB2334" t="s">
        <v>53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f t="shared" si="72"/>
        <v>18.440000000000001</v>
      </c>
      <c r="AK2334" s="3">
        <f t="shared" si="73"/>
        <v>2.0100000000000016</v>
      </c>
    </row>
    <row r="2335" spans="1:37">
      <c r="A2335">
        <v>10400893</v>
      </c>
      <c r="B2335" t="s">
        <v>37</v>
      </c>
      <c r="C2335" t="s">
        <v>14975</v>
      </c>
      <c r="E2335" t="s">
        <v>4926</v>
      </c>
      <c r="F2335" t="s">
        <v>14976</v>
      </c>
      <c r="G2335" t="s">
        <v>14977</v>
      </c>
      <c r="H2335" t="s">
        <v>42</v>
      </c>
      <c r="I2335" t="s">
        <v>14978</v>
      </c>
      <c r="J2335" t="s">
        <v>14979</v>
      </c>
      <c r="K2335" t="s">
        <v>14980</v>
      </c>
      <c r="L2335" t="s">
        <v>82</v>
      </c>
      <c r="M2335" t="s">
        <v>46</v>
      </c>
      <c r="N2335" t="s">
        <v>47</v>
      </c>
      <c r="O2335">
        <v>1</v>
      </c>
      <c r="P2335">
        <v>1</v>
      </c>
      <c r="Q2335">
        <v>1</v>
      </c>
      <c r="R2335" t="s">
        <v>48</v>
      </c>
      <c r="S2335" t="s">
        <v>49</v>
      </c>
      <c r="T2335" s="3">
        <v>0.84</v>
      </c>
      <c r="U2335" s="3">
        <v>0.23</v>
      </c>
      <c r="V2335" s="3">
        <v>0.94</v>
      </c>
      <c r="W2335">
        <v>0.39</v>
      </c>
      <c r="X2335" t="s">
        <v>50</v>
      </c>
      <c r="Y2335" s="3">
        <v>9.1999999999999993</v>
      </c>
      <c r="Z2335" t="s">
        <v>9850</v>
      </c>
      <c r="AA2335" t="s">
        <v>714</v>
      </c>
      <c r="AB2335" t="s">
        <v>53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f t="shared" si="72"/>
        <v>11.209999999999999</v>
      </c>
      <c r="AK2335" s="3">
        <f t="shared" si="73"/>
        <v>2.0099999999999998</v>
      </c>
    </row>
    <row r="2336" spans="1:37">
      <c r="A2336">
        <v>10402378</v>
      </c>
      <c r="B2336" t="s">
        <v>37</v>
      </c>
      <c r="C2336" t="s">
        <v>14981</v>
      </c>
      <c r="E2336" t="s">
        <v>461</v>
      </c>
      <c r="F2336" t="s">
        <v>14982</v>
      </c>
      <c r="G2336" t="s">
        <v>14983</v>
      </c>
      <c r="H2336" t="s">
        <v>42</v>
      </c>
      <c r="I2336" t="s">
        <v>14984</v>
      </c>
      <c r="J2336" t="s">
        <v>14985</v>
      </c>
      <c r="K2336">
        <v>90419</v>
      </c>
      <c r="L2336" t="s">
        <v>71</v>
      </c>
      <c r="M2336" t="s">
        <v>46</v>
      </c>
      <c r="N2336" t="s">
        <v>47</v>
      </c>
      <c r="O2336">
        <v>1</v>
      </c>
      <c r="P2336">
        <v>1</v>
      </c>
      <c r="Q2336">
        <v>1</v>
      </c>
      <c r="R2336" t="s">
        <v>48</v>
      </c>
      <c r="S2336" t="s">
        <v>49</v>
      </c>
      <c r="T2336" s="3">
        <v>0.84</v>
      </c>
      <c r="U2336" s="3">
        <v>0.23</v>
      </c>
      <c r="V2336" s="3">
        <v>0.94</v>
      </c>
      <c r="W2336">
        <v>0.15</v>
      </c>
      <c r="X2336" t="s">
        <v>108</v>
      </c>
      <c r="Y2336" s="3">
        <v>5.13</v>
      </c>
      <c r="Z2336" t="s">
        <v>9850</v>
      </c>
      <c r="AA2336" t="s">
        <v>6464</v>
      </c>
      <c r="AB2336" t="s">
        <v>53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f t="shared" si="72"/>
        <v>7.1400000000000006</v>
      </c>
      <c r="AK2336" s="3">
        <f t="shared" si="73"/>
        <v>2.0100000000000007</v>
      </c>
    </row>
    <row r="2337" spans="1:37">
      <c r="A2337">
        <v>10401218</v>
      </c>
      <c r="B2337" t="s">
        <v>37</v>
      </c>
      <c r="C2337" t="s">
        <v>14986</v>
      </c>
      <c r="E2337" t="s">
        <v>12876</v>
      </c>
      <c r="F2337" t="s">
        <v>8406</v>
      </c>
      <c r="G2337" t="s">
        <v>14987</v>
      </c>
      <c r="H2337" t="s">
        <v>42</v>
      </c>
      <c r="I2337" t="s">
        <v>14988</v>
      </c>
      <c r="J2337" t="s">
        <v>14989</v>
      </c>
      <c r="K2337">
        <v>93155</v>
      </c>
      <c r="L2337" t="s">
        <v>71</v>
      </c>
      <c r="M2337" t="s">
        <v>46</v>
      </c>
      <c r="N2337" t="s">
        <v>47</v>
      </c>
      <c r="O2337">
        <v>1</v>
      </c>
      <c r="P2337">
        <v>1</v>
      </c>
      <c r="Q2337">
        <v>1</v>
      </c>
      <c r="R2337" t="s">
        <v>48</v>
      </c>
      <c r="S2337" t="s">
        <v>49</v>
      </c>
      <c r="T2337" s="3">
        <v>0.84</v>
      </c>
      <c r="U2337" s="3">
        <v>0.23</v>
      </c>
      <c r="V2337" s="3">
        <v>0.94</v>
      </c>
      <c r="W2337">
        <v>0.39</v>
      </c>
      <c r="X2337" t="s">
        <v>108</v>
      </c>
      <c r="Y2337" s="3">
        <v>5.14</v>
      </c>
      <c r="Z2337" t="s">
        <v>9850</v>
      </c>
      <c r="AA2337" t="s">
        <v>714</v>
      </c>
      <c r="AB2337" t="s">
        <v>53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f t="shared" si="72"/>
        <v>7.15</v>
      </c>
      <c r="AK2337" s="3">
        <f t="shared" si="73"/>
        <v>2.0100000000000007</v>
      </c>
    </row>
    <row r="2338" spans="1:37">
      <c r="A2338">
        <v>10402379</v>
      </c>
      <c r="B2338" t="s">
        <v>37</v>
      </c>
      <c r="C2338" t="s">
        <v>14990</v>
      </c>
      <c r="E2338" t="s">
        <v>6832</v>
      </c>
      <c r="F2338" t="s">
        <v>6570</v>
      </c>
      <c r="G2338" t="s">
        <v>14991</v>
      </c>
      <c r="H2338" t="s">
        <v>42</v>
      </c>
      <c r="I2338" t="s">
        <v>14992</v>
      </c>
      <c r="J2338" t="s">
        <v>14993</v>
      </c>
      <c r="K2338">
        <v>52457</v>
      </c>
      <c r="L2338" t="s">
        <v>71</v>
      </c>
      <c r="M2338" t="s">
        <v>46</v>
      </c>
      <c r="N2338" t="s">
        <v>47</v>
      </c>
      <c r="O2338">
        <v>1</v>
      </c>
      <c r="P2338">
        <v>1</v>
      </c>
      <c r="Q2338">
        <v>1</v>
      </c>
      <c r="R2338" t="s">
        <v>48</v>
      </c>
      <c r="S2338" t="s">
        <v>49</v>
      </c>
      <c r="T2338" s="3">
        <v>0.84</v>
      </c>
      <c r="U2338" s="3">
        <v>0.23</v>
      </c>
      <c r="V2338" s="3">
        <v>0.94</v>
      </c>
      <c r="W2338">
        <v>0.15</v>
      </c>
      <c r="X2338" t="s">
        <v>108</v>
      </c>
      <c r="Y2338" s="3">
        <v>5.13</v>
      </c>
      <c r="Z2338" t="s">
        <v>9850</v>
      </c>
      <c r="AA2338" t="s">
        <v>6464</v>
      </c>
      <c r="AB2338" t="s">
        <v>53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f t="shared" si="72"/>
        <v>7.1400000000000006</v>
      </c>
      <c r="AK2338" s="3">
        <f t="shared" si="73"/>
        <v>2.0100000000000007</v>
      </c>
    </row>
    <row r="2339" spans="1:37">
      <c r="A2339">
        <v>10400910</v>
      </c>
      <c r="B2339" t="s">
        <v>37</v>
      </c>
      <c r="C2339" t="s">
        <v>14994</v>
      </c>
      <c r="E2339" t="s">
        <v>14995</v>
      </c>
      <c r="F2339" t="s">
        <v>14996</v>
      </c>
      <c r="G2339" t="s">
        <v>14997</v>
      </c>
      <c r="H2339" t="s">
        <v>42</v>
      </c>
      <c r="I2339" t="s">
        <v>14998</v>
      </c>
      <c r="J2339" t="s">
        <v>14999</v>
      </c>
      <c r="K2339">
        <v>22767</v>
      </c>
      <c r="L2339" t="s">
        <v>71</v>
      </c>
      <c r="M2339" t="s">
        <v>46</v>
      </c>
      <c r="N2339" t="s">
        <v>47</v>
      </c>
      <c r="O2339">
        <v>1</v>
      </c>
      <c r="P2339">
        <v>1</v>
      </c>
      <c r="Q2339">
        <v>1</v>
      </c>
      <c r="R2339" t="s">
        <v>48</v>
      </c>
      <c r="S2339" t="s">
        <v>49</v>
      </c>
      <c r="T2339" s="3">
        <v>0.84</v>
      </c>
      <c r="U2339" s="3">
        <v>0.23</v>
      </c>
      <c r="V2339" s="3">
        <v>0.94</v>
      </c>
      <c r="W2339">
        <v>0.49</v>
      </c>
      <c r="X2339" t="s">
        <v>108</v>
      </c>
      <c r="Y2339" s="3">
        <v>5.14</v>
      </c>
      <c r="Z2339" t="s">
        <v>9850</v>
      </c>
      <c r="AA2339" t="s">
        <v>3486</v>
      </c>
      <c r="AB2339" t="s">
        <v>53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f t="shared" si="72"/>
        <v>7.15</v>
      </c>
      <c r="AK2339" s="3">
        <f t="shared" si="73"/>
        <v>2.0100000000000007</v>
      </c>
    </row>
    <row r="2340" spans="1:37">
      <c r="A2340">
        <v>10400887</v>
      </c>
      <c r="B2340" t="s">
        <v>37</v>
      </c>
      <c r="C2340" t="s">
        <v>15000</v>
      </c>
      <c r="E2340" t="s">
        <v>15001</v>
      </c>
      <c r="F2340" t="s">
        <v>14508</v>
      </c>
      <c r="G2340" t="s">
        <v>15002</v>
      </c>
      <c r="H2340" t="s">
        <v>42</v>
      </c>
      <c r="I2340" t="s">
        <v>15003</v>
      </c>
      <c r="J2340" t="s">
        <v>15004</v>
      </c>
      <c r="K2340">
        <v>1070</v>
      </c>
      <c r="L2340" t="s">
        <v>505</v>
      </c>
      <c r="M2340" t="s">
        <v>46</v>
      </c>
      <c r="N2340" t="s">
        <v>47</v>
      </c>
      <c r="O2340">
        <v>1</v>
      </c>
      <c r="P2340">
        <v>1</v>
      </c>
      <c r="Q2340">
        <v>1</v>
      </c>
      <c r="R2340" t="s">
        <v>48</v>
      </c>
      <c r="S2340" t="s">
        <v>49</v>
      </c>
      <c r="T2340" s="3">
        <v>0.84</v>
      </c>
      <c r="U2340" s="3">
        <v>0.23</v>
      </c>
      <c r="V2340" s="3">
        <v>0.94</v>
      </c>
      <c r="W2340">
        <v>0.39</v>
      </c>
      <c r="X2340" t="s">
        <v>50</v>
      </c>
      <c r="Y2340" s="3">
        <v>9.1999999999999993</v>
      </c>
      <c r="Z2340" t="s">
        <v>9850</v>
      </c>
      <c r="AA2340" t="s">
        <v>6196</v>
      </c>
      <c r="AB2340" t="s">
        <v>53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f t="shared" si="72"/>
        <v>11.209999999999999</v>
      </c>
      <c r="AK2340" s="3">
        <f t="shared" si="73"/>
        <v>2.0099999999999998</v>
      </c>
    </row>
    <row r="2341" spans="1:37">
      <c r="A2341">
        <v>10402875</v>
      </c>
      <c r="B2341" t="s">
        <v>37</v>
      </c>
      <c r="C2341" t="s">
        <v>15005</v>
      </c>
      <c r="E2341" t="s">
        <v>39</v>
      </c>
      <c r="F2341" t="s">
        <v>15006</v>
      </c>
      <c r="G2341" t="s">
        <v>15007</v>
      </c>
      <c r="H2341" t="s">
        <v>42</v>
      </c>
      <c r="I2341" t="s">
        <v>15008</v>
      </c>
      <c r="J2341" t="s">
        <v>15009</v>
      </c>
      <c r="K2341">
        <v>48155</v>
      </c>
      <c r="L2341" t="s">
        <v>71</v>
      </c>
      <c r="M2341" t="s">
        <v>46</v>
      </c>
      <c r="N2341" t="s">
        <v>47</v>
      </c>
      <c r="O2341">
        <v>1</v>
      </c>
      <c r="P2341">
        <v>1</v>
      </c>
      <c r="Q2341">
        <v>1</v>
      </c>
      <c r="R2341" t="s">
        <v>48</v>
      </c>
      <c r="S2341" t="s">
        <v>49</v>
      </c>
      <c r="T2341" s="3">
        <v>0.84</v>
      </c>
      <c r="U2341" s="3">
        <v>0.23</v>
      </c>
      <c r="V2341" s="3">
        <v>0.94</v>
      </c>
      <c r="W2341">
        <v>0.15</v>
      </c>
      <c r="X2341" t="s">
        <v>108</v>
      </c>
      <c r="Y2341" s="3">
        <v>5.13</v>
      </c>
      <c r="Z2341" t="s">
        <v>9850</v>
      </c>
      <c r="AA2341" t="s">
        <v>6464</v>
      </c>
      <c r="AB2341" t="s">
        <v>53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f t="shared" si="72"/>
        <v>7.1400000000000006</v>
      </c>
      <c r="AK2341" s="3">
        <f t="shared" si="73"/>
        <v>2.0100000000000007</v>
      </c>
    </row>
    <row r="2342" spans="1:37">
      <c r="A2342">
        <v>10400056</v>
      </c>
      <c r="B2342" t="s">
        <v>37</v>
      </c>
      <c r="C2342" t="s">
        <v>15010</v>
      </c>
      <c r="E2342" t="s">
        <v>7621</v>
      </c>
      <c r="F2342" t="s">
        <v>15011</v>
      </c>
      <c r="G2342" t="s">
        <v>15012</v>
      </c>
      <c r="H2342" t="s">
        <v>42</v>
      </c>
      <c r="I2342" t="s">
        <v>15013</v>
      </c>
      <c r="J2342" t="s">
        <v>15014</v>
      </c>
      <c r="K2342">
        <v>44532</v>
      </c>
      <c r="L2342" t="s">
        <v>71</v>
      </c>
      <c r="M2342" t="s">
        <v>46</v>
      </c>
      <c r="N2342" t="s">
        <v>47</v>
      </c>
      <c r="O2342">
        <v>1</v>
      </c>
      <c r="P2342">
        <v>1</v>
      </c>
      <c r="Q2342">
        <v>1</v>
      </c>
      <c r="R2342" t="s">
        <v>48</v>
      </c>
      <c r="S2342" t="s">
        <v>49</v>
      </c>
      <c r="T2342" s="3">
        <v>0.84</v>
      </c>
      <c r="U2342" s="3">
        <v>0.23</v>
      </c>
      <c r="V2342" s="3">
        <v>0.94</v>
      </c>
      <c r="W2342">
        <v>0.15</v>
      </c>
      <c r="X2342" t="s">
        <v>108</v>
      </c>
      <c r="Y2342" s="3">
        <v>5.14</v>
      </c>
      <c r="Z2342" t="s">
        <v>9850</v>
      </c>
      <c r="AA2342" t="s">
        <v>9271</v>
      </c>
      <c r="AB2342" t="s">
        <v>53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f t="shared" si="72"/>
        <v>7.15</v>
      </c>
      <c r="AK2342" s="3">
        <f t="shared" si="73"/>
        <v>2.0100000000000007</v>
      </c>
    </row>
    <row r="2343" spans="1:37">
      <c r="A2343">
        <v>10402881</v>
      </c>
      <c r="B2343" t="s">
        <v>37</v>
      </c>
      <c r="C2343" t="s">
        <v>15015</v>
      </c>
      <c r="E2343" t="s">
        <v>12888</v>
      </c>
      <c r="F2343" t="s">
        <v>15016</v>
      </c>
      <c r="G2343" t="s">
        <v>15017</v>
      </c>
      <c r="H2343" t="s">
        <v>42</v>
      </c>
      <c r="I2343" t="s">
        <v>15018</v>
      </c>
      <c r="J2343" t="s">
        <v>15019</v>
      </c>
      <c r="K2343">
        <v>65428</v>
      </c>
      <c r="L2343" t="s">
        <v>71</v>
      </c>
      <c r="M2343" t="s">
        <v>46</v>
      </c>
      <c r="N2343" t="s">
        <v>47</v>
      </c>
      <c r="O2343">
        <v>1</v>
      </c>
      <c r="P2343">
        <v>1</v>
      </c>
      <c r="Q2343">
        <v>1</v>
      </c>
      <c r="R2343" t="s">
        <v>48</v>
      </c>
      <c r="S2343" t="s">
        <v>49</v>
      </c>
      <c r="T2343" s="3">
        <v>0.84</v>
      </c>
      <c r="U2343" s="3">
        <v>0.23</v>
      </c>
      <c r="V2343" s="3">
        <v>0.94</v>
      </c>
      <c r="W2343">
        <v>0.15</v>
      </c>
      <c r="X2343" t="s">
        <v>108</v>
      </c>
      <c r="Y2343" s="3">
        <v>5.13</v>
      </c>
      <c r="Z2343" t="s">
        <v>9850</v>
      </c>
      <c r="AA2343" t="s">
        <v>6464</v>
      </c>
      <c r="AB2343" t="s">
        <v>53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f t="shared" si="72"/>
        <v>7.1400000000000006</v>
      </c>
      <c r="AK2343" s="3">
        <f t="shared" si="73"/>
        <v>2.0100000000000007</v>
      </c>
    </row>
    <row r="2344" spans="1:37">
      <c r="A2344">
        <v>10400054</v>
      </c>
      <c r="B2344" t="s">
        <v>37</v>
      </c>
      <c r="C2344" t="s">
        <v>15020</v>
      </c>
      <c r="E2344" t="s">
        <v>1244</v>
      </c>
      <c r="F2344" t="s">
        <v>15021</v>
      </c>
      <c r="G2344" t="s">
        <v>15022</v>
      </c>
      <c r="H2344" t="s">
        <v>42</v>
      </c>
      <c r="I2344" t="s">
        <v>15023</v>
      </c>
      <c r="J2344" t="s">
        <v>15024</v>
      </c>
      <c r="K2344">
        <v>3526</v>
      </c>
      <c r="L2344" t="s">
        <v>369</v>
      </c>
      <c r="M2344" t="s">
        <v>46</v>
      </c>
      <c r="N2344" t="s">
        <v>47</v>
      </c>
      <c r="O2344">
        <v>1</v>
      </c>
      <c r="P2344">
        <v>1</v>
      </c>
      <c r="Q2344">
        <v>1</v>
      </c>
      <c r="R2344" t="s">
        <v>48</v>
      </c>
      <c r="S2344" t="s">
        <v>49</v>
      </c>
      <c r="T2344" s="3">
        <v>0.84</v>
      </c>
      <c r="U2344" s="3">
        <v>0.23</v>
      </c>
      <c r="V2344" s="3">
        <v>0.94</v>
      </c>
      <c r="W2344">
        <v>0.39</v>
      </c>
      <c r="X2344" t="s">
        <v>50</v>
      </c>
      <c r="Y2344" s="3">
        <v>9.1999999999999993</v>
      </c>
      <c r="Z2344" t="s">
        <v>9850</v>
      </c>
      <c r="AA2344" t="s">
        <v>1802</v>
      </c>
      <c r="AB2344" t="s">
        <v>53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f t="shared" si="72"/>
        <v>11.209999999999999</v>
      </c>
      <c r="AK2344" s="3">
        <f t="shared" si="73"/>
        <v>2.0099999999999998</v>
      </c>
    </row>
    <row r="2345" spans="1:37">
      <c r="A2345">
        <v>10401948</v>
      </c>
      <c r="B2345" t="s">
        <v>37</v>
      </c>
      <c r="C2345" t="s">
        <v>15025</v>
      </c>
      <c r="E2345" t="s">
        <v>1658</v>
      </c>
      <c r="F2345" t="s">
        <v>15026</v>
      </c>
      <c r="G2345" t="s">
        <v>15027</v>
      </c>
      <c r="H2345" t="s">
        <v>42</v>
      </c>
      <c r="I2345" t="s">
        <v>15028</v>
      </c>
      <c r="J2345" t="s">
        <v>15029</v>
      </c>
      <c r="K2345">
        <v>48432</v>
      </c>
      <c r="L2345" t="s">
        <v>71</v>
      </c>
      <c r="M2345" t="s">
        <v>46</v>
      </c>
      <c r="N2345" t="s">
        <v>47</v>
      </c>
      <c r="O2345">
        <v>1</v>
      </c>
      <c r="P2345">
        <v>1</v>
      </c>
      <c r="Q2345">
        <v>1</v>
      </c>
      <c r="R2345" t="s">
        <v>48</v>
      </c>
      <c r="S2345" t="s">
        <v>49</v>
      </c>
      <c r="T2345" s="3">
        <v>0.84</v>
      </c>
      <c r="U2345" s="3">
        <v>0.23</v>
      </c>
      <c r="V2345" s="3">
        <v>0.94</v>
      </c>
      <c r="W2345">
        <v>0.39</v>
      </c>
      <c r="X2345" t="s">
        <v>108</v>
      </c>
      <c r="Y2345" s="3">
        <v>5.13</v>
      </c>
      <c r="Z2345" t="s">
        <v>9850</v>
      </c>
      <c r="AA2345" t="s">
        <v>1802</v>
      </c>
      <c r="AB2345" t="s">
        <v>53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f t="shared" si="72"/>
        <v>7.1400000000000006</v>
      </c>
      <c r="AK2345" s="3">
        <f t="shared" si="73"/>
        <v>2.0100000000000007</v>
      </c>
    </row>
    <row r="2346" spans="1:37">
      <c r="A2346">
        <v>10400351</v>
      </c>
      <c r="B2346" t="s">
        <v>37</v>
      </c>
      <c r="C2346" t="s">
        <v>15030</v>
      </c>
      <c r="E2346" t="s">
        <v>3705</v>
      </c>
      <c r="F2346" t="s">
        <v>15031</v>
      </c>
      <c r="G2346" t="s">
        <v>15032</v>
      </c>
      <c r="H2346" t="s">
        <v>42</v>
      </c>
      <c r="I2346" t="s">
        <v>15033</v>
      </c>
      <c r="J2346" t="s">
        <v>15034</v>
      </c>
      <c r="K2346">
        <v>82541</v>
      </c>
      <c r="L2346" t="s">
        <v>71</v>
      </c>
      <c r="M2346" t="s">
        <v>46</v>
      </c>
      <c r="N2346" t="s">
        <v>47</v>
      </c>
      <c r="O2346">
        <v>1</v>
      </c>
      <c r="P2346">
        <v>1</v>
      </c>
      <c r="Q2346">
        <v>1</v>
      </c>
      <c r="R2346" t="s">
        <v>48</v>
      </c>
      <c r="S2346" t="s">
        <v>49</v>
      </c>
      <c r="T2346" s="3">
        <v>0.84</v>
      </c>
      <c r="U2346" s="3">
        <v>0.23</v>
      </c>
      <c r="V2346" s="3">
        <v>0.94</v>
      </c>
      <c r="W2346">
        <v>0.15</v>
      </c>
      <c r="X2346" t="s">
        <v>108</v>
      </c>
      <c r="Y2346" s="3">
        <v>5.14</v>
      </c>
      <c r="Z2346" t="s">
        <v>9850</v>
      </c>
      <c r="AA2346" t="s">
        <v>6464</v>
      </c>
      <c r="AB2346" t="s">
        <v>53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f t="shared" si="72"/>
        <v>7.15</v>
      </c>
      <c r="AK2346" s="3">
        <f t="shared" si="73"/>
        <v>2.0100000000000007</v>
      </c>
    </row>
    <row r="2347" spans="1:37">
      <c r="A2347">
        <v>10401945</v>
      </c>
      <c r="B2347" t="s">
        <v>37</v>
      </c>
      <c r="C2347" t="s">
        <v>15035</v>
      </c>
      <c r="E2347" t="s">
        <v>15036</v>
      </c>
      <c r="F2347" t="s">
        <v>15037</v>
      </c>
      <c r="G2347" t="s">
        <v>15038</v>
      </c>
      <c r="H2347" t="s">
        <v>42</v>
      </c>
      <c r="I2347" t="s">
        <v>15039</v>
      </c>
      <c r="J2347" t="s">
        <v>15040</v>
      </c>
      <c r="K2347">
        <v>10178</v>
      </c>
      <c r="L2347" t="s">
        <v>71</v>
      </c>
      <c r="M2347" t="s">
        <v>46</v>
      </c>
      <c r="N2347" t="s">
        <v>47</v>
      </c>
      <c r="O2347">
        <v>1</v>
      </c>
      <c r="P2347">
        <v>1</v>
      </c>
      <c r="Q2347">
        <v>1</v>
      </c>
      <c r="R2347" t="s">
        <v>48</v>
      </c>
      <c r="S2347" t="s">
        <v>49</v>
      </c>
      <c r="T2347" s="3">
        <v>0.84</v>
      </c>
      <c r="U2347" s="3">
        <v>0.23</v>
      </c>
      <c r="V2347" s="3">
        <v>0.94</v>
      </c>
      <c r="W2347">
        <v>0.15</v>
      </c>
      <c r="X2347" t="s">
        <v>108</v>
      </c>
      <c r="Y2347" s="3">
        <v>5.13</v>
      </c>
      <c r="Z2347" t="s">
        <v>9850</v>
      </c>
      <c r="AA2347" t="s">
        <v>9271</v>
      </c>
      <c r="AB2347" t="s">
        <v>53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f t="shared" si="72"/>
        <v>7.1400000000000006</v>
      </c>
      <c r="AK2347" s="3">
        <f t="shared" si="73"/>
        <v>2.0100000000000007</v>
      </c>
    </row>
    <row r="2348" spans="1:37">
      <c r="A2348">
        <v>10400648</v>
      </c>
      <c r="B2348" t="s">
        <v>37</v>
      </c>
      <c r="C2348" t="s">
        <v>15041</v>
      </c>
      <c r="E2348" t="s">
        <v>5065</v>
      </c>
      <c r="F2348" t="s">
        <v>15042</v>
      </c>
      <c r="G2348" t="s">
        <v>15043</v>
      </c>
      <c r="H2348" t="s">
        <v>42</v>
      </c>
      <c r="I2348" t="s">
        <v>15044</v>
      </c>
      <c r="J2348" t="s">
        <v>15045</v>
      </c>
      <c r="K2348">
        <v>59399</v>
      </c>
      <c r="L2348" t="s">
        <v>71</v>
      </c>
      <c r="M2348" t="s">
        <v>46</v>
      </c>
      <c r="N2348" t="s">
        <v>47</v>
      </c>
      <c r="O2348">
        <v>1</v>
      </c>
      <c r="P2348">
        <v>1</v>
      </c>
      <c r="Q2348">
        <v>1</v>
      </c>
      <c r="R2348" t="s">
        <v>48</v>
      </c>
      <c r="S2348" t="s">
        <v>49</v>
      </c>
      <c r="T2348" s="3">
        <v>0.84</v>
      </c>
      <c r="U2348" s="3">
        <v>0.23</v>
      </c>
      <c r="V2348" s="3">
        <v>0.94</v>
      </c>
      <c r="W2348">
        <v>0.15</v>
      </c>
      <c r="X2348" t="s">
        <v>108</v>
      </c>
      <c r="Y2348" s="3">
        <v>5.14</v>
      </c>
      <c r="Z2348" t="s">
        <v>9850</v>
      </c>
      <c r="AA2348" t="s">
        <v>6464</v>
      </c>
      <c r="AB2348" t="s">
        <v>53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f t="shared" si="72"/>
        <v>7.15</v>
      </c>
      <c r="AK2348" s="3">
        <f t="shared" si="73"/>
        <v>2.0100000000000007</v>
      </c>
    </row>
    <row r="2349" spans="1:37">
      <c r="A2349">
        <v>10402177</v>
      </c>
      <c r="B2349" t="s">
        <v>37</v>
      </c>
      <c r="C2349" t="s">
        <v>15046</v>
      </c>
      <c r="E2349" t="s">
        <v>664</v>
      </c>
      <c r="F2349" t="s">
        <v>15047</v>
      </c>
      <c r="G2349" t="s">
        <v>15048</v>
      </c>
      <c r="H2349" t="s">
        <v>42</v>
      </c>
      <c r="I2349" t="s">
        <v>15049</v>
      </c>
      <c r="J2349" t="s">
        <v>15050</v>
      </c>
      <c r="K2349">
        <v>45966</v>
      </c>
      <c r="L2349" t="s">
        <v>71</v>
      </c>
      <c r="M2349" t="s">
        <v>46</v>
      </c>
      <c r="N2349" t="s">
        <v>47</v>
      </c>
      <c r="O2349">
        <v>1</v>
      </c>
      <c r="P2349">
        <v>1</v>
      </c>
      <c r="Q2349">
        <v>1</v>
      </c>
      <c r="R2349" t="s">
        <v>48</v>
      </c>
      <c r="S2349" t="s">
        <v>49</v>
      </c>
      <c r="T2349" s="3">
        <v>0.84</v>
      </c>
      <c r="U2349" s="3">
        <v>0.23</v>
      </c>
      <c r="V2349" s="3">
        <v>0.94</v>
      </c>
      <c r="W2349">
        <v>0.15</v>
      </c>
      <c r="X2349" t="s">
        <v>108</v>
      </c>
      <c r="Y2349" s="3">
        <v>5.13</v>
      </c>
      <c r="Z2349" t="s">
        <v>9850</v>
      </c>
      <c r="AA2349" t="s">
        <v>9271</v>
      </c>
      <c r="AB2349" t="s">
        <v>53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f t="shared" si="72"/>
        <v>7.1400000000000006</v>
      </c>
      <c r="AK2349" s="3">
        <f t="shared" si="73"/>
        <v>2.0100000000000007</v>
      </c>
    </row>
    <row r="2350" spans="1:37">
      <c r="A2350">
        <v>10405729</v>
      </c>
      <c r="B2350" t="s">
        <v>37</v>
      </c>
      <c r="C2350" t="s">
        <v>15051</v>
      </c>
      <c r="E2350" t="s">
        <v>15052</v>
      </c>
      <c r="F2350" t="s">
        <v>15053</v>
      </c>
      <c r="G2350" t="s">
        <v>15054</v>
      </c>
      <c r="H2350" t="s">
        <v>42</v>
      </c>
      <c r="I2350" t="s">
        <v>15055</v>
      </c>
      <c r="J2350" t="s">
        <v>15056</v>
      </c>
      <c r="K2350">
        <v>81667</v>
      </c>
      <c r="L2350" t="s">
        <v>71</v>
      </c>
      <c r="M2350" t="s">
        <v>46</v>
      </c>
      <c r="N2350" t="s">
        <v>47</v>
      </c>
      <c r="O2350">
        <v>1</v>
      </c>
      <c r="P2350">
        <v>1</v>
      </c>
      <c r="Q2350">
        <v>1</v>
      </c>
      <c r="R2350" t="s">
        <v>48</v>
      </c>
      <c r="S2350" t="s">
        <v>49</v>
      </c>
      <c r="T2350" s="3">
        <v>0.84</v>
      </c>
      <c r="U2350" s="3">
        <v>0.23</v>
      </c>
      <c r="V2350" s="3">
        <v>0.94</v>
      </c>
      <c r="W2350">
        <v>1.02</v>
      </c>
      <c r="X2350" t="s">
        <v>108</v>
      </c>
      <c r="Y2350" s="3">
        <v>5.13</v>
      </c>
      <c r="Z2350" t="s">
        <v>9686</v>
      </c>
      <c r="AA2350" t="s">
        <v>15057</v>
      </c>
      <c r="AB2350" t="s">
        <v>53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f t="shared" si="72"/>
        <v>7.1400000000000006</v>
      </c>
      <c r="AK2350" s="3">
        <f t="shared" si="73"/>
        <v>2.0100000000000007</v>
      </c>
    </row>
    <row r="2351" spans="1:37">
      <c r="A2351">
        <v>10400062</v>
      </c>
      <c r="B2351" t="s">
        <v>37</v>
      </c>
      <c r="C2351" t="s">
        <v>15058</v>
      </c>
      <c r="E2351" t="s">
        <v>9187</v>
      </c>
      <c r="F2351" t="s">
        <v>15059</v>
      </c>
      <c r="G2351" t="s">
        <v>15060</v>
      </c>
      <c r="H2351" t="s">
        <v>42</v>
      </c>
      <c r="I2351" t="s">
        <v>15061</v>
      </c>
      <c r="J2351" t="s">
        <v>15062</v>
      </c>
      <c r="K2351">
        <v>30455</v>
      </c>
      <c r="L2351" t="s">
        <v>71</v>
      </c>
      <c r="M2351" t="s">
        <v>46</v>
      </c>
      <c r="N2351" t="s">
        <v>47</v>
      </c>
      <c r="O2351">
        <v>1</v>
      </c>
      <c r="P2351">
        <v>1</v>
      </c>
      <c r="Q2351">
        <v>1</v>
      </c>
      <c r="R2351" t="s">
        <v>48</v>
      </c>
      <c r="S2351" t="s">
        <v>49</v>
      </c>
      <c r="T2351" s="3">
        <v>0.84</v>
      </c>
      <c r="U2351" s="3">
        <v>0.23</v>
      </c>
      <c r="V2351" s="3">
        <v>0.94</v>
      </c>
      <c r="W2351">
        <v>0.15</v>
      </c>
      <c r="X2351" t="s">
        <v>108</v>
      </c>
      <c r="Y2351" s="3">
        <v>5.14</v>
      </c>
      <c r="Z2351" t="s">
        <v>9850</v>
      </c>
      <c r="AA2351" t="s">
        <v>9271</v>
      </c>
      <c r="AB2351" t="s">
        <v>53</v>
      </c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s="3">
        <f t="shared" si="72"/>
        <v>7.15</v>
      </c>
      <c r="AK2351" s="3">
        <f t="shared" si="73"/>
        <v>2.0100000000000007</v>
      </c>
    </row>
    <row r="2352" spans="1:37">
      <c r="A2352">
        <v>10403469</v>
      </c>
      <c r="B2352" t="s">
        <v>37</v>
      </c>
      <c r="C2352" t="s">
        <v>15063</v>
      </c>
      <c r="E2352" t="s">
        <v>12423</v>
      </c>
      <c r="F2352" t="s">
        <v>15064</v>
      </c>
      <c r="G2352" t="s">
        <v>15065</v>
      </c>
      <c r="H2352" t="s">
        <v>42</v>
      </c>
      <c r="I2352" t="s">
        <v>15066</v>
      </c>
      <c r="J2352" t="s">
        <v>15067</v>
      </c>
      <c r="K2352">
        <v>10000</v>
      </c>
      <c r="L2352" t="s">
        <v>9620</v>
      </c>
      <c r="M2352" t="s">
        <v>46</v>
      </c>
      <c r="N2352" t="s">
        <v>47</v>
      </c>
      <c r="O2352">
        <v>1</v>
      </c>
      <c r="P2352">
        <v>1</v>
      </c>
      <c r="Q2352">
        <v>1</v>
      </c>
      <c r="R2352" t="s">
        <v>48</v>
      </c>
      <c r="S2352" t="s">
        <v>49</v>
      </c>
      <c r="T2352" s="3">
        <v>0.84</v>
      </c>
      <c r="U2352" s="3">
        <v>0.23</v>
      </c>
      <c r="V2352" s="3">
        <v>0.94</v>
      </c>
      <c r="W2352">
        <v>0.49</v>
      </c>
      <c r="X2352" t="s">
        <v>100</v>
      </c>
      <c r="Y2352" s="3">
        <v>21.7</v>
      </c>
      <c r="Z2352" t="s">
        <v>9850</v>
      </c>
      <c r="AA2352" t="s">
        <v>966</v>
      </c>
      <c r="AB2352" t="s">
        <v>53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f t="shared" si="72"/>
        <v>23.71</v>
      </c>
      <c r="AK2352" s="3">
        <f t="shared" si="73"/>
        <v>2.0100000000000016</v>
      </c>
    </row>
    <row r="2353" spans="1:37">
      <c r="A2353">
        <v>10400650</v>
      </c>
      <c r="B2353" t="s">
        <v>37</v>
      </c>
      <c r="C2353" t="s">
        <v>15068</v>
      </c>
      <c r="E2353" t="s">
        <v>12739</v>
      </c>
      <c r="F2353" t="s">
        <v>12740</v>
      </c>
      <c r="G2353" t="s">
        <v>15069</v>
      </c>
      <c r="H2353" t="s">
        <v>42</v>
      </c>
      <c r="I2353" t="s">
        <v>15070</v>
      </c>
      <c r="J2353" t="s">
        <v>12743</v>
      </c>
      <c r="K2353">
        <v>50935</v>
      </c>
      <c r="L2353" t="s">
        <v>71</v>
      </c>
      <c r="M2353" t="s">
        <v>46</v>
      </c>
      <c r="N2353" t="s">
        <v>47</v>
      </c>
      <c r="O2353">
        <v>1</v>
      </c>
      <c r="P2353">
        <v>1</v>
      </c>
      <c r="Q2353">
        <v>1</v>
      </c>
      <c r="R2353" t="s">
        <v>48</v>
      </c>
      <c r="S2353" t="s">
        <v>49</v>
      </c>
      <c r="T2353" s="3">
        <v>0.84</v>
      </c>
      <c r="U2353" s="3">
        <v>0.23</v>
      </c>
      <c r="V2353" s="3">
        <v>0.94</v>
      </c>
      <c r="W2353">
        <v>0.15</v>
      </c>
      <c r="X2353" t="s">
        <v>108</v>
      </c>
      <c r="Y2353" s="3">
        <v>5.14</v>
      </c>
      <c r="Z2353" t="s">
        <v>9850</v>
      </c>
      <c r="AA2353" t="s">
        <v>6464</v>
      </c>
      <c r="AB2353" t="s">
        <v>53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s="3">
        <f t="shared" si="72"/>
        <v>7.15</v>
      </c>
      <c r="AK2353" s="3">
        <f t="shared" si="73"/>
        <v>2.0100000000000007</v>
      </c>
    </row>
    <row r="2354" spans="1:37">
      <c r="A2354">
        <v>10402575</v>
      </c>
      <c r="B2354" t="s">
        <v>37</v>
      </c>
      <c r="C2354" t="s">
        <v>15071</v>
      </c>
      <c r="E2354" t="s">
        <v>15072</v>
      </c>
      <c r="F2354" t="s">
        <v>15073</v>
      </c>
      <c r="G2354" t="s">
        <v>15074</v>
      </c>
      <c r="H2354" t="s">
        <v>42</v>
      </c>
      <c r="I2354" t="s">
        <v>15075</v>
      </c>
      <c r="J2354" t="s">
        <v>15076</v>
      </c>
      <c r="K2354">
        <v>57072</v>
      </c>
      <c r="L2354" t="s">
        <v>71</v>
      </c>
      <c r="M2354" t="s">
        <v>46</v>
      </c>
      <c r="N2354" t="s">
        <v>47</v>
      </c>
      <c r="O2354">
        <v>1</v>
      </c>
      <c r="P2354">
        <v>1</v>
      </c>
      <c r="Q2354">
        <v>1</v>
      </c>
      <c r="R2354" t="s">
        <v>48</v>
      </c>
      <c r="S2354" t="s">
        <v>49</v>
      </c>
      <c r="T2354" s="3">
        <v>0.84</v>
      </c>
      <c r="U2354" s="3">
        <v>0.23</v>
      </c>
      <c r="V2354" s="3">
        <v>0.94</v>
      </c>
      <c r="W2354">
        <v>1.4</v>
      </c>
      <c r="X2354" t="s">
        <v>108</v>
      </c>
      <c r="Y2354" s="3">
        <v>5.13</v>
      </c>
      <c r="Z2354" t="s">
        <v>9686</v>
      </c>
      <c r="AA2354" t="s">
        <v>1305</v>
      </c>
      <c r="AB2354" t="s">
        <v>53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f t="shared" si="72"/>
        <v>7.1400000000000006</v>
      </c>
      <c r="AK2354" s="3">
        <f t="shared" si="73"/>
        <v>2.0100000000000007</v>
      </c>
    </row>
    <row r="2355" spans="1:37">
      <c r="A2355">
        <v>10405481</v>
      </c>
      <c r="B2355" t="s">
        <v>37</v>
      </c>
      <c r="C2355" t="s">
        <v>15077</v>
      </c>
      <c r="E2355" t="s">
        <v>8092</v>
      </c>
      <c r="F2355" t="s">
        <v>15078</v>
      </c>
      <c r="G2355" t="s">
        <v>15079</v>
      </c>
      <c r="H2355" t="s">
        <v>42</v>
      </c>
      <c r="I2355" t="s">
        <v>15080</v>
      </c>
      <c r="J2355" t="s">
        <v>15081</v>
      </c>
      <c r="K2355">
        <v>74538</v>
      </c>
      <c r="L2355" t="s">
        <v>71</v>
      </c>
      <c r="M2355" t="s">
        <v>46</v>
      </c>
      <c r="N2355" t="s">
        <v>47</v>
      </c>
      <c r="O2355">
        <v>1</v>
      </c>
      <c r="P2355">
        <v>1</v>
      </c>
      <c r="Q2355">
        <v>1</v>
      </c>
      <c r="R2355" t="s">
        <v>48</v>
      </c>
      <c r="S2355" t="s">
        <v>49</v>
      </c>
      <c r="T2355" s="3">
        <v>0.84</v>
      </c>
      <c r="U2355" s="3">
        <v>0.23</v>
      </c>
      <c r="V2355" s="3">
        <v>0.94</v>
      </c>
      <c r="W2355">
        <v>1.4</v>
      </c>
      <c r="X2355" t="s">
        <v>108</v>
      </c>
      <c r="Y2355" s="3">
        <v>5.13</v>
      </c>
      <c r="Z2355" t="s">
        <v>9686</v>
      </c>
      <c r="AA2355" t="s">
        <v>259</v>
      </c>
      <c r="AB2355" t="s">
        <v>53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s="3">
        <f t="shared" si="72"/>
        <v>7.1400000000000006</v>
      </c>
      <c r="AK2355" s="3">
        <f t="shared" si="73"/>
        <v>2.0100000000000007</v>
      </c>
    </row>
    <row r="2356" spans="1:37">
      <c r="A2356">
        <v>10400653</v>
      </c>
      <c r="B2356" t="s">
        <v>37</v>
      </c>
      <c r="C2356" t="s">
        <v>15082</v>
      </c>
      <c r="E2356" t="s">
        <v>3574</v>
      </c>
      <c r="F2356" t="s">
        <v>15083</v>
      </c>
      <c r="G2356" t="s">
        <v>15084</v>
      </c>
      <c r="H2356" t="s">
        <v>42</v>
      </c>
      <c r="I2356" t="s">
        <v>15085</v>
      </c>
      <c r="J2356" t="s">
        <v>15086</v>
      </c>
      <c r="K2356">
        <v>48734</v>
      </c>
      <c r="L2356" t="s">
        <v>71</v>
      </c>
      <c r="M2356" t="s">
        <v>46</v>
      </c>
      <c r="N2356" t="s">
        <v>47</v>
      </c>
      <c r="O2356">
        <v>1</v>
      </c>
      <c r="P2356">
        <v>1</v>
      </c>
      <c r="Q2356">
        <v>1</v>
      </c>
      <c r="R2356" t="s">
        <v>48</v>
      </c>
      <c r="S2356" t="s">
        <v>49</v>
      </c>
      <c r="T2356" s="3">
        <v>0.84</v>
      </c>
      <c r="U2356" s="3">
        <v>0.23</v>
      </c>
      <c r="V2356" s="3">
        <v>0.94</v>
      </c>
      <c r="W2356">
        <v>0.15</v>
      </c>
      <c r="X2356" t="s">
        <v>108</v>
      </c>
      <c r="Y2356" s="3">
        <v>5.14</v>
      </c>
      <c r="Z2356" t="s">
        <v>9850</v>
      </c>
      <c r="AA2356" t="s">
        <v>6464</v>
      </c>
      <c r="AB2356" t="s">
        <v>53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f t="shared" si="72"/>
        <v>7.15</v>
      </c>
      <c r="AK2356" s="3">
        <f t="shared" si="73"/>
        <v>2.0100000000000007</v>
      </c>
    </row>
    <row r="2357" spans="1:37">
      <c r="A2357">
        <v>10404964</v>
      </c>
      <c r="B2357" t="s">
        <v>37</v>
      </c>
      <c r="C2357" t="s">
        <v>15087</v>
      </c>
      <c r="E2357" t="s">
        <v>10878</v>
      </c>
      <c r="F2357" t="s">
        <v>15088</v>
      </c>
      <c r="G2357" t="s">
        <v>15089</v>
      </c>
      <c r="H2357" t="s">
        <v>42</v>
      </c>
      <c r="I2357" t="s">
        <v>15090</v>
      </c>
      <c r="J2357" t="s">
        <v>15091</v>
      </c>
      <c r="K2357">
        <v>90542</v>
      </c>
      <c r="L2357" t="s">
        <v>71</v>
      </c>
      <c r="M2357" t="s">
        <v>46</v>
      </c>
      <c r="N2357" t="s">
        <v>47</v>
      </c>
      <c r="O2357">
        <v>1</v>
      </c>
      <c r="P2357">
        <v>1</v>
      </c>
      <c r="Q2357">
        <v>1</v>
      </c>
      <c r="R2357" t="s">
        <v>48</v>
      </c>
      <c r="S2357" t="s">
        <v>49</v>
      </c>
      <c r="T2357" s="3">
        <v>0.84</v>
      </c>
      <c r="U2357" s="3">
        <v>0.23</v>
      </c>
      <c r="V2357" s="3">
        <v>0.94</v>
      </c>
      <c r="W2357">
        <v>0.45</v>
      </c>
      <c r="X2357" t="s">
        <v>108</v>
      </c>
      <c r="Y2357" s="3">
        <v>5.13</v>
      </c>
      <c r="Z2357" t="s">
        <v>9850</v>
      </c>
      <c r="AA2357" t="s">
        <v>6431</v>
      </c>
      <c r="AB2357" t="s">
        <v>53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s="3">
        <f t="shared" si="72"/>
        <v>7.1400000000000006</v>
      </c>
      <c r="AK2357" s="3">
        <f t="shared" si="73"/>
        <v>2.0100000000000007</v>
      </c>
    </row>
    <row r="2358" spans="1:37">
      <c r="A2358">
        <v>10400898</v>
      </c>
      <c r="B2358" t="s">
        <v>37</v>
      </c>
      <c r="C2358" t="s">
        <v>15092</v>
      </c>
      <c r="E2358" t="s">
        <v>15093</v>
      </c>
      <c r="F2358" t="s">
        <v>15094</v>
      </c>
      <c r="G2358" t="s">
        <v>15095</v>
      </c>
      <c r="H2358" t="s">
        <v>42</v>
      </c>
      <c r="I2358" t="s">
        <v>15096</v>
      </c>
      <c r="J2358" t="s">
        <v>15097</v>
      </c>
      <c r="K2358">
        <v>86673</v>
      </c>
      <c r="L2358" t="s">
        <v>71</v>
      </c>
      <c r="M2358" t="s">
        <v>46</v>
      </c>
      <c r="N2358" t="s">
        <v>47</v>
      </c>
      <c r="O2358">
        <v>1</v>
      </c>
      <c r="P2358">
        <v>1</v>
      </c>
      <c r="Q2358">
        <v>1</v>
      </c>
      <c r="R2358" t="s">
        <v>48</v>
      </c>
      <c r="S2358" t="s">
        <v>49</v>
      </c>
      <c r="T2358" s="3">
        <v>0.84</v>
      </c>
      <c r="U2358" s="3">
        <v>0.23</v>
      </c>
      <c r="V2358" s="3">
        <v>0.94</v>
      </c>
      <c r="W2358">
        <v>0.15</v>
      </c>
      <c r="X2358" t="s">
        <v>108</v>
      </c>
      <c r="Y2358" s="3">
        <v>5.14</v>
      </c>
      <c r="Z2358" t="s">
        <v>9850</v>
      </c>
      <c r="AA2358" t="s">
        <v>6464</v>
      </c>
      <c r="AB2358" t="s">
        <v>53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f t="shared" si="72"/>
        <v>7.15</v>
      </c>
      <c r="AK2358" s="3">
        <f t="shared" si="73"/>
        <v>2.0100000000000007</v>
      </c>
    </row>
    <row r="2359" spans="1:37">
      <c r="A2359">
        <v>10400649</v>
      </c>
      <c r="B2359" t="s">
        <v>37</v>
      </c>
      <c r="C2359" t="s">
        <v>15098</v>
      </c>
      <c r="E2359" t="s">
        <v>7193</v>
      </c>
      <c r="F2359" t="s">
        <v>1912</v>
      </c>
      <c r="G2359" t="s">
        <v>15099</v>
      </c>
      <c r="H2359" t="s">
        <v>42</v>
      </c>
      <c r="I2359" t="s">
        <v>15100</v>
      </c>
      <c r="J2359" t="s">
        <v>15101</v>
      </c>
      <c r="K2359">
        <v>52152</v>
      </c>
      <c r="L2359" t="s">
        <v>71</v>
      </c>
      <c r="M2359" t="s">
        <v>46</v>
      </c>
      <c r="N2359" t="s">
        <v>47</v>
      </c>
      <c r="O2359">
        <v>1</v>
      </c>
      <c r="P2359">
        <v>1</v>
      </c>
      <c r="Q2359">
        <v>1</v>
      </c>
      <c r="R2359" t="s">
        <v>48</v>
      </c>
      <c r="S2359" t="s">
        <v>49</v>
      </c>
      <c r="T2359" s="3">
        <v>0.84</v>
      </c>
      <c r="U2359" s="3">
        <v>0.23</v>
      </c>
      <c r="V2359" s="3">
        <v>0.94</v>
      </c>
      <c r="W2359">
        <v>0.15</v>
      </c>
      <c r="X2359" t="s">
        <v>108</v>
      </c>
      <c r="Y2359" s="3">
        <v>5.14</v>
      </c>
      <c r="Z2359" t="s">
        <v>9850</v>
      </c>
      <c r="AA2359" t="s">
        <v>9271</v>
      </c>
      <c r="AB2359" t="s">
        <v>53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f t="shared" si="72"/>
        <v>7.15</v>
      </c>
      <c r="AK2359" s="3">
        <f t="shared" si="73"/>
        <v>2.0100000000000007</v>
      </c>
    </row>
    <row r="2360" spans="1:37">
      <c r="A2360">
        <v>10404416</v>
      </c>
      <c r="B2360" t="s">
        <v>37</v>
      </c>
      <c r="C2360" t="s">
        <v>15102</v>
      </c>
      <c r="E2360" t="s">
        <v>7500</v>
      </c>
      <c r="F2360" t="s">
        <v>934</v>
      </c>
      <c r="G2360" t="s">
        <v>15103</v>
      </c>
      <c r="H2360" t="s">
        <v>42</v>
      </c>
      <c r="I2360" t="s">
        <v>15104</v>
      </c>
      <c r="J2360" t="s">
        <v>15105</v>
      </c>
      <c r="K2360">
        <v>44139</v>
      </c>
      <c r="L2360" t="s">
        <v>71</v>
      </c>
      <c r="M2360" t="s">
        <v>46</v>
      </c>
      <c r="N2360" t="s">
        <v>47</v>
      </c>
      <c r="O2360">
        <v>1</v>
      </c>
      <c r="P2360">
        <v>1</v>
      </c>
      <c r="Q2360">
        <v>1</v>
      </c>
      <c r="R2360" t="s">
        <v>48</v>
      </c>
      <c r="S2360" t="s">
        <v>49</v>
      </c>
      <c r="T2360" s="3">
        <v>0.84</v>
      </c>
      <c r="U2360" s="3">
        <v>0.23</v>
      </c>
      <c r="V2360" s="3">
        <v>0.94</v>
      </c>
      <c r="W2360">
        <v>1.7</v>
      </c>
      <c r="X2360" t="s">
        <v>72</v>
      </c>
      <c r="Y2360" s="3">
        <v>5.43</v>
      </c>
      <c r="Z2360" t="s">
        <v>83</v>
      </c>
      <c r="AA2360" t="s">
        <v>8731</v>
      </c>
      <c r="AB2360" t="s">
        <v>53</v>
      </c>
      <c r="AC2360" s="3">
        <v>1.27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f t="shared" si="72"/>
        <v>8.7099999999999991</v>
      </c>
      <c r="AK2360" s="3">
        <f t="shared" si="73"/>
        <v>3.2799999999999994</v>
      </c>
    </row>
    <row r="2361" spans="1:37">
      <c r="A2361">
        <v>10402876</v>
      </c>
      <c r="B2361" t="s">
        <v>37</v>
      </c>
      <c r="C2361" t="s">
        <v>15106</v>
      </c>
      <c r="E2361" t="s">
        <v>314</v>
      </c>
      <c r="F2361" t="s">
        <v>15107</v>
      </c>
      <c r="G2361" t="s">
        <v>15108</v>
      </c>
      <c r="H2361" t="s">
        <v>42</v>
      </c>
      <c r="I2361" t="s">
        <v>15109</v>
      </c>
      <c r="J2361" t="s">
        <v>15110</v>
      </c>
      <c r="K2361">
        <v>56329</v>
      </c>
      <c r="L2361" t="s">
        <v>71</v>
      </c>
      <c r="M2361" t="s">
        <v>46</v>
      </c>
      <c r="N2361" t="s">
        <v>47</v>
      </c>
      <c r="O2361">
        <v>1</v>
      </c>
      <c r="P2361">
        <v>1</v>
      </c>
      <c r="Q2361">
        <v>1</v>
      </c>
      <c r="R2361" t="s">
        <v>48</v>
      </c>
      <c r="S2361" t="s">
        <v>49</v>
      </c>
      <c r="T2361" s="3">
        <v>0.84</v>
      </c>
      <c r="U2361" s="3">
        <v>0.23</v>
      </c>
      <c r="V2361" s="3">
        <v>0.94</v>
      </c>
      <c r="W2361">
        <v>1.4</v>
      </c>
      <c r="X2361" t="s">
        <v>108</v>
      </c>
      <c r="Y2361" s="3">
        <v>5.13</v>
      </c>
      <c r="Z2361" t="s">
        <v>9686</v>
      </c>
      <c r="AA2361" t="s">
        <v>198</v>
      </c>
      <c r="AB2361" t="s">
        <v>53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f t="shared" si="72"/>
        <v>7.1400000000000006</v>
      </c>
      <c r="AK2361" s="3">
        <f t="shared" si="73"/>
        <v>2.0100000000000007</v>
      </c>
    </row>
    <row r="2362" spans="1:37">
      <c r="A2362">
        <v>10401220</v>
      </c>
      <c r="B2362" t="s">
        <v>37</v>
      </c>
      <c r="C2362" t="s">
        <v>15111</v>
      </c>
      <c r="E2362" t="s">
        <v>2534</v>
      </c>
      <c r="F2362" t="s">
        <v>15112</v>
      </c>
      <c r="G2362" t="s">
        <v>15113</v>
      </c>
      <c r="H2362" t="s">
        <v>42</v>
      </c>
      <c r="I2362" t="s">
        <v>15114</v>
      </c>
      <c r="J2362" t="s">
        <v>15115</v>
      </c>
      <c r="K2362" t="s">
        <v>15116</v>
      </c>
      <c r="L2362" t="s">
        <v>71</v>
      </c>
      <c r="M2362" t="s">
        <v>46</v>
      </c>
      <c r="N2362" t="s">
        <v>47</v>
      </c>
      <c r="O2362">
        <v>1</v>
      </c>
      <c r="P2362">
        <v>1</v>
      </c>
      <c r="Q2362">
        <v>1</v>
      </c>
      <c r="R2362" t="s">
        <v>48</v>
      </c>
      <c r="S2362" t="s">
        <v>49</v>
      </c>
      <c r="T2362" s="3">
        <v>0.84</v>
      </c>
      <c r="U2362" s="3">
        <v>0.23</v>
      </c>
      <c r="V2362" s="3">
        <v>0.94</v>
      </c>
      <c r="W2362">
        <v>0.15</v>
      </c>
      <c r="X2362" t="s">
        <v>108</v>
      </c>
      <c r="Y2362" s="3">
        <v>5.14</v>
      </c>
      <c r="Z2362" t="s">
        <v>9850</v>
      </c>
      <c r="AA2362" t="s">
        <v>9271</v>
      </c>
      <c r="AB2362" t="s">
        <v>53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f t="shared" si="72"/>
        <v>7.15</v>
      </c>
      <c r="AK2362" s="3">
        <f t="shared" si="73"/>
        <v>2.0100000000000007</v>
      </c>
    </row>
    <row r="2363" spans="1:37">
      <c r="A2363">
        <v>10404414</v>
      </c>
      <c r="B2363" t="s">
        <v>37</v>
      </c>
      <c r="C2363" t="s">
        <v>15117</v>
      </c>
      <c r="E2363" t="s">
        <v>3946</v>
      </c>
      <c r="F2363" t="s">
        <v>15118</v>
      </c>
      <c r="G2363" t="s">
        <v>15119</v>
      </c>
      <c r="H2363" t="s">
        <v>42</v>
      </c>
      <c r="I2363" t="s">
        <v>15120</v>
      </c>
      <c r="J2363" t="s">
        <v>15121</v>
      </c>
      <c r="K2363">
        <v>79664</v>
      </c>
      <c r="L2363" t="s">
        <v>71</v>
      </c>
      <c r="M2363" t="s">
        <v>46</v>
      </c>
      <c r="N2363" t="s">
        <v>47</v>
      </c>
      <c r="O2363">
        <v>1</v>
      </c>
      <c r="P2363">
        <v>1</v>
      </c>
      <c r="Q2363">
        <v>1</v>
      </c>
      <c r="R2363" t="s">
        <v>48</v>
      </c>
      <c r="S2363" t="s">
        <v>49</v>
      </c>
      <c r="T2363" s="3">
        <v>0.84</v>
      </c>
      <c r="U2363" s="3">
        <v>0.23</v>
      </c>
      <c r="V2363" s="3">
        <v>0.94</v>
      </c>
      <c r="W2363">
        <v>0.39</v>
      </c>
      <c r="X2363" t="s">
        <v>108</v>
      </c>
      <c r="Y2363" s="3">
        <v>5.13</v>
      </c>
      <c r="Z2363" t="s">
        <v>9850</v>
      </c>
      <c r="AA2363" t="s">
        <v>9223</v>
      </c>
      <c r="AB2363" t="s">
        <v>53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f t="shared" si="72"/>
        <v>7.1400000000000006</v>
      </c>
      <c r="AK2363" s="3">
        <f t="shared" si="73"/>
        <v>2.0100000000000007</v>
      </c>
    </row>
    <row r="2364" spans="1:37">
      <c r="A2364">
        <v>10402874</v>
      </c>
      <c r="B2364" t="s">
        <v>37</v>
      </c>
      <c r="C2364" t="s">
        <v>15122</v>
      </c>
      <c r="E2364" t="s">
        <v>15123</v>
      </c>
      <c r="F2364" t="s">
        <v>15124</v>
      </c>
      <c r="G2364" t="s">
        <v>15125</v>
      </c>
      <c r="H2364" t="s">
        <v>42</v>
      </c>
      <c r="I2364" t="s">
        <v>15126</v>
      </c>
      <c r="J2364" t="s">
        <v>15127</v>
      </c>
      <c r="K2364">
        <v>10405</v>
      </c>
      <c r="L2364" t="s">
        <v>71</v>
      </c>
      <c r="M2364" t="s">
        <v>46</v>
      </c>
      <c r="N2364" t="s">
        <v>47</v>
      </c>
      <c r="O2364">
        <v>1</v>
      </c>
      <c r="P2364">
        <v>1</v>
      </c>
      <c r="Q2364">
        <v>1</v>
      </c>
      <c r="R2364" t="s">
        <v>48</v>
      </c>
      <c r="S2364" t="s">
        <v>49</v>
      </c>
      <c r="T2364" s="3">
        <v>0.84</v>
      </c>
      <c r="U2364" s="3">
        <v>0.23</v>
      </c>
      <c r="V2364" s="3">
        <v>0.94</v>
      </c>
      <c r="W2364">
        <v>0.39</v>
      </c>
      <c r="X2364" t="s">
        <v>108</v>
      </c>
      <c r="Y2364" s="3">
        <v>5.13</v>
      </c>
      <c r="Z2364" t="s">
        <v>9850</v>
      </c>
      <c r="AA2364" t="s">
        <v>714</v>
      </c>
      <c r="AB2364" t="s">
        <v>53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f t="shared" si="72"/>
        <v>7.1400000000000006</v>
      </c>
      <c r="AK2364" s="3">
        <f t="shared" si="73"/>
        <v>2.0100000000000007</v>
      </c>
    </row>
    <row r="2365" spans="1:37">
      <c r="A2365">
        <v>10404683</v>
      </c>
      <c r="B2365" t="s">
        <v>37</v>
      </c>
      <c r="C2365" t="s">
        <v>15128</v>
      </c>
      <c r="E2365" t="s">
        <v>5371</v>
      </c>
      <c r="F2365" t="s">
        <v>15129</v>
      </c>
      <c r="G2365" t="s">
        <v>15130</v>
      </c>
      <c r="H2365" t="s">
        <v>42</v>
      </c>
      <c r="I2365" t="s">
        <v>15131</v>
      </c>
      <c r="J2365" t="s">
        <v>15132</v>
      </c>
      <c r="K2365">
        <v>22459</v>
      </c>
      <c r="L2365" t="s">
        <v>71</v>
      </c>
      <c r="M2365" t="s">
        <v>46</v>
      </c>
      <c r="N2365" t="s">
        <v>47</v>
      </c>
      <c r="O2365">
        <v>1</v>
      </c>
      <c r="P2365">
        <v>1</v>
      </c>
      <c r="Q2365">
        <v>1</v>
      </c>
      <c r="R2365" t="s">
        <v>48</v>
      </c>
      <c r="S2365" t="s">
        <v>49</v>
      </c>
      <c r="T2365" s="3">
        <v>0.84</v>
      </c>
      <c r="U2365" s="3">
        <v>0.23</v>
      </c>
      <c r="V2365" s="3">
        <v>0.94</v>
      </c>
      <c r="W2365">
        <v>0.49</v>
      </c>
      <c r="X2365" t="s">
        <v>108</v>
      </c>
      <c r="Y2365" s="3">
        <v>5.13</v>
      </c>
      <c r="Z2365" t="s">
        <v>9850</v>
      </c>
      <c r="AA2365" t="s">
        <v>11149</v>
      </c>
      <c r="AB2365" t="s">
        <v>53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f t="shared" si="72"/>
        <v>7.1400000000000006</v>
      </c>
      <c r="AK2365" s="3">
        <f t="shared" si="73"/>
        <v>2.0100000000000007</v>
      </c>
    </row>
    <row r="2366" spans="1:37">
      <c r="A2366">
        <v>10401707</v>
      </c>
      <c r="B2366" t="s">
        <v>37</v>
      </c>
      <c r="C2366" t="s">
        <v>15133</v>
      </c>
      <c r="E2366" t="s">
        <v>4437</v>
      </c>
      <c r="F2366" t="s">
        <v>15134</v>
      </c>
      <c r="G2366" t="s">
        <v>15135</v>
      </c>
      <c r="H2366" t="s">
        <v>42</v>
      </c>
      <c r="I2366" t="s">
        <v>15136</v>
      </c>
      <c r="J2366" t="s">
        <v>15137</v>
      </c>
      <c r="K2366">
        <v>2349</v>
      </c>
      <c r="L2366" t="s">
        <v>369</v>
      </c>
      <c r="M2366" t="s">
        <v>46</v>
      </c>
      <c r="N2366" t="s">
        <v>47</v>
      </c>
      <c r="O2366">
        <v>1</v>
      </c>
      <c r="P2366">
        <v>1</v>
      </c>
      <c r="Q2366">
        <v>1</v>
      </c>
      <c r="R2366" t="s">
        <v>48</v>
      </c>
      <c r="S2366" t="s">
        <v>49</v>
      </c>
      <c r="T2366" s="3">
        <v>0.84</v>
      </c>
      <c r="U2366" s="3">
        <v>0.23</v>
      </c>
      <c r="V2366" s="3">
        <v>0.94</v>
      </c>
      <c r="W2366">
        <v>2.4</v>
      </c>
      <c r="X2366" t="s">
        <v>50</v>
      </c>
      <c r="Y2366" s="3">
        <v>9.19</v>
      </c>
      <c r="Z2366" t="s">
        <v>9770</v>
      </c>
      <c r="AA2366" t="s">
        <v>821</v>
      </c>
      <c r="AB2366" t="s">
        <v>53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f t="shared" si="72"/>
        <v>11.2</v>
      </c>
      <c r="AK2366" s="3">
        <f t="shared" si="73"/>
        <v>2.0099999999999998</v>
      </c>
    </row>
    <row r="2367" spans="1:37">
      <c r="A2367">
        <v>10404953</v>
      </c>
      <c r="B2367" t="s">
        <v>37</v>
      </c>
      <c r="C2367" t="s">
        <v>15138</v>
      </c>
      <c r="E2367" t="s">
        <v>593</v>
      </c>
      <c r="F2367" t="s">
        <v>15139</v>
      </c>
      <c r="G2367" t="s">
        <v>15140</v>
      </c>
      <c r="H2367" t="s">
        <v>42</v>
      </c>
      <c r="I2367" t="s">
        <v>15141</v>
      </c>
      <c r="J2367" t="s">
        <v>15142</v>
      </c>
      <c r="K2367">
        <v>60316</v>
      </c>
      <c r="L2367" t="s">
        <v>71</v>
      </c>
      <c r="M2367" t="s">
        <v>46</v>
      </c>
      <c r="N2367" t="s">
        <v>47</v>
      </c>
      <c r="O2367">
        <v>1</v>
      </c>
      <c r="P2367">
        <v>1</v>
      </c>
      <c r="Q2367">
        <v>1</v>
      </c>
      <c r="R2367" t="s">
        <v>48</v>
      </c>
      <c r="S2367" t="s">
        <v>49</v>
      </c>
      <c r="T2367" s="3">
        <v>0.84</v>
      </c>
      <c r="U2367" s="3">
        <v>0.23</v>
      </c>
      <c r="V2367" s="3">
        <v>0.94</v>
      </c>
      <c r="W2367">
        <v>1.02</v>
      </c>
      <c r="X2367" t="s">
        <v>108</v>
      </c>
      <c r="Y2367" s="3">
        <v>5.13</v>
      </c>
      <c r="Z2367" t="s">
        <v>9686</v>
      </c>
      <c r="AA2367" t="s">
        <v>1754</v>
      </c>
      <c r="AB2367" t="s">
        <v>53</v>
      </c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f t="shared" si="72"/>
        <v>7.1400000000000006</v>
      </c>
      <c r="AK2367" s="3">
        <f t="shared" si="73"/>
        <v>2.0100000000000007</v>
      </c>
    </row>
    <row r="2368" spans="1:37">
      <c r="A2368">
        <v>10402883</v>
      </c>
      <c r="B2368" t="s">
        <v>37</v>
      </c>
      <c r="C2368" t="s">
        <v>15143</v>
      </c>
      <c r="E2368" t="s">
        <v>1336</v>
      </c>
      <c r="F2368" t="s">
        <v>15144</v>
      </c>
      <c r="G2368" t="s">
        <v>15145</v>
      </c>
      <c r="H2368" t="s">
        <v>42</v>
      </c>
      <c r="I2368" t="s">
        <v>15146</v>
      </c>
      <c r="J2368" t="s">
        <v>15147</v>
      </c>
      <c r="K2368">
        <v>13086</v>
      </c>
      <c r="L2368" t="s">
        <v>71</v>
      </c>
      <c r="M2368" t="s">
        <v>46</v>
      </c>
      <c r="N2368" t="s">
        <v>47</v>
      </c>
      <c r="O2368">
        <v>1</v>
      </c>
      <c r="P2368">
        <v>1</v>
      </c>
      <c r="Q2368">
        <v>1</v>
      </c>
      <c r="R2368" t="s">
        <v>48</v>
      </c>
      <c r="S2368" t="s">
        <v>49</v>
      </c>
      <c r="T2368" s="3">
        <v>0.84</v>
      </c>
      <c r="U2368" s="3">
        <v>0.23</v>
      </c>
      <c r="V2368" s="3">
        <v>0.94</v>
      </c>
      <c r="W2368">
        <v>0.15</v>
      </c>
      <c r="X2368" t="s">
        <v>108</v>
      </c>
      <c r="Y2368" s="3">
        <v>5.13</v>
      </c>
      <c r="Z2368" t="s">
        <v>9850</v>
      </c>
      <c r="AA2368" t="s">
        <v>6464</v>
      </c>
      <c r="AB2368" t="s">
        <v>53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f t="shared" si="72"/>
        <v>7.1400000000000006</v>
      </c>
      <c r="AK2368" s="3">
        <f t="shared" si="73"/>
        <v>2.0100000000000007</v>
      </c>
    </row>
    <row r="2369" spans="1:37">
      <c r="A2369">
        <v>10401706</v>
      </c>
      <c r="B2369" t="s">
        <v>37</v>
      </c>
      <c r="C2369" t="s">
        <v>15148</v>
      </c>
      <c r="E2369" t="s">
        <v>6191</v>
      </c>
      <c r="F2369" t="s">
        <v>15149</v>
      </c>
      <c r="G2369" t="s">
        <v>15150</v>
      </c>
      <c r="H2369" t="s">
        <v>42</v>
      </c>
      <c r="I2369" t="s">
        <v>15151</v>
      </c>
      <c r="J2369" t="s">
        <v>15152</v>
      </c>
      <c r="K2369">
        <v>89081</v>
      </c>
      <c r="L2369" t="s">
        <v>71</v>
      </c>
      <c r="M2369" t="s">
        <v>46</v>
      </c>
      <c r="N2369" t="s">
        <v>47</v>
      </c>
      <c r="O2369">
        <v>1</v>
      </c>
      <c r="P2369">
        <v>1</v>
      </c>
      <c r="Q2369">
        <v>1</v>
      </c>
      <c r="R2369" t="s">
        <v>48</v>
      </c>
      <c r="S2369" t="s">
        <v>49</v>
      </c>
      <c r="T2369" s="3">
        <v>0.84</v>
      </c>
      <c r="U2369" s="3">
        <v>0.23</v>
      </c>
      <c r="V2369" s="3">
        <v>0.94</v>
      </c>
      <c r="W2369">
        <v>1.6</v>
      </c>
      <c r="X2369" t="s">
        <v>108</v>
      </c>
      <c r="Y2369" s="3">
        <v>5.13</v>
      </c>
      <c r="Z2369" t="s">
        <v>9770</v>
      </c>
      <c r="AA2369" t="s">
        <v>490</v>
      </c>
      <c r="AB2369" t="s">
        <v>53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f t="shared" si="72"/>
        <v>7.1400000000000006</v>
      </c>
      <c r="AK2369" s="3">
        <f t="shared" si="73"/>
        <v>2.0100000000000007</v>
      </c>
    </row>
    <row r="2370" spans="1:37">
      <c r="A2370">
        <v>10405236</v>
      </c>
      <c r="B2370" t="s">
        <v>37</v>
      </c>
      <c r="C2370" t="s">
        <v>15153</v>
      </c>
      <c r="E2370" t="s">
        <v>7409</v>
      </c>
      <c r="F2370" t="s">
        <v>4266</v>
      </c>
      <c r="G2370" t="s">
        <v>15154</v>
      </c>
      <c r="H2370" t="s">
        <v>42</v>
      </c>
      <c r="I2370" t="s">
        <v>15155</v>
      </c>
      <c r="J2370" t="s">
        <v>15156</v>
      </c>
      <c r="K2370" t="s">
        <v>15157</v>
      </c>
      <c r="L2370" t="s">
        <v>142</v>
      </c>
      <c r="M2370" t="s">
        <v>46</v>
      </c>
      <c r="N2370" t="s">
        <v>47</v>
      </c>
      <c r="O2370">
        <v>1</v>
      </c>
      <c r="P2370">
        <v>1</v>
      </c>
      <c r="Q2370">
        <v>1</v>
      </c>
      <c r="R2370" t="s">
        <v>48</v>
      </c>
      <c r="S2370" t="s">
        <v>49</v>
      </c>
      <c r="T2370" s="3">
        <v>0.84</v>
      </c>
      <c r="U2370" s="3">
        <v>0.23</v>
      </c>
      <c r="V2370" s="3">
        <v>0.94</v>
      </c>
      <c r="W2370">
        <v>0.49</v>
      </c>
      <c r="X2370" t="s">
        <v>50</v>
      </c>
      <c r="Y2370" s="3">
        <v>16.43</v>
      </c>
      <c r="Z2370" t="s">
        <v>9850</v>
      </c>
      <c r="AA2370" t="s">
        <v>5153</v>
      </c>
      <c r="AB2370" t="s">
        <v>53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f t="shared" ref="AJ2370:AJ2433" si="74">AI2370+AH2370+AG2370+AF2370+AE2370+AD2370+AC2370+Y2370+V2370+U2370+T2370</f>
        <v>18.440000000000001</v>
      </c>
      <c r="AK2370" s="3">
        <f t="shared" ref="AK2370:AK2433" si="75">AJ2370-Y2370</f>
        <v>2.0100000000000016</v>
      </c>
    </row>
    <row r="2371" spans="1:37">
      <c r="A2371">
        <v>10401942</v>
      </c>
      <c r="B2371" t="s">
        <v>37</v>
      </c>
      <c r="C2371" t="s">
        <v>15158</v>
      </c>
      <c r="E2371" t="s">
        <v>215</v>
      </c>
      <c r="F2371" t="s">
        <v>15159</v>
      </c>
      <c r="G2371" t="s">
        <v>15160</v>
      </c>
      <c r="H2371" t="s">
        <v>42</v>
      </c>
      <c r="I2371" t="s">
        <v>15161</v>
      </c>
      <c r="J2371" t="s">
        <v>15162</v>
      </c>
      <c r="K2371">
        <v>7640</v>
      </c>
      <c r="L2371" t="s">
        <v>369</v>
      </c>
      <c r="M2371" t="s">
        <v>46</v>
      </c>
      <c r="N2371" t="s">
        <v>47</v>
      </c>
      <c r="O2371">
        <v>6</v>
      </c>
      <c r="P2371">
        <v>1</v>
      </c>
      <c r="Q2371">
        <v>6</v>
      </c>
      <c r="R2371" t="s">
        <v>48</v>
      </c>
      <c r="S2371" t="s">
        <v>49</v>
      </c>
      <c r="T2371" s="3">
        <v>0.84</v>
      </c>
      <c r="U2371" s="3">
        <v>0.23</v>
      </c>
      <c r="V2371" s="3">
        <v>5.29</v>
      </c>
      <c r="W2371">
        <v>2.36</v>
      </c>
      <c r="X2371" t="s">
        <v>50</v>
      </c>
      <c r="Y2371" s="3">
        <v>9.1999999999999993</v>
      </c>
      <c r="Z2371" t="s">
        <v>73</v>
      </c>
      <c r="AA2371" t="s">
        <v>15163</v>
      </c>
      <c r="AB2371" t="s">
        <v>53</v>
      </c>
      <c r="AC2371" s="3">
        <v>1.29</v>
      </c>
      <c r="AD2371" s="3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  <c r="AJ2371" s="3">
        <f t="shared" si="74"/>
        <v>16.849999999999998</v>
      </c>
      <c r="AK2371" s="3">
        <f t="shared" si="75"/>
        <v>7.6499999999999986</v>
      </c>
    </row>
    <row r="2372" spans="1:37">
      <c r="A2372">
        <v>10402175</v>
      </c>
      <c r="B2372" t="s">
        <v>37</v>
      </c>
      <c r="C2372" t="s">
        <v>15164</v>
      </c>
      <c r="E2372" t="s">
        <v>8934</v>
      </c>
      <c r="F2372" t="s">
        <v>15165</v>
      </c>
      <c r="G2372" t="s">
        <v>15166</v>
      </c>
      <c r="H2372" t="s">
        <v>42</v>
      </c>
      <c r="I2372" t="s">
        <v>15167</v>
      </c>
      <c r="J2372" t="s">
        <v>15168</v>
      </c>
      <c r="K2372" t="s">
        <v>15169</v>
      </c>
      <c r="L2372" t="s">
        <v>91</v>
      </c>
      <c r="M2372" t="s">
        <v>46</v>
      </c>
      <c r="N2372" t="s">
        <v>47</v>
      </c>
      <c r="O2372">
        <v>1</v>
      </c>
      <c r="P2372">
        <v>1</v>
      </c>
      <c r="Q2372">
        <v>1</v>
      </c>
      <c r="R2372" t="s">
        <v>48</v>
      </c>
      <c r="S2372" t="s">
        <v>49</v>
      </c>
      <c r="T2372" s="3">
        <v>0.84</v>
      </c>
      <c r="U2372" s="3">
        <v>0.23</v>
      </c>
      <c r="V2372" s="3">
        <v>0.94</v>
      </c>
      <c r="W2372">
        <v>0.39</v>
      </c>
      <c r="X2372" t="s">
        <v>50</v>
      </c>
      <c r="Y2372" s="3">
        <v>16.43</v>
      </c>
      <c r="Z2372" t="s">
        <v>9850</v>
      </c>
      <c r="AA2372" t="s">
        <v>5146</v>
      </c>
      <c r="AB2372" t="s">
        <v>53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f t="shared" si="74"/>
        <v>18.440000000000001</v>
      </c>
      <c r="AK2372" s="3">
        <f t="shared" si="75"/>
        <v>2.0100000000000016</v>
      </c>
    </row>
    <row r="2373" spans="1:37">
      <c r="A2373">
        <v>10405233</v>
      </c>
      <c r="B2373" t="s">
        <v>37</v>
      </c>
      <c r="C2373" t="s">
        <v>15170</v>
      </c>
      <c r="E2373" t="s">
        <v>15171</v>
      </c>
      <c r="F2373" t="s">
        <v>515</v>
      </c>
      <c r="G2373" t="s">
        <v>15172</v>
      </c>
      <c r="H2373" t="s">
        <v>42</v>
      </c>
      <c r="I2373" t="s">
        <v>15173</v>
      </c>
      <c r="J2373" t="s">
        <v>15174</v>
      </c>
      <c r="K2373">
        <v>90441</v>
      </c>
      <c r="L2373" t="s">
        <v>71</v>
      </c>
      <c r="M2373" t="s">
        <v>46</v>
      </c>
      <c r="N2373" t="s">
        <v>47</v>
      </c>
      <c r="O2373">
        <v>1</v>
      </c>
      <c r="P2373">
        <v>1</v>
      </c>
      <c r="Q2373">
        <v>1</v>
      </c>
      <c r="R2373" t="s">
        <v>48</v>
      </c>
      <c r="S2373" t="s">
        <v>49</v>
      </c>
      <c r="T2373" s="3">
        <v>0.84</v>
      </c>
      <c r="U2373" s="3">
        <v>0.23</v>
      </c>
      <c r="V2373" s="3">
        <v>0.94</v>
      </c>
      <c r="W2373">
        <v>1.4</v>
      </c>
      <c r="X2373" t="s">
        <v>108</v>
      </c>
      <c r="Y2373" s="3">
        <v>5.13</v>
      </c>
      <c r="Z2373" t="s">
        <v>9686</v>
      </c>
      <c r="AA2373" t="s">
        <v>297</v>
      </c>
      <c r="AB2373" t="s">
        <v>53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f t="shared" si="74"/>
        <v>7.1400000000000006</v>
      </c>
      <c r="AK2373" s="3">
        <f t="shared" si="75"/>
        <v>2.0100000000000007</v>
      </c>
    </row>
    <row r="2374" spans="1:37">
      <c r="A2374">
        <v>10404419</v>
      </c>
      <c r="B2374" t="s">
        <v>37</v>
      </c>
      <c r="C2374" t="s">
        <v>15175</v>
      </c>
      <c r="E2374" t="s">
        <v>1307</v>
      </c>
      <c r="F2374" t="s">
        <v>15176</v>
      </c>
      <c r="G2374" t="s">
        <v>15177</v>
      </c>
      <c r="H2374" t="s">
        <v>42</v>
      </c>
      <c r="I2374" t="s">
        <v>15178</v>
      </c>
      <c r="J2374" t="s">
        <v>15179</v>
      </c>
      <c r="K2374">
        <v>15517</v>
      </c>
      <c r="L2374" t="s">
        <v>71</v>
      </c>
      <c r="M2374" t="s">
        <v>46</v>
      </c>
      <c r="N2374" t="s">
        <v>47</v>
      </c>
      <c r="O2374">
        <v>1</v>
      </c>
      <c r="P2374">
        <v>1</v>
      </c>
      <c r="Q2374">
        <v>1</v>
      </c>
      <c r="R2374" t="s">
        <v>48</v>
      </c>
      <c r="S2374" t="s">
        <v>49</v>
      </c>
      <c r="T2374" s="3">
        <v>0.84</v>
      </c>
      <c r="U2374" s="3">
        <v>0.23</v>
      </c>
      <c r="V2374" s="3">
        <v>0.94</v>
      </c>
      <c r="W2374">
        <v>0.15</v>
      </c>
      <c r="X2374" t="s">
        <v>108</v>
      </c>
      <c r="Y2374" s="3">
        <v>5.13</v>
      </c>
      <c r="Z2374" t="s">
        <v>9850</v>
      </c>
      <c r="AA2374" t="s">
        <v>9271</v>
      </c>
      <c r="AB2374" t="s">
        <v>53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f t="shared" si="74"/>
        <v>7.1400000000000006</v>
      </c>
      <c r="AK2374" s="3">
        <f t="shared" si="75"/>
        <v>2.0100000000000007</v>
      </c>
    </row>
    <row r="2375" spans="1:37">
      <c r="A2375">
        <v>10401715</v>
      </c>
      <c r="B2375" t="s">
        <v>37</v>
      </c>
      <c r="C2375" t="s">
        <v>15180</v>
      </c>
      <c r="E2375" t="s">
        <v>15181</v>
      </c>
      <c r="F2375" t="s">
        <v>15182</v>
      </c>
      <c r="G2375" t="s">
        <v>15183</v>
      </c>
      <c r="H2375" t="s">
        <v>42</v>
      </c>
      <c r="I2375" t="s">
        <v>15184</v>
      </c>
      <c r="J2375" t="s">
        <v>15185</v>
      </c>
      <c r="K2375">
        <v>7346</v>
      </c>
      <c r="L2375" t="s">
        <v>369</v>
      </c>
      <c r="M2375" t="s">
        <v>46</v>
      </c>
      <c r="N2375" t="s">
        <v>47</v>
      </c>
      <c r="O2375">
        <v>1</v>
      </c>
      <c r="P2375">
        <v>1</v>
      </c>
      <c r="Q2375">
        <v>1</v>
      </c>
      <c r="R2375" t="s">
        <v>48</v>
      </c>
      <c r="S2375" t="s">
        <v>49</v>
      </c>
      <c r="T2375" s="3">
        <v>0.84</v>
      </c>
      <c r="U2375" s="3">
        <v>0.23</v>
      </c>
      <c r="V2375" s="3">
        <v>0.94</v>
      </c>
      <c r="W2375">
        <v>0.39</v>
      </c>
      <c r="X2375" t="s">
        <v>50</v>
      </c>
      <c r="Y2375" s="3">
        <v>9.19</v>
      </c>
      <c r="Z2375" t="s">
        <v>9850</v>
      </c>
      <c r="AA2375" t="s">
        <v>793</v>
      </c>
      <c r="AB2375" t="s">
        <v>53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f t="shared" si="74"/>
        <v>11.2</v>
      </c>
      <c r="AK2375" s="3">
        <f t="shared" si="75"/>
        <v>2.0099999999999998</v>
      </c>
    </row>
    <row r="2376" spans="1:37">
      <c r="A2376">
        <v>10403828</v>
      </c>
      <c r="B2376" t="s">
        <v>37</v>
      </c>
      <c r="C2376" t="s">
        <v>15186</v>
      </c>
      <c r="E2376" t="s">
        <v>2534</v>
      </c>
      <c r="F2376" t="s">
        <v>15187</v>
      </c>
      <c r="G2376" t="s">
        <v>15188</v>
      </c>
      <c r="H2376" t="s">
        <v>42</v>
      </c>
      <c r="I2376" t="s">
        <v>15189</v>
      </c>
      <c r="J2376" t="s">
        <v>15190</v>
      </c>
      <c r="K2376">
        <v>63067</v>
      </c>
      <c r="L2376" t="s">
        <v>71</v>
      </c>
      <c r="M2376" t="s">
        <v>46</v>
      </c>
      <c r="N2376" t="s">
        <v>47</v>
      </c>
      <c r="O2376">
        <v>1</v>
      </c>
      <c r="P2376">
        <v>1</v>
      </c>
      <c r="Q2376">
        <v>1</v>
      </c>
      <c r="R2376" t="s">
        <v>48</v>
      </c>
      <c r="S2376" t="s">
        <v>49</v>
      </c>
      <c r="T2376" s="3">
        <v>0.84</v>
      </c>
      <c r="U2376" s="3">
        <v>0.23</v>
      </c>
      <c r="V2376" s="3">
        <v>0.94</v>
      </c>
      <c r="W2376">
        <v>0.15</v>
      </c>
      <c r="X2376" t="s">
        <v>108</v>
      </c>
      <c r="Y2376" s="3">
        <v>5.13</v>
      </c>
      <c r="Z2376" t="s">
        <v>9850</v>
      </c>
      <c r="AA2376" t="s">
        <v>6464</v>
      </c>
      <c r="AB2376" t="s">
        <v>53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f t="shared" si="74"/>
        <v>7.1400000000000006</v>
      </c>
      <c r="AK2376" s="3">
        <f t="shared" si="75"/>
        <v>2.0100000000000007</v>
      </c>
    </row>
    <row r="2377" spans="1:37">
      <c r="A2377">
        <v>10401947</v>
      </c>
      <c r="B2377" t="s">
        <v>37</v>
      </c>
      <c r="C2377" t="s">
        <v>15191</v>
      </c>
      <c r="E2377" t="s">
        <v>15192</v>
      </c>
      <c r="F2377" t="s">
        <v>15193</v>
      </c>
      <c r="G2377" t="s">
        <v>15194</v>
      </c>
      <c r="H2377" t="s">
        <v>42</v>
      </c>
      <c r="I2377" t="s">
        <v>15189</v>
      </c>
      <c r="J2377" t="s">
        <v>15195</v>
      </c>
      <c r="K2377">
        <v>57392</v>
      </c>
      <c r="L2377" t="s">
        <v>71</v>
      </c>
      <c r="M2377" t="s">
        <v>46</v>
      </c>
      <c r="N2377" t="s">
        <v>47</v>
      </c>
      <c r="O2377">
        <v>3</v>
      </c>
      <c r="P2377">
        <v>1</v>
      </c>
      <c r="Q2377">
        <v>3</v>
      </c>
      <c r="R2377" t="s">
        <v>48</v>
      </c>
      <c r="S2377" t="s">
        <v>49</v>
      </c>
      <c r="T2377" s="3">
        <v>0.84</v>
      </c>
      <c r="U2377" s="3">
        <v>0.23</v>
      </c>
      <c r="V2377" s="3">
        <v>2.68</v>
      </c>
      <c r="W2377">
        <v>1.4</v>
      </c>
      <c r="X2377" t="s">
        <v>108</v>
      </c>
      <c r="Y2377" s="3">
        <v>5.14</v>
      </c>
      <c r="Z2377" t="s">
        <v>9686</v>
      </c>
      <c r="AA2377" t="s">
        <v>15196</v>
      </c>
      <c r="AB2377" t="s">
        <v>53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f t="shared" si="74"/>
        <v>8.89</v>
      </c>
      <c r="AK2377" s="3">
        <f t="shared" si="75"/>
        <v>3.7500000000000009</v>
      </c>
    </row>
    <row r="2378" spans="1:37">
      <c r="A2378">
        <v>10401712</v>
      </c>
      <c r="B2378" t="s">
        <v>37</v>
      </c>
      <c r="C2378" t="s">
        <v>15197</v>
      </c>
      <c r="E2378" t="s">
        <v>4850</v>
      </c>
      <c r="F2378" t="s">
        <v>15198</v>
      </c>
      <c r="G2378" t="s">
        <v>15199</v>
      </c>
      <c r="H2378" t="s">
        <v>42</v>
      </c>
      <c r="I2378" t="s">
        <v>15200</v>
      </c>
      <c r="J2378" t="s">
        <v>15201</v>
      </c>
      <c r="K2378">
        <v>47228</v>
      </c>
      <c r="L2378" t="s">
        <v>71</v>
      </c>
      <c r="M2378" t="s">
        <v>46</v>
      </c>
      <c r="N2378" t="s">
        <v>47</v>
      </c>
      <c r="O2378">
        <v>1</v>
      </c>
      <c r="P2378">
        <v>1</v>
      </c>
      <c r="Q2378">
        <v>1</v>
      </c>
      <c r="R2378" t="s">
        <v>48</v>
      </c>
      <c r="S2378" t="s">
        <v>49</v>
      </c>
      <c r="T2378" s="3">
        <v>0.84</v>
      </c>
      <c r="U2378" s="3">
        <v>0.23</v>
      </c>
      <c r="V2378" s="3">
        <v>0.94</v>
      </c>
      <c r="W2378">
        <v>0.49</v>
      </c>
      <c r="X2378" t="s">
        <v>108</v>
      </c>
      <c r="Y2378" s="3">
        <v>5.13</v>
      </c>
      <c r="Z2378" t="s">
        <v>9850</v>
      </c>
      <c r="AA2378" t="s">
        <v>5153</v>
      </c>
      <c r="AB2378" t="s">
        <v>53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f t="shared" si="74"/>
        <v>7.1400000000000006</v>
      </c>
      <c r="AK2378" s="3">
        <f t="shared" si="75"/>
        <v>2.0100000000000007</v>
      </c>
    </row>
    <row r="2379" spans="1:37">
      <c r="A2379">
        <v>10404218</v>
      </c>
      <c r="B2379" t="s">
        <v>37</v>
      </c>
      <c r="C2379" t="s">
        <v>15202</v>
      </c>
      <c r="E2379" t="s">
        <v>4897</v>
      </c>
      <c r="F2379" t="s">
        <v>15203</v>
      </c>
      <c r="G2379" t="s">
        <v>15204</v>
      </c>
      <c r="H2379" t="s">
        <v>42</v>
      </c>
      <c r="I2379" t="s">
        <v>15200</v>
      </c>
      <c r="J2379" t="s">
        <v>15205</v>
      </c>
      <c r="K2379">
        <v>32457</v>
      </c>
      <c r="L2379" t="s">
        <v>71</v>
      </c>
      <c r="M2379" t="s">
        <v>46</v>
      </c>
      <c r="N2379" t="s">
        <v>47</v>
      </c>
      <c r="O2379">
        <v>1</v>
      </c>
      <c r="P2379">
        <v>1</v>
      </c>
      <c r="Q2379">
        <v>1</v>
      </c>
      <c r="R2379" t="s">
        <v>48</v>
      </c>
      <c r="S2379" t="s">
        <v>49</v>
      </c>
      <c r="T2379" s="3">
        <v>0.84</v>
      </c>
      <c r="U2379" s="3">
        <v>0.23</v>
      </c>
      <c r="V2379" s="3">
        <v>0.94</v>
      </c>
      <c r="W2379">
        <v>0.49</v>
      </c>
      <c r="X2379" t="s">
        <v>108</v>
      </c>
      <c r="Y2379" s="3">
        <v>5.13</v>
      </c>
      <c r="Z2379" t="s">
        <v>9850</v>
      </c>
      <c r="AA2379" t="s">
        <v>1119</v>
      </c>
      <c r="AB2379" t="s">
        <v>53</v>
      </c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f t="shared" si="74"/>
        <v>7.1400000000000006</v>
      </c>
      <c r="AK2379" s="3">
        <f t="shared" si="75"/>
        <v>2.0100000000000007</v>
      </c>
    </row>
    <row r="2380" spans="1:37">
      <c r="A2380">
        <v>10402574</v>
      </c>
      <c r="B2380" t="s">
        <v>37</v>
      </c>
      <c r="C2380" t="s">
        <v>15206</v>
      </c>
      <c r="E2380" t="s">
        <v>351</v>
      </c>
      <c r="F2380" t="s">
        <v>5501</v>
      </c>
      <c r="G2380" t="s">
        <v>15207</v>
      </c>
      <c r="H2380" t="s">
        <v>42</v>
      </c>
      <c r="I2380" t="s">
        <v>15208</v>
      </c>
      <c r="J2380" t="s">
        <v>5504</v>
      </c>
      <c r="K2380">
        <v>74330</v>
      </c>
      <c r="L2380" t="s">
        <v>130</v>
      </c>
      <c r="M2380" t="s">
        <v>46</v>
      </c>
      <c r="N2380" t="s">
        <v>47</v>
      </c>
      <c r="O2380">
        <v>1</v>
      </c>
      <c r="P2380">
        <v>1</v>
      </c>
      <c r="Q2380">
        <v>1</v>
      </c>
      <c r="R2380" t="s">
        <v>48</v>
      </c>
      <c r="S2380" t="s">
        <v>49</v>
      </c>
      <c r="T2380" s="3">
        <v>0.84</v>
      </c>
      <c r="U2380" s="3">
        <v>0.23</v>
      </c>
      <c r="V2380" s="3">
        <v>0.94</v>
      </c>
      <c r="W2380">
        <v>0.49</v>
      </c>
      <c r="X2380" t="s">
        <v>50</v>
      </c>
      <c r="Y2380" s="3">
        <v>14.26</v>
      </c>
      <c r="Z2380" t="s">
        <v>9850</v>
      </c>
      <c r="AA2380" t="s">
        <v>5153</v>
      </c>
      <c r="AB2380" t="s">
        <v>53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f t="shared" si="74"/>
        <v>16.27</v>
      </c>
      <c r="AK2380" s="3">
        <f t="shared" si="75"/>
        <v>2.0099999999999998</v>
      </c>
    </row>
    <row r="2381" spans="1:37">
      <c r="A2381">
        <v>10402168</v>
      </c>
      <c r="B2381" t="s">
        <v>37</v>
      </c>
      <c r="C2381" t="s">
        <v>15209</v>
      </c>
      <c r="E2381" t="s">
        <v>3148</v>
      </c>
      <c r="F2381" t="s">
        <v>15210</v>
      </c>
      <c r="G2381" t="s">
        <v>15211</v>
      </c>
      <c r="H2381" t="s">
        <v>42</v>
      </c>
      <c r="I2381" t="s">
        <v>15212</v>
      </c>
      <c r="J2381" t="s">
        <v>15213</v>
      </c>
      <c r="K2381">
        <v>60314</v>
      </c>
      <c r="L2381" t="s">
        <v>71</v>
      </c>
      <c r="M2381" t="s">
        <v>46</v>
      </c>
      <c r="N2381" t="s">
        <v>47</v>
      </c>
      <c r="O2381">
        <v>5</v>
      </c>
      <c r="P2381">
        <v>1</v>
      </c>
      <c r="Q2381">
        <v>5</v>
      </c>
      <c r="R2381" t="s">
        <v>48</v>
      </c>
      <c r="S2381" t="s">
        <v>49</v>
      </c>
      <c r="T2381" s="3">
        <v>0.84</v>
      </c>
      <c r="U2381" s="3">
        <v>0.23</v>
      </c>
      <c r="V2381" s="3">
        <v>4.42</v>
      </c>
      <c r="W2381">
        <v>1.8</v>
      </c>
      <c r="X2381" t="s">
        <v>72</v>
      </c>
      <c r="Y2381" s="3">
        <v>5.44</v>
      </c>
      <c r="Z2381" t="s">
        <v>73</v>
      </c>
      <c r="AA2381" t="s">
        <v>15214</v>
      </c>
      <c r="AB2381" t="s">
        <v>53</v>
      </c>
      <c r="AC2381" s="3">
        <v>1.29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f t="shared" si="74"/>
        <v>12.22</v>
      </c>
      <c r="AK2381" s="3">
        <f t="shared" si="75"/>
        <v>6.78</v>
      </c>
    </row>
    <row r="2382" spans="1:37">
      <c r="A2382">
        <v>10401950</v>
      </c>
      <c r="B2382" t="s">
        <v>37</v>
      </c>
      <c r="C2382" t="s">
        <v>15215</v>
      </c>
      <c r="E2382" t="s">
        <v>4889</v>
      </c>
      <c r="F2382" t="s">
        <v>2175</v>
      </c>
      <c r="G2382" t="s">
        <v>15216</v>
      </c>
      <c r="H2382" t="s">
        <v>42</v>
      </c>
      <c r="I2382" t="s">
        <v>15217</v>
      </c>
      <c r="J2382" t="s">
        <v>15218</v>
      </c>
      <c r="K2382" t="s">
        <v>15219</v>
      </c>
      <c r="L2382" t="s">
        <v>142</v>
      </c>
      <c r="M2382" t="s">
        <v>46</v>
      </c>
      <c r="N2382" t="s">
        <v>47</v>
      </c>
      <c r="O2382">
        <v>3</v>
      </c>
      <c r="P2382">
        <v>1</v>
      </c>
      <c r="Q2382">
        <v>3</v>
      </c>
      <c r="R2382" t="s">
        <v>48</v>
      </c>
      <c r="S2382" t="s">
        <v>49</v>
      </c>
      <c r="T2382" s="3">
        <v>0.84</v>
      </c>
      <c r="U2382" s="3">
        <v>0.23</v>
      </c>
      <c r="V2382" s="3">
        <v>2.68</v>
      </c>
      <c r="W2382">
        <v>1.1200000000000001</v>
      </c>
      <c r="X2382" t="s">
        <v>50</v>
      </c>
      <c r="Y2382" s="3">
        <v>16.43</v>
      </c>
      <c r="Z2382" t="s">
        <v>9686</v>
      </c>
      <c r="AA2382" t="s">
        <v>15220</v>
      </c>
      <c r="AB2382" t="s">
        <v>53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f t="shared" si="74"/>
        <v>20.18</v>
      </c>
      <c r="AK2382" s="3">
        <f t="shared" si="75"/>
        <v>3.75</v>
      </c>
    </row>
    <row r="2383" spans="1:37">
      <c r="A2383">
        <v>10402170</v>
      </c>
      <c r="B2383" t="s">
        <v>37</v>
      </c>
      <c r="C2383" t="s">
        <v>15221</v>
      </c>
      <c r="E2383" t="s">
        <v>6700</v>
      </c>
      <c r="F2383" t="s">
        <v>15222</v>
      </c>
      <c r="G2383" t="s">
        <v>15223</v>
      </c>
      <c r="H2383" t="s">
        <v>42</v>
      </c>
      <c r="I2383" t="s">
        <v>15224</v>
      </c>
      <c r="J2383" t="s">
        <v>15225</v>
      </c>
      <c r="K2383">
        <v>78150</v>
      </c>
      <c r="L2383" t="s">
        <v>130</v>
      </c>
      <c r="M2383" t="s">
        <v>46</v>
      </c>
      <c r="N2383" t="s">
        <v>47</v>
      </c>
      <c r="O2383">
        <v>3</v>
      </c>
      <c r="P2383">
        <v>1</v>
      </c>
      <c r="Q2383">
        <v>3</v>
      </c>
      <c r="R2383" t="s">
        <v>48</v>
      </c>
      <c r="S2383" t="s">
        <v>49</v>
      </c>
      <c r="T2383" s="3">
        <v>0.84</v>
      </c>
      <c r="U2383" s="3">
        <v>0.23</v>
      </c>
      <c r="V2383" s="3">
        <v>2.68</v>
      </c>
      <c r="W2383">
        <v>1.1200000000000001</v>
      </c>
      <c r="X2383" t="s">
        <v>50</v>
      </c>
      <c r="Y2383" s="3">
        <v>14.26</v>
      </c>
      <c r="Z2383" t="s">
        <v>9686</v>
      </c>
      <c r="AA2383" t="s">
        <v>15226</v>
      </c>
      <c r="AB2383" t="s">
        <v>53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f t="shared" si="74"/>
        <v>18.010000000000002</v>
      </c>
      <c r="AK2383" s="3">
        <f t="shared" si="75"/>
        <v>3.7500000000000018</v>
      </c>
    </row>
    <row r="2384" spans="1:37">
      <c r="A2384">
        <v>10405234</v>
      </c>
      <c r="B2384" t="s">
        <v>37</v>
      </c>
      <c r="C2384" t="s">
        <v>15227</v>
      </c>
      <c r="E2384" t="s">
        <v>933</v>
      </c>
      <c r="F2384" t="s">
        <v>15228</v>
      </c>
      <c r="G2384" t="s">
        <v>15229</v>
      </c>
      <c r="H2384" t="s">
        <v>42</v>
      </c>
      <c r="I2384" t="s">
        <v>15230</v>
      </c>
      <c r="J2384" t="s">
        <v>15231</v>
      </c>
      <c r="K2384">
        <v>85774</v>
      </c>
      <c r="L2384" t="s">
        <v>71</v>
      </c>
      <c r="M2384" t="s">
        <v>46</v>
      </c>
      <c r="N2384" t="s">
        <v>47</v>
      </c>
      <c r="O2384">
        <v>1</v>
      </c>
      <c r="P2384">
        <v>1</v>
      </c>
      <c r="Q2384">
        <v>1</v>
      </c>
      <c r="R2384" t="s">
        <v>48</v>
      </c>
      <c r="S2384" t="s">
        <v>49</v>
      </c>
      <c r="T2384" s="3">
        <v>0.84</v>
      </c>
      <c r="U2384" s="3">
        <v>0.23</v>
      </c>
      <c r="V2384" s="3">
        <v>0.94</v>
      </c>
      <c r="W2384">
        <v>0.15</v>
      </c>
      <c r="X2384" t="s">
        <v>108</v>
      </c>
      <c r="Y2384" s="3">
        <v>5.13</v>
      </c>
      <c r="Z2384" t="s">
        <v>9850</v>
      </c>
      <c r="AA2384" t="s">
        <v>9271</v>
      </c>
      <c r="AB2384" t="s">
        <v>53</v>
      </c>
      <c r="AC2384" s="3">
        <v>0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f t="shared" si="74"/>
        <v>7.1400000000000006</v>
      </c>
      <c r="AK2384" s="3">
        <f t="shared" si="75"/>
        <v>2.0100000000000007</v>
      </c>
    </row>
    <row r="2385" spans="1:37">
      <c r="A2385">
        <v>10405727</v>
      </c>
      <c r="B2385" t="s">
        <v>37</v>
      </c>
      <c r="C2385" t="s">
        <v>15232</v>
      </c>
      <c r="E2385" t="s">
        <v>15233</v>
      </c>
      <c r="F2385" t="s">
        <v>15234</v>
      </c>
      <c r="G2385" t="s">
        <v>15235</v>
      </c>
      <c r="H2385" t="s">
        <v>42</v>
      </c>
      <c r="I2385" t="s">
        <v>15236</v>
      </c>
      <c r="J2385" t="s">
        <v>15237</v>
      </c>
      <c r="K2385">
        <v>73340</v>
      </c>
      <c r="L2385" t="s">
        <v>71</v>
      </c>
      <c r="M2385" t="s">
        <v>46</v>
      </c>
      <c r="N2385" t="s">
        <v>47</v>
      </c>
      <c r="O2385">
        <v>1</v>
      </c>
      <c r="P2385">
        <v>1</v>
      </c>
      <c r="Q2385">
        <v>1</v>
      </c>
      <c r="R2385" t="s">
        <v>48</v>
      </c>
      <c r="S2385" t="s">
        <v>49</v>
      </c>
      <c r="T2385" s="3">
        <v>0.84</v>
      </c>
      <c r="U2385" s="3">
        <v>0.23</v>
      </c>
      <c r="V2385" s="3">
        <v>0.94</v>
      </c>
      <c r="W2385">
        <v>0.15</v>
      </c>
      <c r="X2385" t="s">
        <v>108</v>
      </c>
      <c r="Y2385" s="3">
        <v>5.13</v>
      </c>
      <c r="Z2385" t="s">
        <v>9850</v>
      </c>
      <c r="AA2385" t="s">
        <v>9271</v>
      </c>
      <c r="AB2385" t="s">
        <v>53</v>
      </c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f t="shared" si="74"/>
        <v>7.1400000000000006</v>
      </c>
      <c r="AK2385" s="3">
        <f t="shared" si="75"/>
        <v>2.0100000000000007</v>
      </c>
    </row>
    <row r="2386" spans="1:37">
      <c r="A2386">
        <v>10403099</v>
      </c>
      <c r="B2386" t="s">
        <v>37</v>
      </c>
      <c r="C2386" t="s">
        <v>15238</v>
      </c>
      <c r="E2386" t="s">
        <v>657</v>
      </c>
      <c r="F2386" t="s">
        <v>15239</v>
      </c>
      <c r="G2386" t="s">
        <v>15240</v>
      </c>
      <c r="H2386" t="s">
        <v>42</v>
      </c>
      <c r="I2386" t="s">
        <v>15241</v>
      </c>
      <c r="J2386" t="s">
        <v>15242</v>
      </c>
      <c r="K2386" t="s">
        <v>15243</v>
      </c>
      <c r="L2386" t="s">
        <v>82</v>
      </c>
      <c r="M2386" t="s">
        <v>46</v>
      </c>
      <c r="N2386" t="s">
        <v>47</v>
      </c>
      <c r="O2386">
        <v>7</v>
      </c>
      <c r="P2386">
        <v>1</v>
      </c>
      <c r="Q2386">
        <v>7</v>
      </c>
      <c r="R2386" t="s">
        <v>48</v>
      </c>
      <c r="S2386" t="s">
        <v>49</v>
      </c>
      <c r="T2386" s="3">
        <v>0.84</v>
      </c>
      <c r="U2386" s="3">
        <v>0.23</v>
      </c>
      <c r="V2386" s="3">
        <v>6.16</v>
      </c>
      <c r="W2386">
        <v>2.48</v>
      </c>
      <c r="X2386" t="s">
        <v>50</v>
      </c>
      <c r="Y2386" s="3">
        <v>9.19</v>
      </c>
      <c r="Z2386" t="s">
        <v>73</v>
      </c>
      <c r="AA2386" t="s">
        <v>15244</v>
      </c>
      <c r="AB2386" t="s">
        <v>53</v>
      </c>
      <c r="AC2386" s="3">
        <v>1.29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f t="shared" si="74"/>
        <v>17.71</v>
      </c>
      <c r="AK2386" s="3">
        <f t="shared" si="75"/>
        <v>8.5200000000000014</v>
      </c>
    </row>
    <row r="2387" spans="1:37">
      <c r="A2387">
        <v>10404965</v>
      </c>
      <c r="B2387" t="s">
        <v>37</v>
      </c>
      <c r="C2387" t="s">
        <v>15245</v>
      </c>
      <c r="E2387" t="s">
        <v>3927</v>
      </c>
      <c r="F2387" t="s">
        <v>15246</v>
      </c>
      <c r="G2387" t="s">
        <v>15247</v>
      </c>
      <c r="H2387" t="s">
        <v>42</v>
      </c>
      <c r="I2387" t="s">
        <v>15248</v>
      </c>
      <c r="J2387" t="s">
        <v>15249</v>
      </c>
      <c r="K2387">
        <v>8037</v>
      </c>
      <c r="L2387" t="s">
        <v>45</v>
      </c>
      <c r="M2387" t="s">
        <v>46</v>
      </c>
      <c r="N2387" t="s">
        <v>47</v>
      </c>
      <c r="O2387">
        <v>1</v>
      </c>
      <c r="P2387">
        <v>1</v>
      </c>
      <c r="Q2387">
        <v>1</v>
      </c>
      <c r="R2387" t="s">
        <v>48</v>
      </c>
      <c r="S2387" t="s">
        <v>49</v>
      </c>
      <c r="T2387" s="3">
        <v>0.84</v>
      </c>
      <c r="U2387" s="3">
        <v>0.23</v>
      </c>
      <c r="V2387" s="3">
        <v>0.94</v>
      </c>
      <c r="W2387">
        <v>1.02</v>
      </c>
      <c r="X2387" t="s">
        <v>3387</v>
      </c>
      <c r="Y2387" s="3">
        <v>21.92</v>
      </c>
      <c r="Z2387" t="s">
        <v>9686</v>
      </c>
      <c r="AA2387" t="s">
        <v>3456</v>
      </c>
      <c r="AB2387" t="s">
        <v>53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f t="shared" si="74"/>
        <v>23.930000000000003</v>
      </c>
      <c r="AK2387" s="3">
        <f t="shared" si="75"/>
        <v>2.0100000000000016</v>
      </c>
    </row>
    <row r="2388" spans="1:37">
      <c r="A2388">
        <v>10404221</v>
      </c>
      <c r="B2388" t="s">
        <v>37</v>
      </c>
      <c r="C2388" t="s">
        <v>15250</v>
      </c>
      <c r="E2388" t="s">
        <v>12549</v>
      </c>
      <c r="F2388" t="s">
        <v>15251</v>
      </c>
      <c r="G2388" t="s">
        <v>15252</v>
      </c>
      <c r="H2388" t="s">
        <v>42</v>
      </c>
      <c r="I2388" t="s">
        <v>15253</v>
      </c>
      <c r="J2388" t="s">
        <v>15254</v>
      </c>
      <c r="K2388">
        <v>20249</v>
      </c>
      <c r="L2388" t="s">
        <v>71</v>
      </c>
      <c r="M2388" t="s">
        <v>46</v>
      </c>
      <c r="N2388" t="s">
        <v>47</v>
      </c>
      <c r="O2388">
        <v>1</v>
      </c>
      <c r="P2388">
        <v>1</v>
      </c>
      <c r="Q2388">
        <v>1</v>
      </c>
      <c r="R2388" t="s">
        <v>48</v>
      </c>
      <c r="S2388" t="s">
        <v>49</v>
      </c>
      <c r="T2388" s="3">
        <v>0.84</v>
      </c>
      <c r="U2388" s="3">
        <v>0.23</v>
      </c>
      <c r="V2388" s="3">
        <v>0.94</v>
      </c>
      <c r="W2388">
        <v>1.4</v>
      </c>
      <c r="X2388" t="s">
        <v>108</v>
      </c>
      <c r="Y2388" s="3">
        <v>5.13</v>
      </c>
      <c r="Z2388" t="s">
        <v>9686</v>
      </c>
      <c r="AA2388" t="s">
        <v>198</v>
      </c>
      <c r="AB2388" t="s">
        <v>53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f t="shared" si="74"/>
        <v>7.1400000000000006</v>
      </c>
      <c r="AK2388" s="3">
        <f t="shared" si="75"/>
        <v>2.0100000000000007</v>
      </c>
    </row>
    <row r="2389" spans="1:37">
      <c r="A2389">
        <v>10402878</v>
      </c>
      <c r="B2389" t="s">
        <v>37</v>
      </c>
      <c r="C2389" t="s">
        <v>15255</v>
      </c>
      <c r="E2389" t="s">
        <v>1712</v>
      </c>
      <c r="F2389" t="s">
        <v>15256</v>
      </c>
      <c r="G2389" t="s">
        <v>15257</v>
      </c>
      <c r="H2389" t="s">
        <v>42</v>
      </c>
      <c r="I2389" t="s">
        <v>15258</v>
      </c>
      <c r="J2389" t="s">
        <v>15259</v>
      </c>
      <c r="K2389">
        <v>69245</v>
      </c>
      <c r="L2389" t="s">
        <v>71</v>
      </c>
      <c r="M2389" t="s">
        <v>46</v>
      </c>
      <c r="N2389" t="s">
        <v>47</v>
      </c>
      <c r="O2389">
        <v>5</v>
      </c>
      <c r="P2389">
        <v>1</v>
      </c>
      <c r="Q2389">
        <v>5</v>
      </c>
      <c r="R2389" t="s">
        <v>48</v>
      </c>
      <c r="S2389" t="s">
        <v>49</v>
      </c>
      <c r="T2389" s="3">
        <v>0.84</v>
      </c>
      <c r="U2389" s="3">
        <v>0.23</v>
      </c>
      <c r="V2389" s="3">
        <v>4.42</v>
      </c>
      <c r="W2389">
        <v>2.35</v>
      </c>
      <c r="X2389" t="s">
        <v>72</v>
      </c>
      <c r="Y2389" s="3">
        <v>5.43</v>
      </c>
      <c r="Z2389" t="s">
        <v>73</v>
      </c>
      <c r="AA2389" t="s">
        <v>15260</v>
      </c>
      <c r="AB2389" t="s">
        <v>53</v>
      </c>
      <c r="AC2389" s="3">
        <v>1.29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f t="shared" si="74"/>
        <v>12.21</v>
      </c>
      <c r="AK2389" s="3">
        <f t="shared" si="75"/>
        <v>6.7800000000000011</v>
      </c>
    </row>
    <row r="2390" spans="1:37">
      <c r="A2390">
        <v>10404678</v>
      </c>
      <c r="B2390" t="s">
        <v>37</v>
      </c>
      <c r="C2390" t="s">
        <v>15261</v>
      </c>
      <c r="E2390" t="s">
        <v>15262</v>
      </c>
      <c r="F2390" t="s">
        <v>6460</v>
      </c>
      <c r="G2390" t="s">
        <v>15263</v>
      </c>
      <c r="H2390" t="s">
        <v>42</v>
      </c>
      <c r="I2390" t="s">
        <v>15264</v>
      </c>
      <c r="J2390" t="s">
        <v>15265</v>
      </c>
      <c r="K2390">
        <v>81541</v>
      </c>
      <c r="L2390" t="s">
        <v>71</v>
      </c>
      <c r="M2390" t="s">
        <v>46</v>
      </c>
      <c r="N2390" t="s">
        <v>47</v>
      </c>
      <c r="O2390">
        <v>1</v>
      </c>
      <c r="P2390">
        <v>1</v>
      </c>
      <c r="Q2390">
        <v>1</v>
      </c>
      <c r="R2390" t="s">
        <v>48</v>
      </c>
      <c r="S2390" t="s">
        <v>49</v>
      </c>
      <c r="T2390" s="3">
        <v>0.84</v>
      </c>
      <c r="U2390" s="3">
        <v>0.23</v>
      </c>
      <c r="V2390" s="3">
        <v>0.94</v>
      </c>
      <c r="W2390">
        <v>1.4</v>
      </c>
      <c r="X2390" t="s">
        <v>108</v>
      </c>
      <c r="Y2390" s="3">
        <v>5.13</v>
      </c>
      <c r="Z2390" t="s">
        <v>9686</v>
      </c>
      <c r="AA2390" t="s">
        <v>198</v>
      </c>
      <c r="AB2390" t="s">
        <v>53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f t="shared" si="74"/>
        <v>7.1400000000000006</v>
      </c>
      <c r="AK2390" s="3">
        <f t="shared" si="75"/>
        <v>2.0100000000000007</v>
      </c>
    </row>
    <row r="2391" spans="1:37">
      <c r="A2391">
        <v>10405947</v>
      </c>
      <c r="B2391" t="s">
        <v>37</v>
      </c>
      <c r="C2391" t="s">
        <v>15266</v>
      </c>
      <c r="E2391" t="s">
        <v>15267</v>
      </c>
      <c r="F2391" t="s">
        <v>15268</v>
      </c>
      <c r="G2391" t="s">
        <v>15269</v>
      </c>
      <c r="H2391" t="s">
        <v>42</v>
      </c>
      <c r="I2391" t="s">
        <v>15270</v>
      </c>
      <c r="J2391" t="s">
        <v>15271</v>
      </c>
      <c r="K2391" t="s">
        <v>15272</v>
      </c>
      <c r="L2391" t="s">
        <v>9511</v>
      </c>
      <c r="M2391" t="s">
        <v>46</v>
      </c>
      <c r="N2391" t="s">
        <v>47</v>
      </c>
      <c r="O2391">
        <v>1</v>
      </c>
      <c r="P2391">
        <v>1</v>
      </c>
      <c r="Q2391">
        <v>1</v>
      </c>
      <c r="R2391" t="s">
        <v>48</v>
      </c>
      <c r="S2391" t="s">
        <v>49</v>
      </c>
      <c r="T2391" s="3">
        <v>0.84</v>
      </c>
      <c r="U2391" s="3">
        <v>0.23</v>
      </c>
      <c r="V2391" s="3">
        <v>0.94</v>
      </c>
      <c r="W2391">
        <v>0.15</v>
      </c>
      <c r="X2391" t="s">
        <v>100</v>
      </c>
      <c r="Y2391" s="3">
        <v>21.7</v>
      </c>
      <c r="Z2391" t="s">
        <v>9850</v>
      </c>
      <c r="AA2391" t="s">
        <v>9271</v>
      </c>
      <c r="AB2391" t="s">
        <v>53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f t="shared" si="74"/>
        <v>23.71</v>
      </c>
      <c r="AK2391" s="3">
        <f t="shared" si="75"/>
        <v>2.0100000000000016</v>
      </c>
    </row>
    <row r="2392" spans="1:37">
      <c r="A2392">
        <v>10404222</v>
      </c>
      <c r="B2392" t="s">
        <v>37</v>
      </c>
      <c r="C2392" t="s">
        <v>15273</v>
      </c>
      <c r="E2392" t="s">
        <v>3582</v>
      </c>
      <c r="F2392" t="s">
        <v>15274</v>
      </c>
      <c r="G2392" t="s">
        <v>15275</v>
      </c>
      <c r="H2392" t="s">
        <v>42</v>
      </c>
      <c r="I2392" t="s">
        <v>15276</v>
      </c>
      <c r="J2392" t="s">
        <v>15277</v>
      </c>
      <c r="K2392">
        <v>40880</v>
      </c>
      <c r="L2392" t="s">
        <v>71</v>
      </c>
      <c r="M2392" t="s">
        <v>46</v>
      </c>
      <c r="N2392" t="s">
        <v>47</v>
      </c>
      <c r="O2392">
        <v>3</v>
      </c>
      <c r="P2392">
        <v>1</v>
      </c>
      <c r="Q2392">
        <v>3</v>
      </c>
      <c r="R2392" t="s">
        <v>48</v>
      </c>
      <c r="S2392" t="s">
        <v>49</v>
      </c>
      <c r="T2392" s="3">
        <v>0.84</v>
      </c>
      <c r="U2392" s="3">
        <v>0.23</v>
      </c>
      <c r="V2392" s="3">
        <v>2.68</v>
      </c>
      <c r="W2392">
        <v>0.55000000000000004</v>
      </c>
      <c r="X2392" t="s">
        <v>108</v>
      </c>
      <c r="Y2392" s="3">
        <v>5.14</v>
      </c>
      <c r="Z2392" t="s">
        <v>9686</v>
      </c>
      <c r="AA2392" t="s">
        <v>15278</v>
      </c>
      <c r="AB2392" t="s">
        <v>53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f t="shared" si="74"/>
        <v>8.89</v>
      </c>
      <c r="AK2392" s="3">
        <f t="shared" si="75"/>
        <v>3.7500000000000009</v>
      </c>
    </row>
    <row r="2393" spans="1:37">
      <c r="A2393">
        <v>10402882</v>
      </c>
      <c r="B2393" t="s">
        <v>37</v>
      </c>
      <c r="C2393" t="s">
        <v>15279</v>
      </c>
      <c r="E2393" t="s">
        <v>7038</v>
      </c>
      <c r="F2393" t="s">
        <v>15280</v>
      </c>
      <c r="G2393" t="s">
        <v>15281</v>
      </c>
      <c r="H2393" t="s">
        <v>42</v>
      </c>
      <c r="I2393" t="s">
        <v>15282</v>
      </c>
      <c r="J2393" t="s">
        <v>15283</v>
      </c>
      <c r="K2393">
        <v>2200</v>
      </c>
      <c r="L2393" t="s">
        <v>1701</v>
      </c>
      <c r="M2393" t="s">
        <v>46</v>
      </c>
      <c r="N2393" t="s">
        <v>47</v>
      </c>
      <c r="O2393">
        <v>4</v>
      </c>
      <c r="P2393">
        <v>1</v>
      </c>
      <c r="Q2393">
        <v>4</v>
      </c>
      <c r="R2393" t="s">
        <v>48</v>
      </c>
      <c r="S2393" t="s">
        <v>49</v>
      </c>
      <c r="T2393" s="3">
        <v>0.84</v>
      </c>
      <c r="U2393" s="3">
        <v>0.23</v>
      </c>
      <c r="V2393" s="3">
        <v>3.55</v>
      </c>
      <c r="W2393">
        <v>1.56</v>
      </c>
      <c r="X2393" t="s">
        <v>1702</v>
      </c>
      <c r="Y2393" s="3">
        <v>25.49</v>
      </c>
      <c r="Z2393" t="s">
        <v>9686</v>
      </c>
      <c r="AA2393" t="s">
        <v>429</v>
      </c>
      <c r="AB2393" t="s">
        <v>53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f t="shared" si="74"/>
        <v>30.11</v>
      </c>
      <c r="AK2393" s="3">
        <f t="shared" si="75"/>
        <v>4.620000000000001</v>
      </c>
    </row>
    <row r="2394" spans="1:37">
      <c r="A2394">
        <v>10404411</v>
      </c>
      <c r="B2394" t="s">
        <v>37</v>
      </c>
      <c r="C2394" t="s">
        <v>15284</v>
      </c>
      <c r="E2394" t="s">
        <v>1498</v>
      </c>
      <c r="F2394" t="s">
        <v>15285</v>
      </c>
      <c r="G2394" t="s">
        <v>15286</v>
      </c>
      <c r="H2394" t="s">
        <v>42</v>
      </c>
      <c r="I2394" t="s">
        <v>15287</v>
      </c>
      <c r="J2394" t="s">
        <v>15288</v>
      </c>
      <c r="K2394" t="s">
        <v>15289</v>
      </c>
      <c r="L2394" t="s">
        <v>142</v>
      </c>
      <c r="M2394" t="s">
        <v>46</v>
      </c>
      <c r="N2394" t="s">
        <v>47</v>
      </c>
      <c r="O2394">
        <v>6</v>
      </c>
      <c r="P2394">
        <v>1</v>
      </c>
      <c r="Q2394">
        <v>6</v>
      </c>
      <c r="R2394" t="s">
        <v>48</v>
      </c>
      <c r="S2394" t="s">
        <v>49</v>
      </c>
      <c r="T2394" s="3">
        <v>0.84</v>
      </c>
      <c r="U2394" s="3">
        <v>0.23</v>
      </c>
      <c r="V2394" s="3">
        <v>5.29</v>
      </c>
      <c r="W2394">
        <v>2.64</v>
      </c>
      <c r="X2394" t="s">
        <v>50</v>
      </c>
      <c r="Y2394" s="3">
        <v>16.43</v>
      </c>
      <c r="Z2394" t="s">
        <v>9686</v>
      </c>
      <c r="AA2394" t="s">
        <v>15290</v>
      </c>
      <c r="AB2394" t="s">
        <v>53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f t="shared" si="74"/>
        <v>22.79</v>
      </c>
      <c r="AK2394" s="3">
        <f t="shared" si="75"/>
        <v>6.3599999999999994</v>
      </c>
    </row>
    <row r="2395" spans="1:37">
      <c r="A2395">
        <v>10404220</v>
      </c>
      <c r="B2395" t="s">
        <v>37</v>
      </c>
      <c r="C2395" t="s">
        <v>15291</v>
      </c>
      <c r="E2395" t="s">
        <v>1498</v>
      </c>
      <c r="F2395" t="s">
        <v>15292</v>
      </c>
      <c r="G2395" t="s">
        <v>15293</v>
      </c>
      <c r="H2395" t="s">
        <v>42</v>
      </c>
      <c r="I2395" t="s">
        <v>15294</v>
      </c>
      <c r="J2395" t="s">
        <v>15295</v>
      </c>
      <c r="K2395">
        <v>14656</v>
      </c>
      <c r="L2395" t="s">
        <v>71</v>
      </c>
      <c r="M2395" t="s">
        <v>46</v>
      </c>
      <c r="N2395" t="s">
        <v>47</v>
      </c>
      <c r="O2395">
        <v>4</v>
      </c>
      <c r="P2395">
        <v>1</v>
      </c>
      <c r="Q2395">
        <v>4</v>
      </c>
      <c r="R2395" t="s">
        <v>48</v>
      </c>
      <c r="S2395" t="s">
        <v>49</v>
      </c>
      <c r="T2395" s="3">
        <v>0.84</v>
      </c>
      <c r="U2395" s="3">
        <v>0.23</v>
      </c>
      <c r="V2395" s="3">
        <v>3.55</v>
      </c>
      <c r="W2395">
        <v>1.96</v>
      </c>
      <c r="X2395" t="s">
        <v>72</v>
      </c>
      <c r="Y2395" s="3">
        <v>5.43</v>
      </c>
      <c r="Z2395" t="s">
        <v>73</v>
      </c>
      <c r="AA2395" t="s">
        <v>15296</v>
      </c>
      <c r="AB2395" t="s">
        <v>53</v>
      </c>
      <c r="AC2395" s="3">
        <v>1.29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f t="shared" si="74"/>
        <v>11.34</v>
      </c>
      <c r="AK2395" s="3">
        <f t="shared" si="75"/>
        <v>5.91</v>
      </c>
    </row>
    <row r="2396" spans="1:37">
      <c r="A2396">
        <v>10403640</v>
      </c>
      <c r="B2396" t="s">
        <v>37</v>
      </c>
      <c r="C2396" t="s">
        <v>15297</v>
      </c>
      <c r="E2396" t="s">
        <v>3869</v>
      </c>
      <c r="F2396" t="s">
        <v>15298</v>
      </c>
      <c r="G2396" t="s">
        <v>15299</v>
      </c>
      <c r="H2396" t="s">
        <v>42</v>
      </c>
      <c r="I2396" t="s">
        <v>15300</v>
      </c>
      <c r="J2396" t="s">
        <v>15301</v>
      </c>
      <c r="K2396" t="s">
        <v>15302</v>
      </c>
      <c r="L2396" t="s">
        <v>142</v>
      </c>
      <c r="M2396" t="s">
        <v>46</v>
      </c>
      <c r="N2396" t="s">
        <v>47</v>
      </c>
      <c r="O2396">
        <v>5</v>
      </c>
      <c r="P2396">
        <v>1</v>
      </c>
      <c r="Q2396">
        <v>5</v>
      </c>
      <c r="R2396" t="s">
        <v>48</v>
      </c>
      <c r="S2396" t="s">
        <v>49</v>
      </c>
      <c r="T2396" s="3">
        <v>0.84</v>
      </c>
      <c r="U2396" s="3">
        <v>0.23</v>
      </c>
      <c r="V2396" s="3">
        <v>4.42</v>
      </c>
      <c r="W2396">
        <v>1.8</v>
      </c>
      <c r="X2396" t="s">
        <v>50</v>
      </c>
      <c r="Y2396" s="3">
        <v>16.43</v>
      </c>
      <c r="Z2396" t="s">
        <v>73</v>
      </c>
      <c r="AA2396" t="s">
        <v>15303</v>
      </c>
      <c r="AB2396" t="s">
        <v>53</v>
      </c>
      <c r="AC2396" s="3">
        <v>1.29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f t="shared" si="74"/>
        <v>23.21</v>
      </c>
      <c r="AK2396" s="3">
        <f t="shared" si="75"/>
        <v>6.7800000000000011</v>
      </c>
    </row>
    <row r="2397" spans="1:37">
      <c r="A2397">
        <v>10404424</v>
      </c>
      <c r="B2397" t="s">
        <v>37</v>
      </c>
      <c r="C2397" t="s">
        <v>15304</v>
      </c>
      <c r="E2397" t="s">
        <v>5406</v>
      </c>
      <c r="F2397" t="s">
        <v>15305</v>
      </c>
      <c r="G2397" t="s">
        <v>15306</v>
      </c>
      <c r="H2397" t="s">
        <v>42</v>
      </c>
      <c r="I2397" t="s">
        <v>15307</v>
      </c>
      <c r="J2397" t="s">
        <v>15308</v>
      </c>
      <c r="K2397">
        <v>22415</v>
      </c>
      <c r="L2397" t="s">
        <v>71</v>
      </c>
      <c r="M2397" t="s">
        <v>46</v>
      </c>
      <c r="N2397" t="s">
        <v>47</v>
      </c>
      <c r="O2397">
        <v>4</v>
      </c>
      <c r="P2397">
        <v>1</v>
      </c>
      <c r="Q2397">
        <v>4</v>
      </c>
      <c r="R2397" t="s">
        <v>48</v>
      </c>
      <c r="S2397" t="s">
        <v>49</v>
      </c>
      <c r="T2397" s="3">
        <v>0.84</v>
      </c>
      <c r="U2397" s="3">
        <v>0.23</v>
      </c>
      <c r="V2397" s="3">
        <v>3.55</v>
      </c>
      <c r="W2397">
        <v>1.8</v>
      </c>
      <c r="X2397" t="s">
        <v>108</v>
      </c>
      <c r="Y2397" s="3">
        <v>5.44</v>
      </c>
      <c r="Z2397" t="s">
        <v>9686</v>
      </c>
      <c r="AA2397" t="s">
        <v>15309</v>
      </c>
      <c r="AB2397" t="s">
        <v>53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f t="shared" si="74"/>
        <v>10.06</v>
      </c>
      <c r="AK2397" s="3">
        <f t="shared" si="75"/>
        <v>4.62</v>
      </c>
    </row>
    <row r="2398" spans="1:37">
      <c r="A2398">
        <v>10404673</v>
      </c>
      <c r="B2398" t="s">
        <v>37</v>
      </c>
      <c r="C2398" t="s">
        <v>15310</v>
      </c>
      <c r="E2398" t="s">
        <v>547</v>
      </c>
      <c r="F2398" t="s">
        <v>15311</v>
      </c>
      <c r="G2398" t="s">
        <v>15312</v>
      </c>
      <c r="H2398" t="s">
        <v>42</v>
      </c>
      <c r="I2398" t="s">
        <v>15313</v>
      </c>
      <c r="J2398" t="s">
        <v>15314</v>
      </c>
      <c r="K2398" t="s">
        <v>15315</v>
      </c>
      <c r="L2398" t="s">
        <v>142</v>
      </c>
      <c r="M2398" t="s">
        <v>46</v>
      </c>
      <c r="N2398" t="s">
        <v>47</v>
      </c>
      <c r="O2398">
        <v>4</v>
      </c>
      <c r="P2398">
        <v>1</v>
      </c>
      <c r="Q2398">
        <v>4</v>
      </c>
      <c r="R2398" t="s">
        <v>48</v>
      </c>
      <c r="S2398" t="s">
        <v>49</v>
      </c>
      <c r="T2398" s="3">
        <v>0.84</v>
      </c>
      <c r="U2398" s="3">
        <v>0.23</v>
      </c>
      <c r="V2398" s="3">
        <v>3.55</v>
      </c>
      <c r="W2398">
        <v>1.56</v>
      </c>
      <c r="X2398" t="s">
        <v>50</v>
      </c>
      <c r="Y2398" s="3">
        <v>16.43</v>
      </c>
      <c r="Z2398" t="s">
        <v>9686</v>
      </c>
      <c r="AA2398" t="s">
        <v>15316</v>
      </c>
      <c r="AB2398" t="s">
        <v>53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f t="shared" si="74"/>
        <v>21.05</v>
      </c>
      <c r="AK2398" s="3">
        <f t="shared" si="75"/>
        <v>4.620000000000001</v>
      </c>
    </row>
    <row r="2399" spans="1:37">
      <c r="A2399">
        <v>10404412</v>
      </c>
      <c r="B2399" t="s">
        <v>37</v>
      </c>
      <c r="C2399" t="s">
        <v>15317</v>
      </c>
      <c r="E2399" t="s">
        <v>3125</v>
      </c>
      <c r="F2399" t="s">
        <v>15318</v>
      </c>
      <c r="G2399" t="s">
        <v>15319</v>
      </c>
      <c r="H2399" t="s">
        <v>42</v>
      </c>
      <c r="I2399" t="s">
        <v>15320</v>
      </c>
      <c r="J2399" t="s">
        <v>15321</v>
      </c>
      <c r="K2399">
        <v>2365</v>
      </c>
      <c r="L2399" t="s">
        <v>1701</v>
      </c>
      <c r="M2399" t="s">
        <v>46</v>
      </c>
      <c r="N2399" t="s">
        <v>47</v>
      </c>
      <c r="O2399">
        <v>4</v>
      </c>
      <c r="P2399">
        <v>1</v>
      </c>
      <c r="Q2399">
        <v>4</v>
      </c>
      <c r="R2399" t="s">
        <v>48</v>
      </c>
      <c r="S2399" t="s">
        <v>49</v>
      </c>
      <c r="T2399" s="3">
        <v>0.84</v>
      </c>
      <c r="U2399" s="3">
        <v>0.23</v>
      </c>
      <c r="V2399" s="3">
        <v>3.55</v>
      </c>
      <c r="W2399">
        <v>1.18</v>
      </c>
      <c r="X2399" t="s">
        <v>1702</v>
      </c>
      <c r="Y2399" s="3">
        <v>38</v>
      </c>
      <c r="Z2399" t="s">
        <v>9686</v>
      </c>
      <c r="AA2399" t="s">
        <v>15322</v>
      </c>
      <c r="AB2399" t="s">
        <v>53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f t="shared" si="74"/>
        <v>42.62</v>
      </c>
      <c r="AK2399" s="3">
        <f t="shared" si="75"/>
        <v>4.6199999999999974</v>
      </c>
    </row>
    <row r="2400" spans="1:37">
      <c r="A2400">
        <v>10405725</v>
      </c>
      <c r="B2400" t="s">
        <v>37</v>
      </c>
      <c r="C2400" t="s">
        <v>15323</v>
      </c>
      <c r="E2400" t="s">
        <v>3681</v>
      </c>
      <c r="F2400" t="s">
        <v>15324</v>
      </c>
      <c r="G2400" t="s">
        <v>15325</v>
      </c>
      <c r="H2400" t="s">
        <v>42</v>
      </c>
      <c r="I2400" t="s">
        <v>15326</v>
      </c>
      <c r="J2400" t="s">
        <v>15327</v>
      </c>
      <c r="K2400">
        <v>3080</v>
      </c>
      <c r="L2400" t="s">
        <v>505</v>
      </c>
      <c r="M2400" t="s">
        <v>46</v>
      </c>
      <c r="N2400" t="s">
        <v>47</v>
      </c>
      <c r="O2400">
        <v>2</v>
      </c>
      <c r="P2400">
        <v>1</v>
      </c>
      <c r="Q2400">
        <v>2</v>
      </c>
      <c r="R2400" t="s">
        <v>48</v>
      </c>
      <c r="S2400" t="s">
        <v>49</v>
      </c>
      <c r="T2400" s="3">
        <v>0.84</v>
      </c>
      <c r="U2400" s="3">
        <v>0.23</v>
      </c>
      <c r="V2400" s="3">
        <v>1.81</v>
      </c>
      <c r="W2400">
        <v>0.9</v>
      </c>
      <c r="X2400" t="s">
        <v>50</v>
      </c>
      <c r="Y2400" s="3">
        <v>9.1999999999999993</v>
      </c>
      <c r="Z2400" t="s">
        <v>9850</v>
      </c>
      <c r="AA2400" t="s">
        <v>9687</v>
      </c>
      <c r="AB2400" t="s">
        <v>53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f t="shared" si="74"/>
        <v>12.08</v>
      </c>
      <c r="AK2400" s="3">
        <f t="shared" si="75"/>
        <v>2.8800000000000008</v>
      </c>
    </row>
    <row r="2401" spans="1:37">
      <c r="A2401">
        <v>10405473</v>
      </c>
      <c r="B2401" t="s">
        <v>37</v>
      </c>
      <c r="C2401" t="s">
        <v>15328</v>
      </c>
      <c r="E2401" t="s">
        <v>13120</v>
      </c>
      <c r="F2401" t="s">
        <v>15329</v>
      </c>
      <c r="G2401" t="s">
        <v>15330</v>
      </c>
      <c r="H2401" t="s">
        <v>42</v>
      </c>
      <c r="I2401" t="s">
        <v>15331</v>
      </c>
      <c r="J2401" t="s">
        <v>15332</v>
      </c>
      <c r="K2401" t="s">
        <v>15333</v>
      </c>
      <c r="L2401" t="s">
        <v>142</v>
      </c>
      <c r="M2401" t="s">
        <v>46</v>
      </c>
      <c r="N2401" t="s">
        <v>47</v>
      </c>
      <c r="O2401">
        <v>2</v>
      </c>
      <c r="P2401">
        <v>1</v>
      </c>
      <c r="Q2401">
        <v>2</v>
      </c>
      <c r="R2401" t="s">
        <v>48</v>
      </c>
      <c r="S2401" t="s">
        <v>49</v>
      </c>
      <c r="T2401" s="3">
        <v>0.84</v>
      </c>
      <c r="U2401" s="3">
        <v>0.23</v>
      </c>
      <c r="V2401" s="3">
        <v>1.81</v>
      </c>
      <c r="W2401">
        <v>0.88</v>
      </c>
      <c r="X2401" t="s">
        <v>50</v>
      </c>
      <c r="Y2401" s="3">
        <v>16.43</v>
      </c>
      <c r="Z2401" t="s">
        <v>9686</v>
      </c>
      <c r="AA2401" t="s">
        <v>9179</v>
      </c>
      <c r="AB2401" t="s">
        <v>53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f t="shared" si="74"/>
        <v>19.309999999999999</v>
      </c>
      <c r="AK2401" s="3">
        <f t="shared" si="75"/>
        <v>2.879999999999999</v>
      </c>
    </row>
    <row r="2402" spans="1:37">
      <c r="A2402">
        <v>10404959</v>
      </c>
      <c r="B2402" t="s">
        <v>37</v>
      </c>
      <c r="C2402" t="s">
        <v>15334</v>
      </c>
      <c r="E2402" t="s">
        <v>1007</v>
      </c>
      <c r="F2402" t="s">
        <v>15335</v>
      </c>
      <c r="G2402" t="s">
        <v>15336</v>
      </c>
      <c r="H2402" t="s">
        <v>42</v>
      </c>
      <c r="I2402" t="s">
        <v>15337</v>
      </c>
      <c r="J2402" t="s">
        <v>15338</v>
      </c>
      <c r="K2402">
        <v>92380</v>
      </c>
      <c r="L2402" t="s">
        <v>130</v>
      </c>
      <c r="M2402" t="s">
        <v>46</v>
      </c>
      <c r="N2402" t="s">
        <v>47</v>
      </c>
      <c r="O2402">
        <v>2</v>
      </c>
      <c r="P2402">
        <v>1</v>
      </c>
      <c r="Q2402">
        <v>2</v>
      </c>
      <c r="R2402" t="s">
        <v>48</v>
      </c>
      <c r="S2402" t="s">
        <v>49</v>
      </c>
      <c r="T2402" s="3">
        <v>0.84</v>
      </c>
      <c r="U2402" s="3">
        <v>0.23</v>
      </c>
      <c r="V2402" s="3">
        <v>1.81</v>
      </c>
      <c r="W2402">
        <v>0.78</v>
      </c>
      <c r="X2402" t="s">
        <v>50</v>
      </c>
      <c r="Y2402" s="3">
        <v>14.26</v>
      </c>
      <c r="Z2402" t="s">
        <v>9850</v>
      </c>
      <c r="AA2402" t="s">
        <v>714</v>
      </c>
      <c r="AB2402" t="s">
        <v>53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f t="shared" si="74"/>
        <v>17.14</v>
      </c>
      <c r="AK2402" s="3">
        <f t="shared" si="75"/>
        <v>2.8800000000000008</v>
      </c>
    </row>
    <row r="2403" spans="1:37">
      <c r="A2403">
        <v>10405726</v>
      </c>
      <c r="B2403" t="s">
        <v>37</v>
      </c>
      <c r="C2403" t="s">
        <v>15339</v>
      </c>
      <c r="E2403" t="s">
        <v>7500</v>
      </c>
      <c r="F2403" t="s">
        <v>15340</v>
      </c>
      <c r="G2403" t="s">
        <v>15341</v>
      </c>
      <c r="H2403" t="s">
        <v>42</v>
      </c>
      <c r="I2403" t="s">
        <v>15342</v>
      </c>
      <c r="J2403" t="s">
        <v>15343</v>
      </c>
      <c r="K2403">
        <v>97688</v>
      </c>
      <c r="L2403" t="s">
        <v>71</v>
      </c>
      <c r="M2403" t="s">
        <v>46</v>
      </c>
      <c r="N2403" t="s">
        <v>47</v>
      </c>
      <c r="O2403">
        <v>2</v>
      </c>
      <c r="P2403">
        <v>1</v>
      </c>
      <c r="Q2403">
        <v>2</v>
      </c>
      <c r="R2403" t="s">
        <v>48</v>
      </c>
      <c r="S2403" t="s">
        <v>49</v>
      </c>
      <c r="T2403" s="3">
        <v>0.84</v>
      </c>
      <c r="U2403" s="3">
        <v>0.23</v>
      </c>
      <c r="V2403" s="3">
        <v>1.81</v>
      </c>
      <c r="W2403">
        <v>0.78</v>
      </c>
      <c r="X2403" t="s">
        <v>108</v>
      </c>
      <c r="Y2403" s="3">
        <v>5.14</v>
      </c>
      <c r="Z2403" t="s">
        <v>9850</v>
      </c>
      <c r="AA2403" t="s">
        <v>15344</v>
      </c>
      <c r="AB2403" t="s">
        <v>53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f t="shared" si="74"/>
        <v>8.02</v>
      </c>
      <c r="AK2403" s="3">
        <f t="shared" si="75"/>
        <v>2.88</v>
      </c>
    </row>
    <row r="2404" spans="1:37">
      <c r="A2404">
        <v>10404961</v>
      </c>
      <c r="B2404" t="s">
        <v>37</v>
      </c>
      <c r="C2404" t="s">
        <v>15345</v>
      </c>
      <c r="E2404" t="s">
        <v>15346</v>
      </c>
      <c r="F2404" t="s">
        <v>15347</v>
      </c>
      <c r="G2404" t="s">
        <v>15348</v>
      </c>
      <c r="H2404" t="s">
        <v>42</v>
      </c>
      <c r="I2404" t="s">
        <v>15349</v>
      </c>
      <c r="J2404" t="s">
        <v>15350</v>
      </c>
      <c r="K2404" t="s">
        <v>15351</v>
      </c>
      <c r="L2404" t="s">
        <v>82</v>
      </c>
      <c r="M2404" t="s">
        <v>46</v>
      </c>
      <c r="N2404" t="s">
        <v>47</v>
      </c>
      <c r="O2404">
        <v>2</v>
      </c>
      <c r="P2404">
        <v>1</v>
      </c>
      <c r="Q2404">
        <v>2</v>
      </c>
      <c r="R2404" t="s">
        <v>48</v>
      </c>
      <c r="S2404" t="s">
        <v>49</v>
      </c>
      <c r="T2404" s="3">
        <v>0.84</v>
      </c>
      <c r="U2404" s="3">
        <v>0.23</v>
      </c>
      <c r="V2404" s="3">
        <v>1.81</v>
      </c>
      <c r="W2404">
        <v>0.78</v>
      </c>
      <c r="X2404" t="s">
        <v>50</v>
      </c>
      <c r="Y2404" s="3">
        <v>9.1999999999999993</v>
      </c>
      <c r="Z2404" t="s">
        <v>9850</v>
      </c>
      <c r="AA2404" t="s">
        <v>1364</v>
      </c>
      <c r="AB2404" t="s">
        <v>53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f t="shared" si="74"/>
        <v>12.08</v>
      </c>
      <c r="AK2404" s="3">
        <f t="shared" si="75"/>
        <v>2.8800000000000008</v>
      </c>
    </row>
    <row r="2405" spans="1:37">
      <c r="A2405">
        <v>10404679</v>
      </c>
      <c r="B2405" t="s">
        <v>37</v>
      </c>
      <c r="C2405" t="s">
        <v>15352</v>
      </c>
      <c r="E2405" t="s">
        <v>15353</v>
      </c>
      <c r="F2405" t="s">
        <v>15353</v>
      </c>
      <c r="G2405" t="s">
        <v>15354</v>
      </c>
      <c r="H2405" t="s">
        <v>42</v>
      </c>
      <c r="I2405" t="s">
        <v>15355</v>
      </c>
      <c r="J2405" t="s">
        <v>15356</v>
      </c>
      <c r="K2405" t="s">
        <v>15357</v>
      </c>
      <c r="L2405" t="s">
        <v>82</v>
      </c>
      <c r="M2405" t="s">
        <v>46</v>
      </c>
      <c r="N2405" t="s">
        <v>47</v>
      </c>
      <c r="O2405">
        <v>4</v>
      </c>
      <c r="P2405">
        <v>1</v>
      </c>
      <c r="Q2405">
        <v>4</v>
      </c>
      <c r="R2405" t="s">
        <v>48</v>
      </c>
      <c r="S2405" t="s">
        <v>49</v>
      </c>
      <c r="T2405" s="3">
        <v>0.84</v>
      </c>
      <c r="U2405" s="3">
        <v>0.23</v>
      </c>
      <c r="V2405" s="3">
        <v>3.55</v>
      </c>
      <c r="W2405">
        <v>1.86</v>
      </c>
      <c r="X2405" t="s">
        <v>50</v>
      </c>
      <c r="Y2405" s="3">
        <v>9.19</v>
      </c>
      <c r="Z2405" t="s">
        <v>9686</v>
      </c>
      <c r="AA2405" t="s">
        <v>15358</v>
      </c>
      <c r="AB2405" t="s">
        <v>53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f t="shared" si="74"/>
        <v>13.809999999999999</v>
      </c>
      <c r="AK2405" s="3">
        <f t="shared" si="75"/>
        <v>4.6199999999999992</v>
      </c>
    </row>
    <row r="2406" spans="1:37">
      <c r="A2406">
        <v>10404676</v>
      </c>
      <c r="B2406" t="s">
        <v>37</v>
      </c>
      <c r="C2406" t="s">
        <v>15359</v>
      </c>
      <c r="E2406" t="s">
        <v>1886</v>
      </c>
      <c r="F2406" t="s">
        <v>15360</v>
      </c>
      <c r="G2406" t="s">
        <v>15361</v>
      </c>
      <c r="H2406" t="s">
        <v>42</v>
      </c>
      <c r="I2406" t="s">
        <v>15362</v>
      </c>
      <c r="J2406" t="s">
        <v>15363</v>
      </c>
      <c r="K2406">
        <v>80796</v>
      </c>
      <c r="L2406" t="s">
        <v>71</v>
      </c>
      <c r="M2406" t="s">
        <v>46</v>
      </c>
      <c r="N2406" t="s">
        <v>47</v>
      </c>
      <c r="O2406">
        <v>3</v>
      </c>
      <c r="P2406">
        <v>1</v>
      </c>
      <c r="Q2406">
        <v>3</v>
      </c>
      <c r="R2406" t="s">
        <v>48</v>
      </c>
      <c r="S2406" t="s">
        <v>49</v>
      </c>
      <c r="T2406" s="3">
        <v>0.84</v>
      </c>
      <c r="U2406" s="3">
        <v>0.23</v>
      </c>
      <c r="V2406" s="3">
        <v>2.68</v>
      </c>
      <c r="W2406">
        <v>2.2400000000000002</v>
      </c>
      <c r="X2406" t="s">
        <v>72</v>
      </c>
      <c r="Y2406" s="3">
        <v>5.43</v>
      </c>
      <c r="Z2406" t="s">
        <v>83</v>
      </c>
      <c r="AA2406" t="s">
        <v>15364</v>
      </c>
      <c r="AB2406" t="s">
        <v>53</v>
      </c>
      <c r="AC2406" s="3">
        <v>1.27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s="3">
        <f t="shared" si="74"/>
        <v>10.45</v>
      </c>
      <c r="AK2406" s="3">
        <f t="shared" si="75"/>
        <v>5.0199999999999996</v>
      </c>
    </row>
    <row r="2407" spans="1:37">
      <c r="A2407">
        <v>10404677</v>
      </c>
      <c r="B2407" t="s">
        <v>37</v>
      </c>
      <c r="C2407" t="s">
        <v>15365</v>
      </c>
      <c r="E2407" t="s">
        <v>5271</v>
      </c>
      <c r="F2407" t="s">
        <v>5602</v>
      </c>
      <c r="G2407" t="s">
        <v>15366</v>
      </c>
      <c r="H2407" t="s">
        <v>42</v>
      </c>
      <c r="I2407" t="s">
        <v>15367</v>
      </c>
      <c r="J2407" t="s">
        <v>15368</v>
      </c>
      <c r="K2407">
        <v>1150</v>
      </c>
      <c r="L2407" t="s">
        <v>505</v>
      </c>
      <c r="M2407" t="s">
        <v>46</v>
      </c>
      <c r="N2407" t="s">
        <v>47</v>
      </c>
      <c r="O2407">
        <v>5</v>
      </c>
      <c r="P2407">
        <v>1</v>
      </c>
      <c r="Q2407">
        <v>5</v>
      </c>
      <c r="R2407" t="s">
        <v>48</v>
      </c>
      <c r="S2407" t="s">
        <v>49</v>
      </c>
      <c r="T2407" s="3">
        <v>0.84</v>
      </c>
      <c r="U2407" s="3">
        <v>0.23</v>
      </c>
      <c r="V2407" s="3">
        <v>4.42</v>
      </c>
      <c r="W2407">
        <v>2.15</v>
      </c>
      <c r="X2407" t="s">
        <v>50</v>
      </c>
      <c r="Y2407" s="3">
        <v>9.19</v>
      </c>
      <c r="Z2407" t="s">
        <v>73</v>
      </c>
      <c r="AA2407" t="s">
        <v>15369</v>
      </c>
      <c r="AB2407" t="s">
        <v>53</v>
      </c>
      <c r="AC2407" s="3">
        <v>1.29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s="3">
        <f t="shared" si="74"/>
        <v>15.97</v>
      </c>
      <c r="AK2407" s="3">
        <f t="shared" si="75"/>
        <v>6.7800000000000011</v>
      </c>
    </row>
    <row r="2408" spans="1:37">
      <c r="A2408">
        <v>10404682</v>
      </c>
      <c r="B2408" t="s">
        <v>37</v>
      </c>
      <c r="C2408" t="s">
        <v>15370</v>
      </c>
      <c r="E2408" t="s">
        <v>15371</v>
      </c>
      <c r="F2408" t="s">
        <v>15372</v>
      </c>
      <c r="G2408" t="s">
        <v>15373</v>
      </c>
      <c r="H2408" t="s">
        <v>42</v>
      </c>
      <c r="I2408" t="s">
        <v>15374</v>
      </c>
      <c r="J2408" t="s">
        <v>15375</v>
      </c>
      <c r="K2408">
        <v>80636</v>
      </c>
      <c r="L2408" t="s">
        <v>71</v>
      </c>
      <c r="M2408" t="s">
        <v>46</v>
      </c>
      <c r="N2408" t="s">
        <v>47</v>
      </c>
      <c r="O2408">
        <v>3</v>
      </c>
      <c r="P2408">
        <v>1</v>
      </c>
      <c r="Q2408">
        <v>3</v>
      </c>
      <c r="R2408" t="s">
        <v>48</v>
      </c>
      <c r="S2408" t="s">
        <v>49</v>
      </c>
      <c r="T2408" s="3">
        <v>0.84</v>
      </c>
      <c r="U2408" s="3">
        <v>0.23</v>
      </c>
      <c r="V2408" s="3">
        <v>2.68</v>
      </c>
      <c r="W2408">
        <v>0.9</v>
      </c>
      <c r="X2408" t="s">
        <v>108</v>
      </c>
      <c r="Y2408" s="3">
        <v>5.13</v>
      </c>
      <c r="Z2408" t="s">
        <v>9686</v>
      </c>
      <c r="AA2408" t="s">
        <v>15376</v>
      </c>
      <c r="AB2408" t="s">
        <v>53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s="3">
        <f t="shared" si="74"/>
        <v>8.8800000000000008</v>
      </c>
      <c r="AK2408" s="3">
        <f t="shared" si="75"/>
        <v>3.7500000000000009</v>
      </c>
    </row>
    <row r="2409" spans="1:37">
      <c r="A2409">
        <v>10404681</v>
      </c>
      <c r="B2409" t="s">
        <v>37</v>
      </c>
      <c r="C2409" t="s">
        <v>15377</v>
      </c>
      <c r="E2409" t="s">
        <v>15378</v>
      </c>
      <c r="F2409" t="s">
        <v>15379</v>
      </c>
      <c r="G2409" t="s">
        <v>15380</v>
      </c>
      <c r="H2409" t="s">
        <v>42</v>
      </c>
      <c r="I2409" t="s">
        <v>15381</v>
      </c>
      <c r="J2409" t="s">
        <v>15382</v>
      </c>
      <c r="K2409">
        <v>22370</v>
      </c>
      <c r="L2409" t="s">
        <v>130</v>
      </c>
      <c r="M2409" t="s">
        <v>46</v>
      </c>
      <c r="N2409" t="s">
        <v>47</v>
      </c>
      <c r="O2409">
        <v>3</v>
      </c>
      <c r="P2409">
        <v>1</v>
      </c>
      <c r="Q2409">
        <v>3</v>
      </c>
      <c r="R2409" t="s">
        <v>48</v>
      </c>
      <c r="S2409" t="s">
        <v>49</v>
      </c>
      <c r="T2409" s="3">
        <v>0.84</v>
      </c>
      <c r="U2409" s="3">
        <v>0.23</v>
      </c>
      <c r="V2409" s="3">
        <v>2.68</v>
      </c>
      <c r="W2409">
        <v>1.17</v>
      </c>
      <c r="X2409" t="s">
        <v>50</v>
      </c>
      <c r="Y2409" s="3">
        <v>14.26</v>
      </c>
      <c r="Z2409" t="s">
        <v>9686</v>
      </c>
      <c r="AA2409" t="s">
        <v>15383</v>
      </c>
      <c r="AB2409" t="s">
        <v>53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f t="shared" si="74"/>
        <v>18.010000000000002</v>
      </c>
      <c r="AK2409" s="3">
        <f t="shared" si="75"/>
        <v>3.7500000000000018</v>
      </c>
    </row>
    <row r="2410" spans="1:37">
      <c r="A2410">
        <v>10406841</v>
      </c>
      <c r="B2410" t="s">
        <v>37</v>
      </c>
      <c r="C2410" t="s">
        <v>15384</v>
      </c>
      <c r="E2410" t="s">
        <v>15385</v>
      </c>
      <c r="F2410" t="s">
        <v>15386</v>
      </c>
      <c r="G2410" t="s">
        <v>15387</v>
      </c>
      <c r="H2410" t="s">
        <v>42</v>
      </c>
      <c r="I2410" t="s">
        <v>15388</v>
      </c>
      <c r="J2410" t="s">
        <v>15389</v>
      </c>
      <c r="K2410">
        <v>47800</v>
      </c>
      <c r="L2410" t="s">
        <v>71</v>
      </c>
      <c r="M2410" t="s">
        <v>46</v>
      </c>
      <c r="N2410" t="s">
        <v>47</v>
      </c>
      <c r="O2410">
        <v>1</v>
      </c>
      <c r="P2410">
        <v>1</v>
      </c>
      <c r="Q2410">
        <v>1</v>
      </c>
      <c r="R2410" t="s">
        <v>48</v>
      </c>
      <c r="S2410" t="s">
        <v>49</v>
      </c>
      <c r="T2410" s="3">
        <v>0.84</v>
      </c>
      <c r="U2410" s="3">
        <v>0.23</v>
      </c>
      <c r="V2410" s="3">
        <v>0.94</v>
      </c>
      <c r="W2410">
        <v>1.4</v>
      </c>
      <c r="X2410" t="s">
        <v>108</v>
      </c>
      <c r="Y2410" s="3">
        <v>5.13</v>
      </c>
      <c r="Z2410" t="s">
        <v>9686</v>
      </c>
      <c r="AA2410" t="s">
        <v>259</v>
      </c>
      <c r="AB2410" t="s">
        <v>53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f t="shared" si="74"/>
        <v>7.1400000000000006</v>
      </c>
      <c r="AK2410" s="3">
        <f t="shared" si="75"/>
        <v>2.0100000000000007</v>
      </c>
    </row>
    <row r="2411" spans="1:37">
      <c r="A2411">
        <v>10405949</v>
      </c>
      <c r="B2411" t="s">
        <v>37</v>
      </c>
      <c r="C2411" t="s">
        <v>15390</v>
      </c>
      <c r="E2411" t="s">
        <v>13802</v>
      </c>
      <c r="F2411" t="s">
        <v>15391</v>
      </c>
      <c r="G2411" t="s">
        <v>15392</v>
      </c>
      <c r="H2411" t="s">
        <v>42</v>
      </c>
      <c r="I2411" t="s">
        <v>15393</v>
      </c>
      <c r="J2411" t="s">
        <v>15394</v>
      </c>
      <c r="K2411">
        <v>87527</v>
      </c>
      <c r="L2411" t="s">
        <v>71</v>
      </c>
      <c r="M2411" t="s">
        <v>46</v>
      </c>
      <c r="N2411" t="s">
        <v>47</v>
      </c>
      <c r="O2411">
        <v>1</v>
      </c>
      <c r="P2411">
        <v>1</v>
      </c>
      <c r="Q2411">
        <v>1</v>
      </c>
      <c r="R2411" t="s">
        <v>48</v>
      </c>
      <c r="S2411" t="s">
        <v>49</v>
      </c>
      <c r="T2411" s="3">
        <v>0.84</v>
      </c>
      <c r="U2411" s="3">
        <v>0.23</v>
      </c>
      <c r="V2411" s="3">
        <v>0.94</v>
      </c>
      <c r="W2411">
        <v>1.4</v>
      </c>
      <c r="X2411" t="s">
        <v>108</v>
      </c>
      <c r="Y2411" s="3">
        <v>5.13</v>
      </c>
      <c r="Z2411" t="s">
        <v>9686</v>
      </c>
      <c r="AA2411" t="s">
        <v>8493</v>
      </c>
      <c r="AB2411" t="s">
        <v>53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f t="shared" si="74"/>
        <v>7.1400000000000006</v>
      </c>
      <c r="AK2411" s="3">
        <f t="shared" si="75"/>
        <v>2.0100000000000007</v>
      </c>
    </row>
    <row r="2412" spans="1:37">
      <c r="A2412">
        <v>10407115</v>
      </c>
      <c r="B2412" t="s">
        <v>37</v>
      </c>
      <c r="C2412" t="s">
        <v>15395</v>
      </c>
      <c r="E2412" t="s">
        <v>1330</v>
      </c>
      <c r="F2412" t="s">
        <v>15396</v>
      </c>
      <c r="G2412" t="s">
        <v>15397</v>
      </c>
      <c r="H2412" t="s">
        <v>42</v>
      </c>
      <c r="I2412" t="s">
        <v>15398</v>
      </c>
      <c r="J2412" t="s">
        <v>15399</v>
      </c>
      <c r="K2412">
        <v>53773</v>
      </c>
      <c r="L2412" t="s">
        <v>71</v>
      </c>
      <c r="M2412" t="s">
        <v>46</v>
      </c>
      <c r="N2412" t="s">
        <v>47</v>
      </c>
      <c r="O2412">
        <v>1</v>
      </c>
      <c r="P2412">
        <v>1</v>
      </c>
      <c r="Q2412">
        <v>1</v>
      </c>
      <c r="R2412" t="s">
        <v>48</v>
      </c>
      <c r="S2412" t="s">
        <v>49</v>
      </c>
      <c r="T2412" s="3">
        <v>0.84</v>
      </c>
      <c r="U2412" s="3">
        <v>0.23</v>
      </c>
      <c r="V2412" s="3">
        <v>0.94</v>
      </c>
      <c r="W2412">
        <v>1.4</v>
      </c>
      <c r="X2412" t="s">
        <v>108</v>
      </c>
      <c r="Y2412" s="3">
        <v>5.13</v>
      </c>
      <c r="Z2412" t="s">
        <v>9686</v>
      </c>
      <c r="AA2412" t="s">
        <v>178</v>
      </c>
      <c r="AB2412" t="s">
        <v>53</v>
      </c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f t="shared" si="74"/>
        <v>7.1400000000000006</v>
      </c>
      <c r="AK2412" s="3">
        <f t="shared" si="75"/>
        <v>2.0100000000000007</v>
      </c>
    </row>
    <row r="2413" spans="1:37">
      <c r="A2413">
        <v>10408952</v>
      </c>
      <c r="B2413" t="s">
        <v>37</v>
      </c>
      <c r="C2413" t="s">
        <v>15400</v>
      </c>
      <c r="E2413" t="s">
        <v>6981</v>
      </c>
      <c r="F2413" t="s">
        <v>6982</v>
      </c>
      <c r="G2413" t="s">
        <v>15401</v>
      </c>
      <c r="H2413" t="s">
        <v>42</v>
      </c>
      <c r="I2413" t="s">
        <v>15402</v>
      </c>
      <c r="J2413" t="s">
        <v>6985</v>
      </c>
      <c r="K2413">
        <v>12349</v>
      </c>
      <c r="L2413" t="s">
        <v>71</v>
      </c>
      <c r="M2413" t="s">
        <v>46</v>
      </c>
      <c r="N2413" t="s">
        <v>47</v>
      </c>
      <c r="O2413">
        <v>1</v>
      </c>
      <c r="P2413">
        <v>1</v>
      </c>
      <c r="Q2413">
        <v>1</v>
      </c>
      <c r="R2413" t="s">
        <v>48</v>
      </c>
      <c r="S2413" t="s">
        <v>49</v>
      </c>
      <c r="T2413" s="3">
        <v>0.84</v>
      </c>
      <c r="U2413" s="3">
        <v>0.23</v>
      </c>
      <c r="V2413" s="3">
        <v>0.94</v>
      </c>
      <c r="W2413">
        <v>1.4</v>
      </c>
      <c r="X2413" t="s">
        <v>108</v>
      </c>
      <c r="Y2413" s="3">
        <v>5.13</v>
      </c>
      <c r="Z2413" t="s">
        <v>9686</v>
      </c>
      <c r="AA2413" t="s">
        <v>11156</v>
      </c>
      <c r="AB2413" t="s">
        <v>53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f t="shared" si="74"/>
        <v>7.1400000000000006</v>
      </c>
      <c r="AK2413" s="3">
        <f t="shared" si="75"/>
        <v>2.0100000000000007</v>
      </c>
    </row>
    <row r="2414" spans="1:37">
      <c r="A2414">
        <v>10407454</v>
      </c>
      <c r="B2414" t="s">
        <v>37</v>
      </c>
      <c r="C2414" t="s">
        <v>15403</v>
      </c>
      <c r="E2414" t="s">
        <v>15404</v>
      </c>
      <c r="F2414" t="s">
        <v>15405</v>
      </c>
      <c r="G2414" t="s">
        <v>15406</v>
      </c>
      <c r="H2414" t="s">
        <v>42</v>
      </c>
      <c r="I2414" t="s">
        <v>15407</v>
      </c>
      <c r="J2414" t="s">
        <v>15408</v>
      </c>
      <c r="K2414">
        <v>72336</v>
      </c>
      <c r="L2414" t="s">
        <v>71</v>
      </c>
      <c r="M2414" t="s">
        <v>46</v>
      </c>
      <c r="N2414" t="s">
        <v>47</v>
      </c>
      <c r="O2414">
        <v>1</v>
      </c>
      <c r="P2414">
        <v>1</v>
      </c>
      <c r="Q2414">
        <v>1</v>
      </c>
      <c r="R2414" t="s">
        <v>48</v>
      </c>
      <c r="S2414" t="s">
        <v>49</v>
      </c>
      <c r="T2414" s="3">
        <v>0.84</v>
      </c>
      <c r="U2414" s="3">
        <v>0.23</v>
      </c>
      <c r="V2414" s="3">
        <v>0.94</v>
      </c>
      <c r="W2414">
        <v>0.39</v>
      </c>
      <c r="X2414" t="s">
        <v>108</v>
      </c>
      <c r="Y2414" s="3">
        <v>5.13</v>
      </c>
      <c r="Z2414" t="s">
        <v>9850</v>
      </c>
      <c r="AA2414" t="s">
        <v>8507</v>
      </c>
      <c r="AB2414" t="s">
        <v>53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f t="shared" si="74"/>
        <v>7.1400000000000006</v>
      </c>
      <c r="AK2414" s="3">
        <f t="shared" si="75"/>
        <v>2.0100000000000007</v>
      </c>
    </row>
    <row r="2415" spans="1:37">
      <c r="A2415">
        <v>10405952</v>
      </c>
      <c r="B2415" t="s">
        <v>37</v>
      </c>
      <c r="C2415" t="s">
        <v>15409</v>
      </c>
      <c r="E2415" t="s">
        <v>1330</v>
      </c>
      <c r="F2415" t="s">
        <v>15410</v>
      </c>
      <c r="G2415" t="s">
        <v>15411</v>
      </c>
      <c r="H2415" t="s">
        <v>42</v>
      </c>
      <c r="I2415" t="s">
        <v>15412</v>
      </c>
      <c r="J2415" t="s">
        <v>15413</v>
      </c>
      <c r="K2415">
        <v>61169</v>
      </c>
      <c r="L2415" t="s">
        <v>71</v>
      </c>
      <c r="M2415" t="s">
        <v>46</v>
      </c>
      <c r="N2415" t="s">
        <v>47</v>
      </c>
      <c r="O2415">
        <v>1</v>
      </c>
      <c r="P2415">
        <v>1</v>
      </c>
      <c r="Q2415">
        <v>1</v>
      </c>
      <c r="R2415" t="s">
        <v>48</v>
      </c>
      <c r="S2415" t="s">
        <v>49</v>
      </c>
      <c r="T2415" s="3">
        <v>0.84</v>
      </c>
      <c r="U2415" s="3">
        <v>0.23</v>
      </c>
      <c r="V2415" s="3">
        <v>0.94</v>
      </c>
      <c r="W2415">
        <v>0.15</v>
      </c>
      <c r="X2415" t="s">
        <v>108</v>
      </c>
      <c r="Y2415" s="3">
        <v>5.13</v>
      </c>
      <c r="Z2415" t="s">
        <v>9850</v>
      </c>
      <c r="AA2415" t="s">
        <v>6464</v>
      </c>
      <c r="AB2415" t="s">
        <v>53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f t="shared" si="74"/>
        <v>7.1400000000000006</v>
      </c>
      <c r="AK2415" s="3">
        <f t="shared" si="75"/>
        <v>2.0100000000000007</v>
      </c>
    </row>
    <row r="2416" spans="1:37">
      <c r="A2416">
        <v>10406404</v>
      </c>
      <c r="B2416" t="s">
        <v>37</v>
      </c>
      <c r="C2416" t="s">
        <v>15414</v>
      </c>
      <c r="E2416" t="s">
        <v>15415</v>
      </c>
      <c r="F2416" t="s">
        <v>15416</v>
      </c>
      <c r="G2416" t="s">
        <v>15417</v>
      </c>
      <c r="H2416" t="s">
        <v>42</v>
      </c>
      <c r="I2416" t="s">
        <v>15418</v>
      </c>
      <c r="J2416" t="s">
        <v>15419</v>
      </c>
      <c r="K2416">
        <v>21337</v>
      </c>
      <c r="L2416" t="s">
        <v>71</v>
      </c>
      <c r="M2416" t="s">
        <v>46</v>
      </c>
      <c r="N2416" t="s">
        <v>47</v>
      </c>
      <c r="O2416">
        <v>1</v>
      </c>
      <c r="P2416">
        <v>1</v>
      </c>
      <c r="Q2416">
        <v>1</v>
      </c>
      <c r="R2416" t="s">
        <v>48</v>
      </c>
      <c r="S2416" t="s">
        <v>49</v>
      </c>
      <c r="T2416" s="3">
        <v>0.84</v>
      </c>
      <c r="U2416" s="3">
        <v>0.23</v>
      </c>
      <c r="V2416" s="3">
        <v>0.94</v>
      </c>
      <c r="W2416">
        <v>0.15</v>
      </c>
      <c r="X2416" t="s">
        <v>108</v>
      </c>
      <c r="Y2416" s="3">
        <v>5.13</v>
      </c>
      <c r="Z2416" t="s">
        <v>9850</v>
      </c>
      <c r="AA2416" t="s">
        <v>6464</v>
      </c>
      <c r="AB2416" t="s">
        <v>53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f t="shared" si="74"/>
        <v>7.1400000000000006</v>
      </c>
      <c r="AK2416" s="3">
        <f t="shared" si="75"/>
        <v>2.0100000000000007</v>
      </c>
    </row>
    <row r="2417" spans="1:37">
      <c r="A2417">
        <v>10407998</v>
      </c>
      <c r="B2417" t="s">
        <v>37</v>
      </c>
      <c r="C2417" t="s">
        <v>15420</v>
      </c>
      <c r="E2417" t="s">
        <v>15233</v>
      </c>
      <c r="F2417" t="s">
        <v>15421</v>
      </c>
      <c r="G2417" t="s">
        <v>15422</v>
      </c>
      <c r="H2417" t="s">
        <v>42</v>
      </c>
      <c r="I2417" t="s">
        <v>15423</v>
      </c>
      <c r="J2417" t="s">
        <v>15424</v>
      </c>
      <c r="K2417">
        <v>97490</v>
      </c>
      <c r="L2417" t="s">
        <v>71</v>
      </c>
      <c r="M2417" t="s">
        <v>46</v>
      </c>
      <c r="N2417" t="s">
        <v>47</v>
      </c>
      <c r="O2417">
        <v>1</v>
      </c>
      <c r="P2417">
        <v>1</v>
      </c>
      <c r="Q2417">
        <v>1</v>
      </c>
      <c r="R2417" t="s">
        <v>48</v>
      </c>
      <c r="S2417" t="s">
        <v>49</v>
      </c>
      <c r="T2417" s="3">
        <v>0.84</v>
      </c>
      <c r="U2417" s="3">
        <v>0.23</v>
      </c>
      <c r="V2417" s="3">
        <v>0.94</v>
      </c>
      <c r="W2417">
        <v>0.15</v>
      </c>
      <c r="X2417" t="s">
        <v>108</v>
      </c>
      <c r="Y2417" s="3">
        <v>5.13</v>
      </c>
      <c r="Z2417" t="s">
        <v>9850</v>
      </c>
      <c r="AA2417" t="s">
        <v>6464</v>
      </c>
      <c r="AB2417" t="s">
        <v>53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f t="shared" si="74"/>
        <v>7.1400000000000006</v>
      </c>
      <c r="AK2417" s="3">
        <f t="shared" si="75"/>
        <v>2.0100000000000007</v>
      </c>
    </row>
    <row r="2418" spans="1:37">
      <c r="A2418">
        <v>10408004</v>
      </c>
      <c r="B2418" t="s">
        <v>37</v>
      </c>
      <c r="C2418" t="s">
        <v>15425</v>
      </c>
      <c r="E2418" t="s">
        <v>657</v>
      </c>
      <c r="F2418" t="s">
        <v>15426</v>
      </c>
      <c r="G2418" t="s">
        <v>15427</v>
      </c>
      <c r="H2418" t="s">
        <v>42</v>
      </c>
      <c r="I2418" t="s">
        <v>15428</v>
      </c>
      <c r="J2418" t="s">
        <v>15429</v>
      </c>
      <c r="K2418">
        <v>29223</v>
      </c>
      <c r="L2418" t="s">
        <v>71</v>
      </c>
      <c r="M2418" t="s">
        <v>46</v>
      </c>
      <c r="N2418" t="s">
        <v>47</v>
      </c>
      <c r="O2418">
        <v>1</v>
      </c>
      <c r="P2418">
        <v>1</v>
      </c>
      <c r="Q2418">
        <v>1</v>
      </c>
      <c r="R2418" t="s">
        <v>48</v>
      </c>
      <c r="S2418" t="s">
        <v>49</v>
      </c>
      <c r="T2418" s="3">
        <v>0.84</v>
      </c>
      <c r="U2418" s="3">
        <v>0.23</v>
      </c>
      <c r="V2418" s="3">
        <v>0.94</v>
      </c>
      <c r="W2418">
        <v>0.15</v>
      </c>
      <c r="X2418" t="s">
        <v>108</v>
      </c>
      <c r="Y2418" s="3">
        <v>5.13</v>
      </c>
      <c r="Z2418" t="s">
        <v>9850</v>
      </c>
      <c r="AA2418" t="s">
        <v>6464</v>
      </c>
      <c r="AB2418" t="s">
        <v>53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f t="shared" si="74"/>
        <v>7.1400000000000006</v>
      </c>
      <c r="AK2418" s="3">
        <f t="shared" si="75"/>
        <v>2.0100000000000007</v>
      </c>
    </row>
    <row r="2419" spans="1:37">
      <c r="A2419">
        <v>10405956</v>
      </c>
      <c r="B2419" t="s">
        <v>37</v>
      </c>
      <c r="C2419" t="s">
        <v>15430</v>
      </c>
      <c r="E2419" t="s">
        <v>15431</v>
      </c>
      <c r="F2419" t="s">
        <v>8757</v>
      </c>
      <c r="G2419" t="s">
        <v>15432</v>
      </c>
      <c r="H2419" t="s">
        <v>42</v>
      </c>
      <c r="I2419" t="s">
        <v>15433</v>
      </c>
      <c r="J2419" t="s">
        <v>15434</v>
      </c>
      <c r="K2419" t="s">
        <v>15435</v>
      </c>
      <c r="L2419" t="s">
        <v>142</v>
      </c>
      <c r="M2419" t="s">
        <v>46</v>
      </c>
      <c r="N2419" t="s">
        <v>47</v>
      </c>
      <c r="O2419">
        <v>1</v>
      </c>
      <c r="P2419">
        <v>1</v>
      </c>
      <c r="Q2419">
        <v>1</v>
      </c>
      <c r="R2419" t="s">
        <v>48</v>
      </c>
      <c r="S2419" t="s">
        <v>49</v>
      </c>
      <c r="T2419" s="3">
        <v>0.84</v>
      </c>
      <c r="U2419" s="3">
        <v>0.23</v>
      </c>
      <c r="V2419" s="3">
        <v>0.94</v>
      </c>
      <c r="W2419">
        <v>0.39</v>
      </c>
      <c r="X2419" t="s">
        <v>50</v>
      </c>
      <c r="Y2419" s="3">
        <v>16.43</v>
      </c>
      <c r="Z2419" t="s">
        <v>9850</v>
      </c>
      <c r="AA2419" t="s">
        <v>6092</v>
      </c>
      <c r="AB2419" t="s">
        <v>53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f t="shared" si="74"/>
        <v>18.440000000000001</v>
      </c>
      <c r="AK2419" s="3">
        <f t="shared" si="75"/>
        <v>2.0100000000000016</v>
      </c>
    </row>
    <row r="2420" spans="1:37">
      <c r="A2420">
        <v>10409235</v>
      </c>
      <c r="B2420" t="s">
        <v>37</v>
      </c>
      <c r="C2420" t="s">
        <v>15436</v>
      </c>
      <c r="E2420" t="s">
        <v>10272</v>
      </c>
      <c r="F2420" t="s">
        <v>15437</v>
      </c>
      <c r="G2420" t="s">
        <v>15438</v>
      </c>
      <c r="H2420" t="s">
        <v>42</v>
      </c>
      <c r="I2420" t="s">
        <v>15439</v>
      </c>
      <c r="J2420" t="s">
        <v>15440</v>
      </c>
      <c r="K2420" t="s">
        <v>15441</v>
      </c>
      <c r="L2420" t="s">
        <v>82</v>
      </c>
      <c r="M2420" t="s">
        <v>46</v>
      </c>
      <c r="N2420" t="s">
        <v>47</v>
      </c>
      <c r="O2420">
        <v>1</v>
      </c>
      <c r="P2420">
        <v>1</v>
      </c>
      <c r="Q2420">
        <v>1</v>
      </c>
      <c r="R2420" t="s">
        <v>48</v>
      </c>
      <c r="S2420" t="s">
        <v>49</v>
      </c>
      <c r="T2420" s="3">
        <v>0.84</v>
      </c>
      <c r="U2420" s="3">
        <v>0.23</v>
      </c>
      <c r="V2420" s="3">
        <v>0.94</v>
      </c>
      <c r="W2420">
        <v>0.39</v>
      </c>
      <c r="X2420" t="s">
        <v>50</v>
      </c>
      <c r="Y2420" s="3">
        <v>9.19</v>
      </c>
      <c r="Z2420" t="s">
        <v>9850</v>
      </c>
      <c r="AA2420" t="s">
        <v>10327</v>
      </c>
      <c r="AB2420" t="s">
        <v>53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f t="shared" si="74"/>
        <v>11.2</v>
      </c>
      <c r="AK2420" s="3">
        <f t="shared" si="75"/>
        <v>2.0099999999999998</v>
      </c>
    </row>
    <row r="2421" spans="1:37">
      <c r="A2421">
        <v>10408002</v>
      </c>
      <c r="B2421" t="s">
        <v>37</v>
      </c>
      <c r="C2421" t="s">
        <v>15442</v>
      </c>
      <c r="E2421" t="s">
        <v>10746</v>
      </c>
      <c r="F2421" t="s">
        <v>15443</v>
      </c>
      <c r="G2421" t="s">
        <v>15444</v>
      </c>
      <c r="H2421" t="s">
        <v>42</v>
      </c>
      <c r="I2421" t="s">
        <v>15445</v>
      </c>
      <c r="J2421" t="s">
        <v>15446</v>
      </c>
      <c r="K2421">
        <v>82110</v>
      </c>
      <c r="L2421" t="s">
        <v>71</v>
      </c>
      <c r="M2421" t="s">
        <v>46</v>
      </c>
      <c r="N2421" t="s">
        <v>47</v>
      </c>
      <c r="O2421">
        <v>1</v>
      </c>
      <c r="P2421">
        <v>1</v>
      </c>
      <c r="Q2421">
        <v>1</v>
      </c>
      <c r="R2421" t="s">
        <v>48</v>
      </c>
      <c r="S2421" t="s">
        <v>49</v>
      </c>
      <c r="T2421" s="3">
        <v>0.84</v>
      </c>
      <c r="U2421" s="3">
        <v>0.23</v>
      </c>
      <c r="V2421" s="3">
        <v>0.94</v>
      </c>
      <c r="W2421">
        <v>0.39</v>
      </c>
      <c r="X2421" t="s">
        <v>108</v>
      </c>
      <c r="Y2421" s="3">
        <v>5.13</v>
      </c>
      <c r="Z2421" t="s">
        <v>9850</v>
      </c>
      <c r="AA2421" t="s">
        <v>7122</v>
      </c>
      <c r="AB2421" t="s">
        <v>53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f t="shared" si="74"/>
        <v>7.1400000000000006</v>
      </c>
      <c r="AK2421" s="3">
        <f t="shared" si="75"/>
        <v>2.0100000000000007</v>
      </c>
    </row>
    <row r="2422" spans="1:37">
      <c r="A2422">
        <v>10405950</v>
      </c>
      <c r="B2422" t="s">
        <v>37</v>
      </c>
      <c r="C2422" t="s">
        <v>15447</v>
      </c>
      <c r="E2422" t="s">
        <v>215</v>
      </c>
      <c r="F2422" t="s">
        <v>15448</v>
      </c>
      <c r="G2422" t="s">
        <v>15449</v>
      </c>
      <c r="H2422" t="s">
        <v>42</v>
      </c>
      <c r="I2422" t="s">
        <v>15450</v>
      </c>
      <c r="J2422" t="s">
        <v>15451</v>
      </c>
      <c r="K2422">
        <v>54538</v>
      </c>
      <c r="L2422" t="s">
        <v>71</v>
      </c>
      <c r="M2422" t="s">
        <v>46</v>
      </c>
      <c r="N2422" t="s">
        <v>47</v>
      </c>
      <c r="O2422">
        <v>1</v>
      </c>
      <c r="P2422">
        <v>1</v>
      </c>
      <c r="Q2422">
        <v>1</v>
      </c>
      <c r="R2422" t="s">
        <v>48</v>
      </c>
      <c r="S2422" t="s">
        <v>49</v>
      </c>
      <c r="T2422" s="3">
        <v>0.84</v>
      </c>
      <c r="U2422" s="3">
        <v>0.23</v>
      </c>
      <c r="V2422" s="3">
        <v>0.94</v>
      </c>
      <c r="W2422">
        <v>0.14000000000000001</v>
      </c>
      <c r="X2422" t="s">
        <v>108</v>
      </c>
      <c r="Y2422" s="3">
        <v>5.13</v>
      </c>
      <c r="Z2422" t="s">
        <v>9850</v>
      </c>
      <c r="AA2422" t="s">
        <v>5101</v>
      </c>
      <c r="AB2422" t="s">
        <v>53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f t="shared" si="74"/>
        <v>7.1400000000000006</v>
      </c>
      <c r="AK2422" s="3">
        <f t="shared" si="75"/>
        <v>2.0100000000000007</v>
      </c>
    </row>
    <row r="2423" spans="1:37">
      <c r="A2423">
        <v>10407459</v>
      </c>
      <c r="B2423" t="s">
        <v>37</v>
      </c>
      <c r="C2423" t="s">
        <v>15452</v>
      </c>
      <c r="E2423" t="s">
        <v>15453</v>
      </c>
      <c r="F2423" t="s">
        <v>15454</v>
      </c>
      <c r="G2423" t="s">
        <v>15455</v>
      </c>
      <c r="H2423" t="s">
        <v>42</v>
      </c>
      <c r="I2423" t="s">
        <v>15456</v>
      </c>
      <c r="J2423" t="s">
        <v>15457</v>
      </c>
      <c r="K2423">
        <v>40227</v>
      </c>
      <c r="L2423" t="s">
        <v>71</v>
      </c>
      <c r="M2423" t="s">
        <v>46</v>
      </c>
      <c r="N2423" t="s">
        <v>47</v>
      </c>
      <c r="O2423">
        <v>1</v>
      </c>
      <c r="P2423">
        <v>1</v>
      </c>
      <c r="Q2423">
        <v>1</v>
      </c>
      <c r="R2423" t="s">
        <v>48</v>
      </c>
      <c r="S2423" t="s">
        <v>49</v>
      </c>
      <c r="T2423" s="3">
        <v>0.84</v>
      </c>
      <c r="U2423" s="3">
        <v>0.23</v>
      </c>
      <c r="V2423" s="3">
        <v>0.94</v>
      </c>
      <c r="W2423">
        <v>0.49</v>
      </c>
      <c r="X2423" t="s">
        <v>108</v>
      </c>
      <c r="Y2423" s="3">
        <v>5.13</v>
      </c>
      <c r="Z2423" t="s">
        <v>9850</v>
      </c>
      <c r="AA2423" t="s">
        <v>15458</v>
      </c>
      <c r="AB2423" t="s">
        <v>53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s="3">
        <f t="shared" si="74"/>
        <v>7.1400000000000006</v>
      </c>
      <c r="AK2423" s="3">
        <f t="shared" si="75"/>
        <v>2.0100000000000007</v>
      </c>
    </row>
    <row r="2424" spans="1:37">
      <c r="A2424">
        <v>10405232</v>
      </c>
      <c r="B2424" t="s">
        <v>37</v>
      </c>
      <c r="C2424" t="s">
        <v>15459</v>
      </c>
      <c r="E2424" t="s">
        <v>1736</v>
      </c>
      <c r="F2424" t="s">
        <v>15460</v>
      </c>
      <c r="G2424" t="s">
        <v>15461</v>
      </c>
      <c r="H2424" t="s">
        <v>42</v>
      </c>
      <c r="I2424" t="s">
        <v>15462</v>
      </c>
      <c r="J2424" t="s">
        <v>15463</v>
      </c>
      <c r="K2424">
        <v>44536</v>
      </c>
      <c r="L2424" t="s">
        <v>71</v>
      </c>
      <c r="M2424" t="s">
        <v>46</v>
      </c>
      <c r="N2424" t="s">
        <v>47</v>
      </c>
      <c r="O2424">
        <v>4</v>
      </c>
      <c r="P2424">
        <v>1</v>
      </c>
      <c r="Q2424">
        <v>4</v>
      </c>
      <c r="R2424" t="s">
        <v>48</v>
      </c>
      <c r="S2424" t="s">
        <v>49</v>
      </c>
      <c r="T2424" s="3">
        <v>0.84</v>
      </c>
      <c r="U2424" s="3">
        <v>0.23</v>
      </c>
      <c r="V2424" s="3">
        <v>3.55</v>
      </c>
      <c r="W2424">
        <v>3.88</v>
      </c>
      <c r="X2424" t="s">
        <v>72</v>
      </c>
      <c r="Y2424" s="3">
        <v>8.01</v>
      </c>
      <c r="Z2424" t="s">
        <v>83</v>
      </c>
      <c r="AA2424" t="s">
        <v>15464</v>
      </c>
      <c r="AB2424" t="s">
        <v>53</v>
      </c>
      <c r="AC2424" s="3">
        <v>1.27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f t="shared" si="74"/>
        <v>13.899999999999999</v>
      </c>
      <c r="AK2424" s="3">
        <f t="shared" si="75"/>
        <v>5.8899999999999988</v>
      </c>
    </row>
    <row r="2425" spans="1:37">
      <c r="A2425">
        <v>10407116</v>
      </c>
      <c r="B2425" t="s">
        <v>37</v>
      </c>
      <c r="C2425" t="s">
        <v>15465</v>
      </c>
      <c r="E2425" t="s">
        <v>15466</v>
      </c>
      <c r="F2425" t="s">
        <v>15467</v>
      </c>
      <c r="G2425" t="s">
        <v>15468</v>
      </c>
      <c r="H2425" t="s">
        <v>42</v>
      </c>
      <c r="I2425" t="s">
        <v>15469</v>
      </c>
      <c r="J2425" t="s">
        <v>15470</v>
      </c>
      <c r="K2425" t="s">
        <v>15471</v>
      </c>
      <c r="L2425" t="s">
        <v>142</v>
      </c>
      <c r="M2425" t="s">
        <v>46</v>
      </c>
      <c r="N2425" t="s">
        <v>47</v>
      </c>
      <c r="O2425">
        <v>1</v>
      </c>
      <c r="P2425">
        <v>1</v>
      </c>
      <c r="Q2425">
        <v>1</v>
      </c>
      <c r="R2425" t="s">
        <v>48</v>
      </c>
      <c r="S2425" t="s">
        <v>49</v>
      </c>
      <c r="T2425" s="3">
        <v>0.84</v>
      </c>
      <c r="U2425" s="3">
        <v>0.23</v>
      </c>
      <c r="V2425" s="3">
        <v>0.94</v>
      </c>
      <c r="W2425">
        <v>0.1</v>
      </c>
      <c r="X2425" t="s">
        <v>50</v>
      </c>
      <c r="Y2425" s="3">
        <v>16.43</v>
      </c>
      <c r="Z2425" t="s">
        <v>9850</v>
      </c>
      <c r="AA2425" t="s">
        <v>9258</v>
      </c>
      <c r="AB2425" t="s">
        <v>53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f t="shared" si="74"/>
        <v>18.440000000000001</v>
      </c>
      <c r="AK2425" s="3">
        <f t="shared" si="75"/>
        <v>2.0100000000000016</v>
      </c>
    </row>
    <row r="2426" spans="1:37">
      <c r="A2426">
        <v>10409065</v>
      </c>
      <c r="B2426" t="s">
        <v>37</v>
      </c>
      <c r="C2426" t="s">
        <v>15472</v>
      </c>
      <c r="E2426" t="s">
        <v>9159</v>
      </c>
      <c r="F2426" t="s">
        <v>15473</v>
      </c>
      <c r="G2426" t="s">
        <v>15474</v>
      </c>
      <c r="H2426" t="s">
        <v>42</v>
      </c>
      <c r="I2426" t="s">
        <v>15475</v>
      </c>
      <c r="J2426" t="s">
        <v>15476</v>
      </c>
      <c r="K2426">
        <v>16321</v>
      </c>
      <c r="L2426" t="s">
        <v>71</v>
      </c>
      <c r="M2426" t="s">
        <v>46</v>
      </c>
      <c r="N2426" t="s">
        <v>47</v>
      </c>
      <c r="O2426">
        <v>1</v>
      </c>
      <c r="P2426">
        <v>1</v>
      </c>
      <c r="Q2426">
        <v>1</v>
      </c>
      <c r="R2426" t="s">
        <v>48</v>
      </c>
      <c r="S2426" t="s">
        <v>49</v>
      </c>
      <c r="T2426" s="3">
        <v>0.84</v>
      </c>
      <c r="U2426" s="3">
        <v>0.23</v>
      </c>
      <c r="V2426" s="3">
        <v>0.94</v>
      </c>
      <c r="W2426">
        <v>0.45</v>
      </c>
      <c r="X2426" t="s">
        <v>108</v>
      </c>
      <c r="Y2426" s="3">
        <v>5.13</v>
      </c>
      <c r="Z2426" t="s">
        <v>9850</v>
      </c>
      <c r="AA2426" t="s">
        <v>4627</v>
      </c>
      <c r="AB2426" t="s">
        <v>53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f t="shared" si="74"/>
        <v>7.1400000000000006</v>
      </c>
      <c r="AK2426" s="3">
        <f t="shared" si="75"/>
        <v>2.0100000000000007</v>
      </c>
    </row>
    <row r="2427" spans="1:37">
      <c r="A2427">
        <v>10404966</v>
      </c>
      <c r="B2427" t="s">
        <v>37</v>
      </c>
      <c r="C2427" t="s">
        <v>15477</v>
      </c>
      <c r="E2427" t="s">
        <v>15478</v>
      </c>
      <c r="F2427" t="s">
        <v>15479</v>
      </c>
      <c r="G2427" t="s">
        <v>15480</v>
      </c>
      <c r="H2427" t="s">
        <v>42</v>
      </c>
      <c r="I2427" t="s">
        <v>15481</v>
      </c>
      <c r="J2427" t="s">
        <v>15482</v>
      </c>
      <c r="K2427">
        <v>34001</v>
      </c>
      <c r="L2427" t="s">
        <v>91</v>
      </c>
      <c r="M2427" t="s">
        <v>46</v>
      </c>
      <c r="N2427" t="s">
        <v>47</v>
      </c>
      <c r="O2427">
        <v>3</v>
      </c>
      <c r="P2427">
        <v>1</v>
      </c>
      <c r="Q2427">
        <v>3</v>
      </c>
      <c r="R2427" t="s">
        <v>48</v>
      </c>
      <c r="S2427" t="s">
        <v>49</v>
      </c>
      <c r="T2427" s="3">
        <v>0.84</v>
      </c>
      <c r="U2427" s="3">
        <v>0.23</v>
      </c>
      <c r="V2427" s="3">
        <v>2.68</v>
      </c>
      <c r="W2427">
        <v>1.39</v>
      </c>
      <c r="X2427" t="s">
        <v>50</v>
      </c>
      <c r="Y2427" s="3">
        <v>16.43</v>
      </c>
      <c r="Z2427" t="s">
        <v>9686</v>
      </c>
      <c r="AA2427" t="s">
        <v>15483</v>
      </c>
      <c r="AB2427" t="s">
        <v>53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f t="shared" si="74"/>
        <v>20.18</v>
      </c>
      <c r="AK2427" s="3">
        <f t="shared" si="75"/>
        <v>3.75</v>
      </c>
    </row>
    <row r="2428" spans="1:37">
      <c r="A2428">
        <v>10406640</v>
      </c>
      <c r="B2428" t="s">
        <v>37</v>
      </c>
      <c r="C2428" t="s">
        <v>15484</v>
      </c>
      <c r="E2428" t="s">
        <v>15485</v>
      </c>
      <c r="F2428" t="s">
        <v>12691</v>
      </c>
      <c r="G2428" t="s">
        <v>15486</v>
      </c>
      <c r="H2428" t="s">
        <v>42</v>
      </c>
      <c r="I2428" t="s">
        <v>15487</v>
      </c>
      <c r="J2428" t="s">
        <v>15488</v>
      </c>
      <c r="K2428" t="s">
        <v>15489</v>
      </c>
      <c r="L2428" t="s">
        <v>142</v>
      </c>
      <c r="M2428" t="s">
        <v>46</v>
      </c>
      <c r="N2428" t="s">
        <v>47</v>
      </c>
      <c r="O2428">
        <v>1</v>
      </c>
      <c r="P2428">
        <v>1</v>
      </c>
      <c r="Q2428">
        <v>1</v>
      </c>
      <c r="R2428" t="s">
        <v>48</v>
      </c>
      <c r="S2428" t="s">
        <v>49</v>
      </c>
      <c r="T2428" s="3">
        <v>0.84</v>
      </c>
      <c r="U2428" s="3">
        <v>0.23</v>
      </c>
      <c r="V2428" s="3">
        <v>0.94</v>
      </c>
      <c r="W2428">
        <v>0.49</v>
      </c>
      <c r="X2428" t="s">
        <v>50</v>
      </c>
      <c r="Y2428" s="3">
        <v>16.43</v>
      </c>
      <c r="Z2428" t="s">
        <v>9850</v>
      </c>
      <c r="AA2428" t="s">
        <v>2623</v>
      </c>
      <c r="AB2428" t="s">
        <v>53</v>
      </c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s="3">
        <f t="shared" si="74"/>
        <v>18.440000000000001</v>
      </c>
      <c r="AK2428" s="3">
        <f t="shared" si="75"/>
        <v>2.0100000000000016</v>
      </c>
    </row>
    <row r="2429" spans="1:37">
      <c r="A2429">
        <v>10407997</v>
      </c>
      <c r="B2429" t="s">
        <v>37</v>
      </c>
      <c r="C2429" t="s">
        <v>15490</v>
      </c>
      <c r="E2429" t="s">
        <v>809</v>
      </c>
      <c r="F2429" t="s">
        <v>15491</v>
      </c>
      <c r="G2429" t="s">
        <v>15492</v>
      </c>
      <c r="H2429" t="s">
        <v>42</v>
      </c>
      <c r="I2429" t="s">
        <v>15493</v>
      </c>
      <c r="J2429" t="s">
        <v>15494</v>
      </c>
      <c r="K2429" t="s">
        <v>15495</v>
      </c>
      <c r="L2429" t="s">
        <v>142</v>
      </c>
      <c r="M2429" t="s">
        <v>46</v>
      </c>
      <c r="N2429" t="s">
        <v>47</v>
      </c>
      <c r="O2429">
        <v>2</v>
      </c>
      <c r="P2429">
        <v>1</v>
      </c>
      <c r="Q2429">
        <v>2</v>
      </c>
      <c r="R2429" t="s">
        <v>48</v>
      </c>
      <c r="S2429" t="s">
        <v>49</v>
      </c>
      <c r="T2429" s="3">
        <v>0.84</v>
      </c>
      <c r="U2429" s="3">
        <v>0.23</v>
      </c>
      <c r="V2429" s="3">
        <v>1.81</v>
      </c>
      <c r="W2429">
        <v>0.99</v>
      </c>
      <c r="X2429" t="s">
        <v>50</v>
      </c>
      <c r="Y2429" s="3">
        <v>16.43</v>
      </c>
      <c r="Z2429" t="s">
        <v>9850</v>
      </c>
      <c r="AA2429" t="s">
        <v>15496</v>
      </c>
      <c r="AB2429" t="s">
        <v>53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f t="shared" si="74"/>
        <v>19.309999999999999</v>
      </c>
      <c r="AK2429" s="3">
        <f t="shared" si="75"/>
        <v>2.879999999999999</v>
      </c>
    </row>
    <row r="2430" spans="1:37">
      <c r="A2430">
        <v>10404675</v>
      </c>
      <c r="B2430" t="s">
        <v>37</v>
      </c>
      <c r="C2430" t="s">
        <v>15497</v>
      </c>
      <c r="E2430" t="s">
        <v>15498</v>
      </c>
      <c r="F2430" t="s">
        <v>15499</v>
      </c>
      <c r="G2430" t="s">
        <v>15500</v>
      </c>
      <c r="H2430" t="s">
        <v>42</v>
      </c>
      <c r="I2430" t="s">
        <v>15501</v>
      </c>
      <c r="J2430" t="s">
        <v>15502</v>
      </c>
      <c r="K2430">
        <v>10119</v>
      </c>
      <c r="L2430" t="s">
        <v>71</v>
      </c>
      <c r="M2430" t="s">
        <v>46</v>
      </c>
      <c r="N2430" t="s">
        <v>47</v>
      </c>
      <c r="O2430">
        <v>2</v>
      </c>
      <c r="P2430">
        <v>1</v>
      </c>
      <c r="Q2430">
        <v>2</v>
      </c>
      <c r="R2430" t="s">
        <v>48</v>
      </c>
      <c r="S2430" t="s">
        <v>49</v>
      </c>
      <c r="T2430" s="3">
        <v>0.84</v>
      </c>
      <c r="U2430" s="3">
        <v>0.23</v>
      </c>
      <c r="V2430" s="3">
        <v>1.81</v>
      </c>
      <c r="W2430">
        <v>0.64</v>
      </c>
      <c r="X2430" t="s">
        <v>108</v>
      </c>
      <c r="Y2430" s="3">
        <v>5.14</v>
      </c>
      <c r="Z2430" t="s">
        <v>9850</v>
      </c>
      <c r="AA2430" t="s">
        <v>15503</v>
      </c>
      <c r="AB2430" t="s">
        <v>53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f t="shared" si="74"/>
        <v>8.02</v>
      </c>
      <c r="AK2430" s="3">
        <f t="shared" si="75"/>
        <v>2.88</v>
      </c>
    </row>
    <row r="2431" spans="1:37">
      <c r="A2431">
        <v>10404685</v>
      </c>
      <c r="B2431" t="s">
        <v>37</v>
      </c>
      <c r="C2431" t="s">
        <v>15504</v>
      </c>
      <c r="E2431" t="s">
        <v>15505</v>
      </c>
      <c r="F2431" t="s">
        <v>15506</v>
      </c>
      <c r="G2431" t="s">
        <v>15507</v>
      </c>
      <c r="H2431" t="s">
        <v>42</v>
      </c>
      <c r="I2431" t="s">
        <v>15508</v>
      </c>
      <c r="J2431" t="s">
        <v>15509</v>
      </c>
      <c r="K2431">
        <v>68642</v>
      </c>
      <c r="L2431" t="s">
        <v>71</v>
      </c>
      <c r="M2431" t="s">
        <v>46</v>
      </c>
      <c r="N2431" t="s">
        <v>47</v>
      </c>
      <c r="O2431">
        <v>4</v>
      </c>
      <c r="P2431">
        <v>1</v>
      </c>
      <c r="Q2431">
        <v>4</v>
      </c>
      <c r="R2431" t="s">
        <v>48</v>
      </c>
      <c r="S2431" t="s">
        <v>49</v>
      </c>
      <c r="T2431" s="3">
        <v>0.84</v>
      </c>
      <c r="U2431" s="3">
        <v>0.23</v>
      </c>
      <c r="V2431" s="3">
        <v>3.55</v>
      </c>
      <c r="W2431">
        <v>1.56</v>
      </c>
      <c r="X2431" t="s">
        <v>108</v>
      </c>
      <c r="Y2431" s="3">
        <v>5.13</v>
      </c>
      <c r="Z2431" t="s">
        <v>9686</v>
      </c>
      <c r="AA2431" t="s">
        <v>459</v>
      </c>
      <c r="AB2431" t="s">
        <v>53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s="3">
        <f t="shared" si="74"/>
        <v>9.75</v>
      </c>
      <c r="AK2431" s="3">
        <f t="shared" si="75"/>
        <v>4.62</v>
      </c>
    </row>
    <row r="2432" spans="1:37">
      <c r="A2432">
        <v>10406181</v>
      </c>
      <c r="B2432" t="s">
        <v>37</v>
      </c>
      <c r="C2432" t="s">
        <v>15510</v>
      </c>
      <c r="E2432" t="s">
        <v>1658</v>
      </c>
      <c r="F2432" t="s">
        <v>15511</v>
      </c>
      <c r="G2432" t="s">
        <v>15512</v>
      </c>
      <c r="H2432" t="s">
        <v>42</v>
      </c>
      <c r="I2432" t="s">
        <v>15513</v>
      </c>
      <c r="J2432" t="s">
        <v>15514</v>
      </c>
      <c r="K2432">
        <v>80804</v>
      </c>
      <c r="L2432" t="s">
        <v>71</v>
      </c>
      <c r="M2432" t="s">
        <v>46</v>
      </c>
      <c r="N2432" t="s">
        <v>47</v>
      </c>
      <c r="O2432">
        <v>1</v>
      </c>
      <c r="P2432">
        <v>1</v>
      </c>
      <c r="Q2432">
        <v>1</v>
      </c>
      <c r="R2432" t="s">
        <v>48</v>
      </c>
      <c r="S2432" t="s">
        <v>49</v>
      </c>
      <c r="T2432" s="3">
        <v>0.84</v>
      </c>
      <c r="U2432" s="3">
        <v>0.23</v>
      </c>
      <c r="V2432" s="3">
        <v>0.94</v>
      </c>
      <c r="W2432">
        <v>1.4</v>
      </c>
      <c r="X2432" t="s">
        <v>108</v>
      </c>
      <c r="Y2432" s="3">
        <v>5.13</v>
      </c>
      <c r="Z2432" t="s">
        <v>9686</v>
      </c>
      <c r="AA2432" t="s">
        <v>1297</v>
      </c>
      <c r="AB2432" t="s">
        <v>53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s="3">
        <f t="shared" si="74"/>
        <v>7.1400000000000006</v>
      </c>
      <c r="AK2432" s="3">
        <f t="shared" si="75"/>
        <v>2.0100000000000007</v>
      </c>
    </row>
    <row r="2433" spans="1:37">
      <c r="A2433">
        <v>10406843</v>
      </c>
      <c r="B2433" t="s">
        <v>37</v>
      </c>
      <c r="C2433" t="s">
        <v>15515</v>
      </c>
      <c r="E2433" t="s">
        <v>15516</v>
      </c>
      <c r="F2433" t="s">
        <v>15517</v>
      </c>
      <c r="G2433" t="s">
        <v>15518</v>
      </c>
      <c r="H2433" t="s">
        <v>42</v>
      </c>
      <c r="I2433" t="s">
        <v>15519</v>
      </c>
      <c r="J2433" t="s">
        <v>15520</v>
      </c>
      <c r="K2433">
        <v>3300</v>
      </c>
      <c r="L2433" t="s">
        <v>505</v>
      </c>
      <c r="M2433" t="s">
        <v>46</v>
      </c>
      <c r="N2433" t="s">
        <v>47</v>
      </c>
      <c r="O2433">
        <v>2</v>
      </c>
      <c r="P2433">
        <v>1</v>
      </c>
      <c r="Q2433">
        <v>2</v>
      </c>
      <c r="R2433" t="s">
        <v>48</v>
      </c>
      <c r="S2433" t="s">
        <v>49</v>
      </c>
      <c r="T2433" s="3">
        <v>0.84</v>
      </c>
      <c r="U2433" s="3">
        <v>0.23</v>
      </c>
      <c r="V2433" s="3">
        <v>1.81</v>
      </c>
      <c r="W2433">
        <v>0.98</v>
      </c>
      <c r="X2433" t="s">
        <v>50</v>
      </c>
      <c r="Y2433" s="3">
        <v>9.1999999999999993</v>
      </c>
      <c r="Z2433" t="s">
        <v>9850</v>
      </c>
      <c r="AA2433" t="s">
        <v>15521</v>
      </c>
      <c r="AB2433" t="s">
        <v>53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f t="shared" si="74"/>
        <v>12.08</v>
      </c>
      <c r="AK2433" s="3">
        <f t="shared" si="75"/>
        <v>2.8800000000000008</v>
      </c>
    </row>
    <row r="2434" spans="1:37">
      <c r="A2434">
        <v>10404955</v>
      </c>
      <c r="B2434" t="s">
        <v>37</v>
      </c>
      <c r="C2434" t="s">
        <v>15522</v>
      </c>
      <c r="E2434" t="s">
        <v>6893</v>
      </c>
      <c r="F2434" t="s">
        <v>15523</v>
      </c>
      <c r="G2434" t="s">
        <v>15524</v>
      </c>
      <c r="H2434" t="s">
        <v>42</v>
      </c>
      <c r="I2434" t="s">
        <v>15525</v>
      </c>
      <c r="J2434" t="s">
        <v>15526</v>
      </c>
      <c r="K2434" t="s">
        <v>15527</v>
      </c>
      <c r="L2434" t="s">
        <v>142</v>
      </c>
      <c r="M2434" t="s">
        <v>46</v>
      </c>
      <c r="N2434" t="s">
        <v>47</v>
      </c>
      <c r="O2434">
        <v>5</v>
      </c>
      <c r="P2434">
        <v>1</v>
      </c>
      <c r="Q2434">
        <v>5</v>
      </c>
      <c r="R2434" t="s">
        <v>48</v>
      </c>
      <c r="S2434" t="s">
        <v>49</v>
      </c>
      <c r="T2434" s="3">
        <v>0.84</v>
      </c>
      <c r="U2434" s="3">
        <v>0.23</v>
      </c>
      <c r="V2434" s="3">
        <v>4.42</v>
      </c>
      <c r="W2434">
        <v>1.7</v>
      </c>
      <c r="X2434" t="s">
        <v>50</v>
      </c>
      <c r="Y2434" s="3">
        <v>16.43</v>
      </c>
      <c r="Z2434" t="s">
        <v>9686</v>
      </c>
      <c r="AA2434" t="s">
        <v>2505</v>
      </c>
      <c r="AB2434" t="s">
        <v>53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f t="shared" ref="AJ2434:AJ2497" si="76">AI2434+AH2434+AG2434+AF2434+AE2434+AD2434+AC2434+Y2434+V2434+U2434+T2434</f>
        <v>21.92</v>
      </c>
      <c r="AK2434" s="3">
        <f t="shared" ref="AK2434:AK2497" si="77">AJ2434-Y2434</f>
        <v>5.490000000000002</v>
      </c>
    </row>
    <row r="2435" spans="1:37">
      <c r="A2435">
        <v>10406180</v>
      </c>
      <c r="B2435" t="s">
        <v>37</v>
      </c>
      <c r="C2435" t="s">
        <v>15528</v>
      </c>
      <c r="E2435" t="s">
        <v>1135</v>
      </c>
      <c r="F2435" t="s">
        <v>9898</v>
      </c>
      <c r="G2435" t="s">
        <v>15529</v>
      </c>
      <c r="H2435" t="s">
        <v>42</v>
      </c>
      <c r="I2435" t="s">
        <v>15530</v>
      </c>
      <c r="J2435" t="s">
        <v>15531</v>
      </c>
      <c r="K2435">
        <v>38100</v>
      </c>
      <c r="L2435" t="s">
        <v>71</v>
      </c>
      <c r="M2435" t="s">
        <v>46</v>
      </c>
      <c r="N2435" t="s">
        <v>47</v>
      </c>
      <c r="O2435">
        <v>1</v>
      </c>
      <c r="P2435">
        <v>1</v>
      </c>
      <c r="Q2435">
        <v>1</v>
      </c>
      <c r="R2435" t="s">
        <v>48</v>
      </c>
      <c r="S2435" t="s">
        <v>49</v>
      </c>
      <c r="T2435" s="3">
        <v>0.84</v>
      </c>
      <c r="U2435" s="3">
        <v>0.23</v>
      </c>
      <c r="V2435" s="3">
        <v>0.94</v>
      </c>
      <c r="W2435">
        <v>0.49</v>
      </c>
      <c r="X2435" t="s">
        <v>108</v>
      </c>
      <c r="Y2435" s="3">
        <v>5.13</v>
      </c>
      <c r="Z2435" t="s">
        <v>9850</v>
      </c>
      <c r="AA2435" t="s">
        <v>11149</v>
      </c>
      <c r="AB2435" t="s">
        <v>53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f t="shared" si="76"/>
        <v>7.1400000000000006</v>
      </c>
      <c r="AK2435" s="3">
        <f t="shared" si="77"/>
        <v>2.0100000000000007</v>
      </c>
    </row>
    <row r="2436" spans="1:37">
      <c r="A2436">
        <v>10404957</v>
      </c>
      <c r="B2436" t="s">
        <v>37</v>
      </c>
      <c r="C2436" t="s">
        <v>15532</v>
      </c>
      <c r="E2436" t="s">
        <v>5065</v>
      </c>
      <c r="F2436" t="s">
        <v>15533</v>
      </c>
      <c r="G2436" t="s">
        <v>15534</v>
      </c>
      <c r="H2436" t="s">
        <v>42</v>
      </c>
      <c r="I2436" t="s">
        <v>15535</v>
      </c>
      <c r="J2436" t="s">
        <v>15536</v>
      </c>
      <c r="K2436">
        <v>59073</v>
      </c>
      <c r="L2436" t="s">
        <v>71</v>
      </c>
      <c r="M2436" t="s">
        <v>46</v>
      </c>
      <c r="N2436" t="s">
        <v>47</v>
      </c>
      <c r="O2436">
        <v>3</v>
      </c>
      <c r="P2436">
        <v>1</v>
      </c>
      <c r="Q2436">
        <v>3</v>
      </c>
      <c r="R2436" t="s">
        <v>48</v>
      </c>
      <c r="S2436" t="s">
        <v>49</v>
      </c>
      <c r="T2436" s="3">
        <v>0.84</v>
      </c>
      <c r="U2436" s="3">
        <v>0.23</v>
      </c>
      <c r="V2436" s="3">
        <v>2.68</v>
      </c>
      <c r="W2436">
        <v>0.78</v>
      </c>
      <c r="X2436" t="s">
        <v>108</v>
      </c>
      <c r="Y2436" s="3">
        <v>5.13</v>
      </c>
      <c r="Z2436" t="s">
        <v>9850</v>
      </c>
      <c r="AA2436" t="s">
        <v>15537</v>
      </c>
      <c r="AB2436" t="s">
        <v>53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f t="shared" si="76"/>
        <v>8.8800000000000008</v>
      </c>
      <c r="AK2436" s="3">
        <f t="shared" si="77"/>
        <v>3.7500000000000009</v>
      </c>
    </row>
    <row r="2437" spans="1:37">
      <c r="A2437">
        <v>10406641</v>
      </c>
      <c r="B2437" t="s">
        <v>37</v>
      </c>
      <c r="C2437" t="s">
        <v>15538</v>
      </c>
      <c r="E2437" t="s">
        <v>872</v>
      </c>
      <c r="F2437" t="s">
        <v>3724</v>
      </c>
      <c r="G2437" t="s">
        <v>15539</v>
      </c>
      <c r="H2437" t="s">
        <v>42</v>
      </c>
      <c r="I2437" t="s">
        <v>15540</v>
      </c>
      <c r="J2437" t="s">
        <v>15541</v>
      </c>
      <c r="K2437" t="s">
        <v>15542</v>
      </c>
      <c r="L2437" t="s">
        <v>142</v>
      </c>
      <c r="M2437" t="s">
        <v>46</v>
      </c>
      <c r="N2437" t="s">
        <v>47</v>
      </c>
      <c r="O2437">
        <v>2</v>
      </c>
      <c r="P2437">
        <v>1</v>
      </c>
      <c r="Q2437">
        <v>2</v>
      </c>
      <c r="R2437" t="s">
        <v>48</v>
      </c>
      <c r="S2437" t="s">
        <v>49</v>
      </c>
      <c r="T2437" s="3">
        <v>0.84</v>
      </c>
      <c r="U2437" s="3">
        <v>0.23</v>
      </c>
      <c r="V2437" s="3">
        <v>1.81</v>
      </c>
      <c r="W2437">
        <v>0.53</v>
      </c>
      <c r="X2437" t="s">
        <v>50</v>
      </c>
      <c r="Y2437" s="3">
        <v>16.43</v>
      </c>
      <c r="Z2437" t="s">
        <v>9850</v>
      </c>
      <c r="AA2437" t="s">
        <v>15543</v>
      </c>
      <c r="AB2437" t="s">
        <v>53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f t="shared" si="76"/>
        <v>19.309999999999999</v>
      </c>
      <c r="AK2437" s="3">
        <f t="shared" si="77"/>
        <v>2.879999999999999</v>
      </c>
    </row>
    <row r="2438" spans="1:37">
      <c r="A2438">
        <v>10406182</v>
      </c>
      <c r="B2438" t="s">
        <v>37</v>
      </c>
      <c r="C2438" t="s">
        <v>15544</v>
      </c>
      <c r="E2438" t="s">
        <v>6902</v>
      </c>
      <c r="F2438" t="s">
        <v>15545</v>
      </c>
      <c r="G2438" t="s">
        <v>15546</v>
      </c>
      <c r="H2438" t="s">
        <v>42</v>
      </c>
      <c r="I2438" t="s">
        <v>15547</v>
      </c>
      <c r="J2438" t="s">
        <v>15548</v>
      </c>
      <c r="K2438" t="s">
        <v>15549</v>
      </c>
      <c r="L2438" t="s">
        <v>275</v>
      </c>
      <c r="M2438" t="s">
        <v>46</v>
      </c>
      <c r="N2438" t="s">
        <v>47</v>
      </c>
      <c r="O2438">
        <v>1</v>
      </c>
      <c r="P2438">
        <v>1</v>
      </c>
      <c r="Q2438">
        <v>1</v>
      </c>
      <c r="R2438" t="s">
        <v>48</v>
      </c>
      <c r="S2438" t="s">
        <v>49</v>
      </c>
      <c r="T2438" s="3">
        <v>0.84</v>
      </c>
      <c r="U2438" s="3">
        <v>0.23</v>
      </c>
      <c r="V2438" s="3">
        <v>0.94</v>
      </c>
      <c r="W2438">
        <v>1.6</v>
      </c>
      <c r="X2438" t="s">
        <v>50</v>
      </c>
      <c r="Y2438" s="3">
        <v>16.43</v>
      </c>
      <c r="Z2438" t="s">
        <v>9686</v>
      </c>
      <c r="AA2438" t="s">
        <v>8731</v>
      </c>
      <c r="AB2438" t="s">
        <v>53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f t="shared" si="76"/>
        <v>18.440000000000001</v>
      </c>
      <c r="AK2438" s="3">
        <f t="shared" si="77"/>
        <v>2.0100000000000016</v>
      </c>
    </row>
    <row r="2439" spans="1:37">
      <c r="A2439">
        <v>10406840</v>
      </c>
      <c r="B2439" t="s">
        <v>37</v>
      </c>
      <c r="C2439" t="s">
        <v>15550</v>
      </c>
      <c r="E2439" t="s">
        <v>9081</v>
      </c>
      <c r="F2439" t="s">
        <v>15551</v>
      </c>
      <c r="G2439" t="s">
        <v>15552</v>
      </c>
      <c r="H2439" t="s">
        <v>42</v>
      </c>
      <c r="I2439" t="s">
        <v>15553</v>
      </c>
      <c r="J2439" t="s">
        <v>15554</v>
      </c>
      <c r="K2439" t="s">
        <v>15555</v>
      </c>
      <c r="L2439" t="s">
        <v>82</v>
      </c>
      <c r="M2439" t="s">
        <v>46</v>
      </c>
      <c r="N2439" t="s">
        <v>47</v>
      </c>
      <c r="O2439">
        <v>2</v>
      </c>
      <c r="P2439">
        <v>1</v>
      </c>
      <c r="Q2439">
        <v>2</v>
      </c>
      <c r="R2439" t="s">
        <v>48</v>
      </c>
      <c r="S2439" t="s">
        <v>49</v>
      </c>
      <c r="T2439" s="3">
        <v>0.84</v>
      </c>
      <c r="U2439" s="3">
        <v>0.23</v>
      </c>
      <c r="V2439" s="3">
        <v>1.81</v>
      </c>
      <c r="W2439">
        <v>0.78</v>
      </c>
      <c r="X2439" t="s">
        <v>50</v>
      </c>
      <c r="Y2439" s="3">
        <v>9.1999999999999993</v>
      </c>
      <c r="Z2439" t="s">
        <v>9850</v>
      </c>
      <c r="AA2439" t="s">
        <v>1849</v>
      </c>
      <c r="AB2439" t="s">
        <v>53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f t="shared" si="76"/>
        <v>12.08</v>
      </c>
      <c r="AK2439" s="3">
        <f t="shared" si="77"/>
        <v>2.8800000000000008</v>
      </c>
    </row>
    <row r="2440" spans="1:37">
      <c r="A2440">
        <v>10407995</v>
      </c>
      <c r="B2440" t="s">
        <v>37</v>
      </c>
      <c r="C2440" t="s">
        <v>15556</v>
      </c>
      <c r="E2440" t="s">
        <v>2534</v>
      </c>
      <c r="F2440" t="s">
        <v>15557</v>
      </c>
      <c r="G2440" t="s">
        <v>15558</v>
      </c>
      <c r="H2440" t="s">
        <v>42</v>
      </c>
      <c r="I2440" t="s">
        <v>15559</v>
      </c>
      <c r="J2440" t="s">
        <v>15560</v>
      </c>
      <c r="K2440">
        <v>82229</v>
      </c>
      <c r="L2440" t="s">
        <v>71</v>
      </c>
      <c r="M2440" t="s">
        <v>46</v>
      </c>
      <c r="N2440" t="s">
        <v>47</v>
      </c>
      <c r="O2440">
        <v>2</v>
      </c>
      <c r="P2440">
        <v>1</v>
      </c>
      <c r="Q2440">
        <v>2</v>
      </c>
      <c r="R2440" t="s">
        <v>48</v>
      </c>
      <c r="S2440" t="s">
        <v>49</v>
      </c>
      <c r="T2440" s="3">
        <v>0.84</v>
      </c>
      <c r="U2440" s="3">
        <v>0.23</v>
      </c>
      <c r="V2440" s="3">
        <v>1.81</v>
      </c>
      <c r="W2440">
        <v>1.41</v>
      </c>
      <c r="X2440" t="s">
        <v>108</v>
      </c>
      <c r="Y2440" s="3">
        <v>5.44</v>
      </c>
      <c r="Z2440" t="s">
        <v>9686</v>
      </c>
      <c r="AA2440" t="s">
        <v>15561</v>
      </c>
      <c r="AB2440" t="s">
        <v>53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f t="shared" si="76"/>
        <v>8.32</v>
      </c>
      <c r="AK2440" s="3">
        <f t="shared" si="77"/>
        <v>2.88</v>
      </c>
    </row>
    <row r="2441" spans="1:37">
      <c r="A2441">
        <v>10405955</v>
      </c>
      <c r="B2441" t="s">
        <v>37</v>
      </c>
      <c r="C2441" t="s">
        <v>15562</v>
      </c>
      <c r="E2441" t="s">
        <v>15563</v>
      </c>
      <c r="F2441" t="s">
        <v>15564</v>
      </c>
      <c r="G2441" t="s">
        <v>15565</v>
      </c>
      <c r="H2441" t="s">
        <v>42</v>
      </c>
      <c r="I2441" t="s">
        <v>15566</v>
      </c>
      <c r="J2441" t="s">
        <v>15567</v>
      </c>
      <c r="K2441">
        <v>73733</v>
      </c>
      <c r="L2441" t="s">
        <v>71</v>
      </c>
      <c r="M2441" t="s">
        <v>46</v>
      </c>
      <c r="N2441" t="s">
        <v>47</v>
      </c>
      <c r="O2441">
        <v>2</v>
      </c>
      <c r="P2441">
        <v>1</v>
      </c>
      <c r="Q2441">
        <v>2</v>
      </c>
      <c r="R2441" t="s">
        <v>48</v>
      </c>
      <c r="S2441" t="s">
        <v>49</v>
      </c>
      <c r="T2441" s="3">
        <v>0.84</v>
      </c>
      <c r="U2441" s="3">
        <v>0.23</v>
      </c>
      <c r="V2441" s="3">
        <v>1.81</v>
      </c>
      <c r="W2441">
        <v>0.98</v>
      </c>
      <c r="X2441" t="s">
        <v>108</v>
      </c>
      <c r="Y2441" s="3">
        <v>5.14</v>
      </c>
      <c r="Z2441" t="s">
        <v>9850</v>
      </c>
      <c r="AA2441" t="s">
        <v>13238</v>
      </c>
      <c r="AB2441" t="s">
        <v>53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f t="shared" si="76"/>
        <v>8.02</v>
      </c>
      <c r="AK2441" s="3">
        <f t="shared" si="77"/>
        <v>2.88</v>
      </c>
    </row>
    <row r="2442" spans="1:37">
      <c r="A2442">
        <v>10405951</v>
      </c>
      <c r="B2442" t="s">
        <v>37</v>
      </c>
      <c r="C2442" t="s">
        <v>15568</v>
      </c>
      <c r="E2442" t="s">
        <v>10920</v>
      </c>
      <c r="F2442" t="s">
        <v>15569</v>
      </c>
      <c r="G2442" t="s">
        <v>15570</v>
      </c>
      <c r="H2442" t="s">
        <v>42</v>
      </c>
      <c r="I2442" t="s">
        <v>15571</v>
      </c>
      <c r="J2442" t="s">
        <v>15572</v>
      </c>
      <c r="K2442">
        <v>9400</v>
      </c>
      <c r="L2442" t="s">
        <v>505</v>
      </c>
      <c r="M2442" t="s">
        <v>46</v>
      </c>
      <c r="N2442" t="s">
        <v>47</v>
      </c>
      <c r="O2442">
        <v>2</v>
      </c>
      <c r="P2442">
        <v>1</v>
      </c>
      <c r="Q2442">
        <v>2</v>
      </c>
      <c r="R2442" t="s">
        <v>48</v>
      </c>
      <c r="S2442" t="s">
        <v>49</v>
      </c>
      <c r="T2442" s="3">
        <v>0.84</v>
      </c>
      <c r="U2442" s="3">
        <v>0.23</v>
      </c>
      <c r="V2442" s="3">
        <v>1.81</v>
      </c>
      <c r="W2442">
        <v>0.78</v>
      </c>
      <c r="X2442" t="s">
        <v>50</v>
      </c>
      <c r="Y2442" s="3">
        <v>9.1999999999999993</v>
      </c>
      <c r="Z2442" t="s">
        <v>9850</v>
      </c>
      <c r="AA2442" t="s">
        <v>4279</v>
      </c>
      <c r="AB2442" t="s">
        <v>53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f t="shared" si="76"/>
        <v>12.08</v>
      </c>
      <c r="AK2442" s="3">
        <f t="shared" si="77"/>
        <v>2.8800000000000008</v>
      </c>
    </row>
    <row r="2443" spans="1:37">
      <c r="A2443">
        <v>10406839</v>
      </c>
      <c r="B2443" t="s">
        <v>37</v>
      </c>
      <c r="C2443" t="s">
        <v>15573</v>
      </c>
      <c r="E2443" t="s">
        <v>15574</v>
      </c>
      <c r="F2443" t="s">
        <v>15575</v>
      </c>
      <c r="G2443" t="s">
        <v>15576</v>
      </c>
      <c r="H2443" t="s">
        <v>42</v>
      </c>
      <c r="I2443" t="s">
        <v>15577</v>
      </c>
      <c r="J2443" t="s">
        <v>15578</v>
      </c>
      <c r="K2443" t="s">
        <v>15579</v>
      </c>
      <c r="L2443" t="s">
        <v>142</v>
      </c>
      <c r="M2443" t="s">
        <v>46</v>
      </c>
      <c r="N2443" t="s">
        <v>47</v>
      </c>
      <c r="O2443">
        <v>2</v>
      </c>
      <c r="P2443">
        <v>1</v>
      </c>
      <c r="Q2443">
        <v>2</v>
      </c>
      <c r="R2443" t="s">
        <v>48</v>
      </c>
      <c r="S2443" t="s">
        <v>49</v>
      </c>
      <c r="T2443" s="3">
        <v>0.84</v>
      </c>
      <c r="U2443" s="3">
        <v>0.23</v>
      </c>
      <c r="V2443" s="3">
        <v>1.81</v>
      </c>
      <c r="W2443">
        <v>2</v>
      </c>
      <c r="X2443" t="s">
        <v>50</v>
      </c>
      <c r="Y2443" s="3">
        <v>16.43</v>
      </c>
      <c r="Z2443" t="s">
        <v>9686</v>
      </c>
      <c r="AA2443" t="s">
        <v>15580</v>
      </c>
      <c r="AB2443" t="s">
        <v>53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f t="shared" si="76"/>
        <v>19.309999999999999</v>
      </c>
      <c r="AK2443" s="3">
        <f t="shared" si="77"/>
        <v>2.879999999999999</v>
      </c>
    </row>
    <row r="2444" spans="1:37">
      <c r="A2444">
        <v>10405953</v>
      </c>
      <c r="B2444" t="s">
        <v>37</v>
      </c>
      <c r="C2444" t="s">
        <v>15581</v>
      </c>
      <c r="E2444" t="s">
        <v>8329</v>
      </c>
      <c r="F2444" t="s">
        <v>1259</v>
      </c>
      <c r="G2444" t="s">
        <v>15582</v>
      </c>
      <c r="H2444" t="s">
        <v>42</v>
      </c>
      <c r="I2444" t="s">
        <v>15583</v>
      </c>
      <c r="J2444" t="s">
        <v>15584</v>
      </c>
      <c r="K2444" t="s">
        <v>15585</v>
      </c>
      <c r="L2444" t="s">
        <v>142</v>
      </c>
      <c r="M2444" t="s">
        <v>46</v>
      </c>
      <c r="N2444" t="s">
        <v>47</v>
      </c>
      <c r="O2444">
        <v>2</v>
      </c>
      <c r="P2444">
        <v>1</v>
      </c>
      <c r="Q2444">
        <v>2</v>
      </c>
      <c r="R2444" t="s">
        <v>48</v>
      </c>
      <c r="S2444" t="s">
        <v>49</v>
      </c>
      <c r="T2444" s="3">
        <v>0.84</v>
      </c>
      <c r="U2444" s="3">
        <v>0.23</v>
      </c>
      <c r="V2444" s="3">
        <v>1.81</v>
      </c>
      <c r="W2444">
        <v>0.78</v>
      </c>
      <c r="X2444" t="s">
        <v>50</v>
      </c>
      <c r="Y2444" s="3">
        <v>16.43</v>
      </c>
      <c r="Z2444" t="s">
        <v>9850</v>
      </c>
      <c r="AA2444" t="s">
        <v>15586</v>
      </c>
      <c r="AB2444" t="s">
        <v>53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s="3">
        <f t="shared" si="76"/>
        <v>19.309999999999999</v>
      </c>
      <c r="AK2444" s="3">
        <f t="shared" si="77"/>
        <v>2.879999999999999</v>
      </c>
    </row>
    <row r="2445" spans="1:37">
      <c r="A2445">
        <v>10406642</v>
      </c>
      <c r="B2445" t="s">
        <v>37</v>
      </c>
      <c r="C2445" t="s">
        <v>15587</v>
      </c>
      <c r="E2445" t="s">
        <v>1292</v>
      </c>
      <c r="F2445" t="s">
        <v>15588</v>
      </c>
      <c r="G2445" t="s">
        <v>15589</v>
      </c>
      <c r="H2445" t="s">
        <v>42</v>
      </c>
      <c r="I2445" t="s">
        <v>15590</v>
      </c>
      <c r="J2445" t="s">
        <v>15591</v>
      </c>
      <c r="K2445">
        <v>12627</v>
      </c>
      <c r="L2445" t="s">
        <v>71</v>
      </c>
      <c r="M2445" t="s">
        <v>46</v>
      </c>
      <c r="N2445" t="s">
        <v>47</v>
      </c>
      <c r="O2445">
        <v>2</v>
      </c>
      <c r="P2445">
        <v>1</v>
      </c>
      <c r="Q2445">
        <v>2</v>
      </c>
      <c r="R2445" t="s">
        <v>48</v>
      </c>
      <c r="S2445" t="s">
        <v>49</v>
      </c>
      <c r="T2445" s="3">
        <v>0.84</v>
      </c>
      <c r="U2445" s="3">
        <v>0.23</v>
      </c>
      <c r="V2445" s="3">
        <v>1.81</v>
      </c>
      <c r="W2445">
        <v>0.3</v>
      </c>
      <c r="X2445" t="s">
        <v>108</v>
      </c>
      <c r="Y2445" s="3">
        <v>5.14</v>
      </c>
      <c r="Z2445" t="s">
        <v>9850</v>
      </c>
      <c r="AA2445" t="s">
        <v>13741</v>
      </c>
      <c r="AB2445" t="s">
        <v>53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f t="shared" si="76"/>
        <v>8.02</v>
      </c>
      <c r="AK2445" s="3">
        <f t="shared" si="77"/>
        <v>2.88</v>
      </c>
    </row>
    <row r="2446" spans="1:37">
      <c r="A2446">
        <v>10404680</v>
      </c>
      <c r="B2446" t="s">
        <v>37</v>
      </c>
      <c r="C2446" t="s">
        <v>15592</v>
      </c>
      <c r="E2446" t="s">
        <v>12917</v>
      </c>
      <c r="F2446" t="s">
        <v>15593</v>
      </c>
      <c r="G2446" t="s">
        <v>15594</v>
      </c>
      <c r="H2446" t="s">
        <v>42</v>
      </c>
      <c r="I2446" t="s">
        <v>15595</v>
      </c>
      <c r="J2446" t="s">
        <v>15596</v>
      </c>
      <c r="K2446">
        <v>6310</v>
      </c>
      <c r="L2446" t="s">
        <v>2247</v>
      </c>
      <c r="M2446" t="s">
        <v>46</v>
      </c>
      <c r="N2446" t="s">
        <v>47</v>
      </c>
      <c r="O2446">
        <v>2</v>
      </c>
      <c r="P2446">
        <v>1</v>
      </c>
      <c r="Q2446">
        <v>2</v>
      </c>
      <c r="R2446" t="s">
        <v>48</v>
      </c>
      <c r="S2446" t="s">
        <v>49</v>
      </c>
      <c r="T2446" s="3">
        <v>0.84</v>
      </c>
      <c r="U2446" s="3">
        <v>0.23</v>
      </c>
      <c r="V2446" s="3">
        <v>1.81</v>
      </c>
      <c r="W2446">
        <v>0.98</v>
      </c>
      <c r="X2446" t="s">
        <v>50</v>
      </c>
      <c r="Y2446" s="3">
        <v>14.99</v>
      </c>
      <c r="Z2446" t="s">
        <v>9850</v>
      </c>
      <c r="AA2446" t="s">
        <v>15597</v>
      </c>
      <c r="AB2446" t="s">
        <v>53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f t="shared" si="76"/>
        <v>17.87</v>
      </c>
      <c r="AK2446" s="3">
        <f t="shared" si="77"/>
        <v>2.8800000000000008</v>
      </c>
    </row>
    <row r="2447" spans="1:37">
      <c r="A2447">
        <v>10406639</v>
      </c>
      <c r="B2447" t="s">
        <v>37</v>
      </c>
      <c r="C2447" t="s">
        <v>15598</v>
      </c>
      <c r="E2447" t="s">
        <v>3705</v>
      </c>
      <c r="F2447" t="s">
        <v>15599</v>
      </c>
      <c r="G2447" t="s">
        <v>15600</v>
      </c>
      <c r="H2447" t="s">
        <v>42</v>
      </c>
      <c r="I2447" t="s">
        <v>15601</v>
      </c>
      <c r="J2447" t="s">
        <v>15602</v>
      </c>
      <c r="K2447">
        <v>54293</v>
      </c>
      <c r="L2447" t="s">
        <v>71</v>
      </c>
      <c r="M2447" t="s">
        <v>46</v>
      </c>
      <c r="N2447" t="s">
        <v>47</v>
      </c>
      <c r="O2447">
        <v>4</v>
      </c>
      <c r="P2447">
        <v>1</v>
      </c>
      <c r="Q2447">
        <v>4</v>
      </c>
      <c r="R2447" t="s">
        <v>48</v>
      </c>
      <c r="S2447" t="s">
        <v>49</v>
      </c>
      <c r="T2447" s="3">
        <v>0.84</v>
      </c>
      <c r="U2447" s="3">
        <v>0.23</v>
      </c>
      <c r="V2447" s="3">
        <v>3.55</v>
      </c>
      <c r="W2447">
        <v>1</v>
      </c>
      <c r="X2447" t="s">
        <v>108</v>
      </c>
      <c r="Y2447" s="3">
        <v>5.14</v>
      </c>
      <c r="Z2447" t="s">
        <v>9686</v>
      </c>
      <c r="AA2447" t="s">
        <v>15603</v>
      </c>
      <c r="AB2447" t="s">
        <v>53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f t="shared" si="76"/>
        <v>9.76</v>
      </c>
      <c r="AK2447" s="3">
        <f t="shared" si="77"/>
        <v>4.62</v>
      </c>
    </row>
    <row r="2448" spans="1:37">
      <c r="A2448">
        <v>10404968</v>
      </c>
      <c r="B2448" t="s">
        <v>37</v>
      </c>
      <c r="C2448" t="s">
        <v>15604</v>
      </c>
      <c r="E2448" t="s">
        <v>15605</v>
      </c>
      <c r="F2448" t="s">
        <v>15606</v>
      </c>
      <c r="G2448" t="s">
        <v>15607</v>
      </c>
      <c r="H2448" t="s">
        <v>42</v>
      </c>
      <c r="I2448" t="s">
        <v>15608</v>
      </c>
      <c r="J2448" t="s">
        <v>15609</v>
      </c>
      <c r="K2448" t="s">
        <v>15610</v>
      </c>
      <c r="L2448" t="s">
        <v>142</v>
      </c>
      <c r="M2448" t="s">
        <v>46</v>
      </c>
      <c r="N2448" t="s">
        <v>47</v>
      </c>
      <c r="O2448">
        <v>2</v>
      </c>
      <c r="P2448">
        <v>1</v>
      </c>
      <c r="Q2448">
        <v>2</v>
      </c>
      <c r="R2448" t="s">
        <v>48</v>
      </c>
      <c r="S2448" t="s">
        <v>49</v>
      </c>
      <c r="T2448" s="3">
        <v>0.84</v>
      </c>
      <c r="U2448" s="3">
        <v>0.23</v>
      </c>
      <c r="V2448" s="3">
        <v>1.81</v>
      </c>
      <c r="W2448">
        <v>0.88</v>
      </c>
      <c r="X2448" t="s">
        <v>50</v>
      </c>
      <c r="Y2448" s="3">
        <v>16.43</v>
      </c>
      <c r="Z2448" t="s">
        <v>73</v>
      </c>
      <c r="AA2448" t="s">
        <v>15611</v>
      </c>
      <c r="AB2448" t="s">
        <v>53</v>
      </c>
      <c r="AC2448" s="3">
        <v>1.29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f t="shared" si="76"/>
        <v>20.599999999999998</v>
      </c>
      <c r="AK2448" s="3">
        <f t="shared" si="77"/>
        <v>4.1699999999999982</v>
      </c>
    </row>
    <row r="2449" spans="1:37">
      <c r="A2449">
        <v>10407113</v>
      </c>
      <c r="B2449" t="s">
        <v>37</v>
      </c>
      <c r="C2449" t="s">
        <v>15612</v>
      </c>
      <c r="D2449" t="s">
        <v>15613</v>
      </c>
      <c r="E2449" t="s">
        <v>15614</v>
      </c>
      <c r="F2449" t="s">
        <v>15615</v>
      </c>
      <c r="G2449" t="s">
        <v>15616</v>
      </c>
      <c r="H2449" t="s">
        <v>42</v>
      </c>
      <c r="I2449" t="s">
        <v>15617</v>
      </c>
      <c r="J2449" t="s">
        <v>15618</v>
      </c>
      <c r="K2449">
        <v>20400</v>
      </c>
      <c r="L2449" t="s">
        <v>91</v>
      </c>
      <c r="M2449" t="s">
        <v>46</v>
      </c>
      <c r="N2449" t="s">
        <v>47</v>
      </c>
      <c r="O2449">
        <v>5</v>
      </c>
      <c r="P2449">
        <v>1</v>
      </c>
      <c r="Q2449">
        <v>5</v>
      </c>
      <c r="R2449" t="s">
        <v>48</v>
      </c>
      <c r="S2449" t="s">
        <v>49</v>
      </c>
      <c r="T2449" s="3">
        <v>0.84</v>
      </c>
      <c r="U2449" s="3">
        <v>0.23</v>
      </c>
      <c r="V2449" s="3">
        <v>4.42</v>
      </c>
      <c r="W2449">
        <v>1.91</v>
      </c>
      <c r="X2449" t="s">
        <v>50</v>
      </c>
      <c r="Y2449" s="3">
        <v>16.43</v>
      </c>
      <c r="Z2449" t="s">
        <v>9686</v>
      </c>
      <c r="AA2449" t="s">
        <v>15619</v>
      </c>
      <c r="AB2449" t="s">
        <v>53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f t="shared" si="76"/>
        <v>21.92</v>
      </c>
      <c r="AK2449" s="3">
        <f t="shared" si="77"/>
        <v>5.490000000000002</v>
      </c>
    </row>
    <row r="2450" spans="1:37">
      <c r="A2450">
        <v>10404967</v>
      </c>
      <c r="B2450" t="s">
        <v>37</v>
      </c>
      <c r="C2450" t="s">
        <v>15620</v>
      </c>
      <c r="E2450" t="s">
        <v>8340</v>
      </c>
      <c r="F2450" t="s">
        <v>3820</v>
      </c>
      <c r="G2450" t="s">
        <v>15621</v>
      </c>
      <c r="H2450" t="s">
        <v>42</v>
      </c>
      <c r="I2450" t="s">
        <v>15622</v>
      </c>
      <c r="J2450" t="s">
        <v>15623</v>
      </c>
      <c r="K2450">
        <v>22846</v>
      </c>
      <c r="L2450" t="s">
        <v>71</v>
      </c>
      <c r="M2450" t="s">
        <v>46</v>
      </c>
      <c r="N2450" t="s">
        <v>47</v>
      </c>
      <c r="O2450">
        <v>2</v>
      </c>
      <c r="P2450">
        <v>1</v>
      </c>
      <c r="Q2450">
        <v>2</v>
      </c>
      <c r="R2450" t="s">
        <v>48</v>
      </c>
      <c r="S2450" t="s">
        <v>49</v>
      </c>
      <c r="T2450" s="3">
        <v>0.84</v>
      </c>
      <c r="U2450" s="3">
        <v>0.23</v>
      </c>
      <c r="V2450" s="3">
        <v>1.81</v>
      </c>
      <c r="W2450">
        <v>0.98</v>
      </c>
      <c r="X2450" t="s">
        <v>108</v>
      </c>
      <c r="Y2450" s="3">
        <v>5.14</v>
      </c>
      <c r="Z2450" t="s">
        <v>9850</v>
      </c>
      <c r="AA2450" t="s">
        <v>13238</v>
      </c>
      <c r="AB2450" t="s">
        <v>53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f t="shared" si="76"/>
        <v>8.02</v>
      </c>
      <c r="AK2450" s="3">
        <f t="shared" si="77"/>
        <v>2.88</v>
      </c>
    </row>
    <row r="2451" spans="1:37">
      <c r="A2451">
        <v>10404963</v>
      </c>
      <c r="B2451" t="s">
        <v>37</v>
      </c>
      <c r="C2451" t="s">
        <v>15624</v>
      </c>
      <c r="E2451" t="s">
        <v>15625</v>
      </c>
      <c r="F2451" t="s">
        <v>15626</v>
      </c>
      <c r="G2451" t="s">
        <v>15627</v>
      </c>
      <c r="H2451" t="s">
        <v>42</v>
      </c>
      <c r="I2451" t="s">
        <v>15628</v>
      </c>
      <c r="J2451" t="s">
        <v>15629</v>
      </c>
      <c r="K2451" t="s">
        <v>15630</v>
      </c>
      <c r="L2451" t="s">
        <v>71</v>
      </c>
      <c r="M2451" t="s">
        <v>46</v>
      </c>
      <c r="N2451" t="s">
        <v>47</v>
      </c>
      <c r="O2451">
        <v>2</v>
      </c>
      <c r="P2451">
        <v>1</v>
      </c>
      <c r="Q2451">
        <v>2</v>
      </c>
      <c r="R2451" t="s">
        <v>48</v>
      </c>
      <c r="S2451" t="s">
        <v>49</v>
      </c>
      <c r="T2451" s="3">
        <v>0.84</v>
      </c>
      <c r="U2451" s="3">
        <v>0.23</v>
      </c>
      <c r="V2451" s="3">
        <v>1.81</v>
      </c>
      <c r="W2451">
        <v>0.3</v>
      </c>
      <c r="X2451" t="s">
        <v>108</v>
      </c>
      <c r="Y2451" s="3">
        <v>5.14</v>
      </c>
      <c r="Z2451" t="s">
        <v>9850</v>
      </c>
      <c r="AA2451" t="s">
        <v>9271</v>
      </c>
      <c r="AB2451" t="s">
        <v>53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f t="shared" si="76"/>
        <v>8.02</v>
      </c>
      <c r="AK2451" s="3">
        <f t="shared" si="77"/>
        <v>2.88</v>
      </c>
    </row>
    <row r="2452" spans="1:37">
      <c r="A2452">
        <v>10405957</v>
      </c>
      <c r="B2452" t="s">
        <v>37</v>
      </c>
      <c r="C2452" t="s">
        <v>15631</v>
      </c>
      <c r="E2452" t="s">
        <v>15632</v>
      </c>
      <c r="F2452" t="s">
        <v>15633</v>
      </c>
      <c r="G2452" t="s">
        <v>15634</v>
      </c>
      <c r="H2452" t="s">
        <v>42</v>
      </c>
      <c r="I2452" t="s">
        <v>15635</v>
      </c>
      <c r="J2452" t="s">
        <v>15636</v>
      </c>
      <c r="K2452" t="s">
        <v>15637</v>
      </c>
      <c r="L2452" t="s">
        <v>142</v>
      </c>
      <c r="M2452" t="s">
        <v>46</v>
      </c>
      <c r="N2452" t="s">
        <v>47</v>
      </c>
      <c r="O2452">
        <v>8</v>
      </c>
      <c r="P2452">
        <v>1</v>
      </c>
      <c r="Q2452">
        <v>8</v>
      </c>
      <c r="R2452" t="s">
        <v>48</v>
      </c>
      <c r="S2452" t="s">
        <v>49</v>
      </c>
      <c r="T2452" s="3">
        <v>0.84</v>
      </c>
      <c r="U2452" s="3">
        <v>0.23</v>
      </c>
      <c r="V2452" s="3">
        <v>7.03</v>
      </c>
      <c r="W2452">
        <v>4.07</v>
      </c>
      <c r="X2452" t="s">
        <v>50</v>
      </c>
      <c r="Y2452" s="3">
        <v>16.43</v>
      </c>
      <c r="Z2452" t="s">
        <v>83</v>
      </c>
      <c r="AA2452" t="s">
        <v>15638</v>
      </c>
      <c r="AB2452" t="s">
        <v>53</v>
      </c>
      <c r="AC2452" s="3">
        <v>1.27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f t="shared" si="76"/>
        <v>25.8</v>
      </c>
      <c r="AK2452" s="3">
        <f t="shared" si="77"/>
        <v>9.370000000000001</v>
      </c>
    </row>
    <row r="2453" spans="1:37">
      <c r="A2453">
        <v>10406842</v>
      </c>
      <c r="B2453" t="s">
        <v>37</v>
      </c>
      <c r="C2453" t="s">
        <v>15639</v>
      </c>
      <c r="E2453" t="s">
        <v>2381</v>
      </c>
      <c r="F2453" t="s">
        <v>15640</v>
      </c>
      <c r="G2453" t="s">
        <v>15641</v>
      </c>
      <c r="H2453" t="s">
        <v>42</v>
      </c>
      <c r="I2453" t="s">
        <v>15642</v>
      </c>
      <c r="J2453" t="s">
        <v>15643</v>
      </c>
      <c r="K2453">
        <v>1060</v>
      </c>
      <c r="L2453" t="s">
        <v>505</v>
      </c>
      <c r="M2453" t="s">
        <v>46</v>
      </c>
      <c r="N2453" t="s">
        <v>47</v>
      </c>
      <c r="O2453">
        <v>3</v>
      </c>
      <c r="P2453">
        <v>1</v>
      </c>
      <c r="Q2453">
        <v>3</v>
      </c>
      <c r="R2453" t="s">
        <v>48</v>
      </c>
      <c r="S2453" t="s">
        <v>49</v>
      </c>
      <c r="T2453" s="3">
        <v>0.84</v>
      </c>
      <c r="U2453" s="3">
        <v>0.23</v>
      </c>
      <c r="V2453" s="3">
        <v>2.68</v>
      </c>
      <c r="W2453">
        <v>0.92</v>
      </c>
      <c r="X2453" t="s">
        <v>50</v>
      </c>
      <c r="Y2453" s="3">
        <v>9.1999999999999993</v>
      </c>
      <c r="Z2453" t="s">
        <v>9686</v>
      </c>
      <c r="AA2453" t="s">
        <v>15644</v>
      </c>
      <c r="AB2453" t="s">
        <v>53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f t="shared" si="76"/>
        <v>12.95</v>
      </c>
      <c r="AK2453" s="3">
        <f t="shared" si="77"/>
        <v>3.75</v>
      </c>
    </row>
    <row r="2454" spans="1:37">
      <c r="A2454">
        <v>10406183</v>
      </c>
      <c r="B2454" t="s">
        <v>37</v>
      </c>
      <c r="C2454" t="s">
        <v>15645</v>
      </c>
      <c r="E2454" t="s">
        <v>2534</v>
      </c>
      <c r="F2454" t="s">
        <v>15646</v>
      </c>
      <c r="G2454" t="s">
        <v>15647</v>
      </c>
      <c r="H2454" t="s">
        <v>42</v>
      </c>
      <c r="I2454" t="s">
        <v>15648</v>
      </c>
      <c r="J2454" t="s">
        <v>15649</v>
      </c>
      <c r="K2454">
        <v>60389</v>
      </c>
      <c r="L2454" t="s">
        <v>71</v>
      </c>
      <c r="M2454" t="s">
        <v>46</v>
      </c>
      <c r="N2454" t="s">
        <v>47</v>
      </c>
      <c r="O2454">
        <v>4</v>
      </c>
      <c r="P2454">
        <v>1</v>
      </c>
      <c r="Q2454">
        <v>4</v>
      </c>
      <c r="R2454" t="s">
        <v>48</v>
      </c>
      <c r="S2454" t="s">
        <v>49</v>
      </c>
      <c r="T2454" s="3">
        <v>0.84</v>
      </c>
      <c r="U2454" s="3">
        <v>0.23</v>
      </c>
      <c r="V2454" s="3">
        <v>3.55</v>
      </c>
      <c r="W2454">
        <v>0.6</v>
      </c>
      <c r="X2454" t="s">
        <v>108</v>
      </c>
      <c r="Y2454" s="3">
        <v>6.54</v>
      </c>
      <c r="Z2454" t="s">
        <v>9850</v>
      </c>
      <c r="AA2454" t="s">
        <v>13741</v>
      </c>
      <c r="AB2454" t="s">
        <v>53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f t="shared" si="76"/>
        <v>11.16</v>
      </c>
      <c r="AK2454" s="3">
        <f t="shared" si="77"/>
        <v>4.62</v>
      </c>
    </row>
    <row r="2455" spans="1:37">
      <c r="A2455">
        <v>10405471</v>
      </c>
      <c r="B2455" t="s">
        <v>37</v>
      </c>
      <c r="C2455" t="s">
        <v>15650</v>
      </c>
      <c r="E2455" t="s">
        <v>857</v>
      </c>
      <c r="F2455" t="s">
        <v>15651</v>
      </c>
      <c r="G2455" t="s">
        <v>15652</v>
      </c>
      <c r="H2455" t="s">
        <v>42</v>
      </c>
      <c r="I2455" t="s">
        <v>15653</v>
      </c>
      <c r="J2455" t="s">
        <v>15654</v>
      </c>
      <c r="K2455">
        <v>50933</v>
      </c>
      <c r="L2455" t="s">
        <v>71</v>
      </c>
      <c r="M2455" t="s">
        <v>46</v>
      </c>
      <c r="N2455" t="s">
        <v>47</v>
      </c>
      <c r="O2455">
        <v>7</v>
      </c>
      <c r="P2455">
        <v>1</v>
      </c>
      <c r="Q2455">
        <v>7</v>
      </c>
      <c r="R2455" t="s">
        <v>48</v>
      </c>
      <c r="S2455" t="s">
        <v>49</v>
      </c>
      <c r="T2455" s="3">
        <v>0.84</v>
      </c>
      <c r="U2455" s="3">
        <v>0.23</v>
      </c>
      <c r="V2455" s="3">
        <v>6.16</v>
      </c>
      <c r="W2455">
        <v>3.37</v>
      </c>
      <c r="X2455" t="s">
        <v>72</v>
      </c>
      <c r="Y2455" s="3">
        <v>6.61</v>
      </c>
      <c r="Z2455" t="s">
        <v>73</v>
      </c>
      <c r="AA2455" t="s">
        <v>15655</v>
      </c>
      <c r="AB2455" t="s">
        <v>53</v>
      </c>
      <c r="AC2455" s="3">
        <v>1.29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f t="shared" si="76"/>
        <v>15.13</v>
      </c>
      <c r="AK2455" s="3">
        <f t="shared" si="77"/>
        <v>8.52</v>
      </c>
    </row>
    <row r="2456" spans="1:37">
      <c r="A2456">
        <v>10407458</v>
      </c>
      <c r="B2456" t="s">
        <v>37</v>
      </c>
      <c r="C2456" t="s">
        <v>15656</v>
      </c>
      <c r="E2456" t="s">
        <v>15657</v>
      </c>
      <c r="F2456" t="s">
        <v>15658</v>
      </c>
      <c r="G2456" t="s">
        <v>15659</v>
      </c>
      <c r="H2456" t="s">
        <v>42</v>
      </c>
      <c r="I2456" t="s">
        <v>15660</v>
      </c>
      <c r="J2456" t="s">
        <v>15661</v>
      </c>
      <c r="K2456" t="s">
        <v>15662</v>
      </c>
      <c r="L2456" t="s">
        <v>4347</v>
      </c>
      <c r="M2456" t="s">
        <v>46</v>
      </c>
      <c r="N2456" t="s">
        <v>47</v>
      </c>
      <c r="O2456">
        <v>7</v>
      </c>
      <c r="P2456">
        <v>1</v>
      </c>
      <c r="Q2456">
        <v>7</v>
      </c>
      <c r="R2456" t="s">
        <v>48</v>
      </c>
      <c r="S2456" t="s">
        <v>49</v>
      </c>
      <c r="T2456" s="3">
        <v>0.84</v>
      </c>
      <c r="U2456" s="3">
        <v>0.23</v>
      </c>
      <c r="V2456" s="3">
        <v>6.16</v>
      </c>
      <c r="W2456">
        <v>1.22</v>
      </c>
      <c r="X2456" t="s">
        <v>50</v>
      </c>
      <c r="Y2456" s="3">
        <v>14.99</v>
      </c>
      <c r="Z2456" t="s">
        <v>9686</v>
      </c>
      <c r="AA2456" t="s">
        <v>15663</v>
      </c>
      <c r="AB2456" t="s">
        <v>53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f t="shared" si="76"/>
        <v>22.22</v>
      </c>
      <c r="AK2456" s="3">
        <f t="shared" si="77"/>
        <v>7.2299999999999986</v>
      </c>
    </row>
    <row r="2457" spans="1:37">
      <c r="A2457">
        <v>10407994</v>
      </c>
      <c r="B2457" t="s">
        <v>37</v>
      </c>
      <c r="C2457" t="s">
        <v>15664</v>
      </c>
      <c r="E2457" t="s">
        <v>12087</v>
      </c>
      <c r="F2457" t="s">
        <v>15665</v>
      </c>
      <c r="G2457" t="s">
        <v>15666</v>
      </c>
      <c r="H2457" t="s">
        <v>42</v>
      </c>
      <c r="I2457" t="s">
        <v>15667</v>
      </c>
      <c r="J2457" t="s">
        <v>15668</v>
      </c>
      <c r="K2457">
        <v>92200</v>
      </c>
      <c r="L2457" t="s">
        <v>130</v>
      </c>
      <c r="M2457" t="s">
        <v>46</v>
      </c>
      <c r="N2457" t="s">
        <v>47</v>
      </c>
      <c r="O2457">
        <v>3</v>
      </c>
      <c r="P2457">
        <v>1</v>
      </c>
      <c r="Q2457">
        <v>3</v>
      </c>
      <c r="R2457" t="s">
        <v>48</v>
      </c>
      <c r="S2457" t="s">
        <v>49</v>
      </c>
      <c r="T2457" s="3">
        <v>0.84</v>
      </c>
      <c r="U2457" s="3">
        <v>0.23</v>
      </c>
      <c r="V2457" s="3">
        <v>2.68</v>
      </c>
      <c r="W2457">
        <v>1.47</v>
      </c>
      <c r="X2457" t="s">
        <v>50</v>
      </c>
      <c r="Y2457" s="3">
        <v>14.26</v>
      </c>
      <c r="Z2457" t="s">
        <v>9686</v>
      </c>
      <c r="AA2457" t="s">
        <v>15669</v>
      </c>
      <c r="AB2457" t="s">
        <v>53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s="3">
        <f t="shared" si="76"/>
        <v>18.010000000000002</v>
      </c>
      <c r="AK2457" s="3">
        <f t="shared" si="77"/>
        <v>3.7500000000000018</v>
      </c>
    </row>
    <row r="2458" spans="1:37">
      <c r="A2458">
        <v>10405480</v>
      </c>
      <c r="B2458" t="s">
        <v>37</v>
      </c>
      <c r="C2458" t="s">
        <v>15670</v>
      </c>
      <c r="E2458" t="s">
        <v>254</v>
      </c>
      <c r="F2458" t="s">
        <v>15671</v>
      </c>
      <c r="G2458" t="s">
        <v>15672</v>
      </c>
      <c r="H2458" t="s">
        <v>42</v>
      </c>
      <c r="I2458" t="s">
        <v>15673</v>
      </c>
      <c r="J2458" t="s">
        <v>15674</v>
      </c>
      <c r="K2458">
        <v>21220</v>
      </c>
      <c r="L2458" t="s">
        <v>71</v>
      </c>
      <c r="M2458" t="s">
        <v>46</v>
      </c>
      <c r="N2458" t="s">
        <v>47</v>
      </c>
      <c r="O2458">
        <v>5</v>
      </c>
      <c r="P2458">
        <v>1</v>
      </c>
      <c r="Q2458">
        <v>5</v>
      </c>
      <c r="R2458" t="s">
        <v>48</v>
      </c>
      <c r="S2458" t="s">
        <v>49</v>
      </c>
      <c r="T2458" s="3">
        <v>0.84</v>
      </c>
      <c r="U2458" s="3">
        <v>0.23</v>
      </c>
      <c r="V2458" s="3">
        <v>4.42</v>
      </c>
      <c r="W2458">
        <v>2.79</v>
      </c>
      <c r="X2458" t="s">
        <v>72</v>
      </c>
      <c r="Y2458" s="3">
        <v>5.44</v>
      </c>
      <c r="Z2458" t="s">
        <v>83</v>
      </c>
      <c r="AA2458" t="s">
        <v>15675</v>
      </c>
      <c r="AB2458" t="s">
        <v>53</v>
      </c>
      <c r="AC2458" s="3">
        <v>1.27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f t="shared" si="76"/>
        <v>12.200000000000001</v>
      </c>
      <c r="AK2458" s="3">
        <f t="shared" si="77"/>
        <v>6.7600000000000007</v>
      </c>
    </row>
    <row r="2459" spans="1:37">
      <c r="A2459">
        <v>10407114</v>
      </c>
      <c r="B2459" t="s">
        <v>37</v>
      </c>
      <c r="C2459" t="s">
        <v>15676</v>
      </c>
      <c r="E2459" t="s">
        <v>15677</v>
      </c>
      <c r="F2459" t="s">
        <v>15678</v>
      </c>
      <c r="G2459" t="s">
        <v>15679</v>
      </c>
      <c r="H2459" t="s">
        <v>42</v>
      </c>
      <c r="I2459" t="s">
        <v>15680</v>
      </c>
      <c r="J2459" t="s">
        <v>15681</v>
      </c>
      <c r="K2459">
        <v>31840</v>
      </c>
      <c r="L2459" t="s">
        <v>71</v>
      </c>
      <c r="M2459" t="s">
        <v>46</v>
      </c>
      <c r="N2459" t="s">
        <v>47</v>
      </c>
      <c r="O2459">
        <v>4</v>
      </c>
      <c r="P2459">
        <v>1</v>
      </c>
      <c r="Q2459">
        <v>4</v>
      </c>
      <c r="R2459" t="s">
        <v>48</v>
      </c>
      <c r="S2459" t="s">
        <v>49</v>
      </c>
      <c r="T2459" s="3">
        <v>0.84</v>
      </c>
      <c r="U2459" s="3">
        <v>0.23</v>
      </c>
      <c r="V2459" s="3">
        <v>3.55</v>
      </c>
      <c r="W2459">
        <v>1.56</v>
      </c>
      <c r="X2459" t="s">
        <v>108</v>
      </c>
      <c r="Y2459" s="3">
        <v>5.44</v>
      </c>
      <c r="Z2459" t="s">
        <v>9686</v>
      </c>
      <c r="AA2459" t="s">
        <v>459</v>
      </c>
      <c r="AB2459" t="s">
        <v>53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f t="shared" si="76"/>
        <v>10.06</v>
      </c>
      <c r="AK2459" s="3">
        <f t="shared" si="77"/>
        <v>4.62</v>
      </c>
    </row>
    <row r="2460" spans="1:37">
      <c r="A2460">
        <v>10407457</v>
      </c>
      <c r="B2460" t="s">
        <v>37</v>
      </c>
      <c r="C2460" t="s">
        <v>15682</v>
      </c>
      <c r="E2460" t="s">
        <v>15683</v>
      </c>
      <c r="F2460" t="s">
        <v>15684</v>
      </c>
      <c r="G2460" t="s">
        <v>15685</v>
      </c>
      <c r="H2460" t="s">
        <v>42</v>
      </c>
      <c r="I2460" t="s">
        <v>15686</v>
      </c>
      <c r="J2460" t="s">
        <v>15687</v>
      </c>
      <c r="K2460">
        <v>33378</v>
      </c>
      <c r="L2460" t="s">
        <v>71</v>
      </c>
      <c r="M2460" t="s">
        <v>46</v>
      </c>
      <c r="N2460" t="s">
        <v>47</v>
      </c>
      <c r="O2460">
        <v>4</v>
      </c>
      <c r="P2460">
        <v>1</v>
      </c>
      <c r="Q2460">
        <v>4</v>
      </c>
      <c r="R2460" t="s">
        <v>48</v>
      </c>
      <c r="S2460" t="s">
        <v>49</v>
      </c>
      <c r="T2460" s="3">
        <v>0.84</v>
      </c>
      <c r="U2460" s="3">
        <v>0.23</v>
      </c>
      <c r="V2460" s="3">
        <v>3.55</v>
      </c>
      <c r="W2460">
        <v>1.56</v>
      </c>
      <c r="X2460" t="s">
        <v>108</v>
      </c>
      <c r="Y2460" s="3">
        <v>5.14</v>
      </c>
      <c r="Z2460" t="s">
        <v>9686</v>
      </c>
      <c r="AA2460" t="s">
        <v>4943</v>
      </c>
      <c r="AB2460" t="s">
        <v>53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f t="shared" si="76"/>
        <v>9.76</v>
      </c>
      <c r="AK2460" s="3">
        <f t="shared" si="77"/>
        <v>4.62</v>
      </c>
    </row>
    <row r="2461" spans="1:37">
      <c r="A2461">
        <v>10407455</v>
      </c>
      <c r="B2461" t="s">
        <v>37</v>
      </c>
      <c r="C2461" t="s">
        <v>15688</v>
      </c>
      <c r="E2461" t="s">
        <v>484</v>
      </c>
      <c r="F2461" t="s">
        <v>15689</v>
      </c>
      <c r="G2461" t="s">
        <v>15690</v>
      </c>
      <c r="H2461" t="s">
        <v>42</v>
      </c>
      <c r="I2461" t="s">
        <v>15691</v>
      </c>
      <c r="J2461" t="s">
        <v>15692</v>
      </c>
      <c r="K2461" t="s">
        <v>15693</v>
      </c>
      <c r="L2461" t="s">
        <v>142</v>
      </c>
      <c r="M2461" t="s">
        <v>46</v>
      </c>
      <c r="N2461" t="s">
        <v>47</v>
      </c>
      <c r="O2461">
        <v>4</v>
      </c>
      <c r="P2461">
        <v>1</v>
      </c>
      <c r="Q2461">
        <v>4</v>
      </c>
      <c r="R2461" t="s">
        <v>48</v>
      </c>
      <c r="S2461" t="s">
        <v>49</v>
      </c>
      <c r="T2461" s="3">
        <v>0.84</v>
      </c>
      <c r="U2461" s="3">
        <v>0.23</v>
      </c>
      <c r="V2461" s="3">
        <v>3.55</v>
      </c>
      <c r="W2461">
        <v>1.56</v>
      </c>
      <c r="X2461" t="s">
        <v>50</v>
      </c>
      <c r="Y2461" s="3">
        <v>16.43</v>
      </c>
      <c r="Z2461" t="s">
        <v>9686</v>
      </c>
      <c r="AA2461" t="s">
        <v>459</v>
      </c>
      <c r="AB2461" t="s">
        <v>53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f t="shared" si="76"/>
        <v>21.05</v>
      </c>
      <c r="AK2461" s="3">
        <f t="shared" si="77"/>
        <v>4.620000000000001</v>
      </c>
    </row>
    <row r="2462" spans="1:37">
      <c r="A2462">
        <v>10409893</v>
      </c>
      <c r="B2462" t="s">
        <v>37</v>
      </c>
      <c r="C2462" t="s">
        <v>15694</v>
      </c>
      <c r="E2462" t="s">
        <v>254</v>
      </c>
      <c r="F2462" t="s">
        <v>15695</v>
      </c>
      <c r="G2462" t="s">
        <v>15696</v>
      </c>
      <c r="H2462" t="s">
        <v>42</v>
      </c>
      <c r="I2462" t="s">
        <v>15697</v>
      </c>
      <c r="J2462" t="s">
        <v>15698</v>
      </c>
      <c r="K2462">
        <v>8054</v>
      </c>
      <c r="L2462" t="s">
        <v>618</v>
      </c>
      <c r="M2462" t="s">
        <v>46</v>
      </c>
      <c r="N2462" t="s">
        <v>47</v>
      </c>
      <c r="O2462">
        <v>3</v>
      </c>
      <c r="P2462">
        <v>1</v>
      </c>
      <c r="Q2462">
        <v>3</v>
      </c>
      <c r="R2462" t="s">
        <v>48</v>
      </c>
      <c r="S2462" t="s">
        <v>49</v>
      </c>
      <c r="T2462" s="3">
        <v>0.84</v>
      </c>
      <c r="U2462" s="3">
        <v>0.23</v>
      </c>
      <c r="V2462" s="3">
        <v>2.68</v>
      </c>
      <c r="W2462">
        <v>0.6</v>
      </c>
      <c r="X2462" t="s">
        <v>50</v>
      </c>
      <c r="Y2462" s="3">
        <v>9.1999999999999993</v>
      </c>
      <c r="Z2462" t="s">
        <v>9850</v>
      </c>
      <c r="AA2462" t="s">
        <v>15699</v>
      </c>
      <c r="AB2462" t="s">
        <v>53</v>
      </c>
      <c r="AC2462" s="3">
        <v>0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s="3">
        <f t="shared" si="76"/>
        <v>12.95</v>
      </c>
      <c r="AK2462" s="3">
        <f t="shared" si="77"/>
        <v>3.75</v>
      </c>
    </row>
    <row r="2463" spans="1:37">
      <c r="A2463">
        <v>10405482</v>
      </c>
      <c r="B2463" t="s">
        <v>37</v>
      </c>
      <c r="C2463" t="s">
        <v>15700</v>
      </c>
      <c r="D2463" t="s">
        <v>15701</v>
      </c>
      <c r="E2463" t="s">
        <v>15702</v>
      </c>
      <c r="F2463" t="s">
        <v>15703</v>
      </c>
      <c r="G2463" t="s">
        <v>15704</v>
      </c>
      <c r="H2463" t="s">
        <v>42</v>
      </c>
      <c r="I2463" t="s">
        <v>15705</v>
      </c>
      <c r="J2463" t="s">
        <v>15706</v>
      </c>
      <c r="K2463">
        <v>8790</v>
      </c>
      <c r="L2463" t="s">
        <v>505</v>
      </c>
      <c r="M2463" t="s">
        <v>46</v>
      </c>
      <c r="N2463" t="s">
        <v>47</v>
      </c>
      <c r="O2463">
        <v>4</v>
      </c>
      <c r="P2463">
        <v>1</v>
      </c>
      <c r="Q2463">
        <v>4</v>
      </c>
      <c r="R2463" t="s">
        <v>48</v>
      </c>
      <c r="S2463" t="s">
        <v>49</v>
      </c>
      <c r="T2463" s="3">
        <v>0.84</v>
      </c>
      <c r="U2463" s="3">
        <v>0.23</v>
      </c>
      <c r="V2463" s="3">
        <v>3.55</v>
      </c>
      <c r="W2463">
        <v>1.56</v>
      </c>
      <c r="X2463" t="s">
        <v>50</v>
      </c>
      <c r="Y2463" s="3">
        <v>9.1999999999999993</v>
      </c>
      <c r="Z2463" t="s">
        <v>9686</v>
      </c>
      <c r="AA2463" t="s">
        <v>15707</v>
      </c>
      <c r="AB2463" t="s">
        <v>53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s="3">
        <f t="shared" si="76"/>
        <v>13.82</v>
      </c>
      <c r="AK2463" s="3">
        <f t="shared" si="77"/>
        <v>4.620000000000001</v>
      </c>
    </row>
    <row r="2464" spans="1:37">
      <c r="A2464">
        <v>10409889</v>
      </c>
      <c r="B2464" t="s">
        <v>37</v>
      </c>
      <c r="C2464" t="s">
        <v>15708</v>
      </c>
      <c r="E2464" t="s">
        <v>15709</v>
      </c>
      <c r="F2464" t="s">
        <v>15710</v>
      </c>
      <c r="G2464" t="s">
        <v>15711</v>
      </c>
      <c r="H2464" t="s">
        <v>42</v>
      </c>
      <c r="I2464" t="s">
        <v>15712</v>
      </c>
      <c r="J2464" t="s">
        <v>15713</v>
      </c>
      <c r="K2464">
        <v>2610</v>
      </c>
      <c r="L2464" t="s">
        <v>505</v>
      </c>
      <c r="M2464" t="s">
        <v>46</v>
      </c>
      <c r="N2464" t="s">
        <v>47</v>
      </c>
      <c r="O2464">
        <v>3</v>
      </c>
      <c r="P2464">
        <v>1</v>
      </c>
      <c r="Q2464">
        <v>3</v>
      </c>
      <c r="R2464" t="s">
        <v>48</v>
      </c>
      <c r="S2464" t="s">
        <v>49</v>
      </c>
      <c r="T2464" s="3">
        <v>0.84</v>
      </c>
      <c r="U2464" s="3">
        <v>0.23</v>
      </c>
      <c r="V2464" s="3">
        <v>2.68</v>
      </c>
      <c r="W2464">
        <v>1.17</v>
      </c>
      <c r="X2464" t="s">
        <v>50</v>
      </c>
      <c r="Y2464" s="3">
        <v>9.1999999999999993</v>
      </c>
      <c r="Z2464" t="s">
        <v>9686</v>
      </c>
      <c r="AA2464" t="s">
        <v>15714</v>
      </c>
      <c r="AB2464" t="s">
        <v>53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f t="shared" si="76"/>
        <v>12.95</v>
      </c>
      <c r="AK2464" s="3">
        <f t="shared" si="77"/>
        <v>3.75</v>
      </c>
    </row>
    <row r="2465" spans="1:37">
      <c r="A2465">
        <v>10405235</v>
      </c>
      <c r="B2465" t="s">
        <v>37</v>
      </c>
      <c r="C2465" t="s">
        <v>15715</v>
      </c>
      <c r="E2465" t="s">
        <v>14771</v>
      </c>
      <c r="F2465" t="s">
        <v>15716</v>
      </c>
      <c r="G2465" t="s">
        <v>15717</v>
      </c>
      <c r="H2465" t="s">
        <v>42</v>
      </c>
      <c r="I2465" t="s">
        <v>15718</v>
      </c>
      <c r="J2465" t="s">
        <v>15719</v>
      </c>
      <c r="K2465">
        <v>64130</v>
      </c>
      <c r="L2465" t="s">
        <v>130</v>
      </c>
      <c r="M2465" t="s">
        <v>46</v>
      </c>
      <c r="N2465" t="s">
        <v>47</v>
      </c>
      <c r="O2465">
        <v>6</v>
      </c>
      <c r="P2465">
        <v>1</v>
      </c>
      <c r="Q2465">
        <v>6</v>
      </c>
      <c r="R2465" t="s">
        <v>48</v>
      </c>
      <c r="S2465" t="s">
        <v>49</v>
      </c>
      <c r="T2465" s="3">
        <v>0.84</v>
      </c>
      <c r="U2465" s="3">
        <v>0.23</v>
      </c>
      <c r="V2465" s="3">
        <v>5.29</v>
      </c>
      <c r="W2465">
        <v>1.89</v>
      </c>
      <c r="X2465" t="s">
        <v>50</v>
      </c>
      <c r="Y2465" s="3">
        <v>14.26</v>
      </c>
      <c r="Z2465" t="s">
        <v>73</v>
      </c>
      <c r="AA2465" t="s">
        <v>15720</v>
      </c>
      <c r="AB2465" t="s">
        <v>53</v>
      </c>
      <c r="AC2465" s="3">
        <v>1.29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f t="shared" si="76"/>
        <v>21.91</v>
      </c>
      <c r="AK2465" s="3">
        <f t="shared" si="77"/>
        <v>7.65</v>
      </c>
    </row>
    <row r="2466" spans="1:37">
      <c r="A2466">
        <v>10405476</v>
      </c>
      <c r="B2466" t="s">
        <v>37</v>
      </c>
      <c r="C2466" t="s">
        <v>15721</v>
      </c>
      <c r="E2466" t="s">
        <v>2905</v>
      </c>
      <c r="F2466" t="s">
        <v>15722</v>
      </c>
      <c r="G2466" t="s">
        <v>15723</v>
      </c>
      <c r="H2466" t="s">
        <v>42</v>
      </c>
      <c r="I2466" t="s">
        <v>15724</v>
      </c>
      <c r="J2466" t="s">
        <v>15725</v>
      </c>
      <c r="K2466" t="s">
        <v>15726</v>
      </c>
      <c r="L2466" t="s">
        <v>142</v>
      </c>
      <c r="M2466" t="s">
        <v>46</v>
      </c>
      <c r="N2466" t="s">
        <v>47</v>
      </c>
      <c r="O2466">
        <v>5</v>
      </c>
      <c r="P2466">
        <v>1</v>
      </c>
      <c r="Q2466">
        <v>5</v>
      </c>
      <c r="R2466" t="s">
        <v>48</v>
      </c>
      <c r="S2466" t="s">
        <v>49</v>
      </c>
      <c r="T2466" s="3">
        <v>0.84</v>
      </c>
      <c r="U2466" s="3">
        <v>0.23</v>
      </c>
      <c r="V2466" s="3">
        <v>4.42</v>
      </c>
      <c r="W2466">
        <v>1.01</v>
      </c>
      <c r="X2466" t="s">
        <v>50</v>
      </c>
      <c r="Y2466" s="3">
        <v>16.43</v>
      </c>
      <c r="Z2466" t="s">
        <v>73</v>
      </c>
      <c r="AA2466" t="s">
        <v>15727</v>
      </c>
      <c r="AB2466" t="s">
        <v>53</v>
      </c>
      <c r="AC2466" s="3">
        <v>1.29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f t="shared" si="76"/>
        <v>23.21</v>
      </c>
      <c r="AK2466" s="3">
        <f t="shared" si="77"/>
        <v>6.7800000000000011</v>
      </c>
    </row>
    <row r="2467" spans="1:37">
      <c r="A2467">
        <v>10405946</v>
      </c>
      <c r="B2467" t="s">
        <v>37</v>
      </c>
      <c r="C2467" t="s">
        <v>15728</v>
      </c>
      <c r="E2467" t="s">
        <v>8235</v>
      </c>
      <c r="F2467" t="s">
        <v>8236</v>
      </c>
      <c r="G2467" t="s">
        <v>15729</v>
      </c>
      <c r="H2467" t="s">
        <v>42</v>
      </c>
      <c r="I2467" t="s">
        <v>15730</v>
      </c>
      <c r="J2467" t="s">
        <v>8239</v>
      </c>
      <c r="K2467">
        <v>2980</v>
      </c>
      <c r="L2467" t="s">
        <v>505</v>
      </c>
      <c r="M2467" t="s">
        <v>46</v>
      </c>
      <c r="N2467" t="s">
        <v>47</v>
      </c>
      <c r="O2467">
        <v>4</v>
      </c>
      <c r="P2467">
        <v>1</v>
      </c>
      <c r="Q2467">
        <v>4</v>
      </c>
      <c r="R2467" t="s">
        <v>48</v>
      </c>
      <c r="S2467" t="s">
        <v>49</v>
      </c>
      <c r="T2467" s="3">
        <v>0.84</v>
      </c>
      <c r="U2467" s="3">
        <v>0.23</v>
      </c>
      <c r="V2467" s="3">
        <v>3.55</v>
      </c>
      <c r="W2467">
        <v>1.56</v>
      </c>
      <c r="X2467" t="s">
        <v>50</v>
      </c>
      <c r="Y2467" s="3">
        <v>9.1999999999999993</v>
      </c>
      <c r="Z2467" t="s">
        <v>9686</v>
      </c>
      <c r="AA2467" t="s">
        <v>5567</v>
      </c>
      <c r="AB2467" t="s">
        <v>53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f t="shared" si="76"/>
        <v>13.82</v>
      </c>
      <c r="AK2467" s="3">
        <f t="shared" si="77"/>
        <v>4.620000000000001</v>
      </c>
    </row>
    <row r="2468" spans="1:37">
      <c r="A2468">
        <v>10408008</v>
      </c>
      <c r="B2468" t="s">
        <v>37</v>
      </c>
      <c r="C2468" t="s">
        <v>15731</v>
      </c>
      <c r="E2468" t="s">
        <v>933</v>
      </c>
      <c r="F2468" t="s">
        <v>15732</v>
      </c>
      <c r="G2468" t="s">
        <v>15733</v>
      </c>
      <c r="H2468" t="s">
        <v>42</v>
      </c>
      <c r="I2468" t="s">
        <v>15734</v>
      </c>
      <c r="J2468" t="s">
        <v>15735</v>
      </c>
      <c r="K2468" t="s">
        <v>15736</v>
      </c>
      <c r="L2468" t="s">
        <v>142</v>
      </c>
      <c r="M2468" t="s">
        <v>46</v>
      </c>
      <c r="N2468" t="s">
        <v>47</v>
      </c>
      <c r="O2468">
        <v>4</v>
      </c>
      <c r="P2468">
        <v>1</v>
      </c>
      <c r="Q2468">
        <v>4</v>
      </c>
      <c r="R2468" t="s">
        <v>48</v>
      </c>
      <c r="S2468" t="s">
        <v>49</v>
      </c>
      <c r="T2468" s="3">
        <v>0.84</v>
      </c>
      <c r="U2468" s="3">
        <v>0.23</v>
      </c>
      <c r="V2468" s="3">
        <v>3.55</v>
      </c>
      <c r="W2468">
        <v>1.96</v>
      </c>
      <c r="X2468" t="s">
        <v>50</v>
      </c>
      <c r="Y2468" s="3">
        <v>16.43</v>
      </c>
      <c r="Z2468" t="s">
        <v>9686</v>
      </c>
      <c r="AA2468" t="s">
        <v>15737</v>
      </c>
      <c r="AB2468" t="s">
        <v>53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s="3">
        <f t="shared" si="76"/>
        <v>21.05</v>
      </c>
      <c r="AK2468" s="3">
        <f t="shared" si="77"/>
        <v>4.620000000000001</v>
      </c>
    </row>
    <row r="2469" spans="1:37">
      <c r="A2469">
        <v>10405730</v>
      </c>
      <c r="B2469" t="s">
        <v>37</v>
      </c>
      <c r="C2469" t="s">
        <v>15738</v>
      </c>
      <c r="E2469" t="s">
        <v>15739</v>
      </c>
      <c r="F2469" t="s">
        <v>15740</v>
      </c>
      <c r="G2469" t="s">
        <v>15741</v>
      </c>
      <c r="H2469" t="s">
        <v>42</v>
      </c>
      <c r="I2469" t="s">
        <v>15742</v>
      </c>
      <c r="J2469" t="s">
        <v>15743</v>
      </c>
      <c r="K2469">
        <v>57140</v>
      </c>
      <c r="L2469" t="s">
        <v>130</v>
      </c>
      <c r="M2469" t="s">
        <v>46</v>
      </c>
      <c r="N2469" t="s">
        <v>47</v>
      </c>
      <c r="O2469">
        <v>5</v>
      </c>
      <c r="P2469">
        <v>1</v>
      </c>
      <c r="Q2469">
        <v>5</v>
      </c>
      <c r="R2469" t="s">
        <v>48</v>
      </c>
      <c r="S2469" t="s">
        <v>49</v>
      </c>
      <c r="T2469" s="3">
        <v>0.84</v>
      </c>
      <c r="U2469" s="3">
        <v>0.23</v>
      </c>
      <c r="V2469" s="3">
        <v>4.42</v>
      </c>
      <c r="W2469">
        <v>2.17</v>
      </c>
      <c r="X2469" t="s">
        <v>50</v>
      </c>
      <c r="Y2469" s="3">
        <v>14.26</v>
      </c>
      <c r="Z2469" t="s">
        <v>9686</v>
      </c>
      <c r="AA2469" t="s">
        <v>15744</v>
      </c>
      <c r="AB2469" t="s">
        <v>53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s="3">
        <f t="shared" si="76"/>
        <v>19.75</v>
      </c>
      <c r="AK2469" s="3">
        <f t="shared" si="77"/>
        <v>5.49</v>
      </c>
    </row>
    <row r="2470" spans="1:37">
      <c r="A2470">
        <v>10407996</v>
      </c>
      <c r="B2470" t="s">
        <v>37</v>
      </c>
      <c r="C2470" t="s">
        <v>15745</v>
      </c>
      <c r="E2470" t="s">
        <v>1729</v>
      </c>
      <c r="F2470" t="s">
        <v>15746</v>
      </c>
      <c r="G2470" t="s">
        <v>15747</v>
      </c>
      <c r="H2470" t="s">
        <v>42</v>
      </c>
      <c r="I2470" t="s">
        <v>15748</v>
      </c>
      <c r="J2470" t="s">
        <v>15749</v>
      </c>
      <c r="K2470">
        <v>60435</v>
      </c>
      <c r="L2470" t="s">
        <v>71</v>
      </c>
      <c r="M2470" t="s">
        <v>46</v>
      </c>
      <c r="N2470" t="s">
        <v>47</v>
      </c>
      <c r="O2470">
        <v>3</v>
      </c>
      <c r="P2470">
        <v>1</v>
      </c>
      <c r="Q2470">
        <v>3</v>
      </c>
      <c r="R2470" t="s">
        <v>48</v>
      </c>
      <c r="S2470" t="s">
        <v>49</v>
      </c>
      <c r="T2470" s="3">
        <v>0.84</v>
      </c>
      <c r="U2470" s="3">
        <v>0.23</v>
      </c>
      <c r="V2470" s="3">
        <v>2.68</v>
      </c>
      <c r="W2470">
        <v>1.28</v>
      </c>
      <c r="X2470" t="s">
        <v>108</v>
      </c>
      <c r="Y2470" s="3">
        <v>5.44</v>
      </c>
      <c r="Z2470" t="s">
        <v>9686</v>
      </c>
      <c r="AA2470" t="s">
        <v>15750</v>
      </c>
      <c r="AB2470" t="s">
        <v>53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f t="shared" si="76"/>
        <v>9.1900000000000013</v>
      </c>
      <c r="AK2470" s="3">
        <f t="shared" si="77"/>
        <v>3.7500000000000009</v>
      </c>
    </row>
    <row r="2471" spans="1:37">
      <c r="A2471">
        <v>10405728</v>
      </c>
      <c r="B2471" t="s">
        <v>37</v>
      </c>
      <c r="C2471" t="s">
        <v>15751</v>
      </c>
      <c r="E2471" t="s">
        <v>398</v>
      </c>
      <c r="F2471" t="s">
        <v>15752</v>
      </c>
      <c r="G2471" t="s">
        <v>15753</v>
      </c>
      <c r="H2471" t="s">
        <v>42</v>
      </c>
      <c r="I2471" t="s">
        <v>15754</v>
      </c>
      <c r="J2471" t="s">
        <v>15755</v>
      </c>
      <c r="K2471">
        <v>54100</v>
      </c>
      <c r="L2471" t="s">
        <v>130</v>
      </c>
      <c r="M2471" t="s">
        <v>46</v>
      </c>
      <c r="N2471" t="s">
        <v>47</v>
      </c>
      <c r="O2471">
        <v>3</v>
      </c>
      <c r="P2471">
        <v>1</v>
      </c>
      <c r="Q2471">
        <v>3</v>
      </c>
      <c r="R2471" t="s">
        <v>48</v>
      </c>
      <c r="S2471" t="s">
        <v>49</v>
      </c>
      <c r="T2471" s="3">
        <v>0.84</v>
      </c>
      <c r="U2471" s="3">
        <v>0.23</v>
      </c>
      <c r="V2471" s="3">
        <v>2.68</v>
      </c>
      <c r="W2471">
        <v>1.4</v>
      </c>
      <c r="X2471" t="s">
        <v>50</v>
      </c>
      <c r="Y2471" s="3">
        <v>14.26</v>
      </c>
      <c r="Z2471" t="s">
        <v>9686</v>
      </c>
      <c r="AA2471" t="s">
        <v>15756</v>
      </c>
      <c r="AB2471" t="s">
        <v>53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f t="shared" si="76"/>
        <v>18.010000000000002</v>
      </c>
      <c r="AK2471" s="3">
        <f t="shared" si="77"/>
        <v>3.7500000000000018</v>
      </c>
    </row>
    <row r="2472" spans="1:37">
      <c r="A2472">
        <v>10405954</v>
      </c>
      <c r="B2472" t="s">
        <v>37</v>
      </c>
      <c r="C2472" t="s">
        <v>15757</v>
      </c>
      <c r="E2472" t="s">
        <v>15758</v>
      </c>
      <c r="F2472" t="s">
        <v>10176</v>
      </c>
      <c r="G2472" t="s">
        <v>15759</v>
      </c>
      <c r="H2472" t="s">
        <v>42</v>
      </c>
      <c r="I2472" t="s">
        <v>15760</v>
      </c>
      <c r="J2472" t="s">
        <v>15761</v>
      </c>
      <c r="K2472">
        <v>5380</v>
      </c>
      <c r="L2472" t="s">
        <v>1701</v>
      </c>
      <c r="M2472" t="s">
        <v>46</v>
      </c>
      <c r="N2472" t="s">
        <v>47</v>
      </c>
      <c r="O2472">
        <v>4</v>
      </c>
      <c r="P2472">
        <v>1</v>
      </c>
      <c r="Q2472">
        <v>4</v>
      </c>
      <c r="R2472" t="s">
        <v>48</v>
      </c>
      <c r="S2472" t="s">
        <v>49</v>
      </c>
      <c r="T2472" s="3">
        <v>0.84</v>
      </c>
      <c r="U2472" s="3">
        <v>0.23</v>
      </c>
      <c r="V2472" s="3">
        <v>3.55</v>
      </c>
      <c r="W2472">
        <v>1.96</v>
      </c>
      <c r="X2472" t="s">
        <v>1702</v>
      </c>
      <c r="Y2472" s="3">
        <v>37.81</v>
      </c>
      <c r="Z2472" t="s">
        <v>9686</v>
      </c>
      <c r="AA2472" t="s">
        <v>15762</v>
      </c>
      <c r="AB2472" t="s">
        <v>53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f t="shared" si="76"/>
        <v>42.43</v>
      </c>
      <c r="AK2472" s="3">
        <f t="shared" si="77"/>
        <v>4.6199999999999974</v>
      </c>
    </row>
    <row r="2473" spans="1:37">
      <c r="A2473">
        <v>10409508</v>
      </c>
      <c r="B2473" t="s">
        <v>37</v>
      </c>
      <c r="C2473" t="s">
        <v>15763</v>
      </c>
      <c r="E2473" t="s">
        <v>657</v>
      </c>
      <c r="F2473" t="s">
        <v>15764</v>
      </c>
      <c r="G2473" t="s">
        <v>15765</v>
      </c>
      <c r="H2473" t="s">
        <v>42</v>
      </c>
      <c r="I2473" t="s">
        <v>15766</v>
      </c>
      <c r="J2473" t="s">
        <v>15767</v>
      </c>
      <c r="K2473">
        <v>83451</v>
      </c>
      <c r="L2473" t="s">
        <v>71</v>
      </c>
      <c r="M2473" t="s">
        <v>46</v>
      </c>
      <c r="N2473" t="s">
        <v>47</v>
      </c>
      <c r="O2473">
        <v>3</v>
      </c>
      <c r="P2473">
        <v>1</v>
      </c>
      <c r="Q2473">
        <v>3</v>
      </c>
      <c r="R2473" t="s">
        <v>48</v>
      </c>
      <c r="S2473" t="s">
        <v>49</v>
      </c>
      <c r="T2473" s="3">
        <v>0.84</v>
      </c>
      <c r="U2473" s="3">
        <v>0.23</v>
      </c>
      <c r="V2473" s="3">
        <v>2.68</v>
      </c>
      <c r="W2473">
        <v>1.24</v>
      </c>
      <c r="X2473" t="s">
        <v>108</v>
      </c>
      <c r="Y2473" s="3">
        <v>5.44</v>
      </c>
      <c r="Z2473" t="s">
        <v>9686</v>
      </c>
      <c r="AA2473" t="s">
        <v>15768</v>
      </c>
      <c r="AB2473" t="s">
        <v>53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f t="shared" si="76"/>
        <v>9.1900000000000013</v>
      </c>
      <c r="AK2473" s="3">
        <f t="shared" si="77"/>
        <v>3.7500000000000009</v>
      </c>
    </row>
    <row r="2474" spans="1:37">
      <c r="A2474">
        <v>10407999</v>
      </c>
      <c r="B2474" t="s">
        <v>37</v>
      </c>
      <c r="C2474" t="s">
        <v>15769</v>
      </c>
      <c r="E2474" t="s">
        <v>166</v>
      </c>
      <c r="F2474" t="s">
        <v>15770</v>
      </c>
      <c r="G2474" t="s">
        <v>15771</v>
      </c>
      <c r="H2474" t="s">
        <v>42</v>
      </c>
      <c r="I2474" t="s">
        <v>15772</v>
      </c>
      <c r="J2474" t="s">
        <v>15773</v>
      </c>
      <c r="K2474">
        <v>9700</v>
      </c>
      <c r="L2474" t="s">
        <v>505</v>
      </c>
      <c r="M2474" t="s">
        <v>46</v>
      </c>
      <c r="N2474" t="s">
        <v>47</v>
      </c>
      <c r="O2474">
        <v>3</v>
      </c>
      <c r="P2474">
        <v>1</v>
      </c>
      <c r="Q2474">
        <v>3</v>
      </c>
      <c r="R2474" t="s">
        <v>48</v>
      </c>
      <c r="S2474" t="s">
        <v>49</v>
      </c>
      <c r="T2474" s="3">
        <v>0.84</v>
      </c>
      <c r="U2474" s="3">
        <v>0.23</v>
      </c>
      <c r="V2474" s="3">
        <v>2.68</v>
      </c>
      <c r="W2474">
        <v>1.27</v>
      </c>
      <c r="X2474" t="s">
        <v>50</v>
      </c>
      <c r="Y2474" s="3">
        <v>9.1999999999999993</v>
      </c>
      <c r="Z2474" t="s">
        <v>9686</v>
      </c>
      <c r="AA2474" t="s">
        <v>15774</v>
      </c>
      <c r="AB2474" t="s">
        <v>53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f t="shared" si="76"/>
        <v>12.95</v>
      </c>
      <c r="AK2474" s="3">
        <f t="shared" si="77"/>
        <v>3.75</v>
      </c>
    </row>
    <row r="2475" spans="1:37">
      <c r="A2475">
        <v>10405948</v>
      </c>
      <c r="B2475" t="s">
        <v>37</v>
      </c>
      <c r="C2475" t="s">
        <v>15775</v>
      </c>
      <c r="E2475" t="s">
        <v>157</v>
      </c>
      <c r="F2475" t="s">
        <v>15776</v>
      </c>
      <c r="G2475" t="s">
        <v>15777</v>
      </c>
      <c r="H2475" t="s">
        <v>42</v>
      </c>
      <c r="I2475" t="s">
        <v>15778</v>
      </c>
      <c r="J2475" t="s">
        <v>15779</v>
      </c>
      <c r="K2475">
        <v>52538</v>
      </c>
      <c r="L2475" t="s">
        <v>71</v>
      </c>
      <c r="M2475" t="s">
        <v>46</v>
      </c>
      <c r="N2475" t="s">
        <v>47</v>
      </c>
      <c r="O2475">
        <v>5</v>
      </c>
      <c r="P2475">
        <v>1</v>
      </c>
      <c r="Q2475">
        <v>5</v>
      </c>
      <c r="R2475" t="s">
        <v>48</v>
      </c>
      <c r="S2475" t="s">
        <v>49</v>
      </c>
      <c r="T2475" s="3">
        <v>0.84</v>
      </c>
      <c r="U2475" s="3">
        <v>0.23</v>
      </c>
      <c r="V2475" s="3">
        <v>4.42</v>
      </c>
      <c r="W2475">
        <v>0.7</v>
      </c>
      <c r="X2475" t="s">
        <v>108</v>
      </c>
      <c r="Y2475" s="3">
        <v>5.14</v>
      </c>
      <c r="Z2475" t="s">
        <v>9686</v>
      </c>
      <c r="AA2475" t="s">
        <v>15780</v>
      </c>
      <c r="AB2475" t="s">
        <v>53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f t="shared" si="76"/>
        <v>10.629999999999999</v>
      </c>
      <c r="AK2475" s="3">
        <f t="shared" si="77"/>
        <v>5.4899999999999993</v>
      </c>
    </row>
    <row r="2476" spans="1:37">
      <c r="A2476">
        <v>10409887</v>
      </c>
      <c r="B2476" t="s">
        <v>37</v>
      </c>
      <c r="C2476" t="s">
        <v>15781</v>
      </c>
      <c r="E2476" t="s">
        <v>15782</v>
      </c>
      <c r="F2476" t="s">
        <v>15783</v>
      </c>
      <c r="G2476" t="s">
        <v>15784</v>
      </c>
      <c r="H2476" t="s">
        <v>42</v>
      </c>
      <c r="I2476" t="s">
        <v>15785</v>
      </c>
      <c r="J2476" t="s">
        <v>15786</v>
      </c>
      <c r="K2476">
        <v>41747</v>
      </c>
      <c r="L2476" t="s">
        <v>71</v>
      </c>
      <c r="M2476" t="s">
        <v>46</v>
      </c>
      <c r="N2476" t="s">
        <v>47</v>
      </c>
      <c r="O2476">
        <v>3</v>
      </c>
      <c r="P2476">
        <v>1</v>
      </c>
      <c r="Q2476">
        <v>3</v>
      </c>
      <c r="R2476" t="s">
        <v>48</v>
      </c>
      <c r="S2476" t="s">
        <v>49</v>
      </c>
      <c r="T2476" s="3">
        <v>0.84</v>
      </c>
      <c r="U2476" s="3">
        <v>0.23</v>
      </c>
      <c r="V2476" s="3">
        <v>2.68</v>
      </c>
      <c r="W2476">
        <v>0.61</v>
      </c>
      <c r="X2476" t="s">
        <v>108</v>
      </c>
      <c r="Y2476" s="3">
        <v>5.14</v>
      </c>
      <c r="Z2476" t="s">
        <v>9850</v>
      </c>
      <c r="AA2476" t="s">
        <v>15787</v>
      </c>
      <c r="AB2476" t="s">
        <v>53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f t="shared" si="76"/>
        <v>8.89</v>
      </c>
      <c r="AK2476" s="3">
        <f t="shared" si="77"/>
        <v>3.7500000000000009</v>
      </c>
    </row>
    <row r="2477" spans="1:37">
      <c r="A2477">
        <v>10408006</v>
      </c>
      <c r="B2477" t="s">
        <v>37</v>
      </c>
      <c r="C2477" t="s">
        <v>15788</v>
      </c>
      <c r="E2477" t="s">
        <v>15789</v>
      </c>
      <c r="F2477" t="s">
        <v>15790</v>
      </c>
      <c r="G2477" t="s">
        <v>15791</v>
      </c>
      <c r="H2477" t="s">
        <v>42</v>
      </c>
      <c r="I2477" t="s">
        <v>15792</v>
      </c>
      <c r="J2477" t="s">
        <v>15793</v>
      </c>
      <c r="K2477">
        <v>2000</v>
      </c>
      <c r="L2477" t="s">
        <v>505</v>
      </c>
      <c r="M2477" t="s">
        <v>46</v>
      </c>
      <c r="N2477" t="s">
        <v>47</v>
      </c>
      <c r="O2477">
        <v>2</v>
      </c>
      <c r="P2477">
        <v>1</v>
      </c>
      <c r="Q2477">
        <v>2</v>
      </c>
      <c r="R2477" t="s">
        <v>48</v>
      </c>
      <c r="S2477" t="s">
        <v>49</v>
      </c>
      <c r="T2477" s="3">
        <v>0.84</v>
      </c>
      <c r="U2477" s="3">
        <v>0.23</v>
      </c>
      <c r="V2477" s="3">
        <v>1.81</v>
      </c>
      <c r="W2477">
        <v>0.78</v>
      </c>
      <c r="X2477" t="s">
        <v>50</v>
      </c>
      <c r="Y2477" s="3">
        <v>9.1999999999999993</v>
      </c>
      <c r="Z2477" t="s">
        <v>9850</v>
      </c>
      <c r="AA2477" t="s">
        <v>3438</v>
      </c>
      <c r="AB2477" t="s">
        <v>53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f t="shared" si="76"/>
        <v>12.08</v>
      </c>
      <c r="AK2477" s="3">
        <f t="shared" si="77"/>
        <v>2.8800000000000008</v>
      </c>
    </row>
    <row r="2478" spans="1:37">
      <c r="A2478">
        <v>10408007</v>
      </c>
      <c r="B2478" t="s">
        <v>37</v>
      </c>
      <c r="C2478" t="s">
        <v>15794</v>
      </c>
      <c r="E2478" t="s">
        <v>15795</v>
      </c>
      <c r="F2478" t="s">
        <v>15796</v>
      </c>
      <c r="G2478" t="s">
        <v>15797</v>
      </c>
      <c r="H2478" t="s">
        <v>42</v>
      </c>
      <c r="I2478" t="s">
        <v>15798</v>
      </c>
      <c r="J2478" t="s">
        <v>15799</v>
      </c>
      <c r="K2478">
        <v>50937</v>
      </c>
      <c r="L2478" t="s">
        <v>71</v>
      </c>
      <c r="M2478" t="s">
        <v>46</v>
      </c>
      <c r="N2478" t="s">
        <v>47</v>
      </c>
      <c r="O2478">
        <v>2</v>
      </c>
      <c r="P2478">
        <v>1</v>
      </c>
      <c r="Q2478">
        <v>2</v>
      </c>
      <c r="R2478" t="s">
        <v>48</v>
      </c>
      <c r="S2478" t="s">
        <v>49</v>
      </c>
      <c r="T2478" s="3">
        <v>0.84</v>
      </c>
      <c r="U2478" s="3">
        <v>0.23</v>
      </c>
      <c r="V2478" s="3">
        <v>1.81</v>
      </c>
      <c r="W2478">
        <v>1.64</v>
      </c>
      <c r="X2478" t="s">
        <v>72</v>
      </c>
      <c r="Y2478" s="3">
        <v>5.44</v>
      </c>
      <c r="Z2478" t="s">
        <v>73</v>
      </c>
      <c r="AA2478" t="s">
        <v>466</v>
      </c>
      <c r="AB2478" t="s">
        <v>53</v>
      </c>
      <c r="AC2478" s="3">
        <v>1.29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f t="shared" si="76"/>
        <v>9.6100000000000012</v>
      </c>
      <c r="AK2478" s="3">
        <f t="shared" si="77"/>
        <v>4.1700000000000008</v>
      </c>
    </row>
    <row r="2479" spans="1:37">
      <c r="A2479">
        <v>10408001</v>
      </c>
      <c r="B2479" t="s">
        <v>37</v>
      </c>
      <c r="C2479" t="s">
        <v>15800</v>
      </c>
      <c r="E2479" t="s">
        <v>1330</v>
      </c>
      <c r="F2479" t="s">
        <v>15801</v>
      </c>
      <c r="G2479" t="s">
        <v>15802</v>
      </c>
      <c r="H2479" t="s">
        <v>42</v>
      </c>
      <c r="I2479" t="s">
        <v>15803</v>
      </c>
      <c r="J2479" t="s">
        <v>15804</v>
      </c>
      <c r="K2479">
        <v>64572</v>
      </c>
      <c r="L2479" t="s">
        <v>71</v>
      </c>
      <c r="M2479" t="s">
        <v>46</v>
      </c>
      <c r="N2479" t="s">
        <v>47</v>
      </c>
      <c r="O2479">
        <v>2</v>
      </c>
      <c r="P2479">
        <v>1</v>
      </c>
      <c r="Q2479">
        <v>2</v>
      </c>
      <c r="R2479" t="s">
        <v>48</v>
      </c>
      <c r="S2479" t="s">
        <v>49</v>
      </c>
      <c r="T2479" s="3">
        <v>0.84</v>
      </c>
      <c r="U2479" s="3">
        <v>0.23</v>
      </c>
      <c r="V2479" s="3">
        <v>1.81</v>
      </c>
      <c r="W2479">
        <v>0.69</v>
      </c>
      <c r="X2479" t="s">
        <v>108</v>
      </c>
      <c r="Y2479" s="3">
        <v>5.14</v>
      </c>
      <c r="Z2479" t="s">
        <v>9686</v>
      </c>
      <c r="AA2479" t="s">
        <v>15805</v>
      </c>
      <c r="AB2479" t="s">
        <v>53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f t="shared" si="76"/>
        <v>8.02</v>
      </c>
      <c r="AK2479" s="3">
        <f t="shared" si="77"/>
        <v>2.88</v>
      </c>
    </row>
    <row r="2480" spans="1:37">
      <c r="A2480">
        <v>10409504</v>
      </c>
      <c r="B2480" t="s">
        <v>37</v>
      </c>
      <c r="C2480" t="s">
        <v>15806</v>
      </c>
      <c r="E2480" t="s">
        <v>3574</v>
      </c>
      <c r="F2480" t="s">
        <v>15807</v>
      </c>
      <c r="G2480" t="s">
        <v>15808</v>
      </c>
      <c r="H2480" t="s">
        <v>42</v>
      </c>
      <c r="I2480" t="s">
        <v>15809</v>
      </c>
      <c r="J2480" t="s">
        <v>15810</v>
      </c>
      <c r="K2480" t="s">
        <v>15811</v>
      </c>
      <c r="L2480" t="s">
        <v>82</v>
      </c>
      <c r="M2480" t="s">
        <v>46</v>
      </c>
      <c r="N2480" t="s">
        <v>47</v>
      </c>
      <c r="O2480">
        <v>2</v>
      </c>
      <c r="P2480">
        <v>1</v>
      </c>
      <c r="Q2480">
        <v>2</v>
      </c>
      <c r="R2480" t="s">
        <v>48</v>
      </c>
      <c r="S2480" t="s">
        <v>49</v>
      </c>
      <c r="T2480" s="3">
        <v>0.84</v>
      </c>
      <c r="U2480" s="3">
        <v>0.23</v>
      </c>
      <c r="V2480" s="3">
        <v>1.81</v>
      </c>
      <c r="W2480">
        <v>0.98</v>
      </c>
      <c r="X2480" t="s">
        <v>50</v>
      </c>
      <c r="Y2480" s="3">
        <v>9.1999999999999993</v>
      </c>
      <c r="Z2480" t="s">
        <v>9686</v>
      </c>
      <c r="AA2480" t="s">
        <v>11510</v>
      </c>
      <c r="AB2480" t="s">
        <v>53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f t="shared" si="76"/>
        <v>12.08</v>
      </c>
      <c r="AK2480" s="3">
        <f t="shared" si="77"/>
        <v>2.8800000000000008</v>
      </c>
    </row>
    <row r="2481" spans="1:37">
      <c r="A2481">
        <v>10409512</v>
      </c>
      <c r="B2481" t="s">
        <v>37</v>
      </c>
      <c r="C2481" t="s">
        <v>15812</v>
      </c>
      <c r="E2481" t="s">
        <v>3731</v>
      </c>
      <c r="F2481" t="s">
        <v>15813</v>
      </c>
      <c r="G2481" t="s">
        <v>15814</v>
      </c>
      <c r="H2481" t="s">
        <v>42</v>
      </c>
      <c r="I2481" t="s">
        <v>15815</v>
      </c>
      <c r="J2481" t="s">
        <v>15816</v>
      </c>
      <c r="K2481">
        <v>91580</v>
      </c>
      <c r="L2481" t="s">
        <v>71</v>
      </c>
      <c r="M2481" t="s">
        <v>46</v>
      </c>
      <c r="N2481" t="s">
        <v>47</v>
      </c>
      <c r="O2481">
        <v>2</v>
      </c>
      <c r="P2481">
        <v>1</v>
      </c>
      <c r="Q2481">
        <v>2</v>
      </c>
      <c r="R2481" t="s">
        <v>48</v>
      </c>
      <c r="S2481" t="s">
        <v>49</v>
      </c>
      <c r="T2481" s="3">
        <v>0.84</v>
      </c>
      <c r="U2481" s="3">
        <v>0.23</v>
      </c>
      <c r="V2481" s="3">
        <v>1.81</v>
      </c>
      <c r="W2481">
        <v>0.78</v>
      </c>
      <c r="X2481" t="s">
        <v>108</v>
      </c>
      <c r="Y2481" s="3">
        <v>5.14</v>
      </c>
      <c r="Z2481" t="s">
        <v>9686</v>
      </c>
      <c r="AA2481" t="s">
        <v>15817</v>
      </c>
      <c r="AB2481" t="s">
        <v>53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f t="shared" si="76"/>
        <v>8.02</v>
      </c>
      <c r="AK2481" s="3">
        <f t="shared" si="77"/>
        <v>2.88</v>
      </c>
    </row>
    <row r="2482" spans="1:37">
      <c r="A2482">
        <v>10408000</v>
      </c>
      <c r="B2482" t="s">
        <v>37</v>
      </c>
      <c r="C2482" t="s">
        <v>15818</v>
      </c>
      <c r="E2482" t="s">
        <v>15819</v>
      </c>
      <c r="F2482" t="s">
        <v>15820</v>
      </c>
      <c r="G2482" t="s">
        <v>15821</v>
      </c>
      <c r="H2482" t="s">
        <v>42</v>
      </c>
      <c r="I2482" t="s">
        <v>15822</v>
      </c>
      <c r="J2482" t="s">
        <v>15823</v>
      </c>
      <c r="K2482" t="s">
        <v>15824</v>
      </c>
      <c r="L2482" t="s">
        <v>229</v>
      </c>
      <c r="M2482" t="s">
        <v>46</v>
      </c>
      <c r="N2482" t="s">
        <v>47</v>
      </c>
      <c r="O2482">
        <v>2</v>
      </c>
      <c r="P2482">
        <v>1</v>
      </c>
      <c r="Q2482">
        <v>2</v>
      </c>
      <c r="R2482" t="s">
        <v>48</v>
      </c>
      <c r="S2482" t="s">
        <v>49</v>
      </c>
      <c r="T2482" s="3">
        <v>0.84</v>
      </c>
      <c r="U2482" s="3">
        <v>0.23</v>
      </c>
      <c r="V2482" s="3">
        <v>1.81</v>
      </c>
      <c r="W2482">
        <v>0.78</v>
      </c>
      <c r="X2482" t="s">
        <v>50</v>
      </c>
      <c r="Y2482" s="3">
        <v>12.09</v>
      </c>
      <c r="Z2482" t="s">
        <v>9686</v>
      </c>
      <c r="AA2482" t="s">
        <v>15825</v>
      </c>
      <c r="AB2482" t="s">
        <v>53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f t="shared" si="76"/>
        <v>14.97</v>
      </c>
      <c r="AK2482" s="3">
        <f t="shared" si="77"/>
        <v>2.8800000000000008</v>
      </c>
    </row>
    <row r="2483" spans="1:37">
      <c r="A2483">
        <v>10409509</v>
      </c>
      <c r="B2483" t="s">
        <v>37</v>
      </c>
      <c r="C2483" t="s">
        <v>15826</v>
      </c>
      <c r="E2483" t="s">
        <v>8670</v>
      </c>
      <c r="F2483" t="s">
        <v>15827</v>
      </c>
      <c r="G2483" t="s">
        <v>15828</v>
      </c>
      <c r="H2483" t="s">
        <v>42</v>
      </c>
      <c r="I2483" t="s">
        <v>15829</v>
      </c>
      <c r="J2483" t="s">
        <v>15830</v>
      </c>
      <c r="K2483" t="s">
        <v>15831</v>
      </c>
      <c r="L2483" t="s">
        <v>142</v>
      </c>
      <c r="M2483" t="s">
        <v>46</v>
      </c>
      <c r="N2483" t="s">
        <v>47</v>
      </c>
      <c r="O2483">
        <v>1</v>
      </c>
      <c r="P2483">
        <v>1</v>
      </c>
      <c r="Q2483">
        <v>1</v>
      </c>
      <c r="R2483" t="s">
        <v>48</v>
      </c>
      <c r="S2483" t="s">
        <v>49</v>
      </c>
      <c r="T2483" s="3">
        <v>0.84</v>
      </c>
      <c r="U2483" s="3">
        <v>0.23</v>
      </c>
      <c r="V2483" s="3">
        <v>0.94</v>
      </c>
      <c r="W2483">
        <v>0.49</v>
      </c>
      <c r="X2483" t="s">
        <v>50</v>
      </c>
      <c r="Y2483" s="3">
        <v>16.43</v>
      </c>
      <c r="Z2483" t="s">
        <v>9850</v>
      </c>
      <c r="AA2483" t="s">
        <v>2851</v>
      </c>
      <c r="AB2483" t="s">
        <v>53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f t="shared" si="76"/>
        <v>18.440000000000001</v>
      </c>
      <c r="AK2483" s="3">
        <f t="shared" si="77"/>
        <v>2.0100000000000016</v>
      </c>
    </row>
    <row r="2484" spans="1:37">
      <c r="A2484">
        <v>10408003</v>
      </c>
      <c r="B2484" t="s">
        <v>37</v>
      </c>
      <c r="C2484" t="s">
        <v>15832</v>
      </c>
      <c r="E2484" t="s">
        <v>15833</v>
      </c>
      <c r="F2484" t="s">
        <v>15834</v>
      </c>
      <c r="G2484" t="s">
        <v>15835</v>
      </c>
      <c r="H2484" t="s">
        <v>42</v>
      </c>
      <c r="I2484" t="s">
        <v>15836</v>
      </c>
      <c r="J2484" t="s">
        <v>15837</v>
      </c>
      <c r="K2484" t="s">
        <v>15838</v>
      </c>
      <c r="L2484" t="s">
        <v>82</v>
      </c>
      <c r="M2484" t="s">
        <v>46</v>
      </c>
      <c r="N2484" t="s">
        <v>47</v>
      </c>
      <c r="O2484">
        <v>2</v>
      </c>
      <c r="P2484">
        <v>1</v>
      </c>
      <c r="Q2484">
        <v>2</v>
      </c>
      <c r="R2484" t="s">
        <v>48</v>
      </c>
      <c r="S2484" t="s">
        <v>49</v>
      </c>
      <c r="T2484" s="3">
        <v>0.84</v>
      </c>
      <c r="U2484" s="3">
        <v>0.23</v>
      </c>
      <c r="V2484" s="3">
        <v>1.81</v>
      </c>
      <c r="W2484">
        <v>0.88</v>
      </c>
      <c r="X2484" t="s">
        <v>50</v>
      </c>
      <c r="Y2484" s="3">
        <v>9.1999999999999993</v>
      </c>
      <c r="Z2484" t="s">
        <v>73</v>
      </c>
      <c r="AA2484" t="s">
        <v>1349</v>
      </c>
      <c r="AB2484" t="s">
        <v>53</v>
      </c>
      <c r="AC2484" s="3">
        <v>1.29</v>
      </c>
      <c r="AD2484" s="3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f t="shared" si="76"/>
        <v>13.37</v>
      </c>
      <c r="AK2484" s="3">
        <f t="shared" si="77"/>
        <v>4.17</v>
      </c>
    </row>
    <row r="2485" spans="1:37">
      <c r="A2485">
        <v>10409513</v>
      </c>
      <c r="B2485" t="s">
        <v>37</v>
      </c>
      <c r="C2485" t="s">
        <v>15839</v>
      </c>
      <c r="E2485" t="s">
        <v>437</v>
      </c>
      <c r="F2485" t="s">
        <v>15840</v>
      </c>
      <c r="G2485" t="s">
        <v>15841</v>
      </c>
      <c r="H2485" t="s">
        <v>42</v>
      </c>
      <c r="I2485" t="s">
        <v>15842</v>
      </c>
      <c r="J2485" t="s">
        <v>15843</v>
      </c>
      <c r="K2485">
        <v>50968</v>
      </c>
      <c r="L2485" t="s">
        <v>71</v>
      </c>
      <c r="M2485" t="s">
        <v>46</v>
      </c>
      <c r="N2485" t="s">
        <v>47</v>
      </c>
      <c r="O2485">
        <v>1</v>
      </c>
      <c r="P2485">
        <v>1</v>
      </c>
      <c r="Q2485">
        <v>1</v>
      </c>
      <c r="R2485" t="s">
        <v>48</v>
      </c>
      <c r="S2485" t="s">
        <v>49</v>
      </c>
      <c r="T2485" s="3">
        <v>0.84</v>
      </c>
      <c r="U2485" s="3">
        <v>0.23</v>
      </c>
      <c r="V2485" s="3">
        <v>0.94</v>
      </c>
      <c r="W2485">
        <v>1.4</v>
      </c>
      <c r="X2485" t="s">
        <v>108</v>
      </c>
      <c r="Y2485" s="3">
        <v>5.44</v>
      </c>
      <c r="Z2485" t="s">
        <v>9686</v>
      </c>
      <c r="AA2485" t="s">
        <v>1297</v>
      </c>
      <c r="AB2485" t="s">
        <v>53</v>
      </c>
      <c r="AC2485" s="3">
        <v>0</v>
      </c>
      <c r="AD2485" s="3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s="3">
        <f t="shared" si="76"/>
        <v>7.4500000000000011</v>
      </c>
      <c r="AK2485" s="3">
        <f t="shared" si="77"/>
        <v>2.0100000000000007</v>
      </c>
    </row>
    <row r="2486" spans="1:37">
      <c r="A2486">
        <v>10409514</v>
      </c>
      <c r="B2486" t="s">
        <v>37</v>
      </c>
      <c r="C2486" t="s">
        <v>15844</v>
      </c>
      <c r="E2486" t="s">
        <v>6832</v>
      </c>
      <c r="F2486" t="s">
        <v>15845</v>
      </c>
      <c r="G2486" t="s">
        <v>15846</v>
      </c>
      <c r="H2486" t="s">
        <v>42</v>
      </c>
      <c r="I2486" t="s">
        <v>15847</v>
      </c>
      <c r="J2486" t="s">
        <v>15848</v>
      </c>
      <c r="K2486" t="s">
        <v>15849</v>
      </c>
      <c r="L2486" t="s">
        <v>82</v>
      </c>
      <c r="M2486" t="s">
        <v>46</v>
      </c>
      <c r="N2486" t="s">
        <v>47</v>
      </c>
      <c r="O2486">
        <v>1</v>
      </c>
      <c r="P2486">
        <v>1</v>
      </c>
      <c r="Q2486">
        <v>1</v>
      </c>
      <c r="R2486" t="s">
        <v>48</v>
      </c>
      <c r="S2486" t="s">
        <v>49</v>
      </c>
      <c r="T2486" s="3">
        <v>0.84</v>
      </c>
      <c r="U2486" s="3">
        <v>0.23</v>
      </c>
      <c r="V2486" s="3">
        <v>0.94</v>
      </c>
      <c r="W2486">
        <v>0.39</v>
      </c>
      <c r="X2486" t="s">
        <v>50</v>
      </c>
      <c r="Y2486" s="3">
        <v>9.1999999999999993</v>
      </c>
      <c r="Z2486" t="s">
        <v>9850</v>
      </c>
      <c r="AA2486" t="s">
        <v>6092</v>
      </c>
      <c r="AB2486" t="s">
        <v>53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s="3">
        <f t="shared" si="76"/>
        <v>11.209999999999999</v>
      </c>
      <c r="AK2486" s="3">
        <f t="shared" si="77"/>
        <v>2.0099999999999998</v>
      </c>
    </row>
    <row r="2487" spans="1:37">
      <c r="A2487">
        <v>10409515</v>
      </c>
      <c r="B2487" t="s">
        <v>37</v>
      </c>
      <c r="C2487" t="s">
        <v>15850</v>
      </c>
      <c r="E2487" t="s">
        <v>15851</v>
      </c>
      <c r="F2487" t="s">
        <v>15852</v>
      </c>
      <c r="G2487" t="s">
        <v>15853</v>
      </c>
      <c r="H2487" t="s">
        <v>42</v>
      </c>
      <c r="I2487" t="s">
        <v>15854</v>
      </c>
      <c r="J2487" t="s">
        <v>15855</v>
      </c>
      <c r="K2487" t="s">
        <v>15856</v>
      </c>
      <c r="L2487" t="s">
        <v>71</v>
      </c>
      <c r="M2487" t="s">
        <v>46</v>
      </c>
      <c r="N2487" t="s">
        <v>47</v>
      </c>
      <c r="O2487">
        <v>2</v>
      </c>
      <c r="P2487">
        <v>1</v>
      </c>
      <c r="Q2487">
        <v>2</v>
      </c>
      <c r="R2487" t="s">
        <v>48</v>
      </c>
      <c r="S2487" t="s">
        <v>49</v>
      </c>
      <c r="T2487" s="3">
        <v>0.84</v>
      </c>
      <c r="U2487" s="3">
        <v>0.23</v>
      </c>
      <c r="V2487" s="3">
        <v>1.81</v>
      </c>
      <c r="W2487">
        <v>0.3</v>
      </c>
      <c r="X2487" t="s">
        <v>108</v>
      </c>
      <c r="Y2487" s="3">
        <v>5.14</v>
      </c>
      <c r="Z2487" t="s">
        <v>9850</v>
      </c>
      <c r="AA2487" t="s">
        <v>15857</v>
      </c>
      <c r="AB2487" t="s">
        <v>53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f t="shared" si="76"/>
        <v>8.02</v>
      </c>
      <c r="AK2487" s="3">
        <f t="shared" si="77"/>
        <v>2.88</v>
      </c>
    </row>
    <row r="2488" spans="1:37">
      <c r="A2488">
        <v>10409511</v>
      </c>
      <c r="B2488" t="s">
        <v>37</v>
      </c>
      <c r="C2488" t="s">
        <v>15858</v>
      </c>
      <c r="E2488" t="s">
        <v>13714</v>
      </c>
      <c r="F2488" t="s">
        <v>15859</v>
      </c>
      <c r="G2488" t="s">
        <v>15860</v>
      </c>
      <c r="H2488" t="s">
        <v>42</v>
      </c>
      <c r="I2488" t="s">
        <v>15861</v>
      </c>
      <c r="J2488" t="s">
        <v>15862</v>
      </c>
      <c r="K2488" t="s">
        <v>15863</v>
      </c>
      <c r="L2488" t="s">
        <v>82</v>
      </c>
      <c r="M2488" t="s">
        <v>46</v>
      </c>
      <c r="N2488" t="s">
        <v>47</v>
      </c>
      <c r="O2488">
        <v>1</v>
      </c>
      <c r="P2488">
        <v>1</v>
      </c>
      <c r="Q2488">
        <v>1</v>
      </c>
      <c r="R2488" t="s">
        <v>48</v>
      </c>
      <c r="S2488" t="s">
        <v>49</v>
      </c>
      <c r="T2488" s="3">
        <v>0.84</v>
      </c>
      <c r="U2488" s="3">
        <v>0.23</v>
      </c>
      <c r="V2488" s="3">
        <v>0.94</v>
      </c>
      <c r="W2488">
        <v>0.39</v>
      </c>
      <c r="X2488" t="s">
        <v>50</v>
      </c>
      <c r="Y2488" s="3">
        <v>9.1999999999999993</v>
      </c>
      <c r="Z2488" t="s">
        <v>9850</v>
      </c>
      <c r="AA2488" t="s">
        <v>1802</v>
      </c>
      <c r="AB2488" t="s">
        <v>53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f t="shared" si="76"/>
        <v>11.209999999999999</v>
      </c>
      <c r="AK2488" s="3">
        <f t="shared" si="77"/>
        <v>2.0099999999999998</v>
      </c>
    </row>
    <row r="2489" spans="1:37">
      <c r="A2489">
        <v>10409507</v>
      </c>
      <c r="B2489" t="s">
        <v>37</v>
      </c>
      <c r="C2489" t="s">
        <v>15864</v>
      </c>
      <c r="E2489" t="s">
        <v>15865</v>
      </c>
      <c r="F2489" t="s">
        <v>15866</v>
      </c>
      <c r="G2489" t="s">
        <v>15867</v>
      </c>
      <c r="H2489" t="s">
        <v>42</v>
      </c>
      <c r="I2489" t="s">
        <v>15868</v>
      </c>
      <c r="J2489" t="s">
        <v>15869</v>
      </c>
      <c r="K2489">
        <v>27404</v>
      </c>
      <c r="L2489" t="s">
        <v>71</v>
      </c>
      <c r="M2489" t="s">
        <v>46</v>
      </c>
      <c r="N2489" t="s">
        <v>47</v>
      </c>
      <c r="O2489">
        <v>1</v>
      </c>
      <c r="P2489">
        <v>1</v>
      </c>
      <c r="Q2489">
        <v>1</v>
      </c>
      <c r="R2489" t="s">
        <v>48</v>
      </c>
      <c r="S2489" t="s">
        <v>49</v>
      </c>
      <c r="T2489" s="3">
        <v>0.84</v>
      </c>
      <c r="U2489" s="3">
        <v>0.23</v>
      </c>
      <c r="V2489" s="3">
        <v>0.94</v>
      </c>
      <c r="W2489">
        <v>0.49</v>
      </c>
      <c r="X2489" t="s">
        <v>108</v>
      </c>
      <c r="Y2489" s="3">
        <v>5.14</v>
      </c>
      <c r="Z2489" t="s">
        <v>9850</v>
      </c>
      <c r="AA2489" t="s">
        <v>267</v>
      </c>
      <c r="AB2489" t="s">
        <v>53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f t="shared" si="76"/>
        <v>7.15</v>
      </c>
      <c r="AK2489" s="3">
        <f t="shared" si="77"/>
        <v>2.0100000000000007</v>
      </c>
    </row>
    <row r="2490" spans="1:37">
      <c r="A2490">
        <v>10409506</v>
      </c>
      <c r="B2490" t="s">
        <v>37</v>
      </c>
      <c r="C2490" t="s">
        <v>15870</v>
      </c>
      <c r="E2490" t="s">
        <v>14623</v>
      </c>
      <c r="F2490" t="s">
        <v>15871</v>
      </c>
      <c r="G2490" t="s">
        <v>15872</v>
      </c>
      <c r="H2490" t="s">
        <v>42</v>
      </c>
      <c r="I2490" t="s">
        <v>15873</v>
      </c>
      <c r="J2490" t="s">
        <v>15874</v>
      </c>
      <c r="K2490">
        <v>20251</v>
      </c>
      <c r="L2490" t="s">
        <v>71</v>
      </c>
      <c r="M2490" t="s">
        <v>46</v>
      </c>
      <c r="N2490" t="s">
        <v>47</v>
      </c>
      <c r="O2490">
        <v>1</v>
      </c>
      <c r="P2490">
        <v>1</v>
      </c>
      <c r="Q2490">
        <v>1</v>
      </c>
      <c r="R2490" t="s">
        <v>48</v>
      </c>
      <c r="S2490" t="s">
        <v>49</v>
      </c>
      <c r="T2490" s="3">
        <v>0.84</v>
      </c>
      <c r="U2490" s="3">
        <v>0.23</v>
      </c>
      <c r="V2490" s="3">
        <v>0.94</v>
      </c>
      <c r="W2490">
        <v>0.49</v>
      </c>
      <c r="X2490" t="s">
        <v>108</v>
      </c>
      <c r="Y2490" s="3">
        <v>5.14</v>
      </c>
      <c r="Z2490" t="s">
        <v>9850</v>
      </c>
      <c r="AA2490" t="s">
        <v>5153</v>
      </c>
      <c r="AB2490" t="s">
        <v>53</v>
      </c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f t="shared" si="76"/>
        <v>7.15</v>
      </c>
      <c r="AK2490" s="3">
        <f t="shared" si="77"/>
        <v>2.0100000000000007</v>
      </c>
    </row>
    <row r="2491" spans="1:37">
      <c r="A2491">
        <v>10409891</v>
      </c>
      <c r="B2491" t="s">
        <v>37</v>
      </c>
      <c r="C2491" t="s">
        <v>15875</v>
      </c>
      <c r="E2491" t="s">
        <v>809</v>
      </c>
      <c r="F2491" t="s">
        <v>15876</v>
      </c>
      <c r="G2491" t="s">
        <v>15877</v>
      </c>
      <c r="H2491" t="s">
        <v>42</v>
      </c>
      <c r="I2491" t="s">
        <v>15878</v>
      </c>
      <c r="J2491" t="s">
        <v>15879</v>
      </c>
      <c r="K2491">
        <v>30900</v>
      </c>
      <c r="L2491" t="s">
        <v>71</v>
      </c>
      <c r="M2491" t="s">
        <v>46</v>
      </c>
      <c r="N2491" t="s">
        <v>47</v>
      </c>
      <c r="O2491">
        <v>1</v>
      </c>
      <c r="P2491">
        <v>1</v>
      </c>
      <c r="Q2491">
        <v>1</v>
      </c>
      <c r="R2491" t="s">
        <v>48</v>
      </c>
      <c r="S2491" t="s">
        <v>49</v>
      </c>
      <c r="T2491" s="3">
        <v>0.84</v>
      </c>
      <c r="U2491" s="3">
        <v>0.23</v>
      </c>
      <c r="V2491" s="3">
        <v>0.94</v>
      </c>
      <c r="W2491">
        <v>0.15</v>
      </c>
      <c r="X2491" t="s">
        <v>108</v>
      </c>
      <c r="Y2491" s="3">
        <v>5.14</v>
      </c>
      <c r="Z2491" t="s">
        <v>9850</v>
      </c>
      <c r="AA2491" t="s">
        <v>6464</v>
      </c>
      <c r="AB2491" t="s">
        <v>53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f t="shared" si="76"/>
        <v>7.15</v>
      </c>
      <c r="AK2491" s="3">
        <f t="shared" si="77"/>
        <v>2.0100000000000007</v>
      </c>
    </row>
    <row r="2492" spans="1:37">
      <c r="A2492">
        <v>10409510</v>
      </c>
      <c r="B2492" t="s">
        <v>37</v>
      </c>
      <c r="C2492" t="s">
        <v>15880</v>
      </c>
      <c r="E2492" t="s">
        <v>15881</v>
      </c>
      <c r="F2492" t="s">
        <v>15882</v>
      </c>
      <c r="G2492" t="s">
        <v>15883</v>
      </c>
      <c r="H2492" t="s">
        <v>42</v>
      </c>
      <c r="I2492" t="s">
        <v>15884</v>
      </c>
      <c r="J2492" t="s">
        <v>15885</v>
      </c>
      <c r="K2492" t="s">
        <v>15886</v>
      </c>
      <c r="L2492" t="s">
        <v>82</v>
      </c>
      <c r="M2492" t="s">
        <v>46</v>
      </c>
      <c r="N2492" t="s">
        <v>47</v>
      </c>
      <c r="O2492">
        <v>6</v>
      </c>
      <c r="P2492">
        <v>1</v>
      </c>
      <c r="Q2492">
        <v>6</v>
      </c>
      <c r="R2492" t="s">
        <v>48</v>
      </c>
      <c r="S2492" t="s">
        <v>49</v>
      </c>
      <c r="T2492" s="3">
        <v>0.84</v>
      </c>
      <c r="U2492" s="3">
        <v>0.23</v>
      </c>
      <c r="V2492" s="3">
        <v>5.29</v>
      </c>
      <c r="W2492">
        <v>2.67</v>
      </c>
      <c r="X2492" t="s">
        <v>50</v>
      </c>
      <c r="Y2492" s="3">
        <v>9.1999999999999993</v>
      </c>
      <c r="Z2492" t="s">
        <v>73</v>
      </c>
      <c r="AA2492" t="s">
        <v>15887</v>
      </c>
      <c r="AB2492" t="s">
        <v>53</v>
      </c>
      <c r="AC2492" s="3">
        <v>1.29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f t="shared" si="76"/>
        <v>16.849999999999998</v>
      </c>
      <c r="AK2492" s="3">
        <f t="shared" si="77"/>
        <v>7.6499999999999986</v>
      </c>
    </row>
    <row r="2493" spans="1:37">
      <c r="A2493">
        <v>10400350</v>
      </c>
      <c r="B2493" t="s">
        <v>37</v>
      </c>
      <c r="C2493" t="s">
        <v>15888</v>
      </c>
      <c r="E2493" t="s">
        <v>2299</v>
      </c>
      <c r="F2493" t="s">
        <v>15889</v>
      </c>
      <c r="G2493" t="s">
        <v>15890</v>
      </c>
      <c r="H2493" t="s">
        <v>42</v>
      </c>
      <c r="I2493" t="s">
        <v>15891</v>
      </c>
      <c r="J2493" t="s">
        <v>15892</v>
      </c>
      <c r="K2493">
        <v>71723</v>
      </c>
      <c r="L2493" t="s">
        <v>71</v>
      </c>
      <c r="M2493" t="s">
        <v>46</v>
      </c>
      <c r="N2493" t="s">
        <v>47</v>
      </c>
      <c r="O2493">
        <v>4</v>
      </c>
      <c r="P2493">
        <v>1</v>
      </c>
      <c r="Q2493">
        <v>4</v>
      </c>
      <c r="R2493" t="s">
        <v>48</v>
      </c>
      <c r="S2493" t="s">
        <v>49</v>
      </c>
      <c r="T2493" s="3">
        <v>0.84</v>
      </c>
      <c r="U2493" s="3">
        <v>0.23</v>
      </c>
      <c r="V2493" s="3">
        <v>3.55</v>
      </c>
      <c r="W2493">
        <v>1.56</v>
      </c>
      <c r="X2493" t="s">
        <v>108</v>
      </c>
      <c r="Y2493" s="3">
        <v>5.13</v>
      </c>
      <c r="Z2493" t="s">
        <v>9686</v>
      </c>
      <c r="AA2493" t="s">
        <v>5567</v>
      </c>
      <c r="AB2493" t="s">
        <v>53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f t="shared" si="76"/>
        <v>9.75</v>
      </c>
      <c r="AK2493" s="3">
        <f t="shared" si="77"/>
        <v>4.62</v>
      </c>
    </row>
    <row r="2494" spans="1:37">
      <c r="A2494">
        <v>10400352</v>
      </c>
      <c r="B2494" t="s">
        <v>37</v>
      </c>
      <c r="C2494" t="s">
        <v>15893</v>
      </c>
      <c r="E2494" t="s">
        <v>240</v>
      </c>
      <c r="F2494" t="s">
        <v>4319</v>
      </c>
      <c r="G2494" t="s">
        <v>15894</v>
      </c>
      <c r="H2494" t="s">
        <v>42</v>
      </c>
      <c r="I2494" t="s">
        <v>15895</v>
      </c>
      <c r="J2494" t="s">
        <v>15896</v>
      </c>
      <c r="K2494" t="s">
        <v>15897</v>
      </c>
      <c r="L2494" t="s">
        <v>142</v>
      </c>
      <c r="M2494" t="s">
        <v>46</v>
      </c>
      <c r="N2494" t="s">
        <v>47</v>
      </c>
      <c r="O2494">
        <v>3</v>
      </c>
      <c r="P2494">
        <v>1</v>
      </c>
      <c r="Q2494">
        <v>3</v>
      </c>
      <c r="R2494" t="s">
        <v>48</v>
      </c>
      <c r="S2494" t="s">
        <v>49</v>
      </c>
      <c r="T2494" s="3">
        <v>0.84</v>
      </c>
      <c r="U2494" s="3">
        <v>0.23</v>
      </c>
      <c r="V2494" s="3">
        <v>2.68</v>
      </c>
      <c r="W2494">
        <v>1.55</v>
      </c>
      <c r="X2494" t="s">
        <v>50</v>
      </c>
      <c r="Y2494" s="3">
        <v>16.43</v>
      </c>
      <c r="Z2494" t="s">
        <v>9686</v>
      </c>
      <c r="AA2494" t="s">
        <v>15898</v>
      </c>
      <c r="AB2494" t="s">
        <v>53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f t="shared" si="76"/>
        <v>20.18</v>
      </c>
      <c r="AK2494" s="3">
        <f t="shared" si="77"/>
        <v>3.75</v>
      </c>
    </row>
    <row r="2495" spans="1:37">
      <c r="A2495">
        <v>10400895</v>
      </c>
      <c r="B2495" t="s">
        <v>37</v>
      </c>
      <c r="C2495" t="s">
        <v>15899</v>
      </c>
      <c r="E2495" t="s">
        <v>4735</v>
      </c>
      <c r="F2495" t="s">
        <v>15900</v>
      </c>
      <c r="G2495" t="s">
        <v>15901</v>
      </c>
      <c r="H2495" t="s">
        <v>42</v>
      </c>
      <c r="I2495" t="s">
        <v>15902</v>
      </c>
      <c r="J2495" t="s">
        <v>15903</v>
      </c>
      <c r="K2495">
        <v>3010</v>
      </c>
      <c r="L2495" t="s">
        <v>505</v>
      </c>
      <c r="M2495" t="s">
        <v>46</v>
      </c>
      <c r="N2495" t="s">
        <v>47</v>
      </c>
      <c r="O2495">
        <v>3</v>
      </c>
      <c r="P2495">
        <v>1</v>
      </c>
      <c r="Q2495">
        <v>3</v>
      </c>
      <c r="R2495" t="s">
        <v>48</v>
      </c>
      <c r="S2495" t="s">
        <v>49</v>
      </c>
      <c r="T2495" s="3">
        <v>0.84</v>
      </c>
      <c r="U2495" s="3">
        <v>0.23</v>
      </c>
      <c r="V2495" s="3">
        <v>2.68</v>
      </c>
      <c r="W2495">
        <v>0.92</v>
      </c>
      <c r="X2495" t="s">
        <v>50</v>
      </c>
      <c r="Y2495" s="3">
        <v>9.19</v>
      </c>
      <c r="Z2495" t="s">
        <v>9686</v>
      </c>
      <c r="AA2495" t="s">
        <v>15904</v>
      </c>
      <c r="AB2495" t="s">
        <v>53</v>
      </c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f t="shared" si="76"/>
        <v>12.94</v>
      </c>
      <c r="AK2495" s="3">
        <f t="shared" si="77"/>
        <v>3.75</v>
      </c>
    </row>
    <row r="2496" spans="1:37">
      <c r="A2496">
        <v>10400903</v>
      </c>
      <c r="B2496" t="s">
        <v>37</v>
      </c>
      <c r="C2496" t="s">
        <v>15905</v>
      </c>
      <c r="E2496" t="s">
        <v>215</v>
      </c>
      <c r="F2496" t="s">
        <v>15234</v>
      </c>
      <c r="G2496" t="s">
        <v>15906</v>
      </c>
      <c r="H2496" t="s">
        <v>42</v>
      </c>
      <c r="I2496" t="s">
        <v>15907</v>
      </c>
      <c r="J2496" t="s">
        <v>15908</v>
      </c>
      <c r="K2496">
        <v>20257</v>
      </c>
      <c r="L2496" t="s">
        <v>71</v>
      </c>
      <c r="M2496" t="s">
        <v>46</v>
      </c>
      <c r="N2496" t="s">
        <v>47</v>
      </c>
      <c r="O2496">
        <v>5</v>
      </c>
      <c r="P2496">
        <v>1</v>
      </c>
      <c r="Q2496">
        <v>5</v>
      </c>
      <c r="R2496" t="s">
        <v>48</v>
      </c>
      <c r="S2496" t="s">
        <v>49</v>
      </c>
      <c r="T2496" s="3">
        <v>0.84</v>
      </c>
      <c r="U2496" s="3">
        <v>0.23</v>
      </c>
      <c r="V2496" s="3">
        <v>4.42</v>
      </c>
      <c r="W2496">
        <v>1.88</v>
      </c>
      <c r="X2496" t="s">
        <v>72</v>
      </c>
      <c r="Y2496" s="3">
        <v>5.43</v>
      </c>
      <c r="Z2496" t="s">
        <v>73</v>
      </c>
      <c r="AA2496" t="s">
        <v>15909</v>
      </c>
      <c r="AB2496" t="s">
        <v>53</v>
      </c>
      <c r="AC2496" s="3">
        <v>1.29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f t="shared" si="76"/>
        <v>12.21</v>
      </c>
      <c r="AK2496" s="3">
        <f t="shared" si="77"/>
        <v>6.7800000000000011</v>
      </c>
    </row>
    <row r="2497" spans="1:37">
      <c r="A2497">
        <v>10400353</v>
      </c>
      <c r="B2497" t="s">
        <v>37</v>
      </c>
      <c r="C2497" t="s">
        <v>15910</v>
      </c>
      <c r="E2497" t="s">
        <v>1307</v>
      </c>
      <c r="F2497" t="s">
        <v>15911</v>
      </c>
      <c r="G2497" t="s">
        <v>15912</v>
      </c>
      <c r="H2497" t="s">
        <v>42</v>
      </c>
      <c r="I2497" t="s">
        <v>15913</v>
      </c>
      <c r="J2497" t="s">
        <v>15914</v>
      </c>
      <c r="K2497">
        <v>38446</v>
      </c>
      <c r="L2497" t="s">
        <v>71</v>
      </c>
      <c r="M2497" t="s">
        <v>46</v>
      </c>
      <c r="N2497" t="s">
        <v>47</v>
      </c>
      <c r="O2497">
        <v>4</v>
      </c>
      <c r="P2497">
        <v>1</v>
      </c>
      <c r="Q2497">
        <v>4</v>
      </c>
      <c r="R2497" t="s">
        <v>48</v>
      </c>
      <c r="S2497" t="s">
        <v>49</v>
      </c>
      <c r="T2497" s="3">
        <v>0.84</v>
      </c>
      <c r="U2497" s="3">
        <v>0.23</v>
      </c>
      <c r="V2497" s="3">
        <v>3.55</v>
      </c>
      <c r="W2497">
        <v>1.56</v>
      </c>
      <c r="X2497" t="s">
        <v>108</v>
      </c>
      <c r="Y2497" s="3">
        <v>5.13</v>
      </c>
      <c r="Z2497" t="s">
        <v>9686</v>
      </c>
      <c r="AA2497" t="s">
        <v>429</v>
      </c>
      <c r="AB2497" t="s">
        <v>53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f t="shared" si="76"/>
        <v>9.75</v>
      </c>
      <c r="AK2497" s="3">
        <f t="shared" si="77"/>
        <v>4.62</v>
      </c>
    </row>
    <row r="2498" spans="1:37">
      <c r="A2498">
        <v>10395982</v>
      </c>
      <c r="B2498" t="s">
        <v>111</v>
      </c>
      <c r="C2498" t="s">
        <v>15915</v>
      </c>
      <c r="D2498" t="s">
        <v>15916</v>
      </c>
      <c r="E2498" t="s">
        <v>15917</v>
      </c>
      <c r="F2498" t="s">
        <v>15918</v>
      </c>
      <c r="G2498" t="s">
        <v>15919</v>
      </c>
      <c r="H2498" t="s">
        <v>117</v>
      </c>
      <c r="I2498" t="s">
        <v>15920</v>
      </c>
      <c r="J2498" t="s">
        <v>15921</v>
      </c>
      <c r="K2498">
        <v>22380</v>
      </c>
      <c r="L2498" t="s">
        <v>130</v>
      </c>
      <c r="M2498" t="s">
        <v>46</v>
      </c>
      <c r="N2498" t="s">
        <v>47</v>
      </c>
      <c r="O2498">
        <v>28</v>
      </c>
      <c r="P2498">
        <v>2</v>
      </c>
      <c r="Q2498">
        <v>28</v>
      </c>
      <c r="R2498" t="s">
        <v>48</v>
      </c>
      <c r="S2498" t="s">
        <v>49</v>
      </c>
      <c r="T2498" s="3">
        <v>7</v>
      </c>
      <c r="U2498" s="3">
        <v>0.23</v>
      </c>
      <c r="V2498" s="3">
        <v>30.93</v>
      </c>
      <c r="W2498">
        <v>13</v>
      </c>
      <c r="X2498" t="s">
        <v>50</v>
      </c>
      <c r="Y2498" s="3">
        <v>28.51</v>
      </c>
      <c r="Z2498" t="s">
        <v>11240</v>
      </c>
      <c r="AA2498" t="s">
        <v>15922</v>
      </c>
      <c r="AB2498" t="s">
        <v>53</v>
      </c>
      <c r="AC2498" s="3">
        <v>2.41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f t="shared" ref="AJ2498:AJ2561" si="78">AI2498+AH2498+AG2498+AF2498+AE2498+AD2498+AC2498+Y2498+V2498+U2498+T2498</f>
        <v>69.08</v>
      </c>
      <c r="AK2498" s="3">
        <f t="shared" ref="AK2498:AK2561" si="79">AJ2498-Y2498</f>
        <v>40.569999999999993</v>
      </c>
    </row>
    <row r="2499" spans="1:37">
      <c r="A2499">
        <v>10391930</v>
      </c>
      <c r="B2499" t="s">
        <v>37</v>
      </c>
      <c r="C2499" t="s">
        <v>15923</v>
      </c>
      <c r="D2499" t="s">
        <v>15924</v>
      </c>
      <c r="E2499" t="s">
        <v>15925</v>
      </c>
      <c r="F2499" t="s">
        <v>15926</v>
      </c>
      <c r="G2499" t="s">
        <v>15927</v>
      </c>
      <c r="H2499" t="s">
        <v>42</v>
      </c>
      <c r="I2499" t="s">
        <v>15928</v>
      </c>
      <c r="J2499" t="s">
        <v>15929</v>
      </c>
      <c r="K2499" t="s">
        <v>15930</v>
      </c>
      <c r="L2499" t="s">
        <v>886</v>
      </c>
      <c r="M2499" t="s">
        <v>46</v>
      </c>
      <c r="N2499" t="s">
        <v>47</v>
      </c>
      <c r="O2499">
        <v>54</v>
      </c>
      <c r="P2499">
        <v>2</v>
      </c>
      <c r="Q2499">
        <v>54</v>
      </c>
      <c r="R2499" t="s">
        <v>48</v>
      </c>
      <c r="S2499" t="s">
        <v>49</v>
      </c>
      <c r="T2499" s="3">
        <v>7</v>
      </c>
      <c r="U2499" s="3">
        <v>0.23</v>
      </c>
      <c r="V2499" s="3">
        <v>52.21</v>
      </c>
      <c r="W2499">
        <v>23.27</v>
      </c>
      <c r="X2499" t="s">
        <v>50</v>
      </c>
      <c r="Y2499" s="3">
        <v>25.45</v>
      </c>
      <c r="Z2499" t="s">
        <v>744</v>
      </c>
      <c r="AA2499" t="s">
        <v>15931</v>
      </c>
      <c r="AB2499" t="s">
        <v>15932</v>
      </c>
      <c r="AC2499" s="3">
        <v>3.74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f t="shared" si="78"/>
        <v>88.63000000000001</v>
      </c>
      <c r="AK2499" s="3">
        <f t="shared" si="79"/>
        <v>63.180000000000007</v>
      </c>
    </row>
    <row r="2500" spans="1:37">
      <c r="A2500">
        <v>10376617</v>
      </c>
      <c r="B2500" t="s">
        <v>111</v>
      </c>
      <c r="C2500" t="s">
        <v>15933</v>
      </c>
      <c r="D2500" t="s">
        <v>15924</v>
      </c>
      <c r="E2500" t="s">
        <v>15925</v>
      </c>
      <c r="F2500" t="s">
        <v>15926</v>
      </c>
      <c r="G2500" t="s">
        <v>15934</v>
      </c>
      <c r="H2500" t="s">
        <v>117</v>
      </c>
      <c r="I2500" t="s">
        <v>15935</v>
      </c>
      <c r="J2500" t="s">
        <v>15929</v>
      </c>
      <c r="K2500" t="s">
        <v>15930</v>
      </c>
      <c r="L2500" t="s">
        <v>886</v>
      </c>
      <c r="M2500" t="s">
        <v>46</v>
      </c>
      <c r="N2500" t="s">
        <v>47</v>
      </c>
      <c r="O2500">
        <v>350</v>
      </c>
      <c r="P2500">
        <v>12</v>
      </c>
      <c r="Q2500">
        <v>277</v>
      </c>
      <c r="R2500" t="s">
        <v>48</v>
      </c>
      <c r="S2500" t="s">
        <v>49</v>
      </c>
      <c r="T2500" s="3">
        <v>7</v>
      </c>
      <c r="U2500" s="3">
        <v>0.23</v>
      </c>
      <c r="V2500" s="3">
        <v>143.07</v>
      </c>
      <c r="W2500">
        <v>186</v>
      </c>
      <c r="X2500" t="s">
        <v>50</v>
      </c>
      <c r="Y2500" s="3">
        <v>131.82</v>
      </c>
      <c r="Z2500" t="s">
        <v>15936</v>
      </c>
      <c r="AA2500" t="s">
        <v>15937</v>
      </c>
      <c r="AB2500" t="s">
        <v>53</v>
      </c>
      <c r="AC2500" s="3">
        <v>14.46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f t="shared" si="78"/>
        <v>296.58000000000004</v>
      </c>
      <c r="AK2500" s="3">
        <f t="shared" si="79"/>
        <v>164.76000000000005</v>
      </c>
    </row>
    <row r="2501" spans="1:37">
      <c r="A2501">
        <v>10394042</v>
      </c>
      <c r="B2501" t="s">
        <v>111</v>
      </c>
      <c r="C2501" t="s">
        <v>15938</v>
      </c>
      <c r="D2501" t="s">
        <v>977</v>
      </c>
      <c r="E2501" t="s">
        <v>978</v>
      </c>
      <c r="F2501" t="s">
        <v>979</v>
      </c>
      <c r="G2501" t="s">
        <v>15939</v>
      </c>
      <c r="H2501" t="s">
        <v>117</v>
      </c>
      <c r="I2501" t="s">
        <v>15940</v>
      </c>
      <c r="J2501" t="s">
        <v>982</v>
      </c>
      <c r="K2501">
        <v>91370</v>
      </c>
      <c r="L2501" t="s">
        <v>130</v>
      </c>
      <c r="M2501" t="s">
        <v>46</v>
      </c>
      <c r="N2501" t="s">
        <v>47</v>
      </c>
      <c r="O2501">
        <v>78</v>
      </c>
      <c r="P2501">
        <v>1</v>
      </c>
      <c r="Q2501">
        <v>78</v>
      </c>
      <c r="R2501" t="s">
        <v>48</v>
      </c>
      <c r="S2501" t="s">
        <v>49</v>
      </c>
      <c r="T2501" s="3">
        <v>7</v>
      </c>
      <c r="U2501" s="3">
        <v>0.23</v>
      </c>
      <c r="V2501" s="3">
        <v>66.37</v>
      </c>
      <c r="W2501">
        <v>11</v>
      </c>
      <c r="X2501" t="s">
        <v>50</v>
      </c>
      <c r="Y2501" s="3">
        <v>18.43</v>
      </c>
      <c r="Z2501" t="s">
        <v>51</v>
      </c>
      <c r="AA2501" t="s">
        <v>13741</v>
      </c>
      <c r="AB2501" t="s">
        <v>53</v>
      </c>
      <c r="AC2501" s="3">
        <v>1.87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f t="shared" si="78"/>
        <v>93.9</v>
      </c>
      <c r="AK2501" s="3">
        <f t="shared" si="79"/>
        <v>75.47</v>
      </c>
    </row>
    <row r="2502" spans="1:37">
      <c r="A2502">
        <v>10411228</v>
      </c>
      <c r="B2502" t="s">
        <v>37</v>
      </c>
      <c r="C2502" t="s">
        <v>15941</v>
      </c>
      <c r="E2502" t="s">
        <v>7014</v>
      </c>
      <c r="F2502" t="s">
        <v>2026</v>
      </c>
      <c r="G2502" t="s">
        <v>15942</v>
      </c>
      <c r="H2502" t="s">
        <v>42</v>
      </c>
      <c r="I2502" t="s">
        <v>15943</v>
      </c>
      <c r="J2502" t="s">
        <v>15944</v>
      </c>
      <c r="K2502">
        <v>22589</v>
      </c>
      <c r="L2502" t="s">
        <v>71</v>
      </c>
      <c r="M2502" t="s">
        <v>46</v>
      </c>
      <c r="N2502" t="s">
        <v>47</v>
      </c>
      <c r="O2502">
        <v>1</v>
      </c>
      <c r="P2502">
        <v>1</v>
      </c>
      <c r="Q2502">
        <v>1</v>
      </c>
      <c r="R2502" t="s">
        <v>48</v>
      </c>
      <c r="S2502" t="s">
        <v>49</v>
      </c>
      <c r="T2502" s="3">
        <v>0.84</v>
      </c>
      <c r="U2502" s="3">
        <v>0.23</v>
      </c>
      <c r="V2502" s="3">
        <v>0.94</v>
      </c>
      <c r="W2502">
        <v>2.5</v>
      </c>
      <c r="X2502" t="s">
        <v>72</v>
      </c>
      <c r="Y2502" s="3">
        <v>5.44</v>
      </c>
      <c r="Z2502" t="s">
        <v>83</v>
      </c>
      <c r="AA2502" t="s">
        <v>821</v>
      </c>
      <c r="AB2502" t="s">
        <v>53</v>
      </c>
      <c r="AC2502" s="3">
        <v>1.27</v>
      </c>
      <c r="AD2502" s="3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f t="shared" si="78"/>
        <v>8.7200000000000006</v>
      </c>
      <c r="AK2502" s="3">
        <f t="shared" si="79"/>
        <v>3.2800000000000002</v>
      </c>
    </row>
    <row r="2503" spans="1:37">
      <c r="A2503">
        <v>10411893</v>
      </c>
      <c r="B2503" t="s">
        <v>37</v>
      </c>
      <c r="C2503" t="s">
        <v>15945</v>
      </c>
      <c r="E2503" t="s">
        <v>2512</v>
      </c>
      <c r="F2503" t="s">
        <v>607</v>
      </c>
      <c r="G2503" t="s">
        <v>15946</v>
      </c>
      <c r="H2503" t="s">
        <v>42</v>
      </c>
      <c r="I2503" t="s">
        <v>15947</v>
      </c>
      <c r="J2503" t="s">
        <v>15948</v>
      </c>
      <c r="K2503" t="s">
        <v>15949</v>
      </c>
      <c r="L2503" t="s">
        <v>142</v>
      </c>
      <c r="M2503" t="s">
        <v>46</v>
      </c>
      <c r="N2503" t="s">
        <v>47</v>
      </c>
      <c r="O2503">
        <v>1</v>
      </c>
      <c r="P2503">
        <v>1</v>
      </c>
      <c r="Q2503">
        <v>1</v>
      </c>
      <c r="R2503" t="s">
        <v>48</v>
      </c>
      <c r="S2503" t="s">
        <v>49</v>
      </c>
      <c r="T2503" s="3">
        <v>0.84</v>
      </c>
      <c r="U2503" s="3">
        <v>0.23</v>
      </c>
      <c r="V2503" s="3">
        <v>0.94</v>
      </c>
      <c r="W2503">
        <v>2.5</v>
      </c>
      <c r="X2503" t="s">
        <v>50</v>
      </c>
      <c r="Y2503" s="3">
        <v>16.43</v>
      </c>
      <c r="Z2503" t="s">
        <v>83</v>
      </c>
      <c r="AA2503" t="s">
        <v>821</v>
      </c>
      <c r="AB2503" t="s">
        <v>53</v>
      </c>
      <c r="AC2503" s="3">
        <v>1.27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f t="shared" si="78"/>
        <v>19.71</v>
      </c>
      <c r="AK2503" s="3">
        <f t="shared" si="79"/>
        <v>3.2800000000000011</v>
      </c>
    </row>
    <row r="2504" spans="1:37">
      <c r="A2504">
        <v>10412930</v>
      </c>
      <c r="B2504" t="s">
        <v>37</v>
      </c>
      <c r="C2504" t="s">
        <v>15950</v>
      </c>
      <c r="E2504" t="s">
        <v>809</v>
      </c>
      <c r="F2504" t="s">
        <v>15951</v>
      </c>
      <c r="G2504" t="s">
        <v>15952</v>
      </c>
      <c r="H2504" t="s">
        <v>42</v>
      </c>
      <c r="I2504" t="s">
        <v>15953</v>
      </c>
      <c r="J2504" t="s">
        <v>15954</v>
      </c>
      <c r="K2504" t="s">
        <v>15955</v>
      </c>
      <c r="L2504" t="s">
        <v>142</v>
      </c>
      <c r="M2504" t="s">
        <v>46</v>
      </c>
      <c r="N2504" t="s">
        <v>47</v>
      </c>
      <c r="O2504">
        <v>1</v>
      </c>
      <c r="P2504">
        <v>1</v>
      </c>
      <c r="Q2504">
        <v>1</v>
      </c>
      <c r="R2504" t="s">
        <v>48</v>
      </c>
      <c r="S2504" t="s">
        <v>49</v>
      </c>
      <c r="T2504" s="3">
        <v>0.84</v>
      </c>
      <c r="U2504" s="3">
        <v>0.23</v>
      </c>
      <c r="V2504" s="3">
        <v>0.94</v>
      </c>
      <c r="W2504">
        <v>2.5</v>
      </c>
      <c r="X2504" t="s">
        <v>50</v>
      </c>
      <c r="Y2504" s="3">
        <v>16.43</v>
      </c>
      <c r="Z2504" t="s">
        <v>83</v>
      </c>
      <c r="AA2504" t="s">
        <v>821</v>
      </c>
      <c r="AB2504" t="s">
        <v>53</v>
      </c>
      <c r="AC2504" s="3">
        <v>1.27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f t="shared" si="78"/>
        <v>19.71</v>
      </c>
      <c r="AK2504" s="3">
        <f t="shared" si="79"/>
        <v>3.2800000000000011</v>
      </c>
    </row>
    <row r="2505" spans="1:37">
      <c r="A2505">
        <v>10412928</v>
      </c>
      <c r="B2505" t="s">
        <v>37</v>
      </c>
      <c r="C2505" t="s">
        <v>15956</v>
      </c>
      <c r="E2505" t="s">
        <v>1905</v>
      </c>
      <c r="F2505" t="s">
        <v>15957</v>
      </c>
      <c r="G2505" t="s">
        <v>15958</v>
      </c>
      <c r="H2505" t="s">
        <v>42</v>
      </c>
      <c r="I2505" t="s">
        <v>15959</v>
      </c>
      <c r="J2505" t="s">
        <v>15960</v>
      </c>
      <c r="K2505" t="s">
        <v>15961</v>
      </c>
      <c r="L2505" t="s">
        <v>91</v>
      </c>
      <c r="M2505" t="s">
        <v>46</v>
      </c>
      <c r="N2505" t="s">
        <v>47</v>
      </c>
      <c r="O2505">
        <v>1</v>
      </c>
      <c r="P2505">
        <v>1</v>
      </c>
      <c r="Q2505">
        <v>1</v>
      </c>
      <c r="R2505" t="s">
        <v>48</v>
      </c>
      <c r="S2505" t="s">
        <v>49</v>
      </c>
      <c r="T2505" s="3">
        <v>0.84</v>
      </c>
      <c r="U2505" s="3">
        <v>0.23</v>
      </c>
      <c r="V2505" s="3">
        <v>0.94</v>
      </c>
      <c r="W2505">
        <v>1.5</v>
      </c>
      <c r="X2505" t="s">
        <v>50</v>
      </c>
      <c r="Y2505" s="3">
        <v>16.43</v>
      </c>
      <c r="Z2505" t="s">
        <v>73</v>
      </c>
      <c r="AA2505" t="s">
        <v>259</v>
      </c>
      <c r="AB2505" t="s">
        <v>53</v>
      </c>
      <c r="AC2505" s="3">
        <v>1.29</v>
      </c>
      <c r="AD2505" s="3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f t="shared" si="78"/>
        <v>19.73</v>
      </c>
      <c r="AK2505" s="3">
        <f t="shared" si="79"/>
        <v>3.3000000000000007</v>
      </c>
    </row>
    <row r="2506" spans="1:37">
      <c r="A2506">
        <v>10396321</v>
      </c>
      <c r="B2506" t="s">
        <v>37</v>
      </c>
      <c r="C2506" t="s">
        <v>15962</v>
      </c>
      <c r="D2506" t="s">
        <v>15963</v>
      </c>
      <c r="E2506" t="s">
        <v>15964</v>
      </c>
      <c r="F2506" t="s">
        <v>15965</v>
      </c>
      <c r="G2506" t="s">
        <v>15966</v>
      </c>
      <c r="H2506" t="s">
        <v>42</v>
      </c>
      <c r="I2506" t="s">
        <v>15967</v>
      </c>
      <c r="J2506" t="s">
        <v>15968</v>
      </c>
      <c r="K2506" t="s">
        <v>15969</v>
      </c>
      <c r="L2506" t="s">
        <v>82</v>
      </c>
      <c r="M2506" t="s">
        <v>46</v>
      </c>
      <c r="N2506" t="s">
        <v>47</v>
      </c>
      <c r="O2506">
        <v>1</v>
      </c>
      <c r="P2506">
        <v>1</v>
      </c>
      <c r="Q2506">
        <v>1</v>
      </c>
      <c r="R2506" t="s">
        <v>48</v>
      </c>
      <c r="S2506" t="s">
        <v>49</v>
      </c>
      <c r="T2506" s="3">
        <v>0.84</v>
      </c>
      <c r="U2506" s="3">
        <v>0.23</v>
      </c>
      <c r="V2506" s="3">
        <v>0.94</v>
      </c>
      <c r="W2506">
        <v>0.49</v>
      </c>
      <c r="X2506" t="s">
        <v>50</v>
      </c>
      <c r="Y2506" s="3">
        <v>9.1999999999999993</v>
      </c>
      <c r="Z2506" t="s">
        <v>9850</v>
      </c>
      <c r="AA2506" t="s">
        <v>10333</v>
      </c>
      <c r="AB2506" t="s">
        <v>53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5</v>
      </c>
      <c r="AI2506" s="3">
        <v>0</v>
      </c>
      <c r="AJ2506" s="3">
        <f t="shared" si="78"/>
        <v>16.21</v>
      </c>
      <c r="AK2506" s="3">
        <f t="shared" si="79"/>
        <v>7.0100000000000016</v>
      </c>
    </row>
    <row r="2507" spans="1:37">
      <c r="A2507">
        <v>10410928</v>
      </c>
      <c r="B2507" t="s">
        <v>37</v>
      </c>
      <c r="C2507" t="s">
        <v>15970</v>
      </c>
      <c r="E2507" t="s">
        <v>9853</v>
      </c>
      <c r="F2507" t="s">
        <v>15971</v>
      </c>
      <c r="G2507" t="s">
        <v>15972</v>
      </c>
      <c r="H2507" t="s">
        <v>42</v>
      </c>
      <c r="I2507" t="s">
        <v>15973</v>
      </c>
      <c r="J2507" t="s">
        <v>15974</v>
      </c>
      <c r="K2507">
        <v>30916</v>
      </c>
      <c r="L2507" t="s">
        <v>71</v>
      </c>
      <c r="M2507" t="s">
        <v>46</v>
      </c>
      <c r="N2507" t="s">
        <v>47</v>
      </c>
      <c r="O2507">
        <v>1</v>
      </c>
      <c r="P2507">
        <v>1</v>
      </c>
      <c r="Q2507">
        <v>1</v>
      </c>
      <c r="R2507" t="s">
        <v>48</v>
      </c>
      <c r="S2507" t="s">
        <v>49</v>
      </c>
      <c r="T2507" s="3">
        <v>0.84</v>
      </c>
      <c r="U2507" s="3">
        <v>0.23</v>
      </c>
      <c r="V2507" s="3">
        <v>0.94</v>
      </c>
      <c r="W2507">
        <v>0.39</v>
      </c>
      <c r="X2507" t="s">
        <v>108</v>
      </c>
      <c r="Y2507" s="3">
        <v>5.14</v>
      </c>
      <c r="Z2507" t="s">
        <v>9850</v>
      </c>
      <c r="AA2507" t="s">
        <v>7420</v>
      </c>
      <c r="AB2507" t="s">
        <v>53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f t="shared" si="78"/>
        <v>7.15</v>
      </c>
      <c r="AK2507" s="3">
        <f t="shared" si="79"/>
        <v>2.0100000000000007</v>
      </c>
    </row>
    <row r="2508" spans="1:37">
      <c r="A2508">
        <v>10410480</v>
      </c>
      <c r="B2508" t="s">
        <v>37</v>
      </c>
      <c r="C2508" t="s">
        <v>15975</v>
      </c>
      <c r="E2508" t="s">
        <v>1527</v>
      </c>
      <c r="F2508" t="s">
        <v>15976</v>
      </c>
      <c r="G2508" t="s">
        <v>15977</v>
      </c>
      <c r="H2508" t="s">
        <v>42</v>
      </c>
      <c r="I2508" t="s">
        <v>15978</v>
      </c>
      <c r="J2508" t="s">
        <v>15979</v>
      </c>
      <c r="K2508">
        <v>83026</v>
      </c>
      <c r="L2508" t="s">
        <v>71</v>
      </c>
      <c r="M2508" t="s">
        <v>46</v>
      </c>
      <c r="N2508" t="s">
        <v>47</v>
      </c>
      <c r="O2508">
        <v>1</v>
      </c>
      <c r="P2508">
        <v>1</v>
      </c>
      <c r="Q2508">
        <v>1</v>
      </c>
      <c r="R2508" t="s">
        <v>48</v>
      </c>
      <c r="S2508" t="s">
        <v>49</v>
      </c>
      <c r="T2508" s="3">
        <v>0.84</v>
      </c>
      <c r="U2508" s="3">
        <v>0.23</v>
      </c>
      <c r="V2508" s="3">
        <v>0.94</v>
      </c>
      <c r="W2508">
        <v>1.4</v>
      </c>
      <c r="X2508" t="s">
        <v>108</v>
      </c>
      <c r="Y2508" s="3">
        <v>6.54</v>
      </c>
      <c r="Z2508" t="s">
        <v>9686</v>
      </c>
      <c r="AA2508" t="s">
        <v>178</v>
      </c>
      <c r="AB2508" t="s">
        <v>53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f t="shared" si="78"/>
        <v>8.5500000000000007</v>
      </c>
      <c r="AK2508" s="3">
        <f t="shared" si="79"/>
        <v>2.0100000000000007</v>
      </c>
    </row>
    <row r="2509" spans="1:37">
      <c r="A2509">
        <v>10378613</v>
      </c>
      <c r="B2509" t="s">
        <v>37</v>
      </c>
      <c r="C2509" t="s">
        <v>15980</v>
      </c>
      <c r="E2509" t="s">
        <v>7397</v>
      </c>
      <c r="F2509" t="s">
        <v>15981</v>
      </c>
      <c r="G2509" t="s">
        <v>15982</v>
      </c>
      <c r="H2509" t="s">
        <v>42</v>
      </c>
      <c r="I2509" t="s">
        <v>15983</v>
      </c>
      <c r="J2509" t="s">
        <v>15984</v>
      </c>
      <c r="K2509">
        <v>52064</v>
      </c>
      <c r="L2509" t="s">
        <v>71</v>
      </c>
      <c r="M2509" t="s">
        <v>46</v>
      </c>
      <c r="N2509" t="s">
        <v>47</v>
      </c>
      <c r="O2509">
        <v>1</v>
      </c>
      <c r="P2509">
        <v>1</v>
      </c>
      <c r="Q2509">
        <v>1</v>
      </c>
      <c r="R2509" t="s">
        <v>48</v>
      </c>
      <c r="S2509" t="s">
        <v>49</v>
      </c>
      <c r="T2509" s="3">
        <v>0.84</v>
      </c>
      <c r="U2509" s="3">
        <v>0.23</v>
      </c>
      <c r="V2509" s="3">
        <v>0.94</v>
      </c>
      <c r="W2509">
        <v>0.5</v>
      </c>
      <c r="X2509" t="s">
        <v>108</v>
      </c>
      <c r="Y2509" s="3">
        <v>5.14</v>
      </c>
      <c r="Z2509" t="s">
        <v>9850</v>
      </c>
      <c r="AA2509" t="s">
        <v>15985</v>
      </c>
      <c r="AB2509" t="s">
        <v>53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f t="shared" si="78"/>
        <v>7.15</v>
      </c>
      <c r="AK2509" s="3">
        <f t="shared" si="79"/>
        <v>2.0100000000000007</v>
      </c>
    </row>
    <row r="2510" spans="1:37">
      <c r="A2510">
        <v>10410932</v>
      </c>
      <c r="B2510" t="s">
        <v>37</v>
      </c>
      <c r="C2510" t="s">
        <v>15986</v>
      </c>
      <c r="E2510" t="s">
        <v>398</v>
      </c>
      <c r="F2510" t="s">
        <v>15987</v>
      </c>
      <c r="G2510" t="s">
        <v>15988</v>
      </c>
      <c r="H2510" t="s">
        <v>42</v>
      </c>
      <c r="I2510" t="s">
        <v>15989</v>
      </c>
      <c r="J2510" t="s">
        <v>15990</v>
      </c>
      <c r="K2510">
        <v>82031</v>
      </c>
      <c r="L2510" t="s">
        <v>71</v>
      </c>
      <c r="M2510" t="s">
        <v>46</v>
      </c>
      <c r="N2510" t="s">
        <v>47</v>
      </c>
      <c r="O2510">
        <v>1</v>
      </c>
      <c r="P2510">
        <v>1</v>
      </c>
      <c r="Q2510">
        <v>1</v>
      </c>
      <c r="R2510" t="s">
        <v>48</v>
      </c>
      <c r="S2510" t="s">
        <v>49</v>
      </c>
      <c r="T2510" s="3">
        <v>0.84</v>
      </c>
      <c r="U2510" s="3">
        <v>0.23</v>
      </c>
      <c r="V2510" s="3">
        <v>0.94</v>
      </c>
      <c r="W2510">
        <v>0.39</v>
      </c>
      <c r="X2510" t="s">
        <v>108</v>
      </c>
      <c r="Y2510" s="3">
        <v>5.14</v>
      </c>
      <c r="Z2510" t="s">
        <v>9850</v>
      </c>
      <c r="AA2510" t="s">
        <v>3216</v>
      </c>
      <c r="AB2510" t="s">
        <v>53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f t="shared" si="78"/>
        <v>7.15</v>
      </c>
      <c r="AK2510" s="3">
        <f t="shared" si="79"/>
        <v>2.0100000000000007</v>
      </c>
    </row>
    <row r="2511" spans="1:37">
      <c r="A2511">
        <v>10410488</v>
      </c>
      <c r="B2511" t="s">
        <v>37</v>
      </c>
      <c r="C2511" t="s">
        <v>15991</v>
      </c>
      <c r="E2511" t="s">
        <v>336</v>
      </c>
      <c r="F2511" t="s">
        <v>15992</v>
      </c>
      <c r="G2511" t="s">
        <v>15993</v>
      </c>
      <c r="H2511" t="s">
        <v>42</v>
      </c>
      <c r="I2511" t="s">
        <v>15994</v>
      </c>
      <c r="J2511" t="s">
        <v>15995</v>
      </c>
      <c r="K2511" t="s">
        <v>15996</v>
      </c>
      <c r="L2511" t="s">
        <v>142</v>
      </c>
      <c r="M2511" t="s">
        <v>46</v>
      </c>
      <c r="N2511" t="s">
        <v>47</v>
      </c>
      <c r="O2511">
        <v>1</v>
      </c>
      <c r="P2511">
        <v>1</v>
      </c>
      <c r="Q2511">
        <v>1</v>
      </c>
      <c r="R2511" t="s">
        <v>48</v>
      </c>
      <c r="S2511" t="s">
        <v>49</v>
      </c>
      <c r="T2511" s="3">
        <v>0.84</v>
      </c>
      <c r="U2511" s="3">
        <v>0.23</v>
      </c>
      <c r="V2511" s="3">
        <v>0.94</v>
      </c>
      <c r="W2511">
        <v>0.45</v>
      </c>
      <c r="X2511" t="s">
        <v>50</v>
      </c>
      <c r="Y2511" s="3">
        <v>16.43</v>
      </c>
      <c r="Z2511" t="s">
        <v>9850</v>
      </c>
      <c r="AA2511" t="s">
        <v>15997</v>
      </c>
      <c r="AB2511" t="s">
        <v>53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f t="shared" si="78"/>
        <v>18.440000000000001</v>
      </c>
      <c r="AK2511" s="3">
        <f t="shared" si="79"/>
        <v>2.0100000000000016</v>
      </c>
    </row>
    <row r="2512" spans="1:37">
      <c r="A2512">
        <v>10411227</v>
      </c>
      <c r="B2512" t="s">
        <v>37</v>
      </c>
      <c r="C2512" t="s">
        <v>15998</v>
      </c>
      <c r="E2512" t="s">
        <v>5479</v>
      </c>
      <c r="F2512" t="s">
        <v>15999</v>
      </c>
      <c r="G2512" t="s">
        <v>16000</v>
      </c>
      <c r="H2512" t="s">
        <v>42</v>
      </c>
      <c r="I2512" t="s">
        <v>16001</v>
      </c>
      <c r="J2512" t="s">
        <v>16002</v>
      </c>
      <c r="K2512">
        <v>88079</v>
      </c>
      <c r="L2512" t="s">
        <v>71</v>
      </c>
      <c r="M2512" t="s">
        <v>46</v>
      </c>
      <c r="N2512" t="s">
        <v>47</v>
      </c>
      <c r="O2512">
        <v>1</v>
      </c>
      <c r="P2512">
        <v>1</v>
      </c>
      <c r="Q2512">
        <v>1</v>
      </c>
      <c r="R2512" t="s">
        <v>48</v>
      </c>
      <c r="S2512" t="s">
        <v>49</v>
      </c>
      <c r="T2512" s="3">
        <v>0.84</v>
      </c>
      <c r="U2512" s="3">
        <v>0.23</v>
      </c>
      <c r="V2512" s="3">
        <v>0.94</v>
      </c>
      <c r="W2512">
        <v>0.39</v>
      </c>
      <c r="X2512" t="s">
        <v>108</v>
      </c>
      <c r="Y2512" s="3">
        <v>5.14</v>
      </c>
      <c r="Z2512" t="s">
        <v>9850</v>
      </c>
      <c r="AA2512" t="s">
        <v>3216</v>
      </c>
      <c r="AB2512" t="s">
        <v>53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f t="shared" si="78"/>
        <v>7.15</v>
      </c>
      <c r="AK2512" s="3">
        <f t="shared" si="79"/>
        <v>2.0100000000000007</v>
      </c>
    </row>
    <row r="2513" spans="1:37">
      <c r="A2513">
        <v>10413323</v>
      </c>
      <c r="B2513" t="s">
        <v>37</v>
      </c>
      <c r="C2513" t="s">
        <v>16003</v>
      </c>
      <c r="E2513" t="s">
        <v>4951</v>
      </c>
      <c r="F2513" t="s">
        <v>16004</v>
      </c>
      <c r="G2513" t="s">
        <v>16005</v>
      </c>
      <c r="H2513" t="s">
        <v>42</v>
      </c>
      <c r="I2513" t="s">
        <v>16006</v>
      </c>
      <c r="J2513" t="s">
        <v>16007</v>
      </c>
      <c r="K2513" t="s">
        <v>16008</v>
      </c>
      <c r="L2513" t="s">
        <v>142</v>
      </c>
      <c r="M2513" t="s">
        <v>46</v>
      </c>
      <c r="N2513" t="s">
        <v>47</v>
      </c>
      <c r="O2513">
        <v>1</v>
      </c>
      <c r="P2513">
        <v>1</v>
      </c>
      <c r="Q2513">
        <v>1</v>
      </c>
      <c r="R2513" t="s">
        <v>48</v>
      </c>
      <c r="S2513" t="s">
        <v>49</v>
      </c>
      <c r="T2513" s="3">
        <v>0.84</v>
      </c>
      <c r="U2513" s="3">
        <v>0.23</v>
      </c>
      <c r="V2513" s="3">
        <v>0.94</v>
      </c>
      <c r="W2513">
        <v>0.39</v>
      </c>
      <c r="X2513" t="s">
        <v>50</v>
      </c>
      <c r="Y2513" s="3">
        <v>16.43</v>
      </c>
      <c r="Z2513" t="s">
        <v>9850</v>
      </c>
      <c r="AA2513" t="s">
        <v>7420</v>
      </c>
      <c r="AB2513" t="s">
        <v>53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f t="shared" si="78"/>
        <v>18.440000000000001</v>
      </c>
      <c r="AK2513" s="3">
        <f t="shared" si="79"/>
        <v>2.0100000000000016</v>
      </c>
    </row>
    <row r="2514" spans="1:37">
      <c r="A2514">
        <v>10410482</v>
      </c>
      <c r="B2514" t="s">
        <v>37</v>
      </c>
      <c r="C2514" t="s">
        <v>16009</v>
      </c>
      <c r="E2514" t="s">
        <v>16010</v>
      </c>
      <c r="F2514" t="s">
        <v>16011</v>
      </c>
      <c r="G2514" t="s">
        <v>16012</v>
      </c>
      <c r="H2514" t="s">
        <v>42</v>
      </c>
      <c r="I2514" t="s">
        <v>16013</v>
      </c>
      <c r="J2514" t="s">
        <v>16014</v>
      </c>
      <c r="K2514" t="s">
        <v>16015</v>
      </c>
      <c r="L2514" t="s">
        <v>82</v>
      </c>
      <c r="M2514" t="s">
        <v>46</v>
      </c>
      <c r="N2514" t="s">
        <v>47</v>
      </c>
      <c r="O2514">
        <v>1</v>
      </c>
      <c r="P2514">
        <v>1</v>
      </c>
      <c r="Q2514">
        <v>1</v>
      </c>
      <c r="R2514" t="s">
        <v>48</v>
      </c>
      <c r="S2514" t="s">
        <v>49</v>
      </c>
      <c r="T2514" s="3">
        <v>0.84</v>
      </c>
      <c r="U2514" s="3">
        <v>0.23</v>
      </c>
      <c r="V2514" s="3">
        <v>0.94</v>
      </c>
      <c r="W2514">
        <v>0.39</v>
      </c>
      <c r="X2514" t="s">
        <v>50</v>
      </c>
      <c r="Y2514" s="3">
        <v>9.1999999999999993</v>
      </c>
      <c r="Z2514" t="s">
        <v>9850</v>
      </c>
      <c r="AA2514" t="s">
        <v>9223</v>
      </c>
      <c r="AB2514" t="s">
        <v>53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f t="shared" si="78"/>
        <v>11.209999999999999</v>
      </c>
      <c r="AK2514" s="3">
        <f t="shared" si="79"/>
        <v>2.0099999999999998</v>
      </c>
    </row>
    <row r="2515" spans="1:37">
      <c r="A2515">
        <v>10410498</v>
      </c>
      <c r="B2515" t="s">
        <v>37</v>
      </c>
      <c r="C2515" t="s">
        <v>16016</v>
      </c>
      <c r="E2515" t="s">
        <v>1038</v>
      </c>
      <c r="F2515" t="s">
        <v>16017</v>
      </c>
      <c r="G2515" t="s">
        <v>16018</v>
      </c>
      <c r="H2515" t="s">
        <v>42</v>
      </c>
      <c r="I2515" t="s">
        <v>16019</v>
      </c>
      <c r="J2515" t="s">
        <v>16020</v>
      </c>
      <c r="K2515" t="s">
        <v>16021</v>
      </c>
      <c r="L2515" t="s">
        <v>142</v>
      </c>
      <c r="M2515" t="s">
        <v>46</v>
      </c>
      <c r="N2515" t="s">
        <v>47</v>
      </c>
      <c r="O2515">
        <v>1</v>
      </c>
      <c r="P2515">
        <v>1</v>
      </c>
      <c r="Q2515">
        <v>1</v>
      </c>
      <c r="R2515" t="s">
        <v>48</v>
      </c>
      <c r="S2515" t="s">
        <v>49</v>
      </c>
      <c r="T2515" s="3">
        <v>0.84</v>
      </c>
      <c r="U2515" s="3">
        <v>0.23</v>
      </c>
      <c r="V2515" s="3">
        <v>0.94</v>
      </c>
      <c r="W2515">
        <v>0.39</v>
      </c>
      <c r="X2515" t="s">
        <v>50</v>
      </c>
      <c r="Y2515" s="3">
        <v>16.43</v>
      </c>
      <c r="Z2515" t="s">
        <v>9850</v>
      </c>
      <c r="AA2515" t="s">
        <v>9223</v>
      </c>
      <c r="AB2515" t="s">
        <v>53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f t="shared" si="78"/>
        <v>18.440000000000001</v>
      </c>
      <c r="AK2515" s="3">
        <f t="shared" si="79"/>
        <v>2.0100000000000016</v>
      </c>
    </row>
    <row r="2516" spans="1:37">
      <c r="A2516">
        <v>10410477</v>
      </c>
      <c r="B2516" t="s">
        <v>37</v>
      </c>
      <c r="C2516" t="s">
        <v>16022</v>
      </c>
      <c r="E2516" t="s">
        <v>13036</v>
      </c>
      <c r="F2516" t="s">
        <v>16023</v>
      </c>
      <c r="G2516" t="s">
        <v>16024</v>
      </c>
      <c r="H2516" t="s">
        <v>42</v>
      </c>
      <c r="I2516" t="s">
        <v>16025</v>
      </c>
      <c r="J2516" t="s">
        <v>16026</v>
      </c>
      <c r="K2516">
        <v>85737</v>
      </c>
      <c r="L2516" t="s">
        <v>71</v>
      </c>
      <c r="M2516" t="s">
        <v>46</v>
      </c>
      <c r="N2516" t="s">
        <v>47</v>
      </c>
      <c r="O2516">
        <v>1</v>
      </c>
      <c r="P2516">
        <v>1</v>
      </c>
      <c r="Q2516">
        <v>1</v>
      </c>
      <c r="R2516" t="s">
        <v>48</v>
      </c>
      <c r="S2516" t="s">
        <v>49</v>
      </c>
      <c r="T2516" s="3">
        <v>0.84</v>
      </c>
      <c r="U2516" s="3">
        <v>0.23</v>
      </c>
      <c r="V2516" s="3">
        <v>0.94</v>
      </c>
      <c r="W2516">
        <v>1.4</v>
      </c>
      <c r="X2516" t="s">
        <v>108</v>
      </c>
      <c r="Y2516" s="3">
        <v>5.14</v>
      </c>
      <c r="Z2516" t="s">
        <v>9686</v>
      </c>
      <c r="AA2516" t="s">
        <v>198</v>
      </c>
      <c r="AB2516" t="s">
        <v>53</v>
      </c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f t="shared" si="78"/>
        <v>7.15</v>
      </c>
      <c r="AK2516" s="3">
        <f t="shared" si="79"/>
        <v>2.0100000000000007</v>
      </c>
    </row>
    <row r="2517" spans="1:37">
      <c r="A2517">
        <v>10409890</v>
      </c>
      <c r="B2517" t="s">
        <v>37</v>
      </c>
      <c r="C2517" t="s">
        <v>16027</v>
      </c>
      <c r="E2517" t="s">
        <v>16028</v>
      </c>
      <c r="F2517" t="s">
        <v>16029</v>
      </c>
      <c r="G2517" t="s">
        <v>16030</v>
      </c>
      <c r="H2517" t="s">
        <v>42</v>
      </c>
      <c r="I2517" t="s">
        <v>16031</v>
      </c>
      <c r="J2517" t="s">
        <v>16032</v>
      </c>
      <c r="K2517">
        <v>61352</v>
      </c>
      <c r="L2517" t="s">
        <v>71</v>
      </c>
      <c r="M2517" t="s">
        <v>46</v>
      </c>
      <c r="N2517" t="s">
        <v>47</v>
      </c>
      <c r="O2517">
        <v>1</v>
      </c>
      <c r="P2517">
        <v>1</v>
      </c>
      <c r="Q2517">
        <v>1</v>
      </c>
      <c r="R2517" t="s">
        <v>48</v>
      </c>
      <c r="S2517" t="s">
        <v>49</v>
      </c>
      <c r="T2517" s="3">
        <v>0.84</v>
      </c>
      <c r="U2517" s="3">
        <v>0.23</v>
      </c>
      <c r="V2517" s="3">
        <v>0.94</v>
      </c>
      <c r="W2517">
        <v>0.49</v>
      </c>
      <c r="X2517" t="s">
        <v>108</v>
      </c>
      <c r="Y2517" s="3">
        <v>5.14</v>
      </c>
      <c r="Z2517" t="s">
        <v>9850</v>
      </c>
      <c r="AA2517" t="s">
        <v>966</v>
      </c>
      <c r="AB2517" t="s">
        <v>53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f t="shared" si="78"/>
        <v>7.15</v>
      </c>
      <c r="AK2517" s="3">
        <f t="shared" si="79"/>
        <v>2.0100000000000007</v>
      </c>
    </row>
    <row r="2518" spans="1:37">
      <c r="A2518">
        <v>10411571</v>
      </c>
      <c r="B2518" t="s">
        <v>37</v>
      </c>
      <c r="C2518" t="s">
        <v>16033</v>
      </c>
      <c r="E2518" t="s">
        <v>664</v>
      </c>
      <c r="F2518" t="s">
        <v>16034</v>
      </c>
      <c r="G2518" t="s">
        <v>16035</v>
      </c>
      <c r="H2518" t="s">
        <v>42</v>
      </c>
      <c r="I2518" t="s">
        <v>16036</v>
      </c>
      <c r="J2518" t="s">
        <v>16037</v>
      </c>
      <c r="K2518" t="s">
        <v>16038</v>
      </c>
      <c r="L2518" t="s">
        <v>82</v>
      </c>
      <c r="M2518" t="s">
        <v>46</v>
      </c>
      <c r="N2518" t="s">
        <v>47</v>
      </c>
      <c r="O2518">
        <v>1</v>
      </c>
      <c r="P2518">
        <v>1</v>
      </c>
      <c r="Q2518">
        <v>1</v>
      </c>
      <c r="R2518" t="s">
        <v>48</v>
      </c>
      <c r="S2518" t="s">
        <v>49</v>
      </c>
      <c r="T2518" s="3">
        <v>0.84</v>
      </c>
      <c r="U2518" s="3">
        <v>0.23</v>
      </c>
      <c r="V2518" s="3">
        <v>0.94</v>
      </c>
      <c r="W2518">
        <v>0.49</v>
      </c>
      <c r="X2518" t="s">
        <v>50</v>
      </c>
      <c r="Y2518" s="3">
        <v>9.1999999999999993</v>
      </c>
      <c r="Z2518" t="s">
        <v>9850</v>
      </c>
      <c r="AA2518" t="s">
        <v>2623</v>
      </c>
      <c r="AB2518" t="s">
        <v>53</v>
      </c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s="3">
        <f t="shared" si="78"/>
        <v>11.209999999999999</v>
      </c>
      <c r="AK2518" s="3">
        <f t="shared" si="79"/>
        <v>2.0099999999999998</v>
      </c>
    </row>
    <row r="2519" spans="1:37">
      <c r="A2519">
        <v>10411570</v>
      </c>
      <c r="B2519" t="s">
        <v>37</v>
      </c>
      <c r="C2519" t="s">
        <v>16039</v>
      </c>
      <c r="E2519" t="s">
        <v>11936</v>
      </c>
      <c r="F2519" t="s">
        <v>11937</v>
      </c>
      <c r="G2519" t="s">
        <v>16040</v>
      </c>
      <c r="H2519" t="s">
        <v>42</v>
      </c>
      <c r="I2519" t="s">
        <v>16041</v>
      </c>
      <c r="J2519" t="s">
        <v>11940</v>
      </c>
      <c r="K2519">
        <v>25365</v>
      </c>
      <c r="L2519" t="s">
        <v>71</v>
      </c>
      <c r="M2519" t="s">
        <v>46</v>
      </c>
      <c r="N2519" t="s">
        <v>47</v>
      </c>
      <c r="O2519">
        <v>1</v>
      </c>
      <c r="P2519">
        <v>1</v>
      </c>
      <c r="Q2519">
        <v>1</v>
      </c>
      <c r="R2519" t="s">
        <v>48</v>
      </c>
      <c r="S2519" t="s">
        <v>49</v>
      </c>
      <c r="T2519" s="3">
        <v>0.84</v>
      </c>
      <c r="U2519" s="3">
        <v>0.23</v>
      </c>
      <c r="V2519" s="3">
        <v>0.94</v>
      </c>
      <c r="W2519">
        <v>0.26</v>
      </c>
      <c r="X2519" t="s">
        <v>108</v>
      </c>
      <c r="Y2519" s="3">
        <v>5.14</v>
      </c>
      <c r="Z2519" t="s">
        <v>9850</v>
      </c>
      <c r="AA2519" t="s">
        <v>6634</v>
      </c>
      <c r="AB2519" t="s">
        <v>53</v>
      </c>
      <c r="AC2519" s="3">
        <v>0</v>
      </c>
      <c r="AD2519" s="3">
        <v>0</v>
      </c>
      <c r="AE2519" s="3">
        <v>0</v>
      </c>
      <c r="AF2519" s="3">
        <v>0</v>
      </c>
      <c r="AG2519" s="3">
        <v>0</v>
      </c>
      <c r="AH2519" s="3">
        <v>0</v>
      </c>
      <c r="AI2519" s="3">
        <v>0</v>
      </c>
      <c r="AJ2519" s="3">
        <f t="shared" si="78"/>
        <v>7.15</v>
      </c>
      <c r="AK2519" s="3">
        <f t="shared" si="79"/>
        <v>2.0100000000000007</v>
      </c>
    </row>
    <row r="2520" spans="1:37">
      <c r="A2520">
        <v>10413595</v>
      </c>
      <c r="B2520" t="s">
        <v>37</v>
      </c>
      <c r="C2520" t="s">
        <v>16042</v>
      </c>
      <c r="E2520" t="s">
        <v>16043</v>
      </c>
      <c r="F2520" t="s">
        <v>16044</v>
      </c>
      <c r="G2520" t="s">
        <v>16045</v>
      </c>
      <c r="H2520" t="s">
        <v>42</v>
      </c>
      <c r="I2520" t="s">
        <v>16046</v>
      </c>
      <c r="J2520" t="s">
        <v>16047</v>
      </c>
      <c r="K2520" t="s">
        <v>16048</v>
      </c>
      <c r="L2520" t="s">
        <v>82</v>
      </c>
      <c r="M2520" t="s">
        <v>46</v>
      </c>
      <c r="N2520" t="s">
        <v>47</v>
      </c>
      <c r="O2520">
        <v>1</v>
      </c>
      <c r="P2520">
        <v>1</v>
      </c>
      <c r="Q2520">
        <v>1</v>
      </c>
      <c r="R2520" t="s">
        <v>48</v>
      </c>
      <c r="S2520" t="s">
        <v>49</v>
      </c>
      <c r="T2520" s="3">
        <v>0.84</v>
      </c>
      <c r="U2520" s="3">
        <v>0.23</v>
      </c>
      <c r="V2520" s="3">
        <v>0.94</v>
      </c>
      <c r="W2520">
        <v>0.39</v>
      </c>
      <c r="X2520" t="s">
        <v>50</v>
      </c>
      <c r="Y2520" s="3">
        <v>9.1999999999999993</v>
      </c>
      <c r="Z2520" t="s">
        <v>9850</v>
      </c>
      <c r="AA2520" t="s">
        <v>1385</v>
      </c>
      <c r="AB2520" t="s">
        <v>53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s="3">
        <f t="shared" si="78"/>
        <v>11.209999999999999</v>
      </c>
      <c r="AK2520" s="3">
        <f t="shared" si="79"/>
        <v>2.0099999999999998</v>
      </c>
    </row>
    <row r="2521" spans="1:37">
      <c r="A2521">
        <v>10390809</v>
      </c>
      <c r="B2521" t="s">
        <v>37</v>
      </c>
      <c r="C2521" t="s">
        <v>16049</v>
      </c>
      <c r="E2521" t="s">
        <v>2653</v>
      </c>
      <c r="F2521" t="s">
        <v>187</v>
      </c>
      <c r="G2521" t="s">
        <v>16050</v>
      </c>
      <c r="H2521" t="s">
        <v>42</v>
      </c>
      <c r="I2521" t="s">
        <v>16051</v>
      </c>
      <c r="J2521" t="s">
        <v>16052</v>
      </c>
      <c r="K2521">
        <v>61440</v>
      </c>
      <c r="L2521" t="s">
        <v>71</v>
      </c>
      <c r="M2521" t="s">
        <v>46</v>
      </c>
      <c r="N2521" t="s">
        <v>47</v>
      </c>
      <c r="O2521">
        <v>1</v>
      </c>
      <c r="P2521">
        <v>1</v>
      </c>
      <c r="Q2521">
        <v>1</v>
      </c>
      <c r="R2521" t="s">
        <v>48</v>
      </c>
      <c r="S2521" t="s">
        <v>49</v>
      </c>
      <c r="T2521" s="3">
        <v>0.84</v>
      </c>
      <c r="U2521" s="3">
        <v>0.23</v>
      </c>
      <c r="V2521" s="3">
        <v>0.94</v>
      </c>
      <c r="W2521">
        <v>0.15</v>
      </c>
      <c r="X2521" t="s">
        <v>108</v>
      </c>
      <c r="Y2521" s="3">
        <v>5.14</v>
      </c>
      <c r="Z2521" t="s">
        <v>9850</v>
      </c>
      <c r="AA2521" t="s">
        <v>9271</v>
      </c>
      <c r="AB2521" t="s">
        <v>53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f t="shared" si="78"/>
        <v>7.15</v>
      </c>
      <c r="AK2521" s="3">
        <f t="shared" si="79"/>
        <v>2.0100000000000007</v>
      </c>
    </row>
    <row r="2522" spans="1:37">
      <c r="A2522">
        <v>10389967</v>
      </c>
      <c r="B2522" t="s">
        <v>37</v>
      </c>
      <c r="C2522" t="s">
        <v>16053</v>
      </c>
      <c r="E2522" t="s">
        <v>16054</v>
      </c>
      <c r="F2522" t="s">
        <v>16055</v>
      </c>
      <c r="G2522" t="s">
        <v>16056</v>
      </c>
      <c r="H2522" t="s">
        <v>42</v>
      </c>
      <c r="I2522" t="s">
        <v>16057</v>
      </c>
      <c r="J2522" t="s">
        <v>16058</v>
      </c>
      <c r="K2522">
        <v>8110</v>
      </c>
      <c r="L2522" t="s">
        <v>369</v>
      </c>
      <c r="M2522" t="s">
        <v>46</v>
      </c>
      <c r="N2522" t="s">
        <v>47</v>
      </c>
      <c r="O2522">
        <v>7</v>
      </c>
      <c r="P2522">
        <v>1</v>
      </c>
      <c r="Q2522">
        <v>7</v>
      </c>
      <c r="R2522" t="s">
        <v>48</v>
      </c>
      <c r="S2522" t="s">
        <v>49</v>
      </c>
      <c r="T2522" s="3">
        <v>0.84</v>
      </c>
      <c r="U2522" s="3">
        <v>0.23</v>
      </c>
      <c r="V2522" s="3">
        <v>6.16</v>
      </c>
      <c r="W2522">
        <v>2.83</v>
      </c>
      <c r="X2522" t="s">
        <v>50</v>
      </c>
      <c r="Y2522" s="3">
        <v>9.19</v>
      </c>
      <c r="Z2522" t="s">
        <v>83</v>
      </c>
      <c r="AA2522" t="s">
        <v>16059</v>
      </c>
      <c r="AB2522" t="s">
        <v>53</v>
      </c>
      <c r="AC2522" s="3">
        <v>1.27</v>
      </c>
      <c r="AD2522" s="3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 s="3">
        <f t="shared" si="78"/>
        <v>17.689999999999998</v>
      </c>
      <c r="AK2522" s="3">
        <f t="shared" si="79"/>
        <v>8.4999999999999982</v>
      </c>
    </row>
    <row r="2523" spans="1:37">
      <c r="A2523">
        <v>10378287</v>
      </c>
      <c r="B2523" t="s">
        <v>37</v>
      </c>
      <c r="C2523" t="s">
        <v>16060</v>
      </c>
      <c r="E2523" t="s">
        <v>8974</v>
      </c>
      <c r="F2523" t="s">
        <v>16061</v>
      </c>
      <c r="G2523" t="s">
        <v>16062</v>
      </c>
      <c r="H2523" t="s">
        <v>42</v>
      </c>
      <c r="I2523" t="s">
        <v>16063</v>
      </c>
      <c r="J2523" t="s">
        <v>16064</v>
      </c>
      <c r="K2523" t="s">
        <v>16065</v>
      </c>
      <c r="L2523" t="s">
        <v>82</v>
      </c>
      <c r="M2523" t="s">
        <v>46</v>
      </c>
      <c r="N2523" t="s">
        <v>47</v>
      </c>
      <c r="O2523">
        <v>6</v>
      </c>
      <c r="P2523">
        <v>1</v>
      </c>
      <c r="Q2523">
        <v>6</v>
      </c>
      <c r="R2523" t="s">
        <v>48</v>
      </c>
      <c r="S2523" t="s">
        <v>49</v>
      </c>
      <c r="T2523" s="3">
        <v>0.84</v>
      </c>
      <c r="U2523" s="3">
        <v>0.23</v>
      </c>
      <c r="V2523" s="3">
        <v>5.29</v>
      </c>
      <c r="W2523">
        <v>1.68</v>
      </c>
      <c r="X2523" t="s">
        <v>50</v>
      </c>
      <c r="Y2523" s="3">
        <v>9.19</v>
      </c>
      <c r="Z2523" t="s">
        <v>73</v>
      </c>
      <c r="AA2523" t="s">
        <v>16066</v>
      </c>
      <c r="AB2523" t="s">
        <v>53</v>
      </c>
      <c r="AC2523" s="3">
        <v>1.29</v>
      </c>
      <c r="AD2523" s="3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  <c r="AJ2523" s="3">
        <f t="shared" si="78"/>
        <v>16.84</v>
      </c>
      <c r="AK2523" s="3">
        <f t="shared" si="79"/>
        <v>7.65</v>
      </c>
    </row>
    <row r="2524" spans="1:37">
      <c r="A2524">
        <v>10393209</v>
      </c>
      <c r="B2524" t="s">
        <v>37</v>
      </c>
      <c r="C2524" t="s">
        <v>16067</v>
      </c>
      <c r="E2524" t="s">
        <v>8670</v>
      </c>
      <c r="F2524" t="s">
        <v>16068</v>
      </c>
      <c r="G2524" t="s">
        <v>16069</v>
      </c>
      <c r="H2524" t="s">
        <v>42</v>
      </c>
      <c r="I2524" t="s">
        <v>16070</v>
      </c>
      <c r="J2524" t="s">
        <v>16071</v>
      </c>
      <c r="K2524">
        <v>92100</v>
      </c>
      <c r="L2524" t="s">
        <v>130</v>
      </c>
      <c r="M2524" t="s">
        <v>46</v>
      </c>
      <c r="N2524" t="s">
        <v>47</v>
      </c>
      <c r="O2524">
        <v>4</v>
      </c>
      <c r="P2524">
        <v>1</v>
      </c>
      <c r="Q2524">
        <v>4</v>
      </c>
      <c r="R2524" t="s">
        <v>48</v>
      </c>
      <c r="S2524" t="s">
        <v>49</v>
      </c>
      <c r="T2524" s="3">
        <v>0.84</v>
      </c>
      <c r="U2524" s="3">
        <v>0.23</v>
      </c>
      <c r="V2524" s="3">
        <v>3.55</v>
      </c>
      <c r="W2524">
        <v>1.1200000000000001</v>
      </c>
      <c r="X2524" t="s">
        <v>50</v>
      </c>
      <c r="Y2524" s="3">
        <v>14.26</v>
      </c>
      <c r="Z2524" t="s">
        <v>9686</v>
      </c>
      <c r="AA2524" t="s">
        <v>16072</v>
      </c>
      <c r="AB2524" t="s">
        <v>53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s="3">
        <f t="shared" si="78"/>
        <v>18.88</v>
      </c>
      <c r="AK2524" s="3">
        <f t="shared" si="79"/>
        <v>4.6199999999999992</v>
      </c>
    </row>
    <row r="2525" spans="1:37">
      <c r="A2525">
        <v>10410485</v>
      </c>
      <c r="B2525" t="s">
        <v>37</v>
      </c>
      <c r="C2525" t="s">
        <v>16073</v>
      </c>
      <c r="E2525" t="s">
        <v>16074</v>
      </c>
      <c r="F2525" t="s">
        <v>16075</v>
      </c>
      <c r="G2525" t="s">
        <v>16076</v>
      </c>
      <c r="H2525" t="s">
        <v>42</v>
      </c>
      <c r="I2525" t="s">
        <v>16077</v>
      </c>
      <c r="J2525" t="s">
        <v>16078</v>
      </c>
      <c r="K2525">
        <v>2539</v>
      </c>
      <c r="L2525" t="s">
        <v>369</v>
      </c>
      <c r="M2525" t="s">
        <v>46</v>
      </c>
      <c r="N2525" t="s">
        <v>47</v>
      </c>
      <c r="O2525">
        <v>4</v>
      </c>
      <c r="P2525">
        <v>1</v>
      </c>
      <c r="Q2525">
        <v>4</v>
      </c>
      <c r="R2525" t="s">
        <v>48</v>
      </c>
      <c r="S2525" t="s">
        <v>49</v>
      </c>
      <c r="T2525" s="3">
        <v>0.84</v>
      </c>
      <c r="U2525" s="3">
        <v>0.23</v>
      </c>
      <c r="V2525" s="3">
        <v>3.55</v>
      </c>
      <c r="W2525">
        <v>1.56</v>
      </c>
      <c r="X2525" t="s">
        <v>50</v>
      </c>
      <c r="Y2525" s="3">
        <v>9.19</v>
      </c>
      <c r="Z2525" t="s">
        <v>9686</v>
      </c>
      <c r="AA2525" t="s">
        <v>429</v>
      </c>
      <c r="AB2525" t="s">
        <v>53</v>
      </c>
      <c r="AC2525" s="3">
        <v>0</v>
      </c>
      <c r="AD2525" s="3">
        <v>0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  <c r="AJ2525" s="3">
        <f t="shared" si="78"/>
        <v>13.809999999999999</v>
      </c>
      <c r="AK2525" s="3">
        <f t="shared" si="79"/>
        <v>4.6199999999999992</v>
      </c>
    </row>
    <row r="2526" spans="1:37">
      <c r="A2526">
        <v>10390279</v>
      </c>
      <c r="B2526" t="s">
        <v>37</v>
      </c>
      <c r="C2526" t="s">
        <v>16079</v>
      </c>
      <c r="E2526" t="s">
        <v>10746</v>
      </c>
      <c r="F2526" t="s">
        <v>16080</v>
      </c>
      <c r="G2526" t="s">
        <v>16081</v>
      </c>
      <c r="H2526" t="s">
        <v>42</v>
      </c>
      <c r="I2526" t="s">
        <v>16082</v>
      </c>
      <c r="J2526" t="s">
        <v>16083</v>
      </c>
      <c r="K2526">
        <v>91058</v>
      </c>
      <c r="L2526" t="s">
        <v>71</v>
      </c>
      <c r="M2526" t="s">
        <v>46</v>
      </c>
      <c r="N2526" t="s">
        <v>47</v>
      </c>
      <c r="O2526">
        <v>5</v>
      </c>
      <c r="P2526">
        <v>1</v>
      </c>
      <c r="Q2526">
        <v>5</v>
      </c>
      <c r="R2526" t="s">
        <v>48</v>
      </c>
      <c r="S2526" t="s">
        <v>49</v>
      </c>
      <c r="T2526" s="3">
        <v>0.84</v>
      </c>
      <c r="U2526" s="3">
        <v>0.23</v>
      </c>
      <c r="V2526" s="3">
        <v>4.42</v>
      </c>
      <c r="W2526">
        <v>1.33</v>
      </c>
      <c r="X2526" t="s">
        <v>72</v>
      </c>
      <c r="Y2526" s="3">
        <v>5.43</v>
      </c>
      <c r="Z2526" t="s">
        <v>73</v>
      </c>
      <c r="AA2526" t="s">
        <v>16084</v>
      </c>
      <c r="AB2526" t="s">
        <v>53</v>
      </c>
      <c r="AC2526" s="3">
        <v>1.29</v>
      </c>
      <c r="AD2526" s="3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s="3">
        <f t="shared" si="78"/>
        <v>12.21</v>
      </c>
      <c r="AK2526" s="3">
        <f t="shared" si="79"/>
        <v>6.7800000000000011</v>
      </c>
    </row>
    <row r="2527" spans="1:37">
      <c r="A2527">
        <v>10394044</v>
      </c>
      <c r="B2527" t="s">
        <v>111</v>
      </c>
      <c r="C2527" t="s">
        <v>16085</v>
      </c>
      <c r="D2527" t="s">
        <v>9549</v>
      </c>
      <c r="E2527" t="s">
        <v>9550</v>
      </c>
      <c r="F2527" t="s">
        <v>9551</v>
      </c>
      <c r="G2527" t="s">
        <v>16086</v>
      </c>
      <c r="H2527" t="s">
        <v>117</v>
      </c>
      <c r="I2527" t="s">
        <v>16087</v>
      </c>
      <c r="J2527" t="s">
        <v>9554</v>
      </c>
      <c r="K2527">
        <v>85748</v>
      </c>
      <c r="L2527" t="s">
        <v>71</v>
      </c>
      <c r="M2527" t="s">
        <v>46</v>
      </c>
      <c r="N2527" t="s">
        <v>47</v>
      </c>
      <c r="O2527">
        <v>96</v>
      </c>
      <c r="P2527">
        <v>3</v>
      </c>
      <c r="Q2527">
        <v>96</v>
      </c>
      <c r="R2527" t="s">
        <v>48</v>
      </c>
      <c r="S2527" t="s">
        <v>49</v>
      </c>
      <c r="T2527" s="3">
        <v>7</v>
      </c>
      <c r="U2527" s="3">
        <v>0.23</v>
      </c>
      <c r="V2527" s="3">
        <v>76.989999999999995</v>
      </c>
      <c r="W2527">
        <v>20</v>
      </c>
      <c r="X2527" t="s">
        <v>72</v>
      </c>
      <c r="Y2527" s="3">
        <v>28.33</v>
      </c>
      <c r="Z2527" t="s">
        <v>16088</v>
      </c>
      <c r="AA2527" t="s">
        <v>16089</v>
      </c>
      <c r="AB2527" t="s">
        <v>53</v>
      </c>
      <c r="AC2527" s="3">
        <v>7.95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f t="shared" si="78"/>
        <v>120.5</v>
      </c>
      <c r="AK2527" s="3">
        <f t="shared" si="79"/>
        <v>92.17</v>
      </c>
    </row>
    <row r="2528" spans="1:37">
      <c r="A2528">
        <v>10410936</v>
      </c>
      <c r="B2528" t="s">
        <v>37</v>
      </c>
      <c r="C2528" t="s">
        <v>16090</v>
      </c>
      <c r="E2528" t="s">
        <v>16091</v>
      </c>
      <c r="F2528" t="s">
        <v>16092</v>
      </c>
      <c r="G2528" t="s">
        <v>16093</v>
      </c>
      <c r="H2528" t="s">
        <v>42</v>
      </c>
      <c r="I2528" t="s">
        <v>16094</v>
      </c>
      <c r="J2528" t="s">
        <v>16095</v>
      </c>
      <c r="K2528">
        <v>1840</v>
      </c>
      <c r="L2528" t="s">
        <v>505</v>
      </c>
      <c r="M2528" t="s">
        <v>46</v>
      </c>
      <c r="N2528" t="s">
        <v>47</v>
      </c>
      <c r="O2528">
        <v>4</v>
      </c>
      <c r="P2528">
        <v>1</v>
      </c>
      <c r="Q2528">
        <v>4</v>
      </c>
      <c r="R2528" t="s">
        <v>48</v>
      </c>
      <c r="S2528" t="s">
        <v>49</v>
      </c>
      <c r="T2528" s="3">
        <v>0.84</v>
      </c>
      <c r="U2528" s="3">
        <v>0.23</v>
      </c>
      <c r="V2528" s="3">
        <v>3.55</v>
      </c>
      <c r="W2528">
        <v>1.56</v>
      </c>
      <c r="X2528" t="s">
        <v>50</v>
      </c>
      <c r="Y2528" s="3">
        <v>9.1999999999999993</v>
      </c>
      <c r="Z2528" t="s">
        <v>9686</v>
      </c>
      <c r="AA2528" t="s">
        <v>459</v>
      </c>
      <c r="AB2528" t="s">
        <v>53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f t="shared" si="78"/>
        <v>13.82</v>
      </c>
      <c r="AK2528" s="3">
        <f t="shared" si="79"/>
        <v>4.620000000000001</v>
      </c>
    </row>
    <row r="2529" spans="1:37">
      <c r="A2529">
        <v>10411229</v>
      </c>
      <c r="B2529" t="s">
        <v>37</v>
      </c>
      <c r="C2529" t="s">
        <v>16096</v>
      </c>
      <c r="E2529" t="s">
        <v>1712</v>
      </c>
      <c r="F2529" t="s">
        <v>16097</v>
      </c>
      <c r="G2529" t="s">
        <v>16098</v>
      </c>
      <c r="H2529" t="s">
        <v>42</v>
      </c>
      <c r="I2529" t="s">
        <v>16099</v>
      </c>
      <c r="J2529" t="s">
        <v>16100</v>
      </c>
      <c r="K2529">
        <v>81825</v>
      </c>
      <c r="L2529" t="s">
        <v>71</v>
      </c>
      <c r="M2529" t="s">
        <v>46</v>
      </c>
      <c r="N2529" t="s">
        <v>47</v>
      </c>
      <c r="O2529">
        <v>7</v>
      </c>
      <c r="P2529">
        <v>1</v>
      </c>
      <c r="Q2529">
        <v>7</v>
      </c>
      <c r="R2529" t="s">
        <v>48</v>
      </c>
      <c r="S2529" t="s">
        <v>49</v>
      </c>
      <c r="T2529" s="3">
        <v>0.84</v>
      </c>
      <c r="U2529" s="3">
        <v>0.23</v>
      </c>
      <c r="V2529" s="3">
        <v>6.16</v>
      </c>
      <c r="W2529">
        <v>2.6</v>
      </c>
      <c r="X2529" t="s">
        <v>72</v>
      </c>
      <c r="Y2529" s="3">
        <v>6.61</v>
      </c>
      <c r="Z2529" t="s">
        <v>83</v>
      </c>
      <c r="AA2529" t="s">
        <v>16101</v>
      </c>
      <c r="AB2529" t="s">
        <v>53</v>
      </c>
      <c r="AC2529" s="3">
        <v>1.27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f t="shared" si="78"/>
        <v>15.110000000000001</v>
      </c>
      <c r="AK2529" s="3">
        <f t="shared" si="79"/>
        <v>8.5</v>
      </c>
    </row>
    <row r="2530" spans="1:37">
      <c r="A2530">
        <v>10413321</v>
      </c>
      <c r="B2530" t="s">
        <v>37</v>
      </c>
      <c r="C2530" t="s">
        <v>16102</v>
      </c>
      <c r="E2530" t="s">
        <v>6067</v>
      </c>
      <c r="F2530" t="s">
        <v>16103</v>
      </c>
      <c r="G2530" t="s">
        <v>16104</v>
      </c>
      <c r="H2530" t="s">
        <v>42</v>
      </c>
      <c r="I2530" t="s">
        <v>16105</v>
      </c>
      <c r="J2530" t="s">
        <v>16106</v>
      </c>
      <c r="K2530" t="s">
        <v>16107</v>
      </c>
      <c r="L2530" t="s">
        <v>82</v>
      </c>
      <c r="M2530" t="s">
        <v>46</v>
      </c>
      <c r="N2530" t="s">
        <v>47</v>
      </c>
      <c r="O2530">
        <v>5</v>
      </c>
      <c r="P2530">
        <v>1</v>
      </c>
      <c r="Q2530">
        <v>5</v>
      </c>
      <c r="R2530" t="s">
        <v>48</v>
      </c>
      <c r="S2530" t="s">
        <v>49</v>
      </c>
      <c r="T2530" s="3">
        <v>0.84</v>
      </c>
      <c r="U2530" s="3">
        <v>0.23</v>
      </c>
      <c r="V2530" s="3">
        <v>4.42</v>
      </c>
      <c r="W2530">
        <v>2.5299999999999998</v>
      </c>
      <c r="X2530" t="s">
        <v>50</v>
      </c>
      <c r="Y2530" s="3">
        <v>9.19</v>
      </c>
      <c r="Z2530" t="s">
        <v>73</v>
      </c>
      <c r="AA2530" t="s">
        <v>16108</v>
      </c>
      <c r="AB2530" t="s">
        <v>53</v>
      </c>
      <c r="AC2530" s="3">
        <v>1.29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s="3">
        <f t="shared" si="78"/>
        <v>15.97</v>
      </c>
      <c r="AK2530" s="3">
        <f t="shared" si="79"/>
        <v>6.7800000000000011</v>
      </c>
    </row>
    <row r="2531" spans="1:37">
      <c r="A2531">
        <v>10411231</v>
      </c>
      <c r="B2531" t="s">
        <v>37</v>
      </c>
      <c r="C2531" t="s">
        <v>16109</v>
      </c>
      <c r="E2531" t="s">
        <v>16091</v>
      </c>
      <c r="F2531" t="s">
        <v>16110</v>
      </c>
      <c r="G2531" t="s">
        <v>16111</v>
      </c>
      <c r="H2531" t="s">
        <v>42</v>
      </c>
      <c r="I2531" t="s">
        <v>16112</v>
      </c>
      <c r="J2531" t="s">
        <v>16113</v>
      </c>
      <c r="K2531">
        <v>2650</v>
      </c>
      <c r="L2531" t="s">
        <v>505</v>
      </c>
      <c r="M2531" t="s">
        <v>46</v>
      </c>
      <c r="N2531" t="s">
        <v>47</v>
      </c>
      <c r="O2531">
        <v>4</v>
      </c>
      <c r="P2531">
        <v>1</v>
      </c>
      <c r="Q2531">
        <v>4</v>
      </c>
      <c r="R2531" t="s">
        <v>48</v>
      </c>
      <c r="S2531" t="s">
        <v>49</v>
      </c>
      <c r="T2531" s="3">
        <v>0.84</v>
      </c>
      <c r="U2531" s="3">
        <v>0.23</v>
      </c>
      <c r="V2531" s="3">
        <v>3.55</v>
      </c>
      <c r="W2531">
        <v>1.96</v>
      </c>
      <c r="X2531" t="s">
        <v>50</v>
      </c>
      <c r="Y2531" s="3">
        <v>9.19</v>
      </c>
      <c r="Z2531" t="s">
        <v>9686</v>
      </c>
      <c r="AA2531" t="s">
        <v>10846</v>
      </c>
      <c r="AB2531" t="s">
        <v>53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f t="shared" si="78"/>
        <v>13.809999999999999</v>
      </c>
      <c r="AK2531" s="3">
        <f t="shared" si="79"/>
        <v>4.6199999999999992</v>
      </c>
    </row>
    <row r="2532" spans="1:37">
      <c r="A2532">
        <v>10411230</v>
      </c>
      <c r="B2532" t="s">
        <v>37</v>
      </c>
      <c r="C2532" t="s">
        <v>16114</v>
      </c>
      <c r="E2532" t="s">
        <v>16115</v>
      </c>
      <c r="F2532" t="s">
        <v>16116</v>
      </c>
      <c r="G2532" t="s">
        <v>16117</v>
      </c>
      <c r="H2532" t="s">
        <v>42</v>
      </c>
      <c r="I2532" t="s">
        <v>16118</v>
      </c>
      <c r="J2532" t="s">
        <v>16119</v>
      </c>
      <c r="K2532" t="s">
        <v>16120</v>
      </c>
      <c r="L2532" t="s">
        <v>62</v>
      </c>
      <c r="M2532" t="s">
        <v>46</v>
      </c>
      <c r="N2532" t="s">
        <v>47</v>
      </c>
      <c r="O2532">
        <v>3</v>
      </c>
      <c r="P2532">
        <v>1</v>
      </c>
      <c r="Q2532">
        <v>3</v>
      </c>
      <c r="R2532" t="s">
        <v>48</v>
      </c>
      <c r="S2532" t="s">
        <v>49</v>
      </c>
      <c r="T2532" s="3">
        <v>0.84</v>
      </c>
      <c r="U2532" s="3">
        <v>0.23</v>
      </c>
      <c r="V2532" s="3">
        <v>2.68</v>
      </c>
      <c r="W2532">
        <v>1.03</v>
      </c>
      <c r="X2532" t="s">
        <v>100</v>
      </c>
      <c r="Y2532" s="3">
        <v>21.5</v>
      </c>
      <c r="Z2532" t="s">
        <v>9686</v>
      </c>
      <c r="AA2532" t="s">
        <v>16121</v>
      </c>
      <c r="AB2532" t="s">
        <v>53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f t="shared" si="78"/>
        <v>25.25</v>
      </c>
      <c r="AK2532" s="3">
        <f t="shared" si="79"/>
        <v>3.75</v>
      </c>
    </row>
    <row r="2533" spans="1:37">
      <c r="A2533">
        <v>10411891</v>
      </c>
      <c r="B2533" t="s">
        <v>37</v>
      </c>
      <c r="C2533" t="s">
        <v>16122</v>
      </c>
      <c r="E2533" t="s">
        <v>11647</v>
      </c>
      <c r="F2533" t="s">
        <v>16123</v>
      </c>
      <c r="G2533" t="s">
        <v>16124</v>
      </c>
      <c r="H2533" t="s">
        <v>42</v>
      </c>
      <c r="I2533" t="s">
        <v>16125</v>
      </c>
      <c r="J2533" t="s">
        <v>16126</v>
      </c>
      <c r="K2533">
        <v>55124</v>
      </c>
      <c r="L2533" t="s">
        <v>71</v>
      </c>
      <c r="M2533" t="s">
        <v>46</v>
      </c>
      <c r="N2533" t="s">
        <v>47</v>
      </c>
      <c r="O2533">
        <v>5</v>
      </c>
      <c r="P2533">
        <v>1</v>
      </c>
      <c r="Q2533">
        <v>5</v>
      </c>
      <c r="R2533" t="s">
        <v>48</v>
      </c>
      <c r="S2533" t="s">
        <v>49</v>
      </c>
      <c r="T2533" s="3">
        <v>0.84</v>
      </c>
      <c r="U2533" s="3">
        <v>0.23</v>
      </c>
      <c r="V2533" s="3">
        <v>4.42</v>
      </c>
      <c r="W2533">
        <v>2.2000000000000002</v>
      </c>
      <c r="X2533" t="s">
        <v>72</v>
      </c>
      <c r="Y2533" s="3">
        <v>5.43</v>
      </c>
      <c r="Z2533" t="s">
        <v>73</v>
      </c>
      <c r="AA2533" t="s">
        <v>16127</v>
      </c>
      <c r="AB2533" t="s">
        <v>53</v>
      </c>
      <c r="AC2533" s="3">
        <v>1.29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f t="shared" si="78"/>
        <v>12.21</v>
      </c>
      <c r="AK2533" s="3">
        <f t="shared" si="79"/>
        <v>6.7800000000000011</v>
      </c>
    </row>
    <row r="2534" spans="1:37">
      <c r="A2534">
        <v>10411573</v>
      </c>
      <c r="B2534" t="s">
        <v>37</v>
      </c>
      <c r="C2534" t="s">
        <v>16128</v>
      </c>
      <c r="E2534" t="s">
        <v>11647</v>
      </c>
      <c r="F2534" t="s">
        <v>16129</v>
      </c>
      <c r="G2534" t="s">
        <v>16130</v>
      </c>
      <c r="H2534" t="s">
        <v>42</v>
      </c>
      <c r="I2534" t="s">
        <v>16131</v>
      </c>
      <c r="J2534" t="s">
        <v>16132</v>
      </c>
      <c r="K2534">
        <v>44379</v>
      </c>
      <c r="L2534" t="s">
        <v>71</v>
      </c>
      <c r="M2534" t="s">
        <v>46</v>
      </c>
      <c r="N2534" t="s">
        <v>47</v>
      </c>
      <c r="O2534">
        <v>3</v>
      </c>
      <c r="P2534">
        <v>1</v>
      </c>
      <c r="Q2534">
        <v>3</v>
      </c>
      <c r="R2534" t="s">
        <v>48</v>
      </c>
      <c r="S2534" t="s">
        <v>49</v>
      </c>
      <c r="T2534" s="3">
        <v>0.84</v>
      </c>
      <c r="U2534" s="3">
        <v>0.23</v>
      </c>
      <c r="V2534" s="3">
        <v>2.68</v>
      </c>
      <c r="W2534">
        <v>1.27</v>
      </c>
      <c r="X2534" t="s">
        <v>108</v>
      </c>
      <c r="Y2534" s="3">
        <v>5.13</v>
      </c>
      <c r="Z2534" t="s">
        <v>9850</v>
      </c>
      <c r="AA2534" t="s">
        <v>16133</v>
      </c>
      <c r="AB2534" t="s">
        <v>53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f t="shared" si="78"/>
        <v>8.8800000000000008</v>
      </c>
      <c r="AK2534" s="3">
        <f t="shared" si="79"/>
        <v>3.7500000000000009</v>
      </c>
    </row>
    <row r="2535" spans="1:37">
      <c r="A2535">
        <v>10412220</v>
      </c>
      <c r="B2535" t="s">
        <v>37</v>
      </c>
      <c r="C2535" t="s">
        <v>16134</v>
      </c>
      <c r="E2535" t="s">
        <v>16135</v>
      </c>
      <c r="F2535" t="s">
        <v>16136</v>
      </c>
      <c r="G2535" t="s">
        <v>16137</v>
      </c>
      <c r="H2535" t="s">
        <v>42</v>
      </c>
      <c r="I2535" t="s">
        <v>16138</v>
      </c>
      <c r="J2535" t="s">
        <v>16139</v>
      </c>
      <c r="K2535">
        <v>22077</v>
      </c>
      <c r="L2535" t="s">
        <v>283</v>
      </c>
      <c r="M2535" t="s">
        <v>46</v>
      </c>
      <c r="N2535" t="s">
        <v>47</v>
      </c>
      <c r="O2535">
        <v>4</v>
      </c>
      <c r="P2535">
        <v>1</v>
      </c>
      <c r="Q2535">
        <v>4</v>
      </c>
      <c r="R2535" t="s">
        <v>48</v>
      </c>
      <c r="S2535" t="s">
        <v>49</v>
      </c>
      <c r="T2535" s="3">
        <v>0.84</v>
      </c>
      <c r="U2535" s="3">
        <v>0.23</v>
      </c>
      <c r="V2535" s="3">
        <v>3.55</v>
      </c>
      <c r="W2535">
        <v>1.96</v>
      </c>
      <c r="X2535" t="s">
        <v>50</v>
      </c>
      <c r="Y2535" s="3">
        <v>14.98</v>
      </c>
      <c r="Z2535" t="s">
        <v>9686</v>
      </c>
      <c r="AA2535" t="s">
        <v>966</v>
      </c>
      <c r="AB2535" t="s">
        <v>53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f t="shared" si="78"/>
        <v>19.600000000000001</v>
      </c>
      <c r="AK2535" s="3">
        <f t="shared" si="79"/>
        <v>4.620000000000001</v>
      </c>
    </row>
    <row r="2536" spans="1:37">
      <c r="A2536">
        <v>10411226</v>
      </c>
      <c r="B2536" t="s">
        <v>37</v>
      </c>
      <c r="C2536" t="s">
        <v>16140</v>
      </c>
      <c r="E2536" t="s">
        <v>16141</v>
      </c>
      <c r="F2536" t="s">
        <v>16142</v>
      </c>
      <c r="G2536" t="s">
        <v>16143</v>
      </c>
      <c r="H2536" t="s">
        <v>42</v>
      </c>
      <c r="I2536" t="s">
        <v>16144</v>
      </c>
      <c r="J2536" t="s">
        <v>16145</v>
      </c>
      <c r="K2536">
        <v>22081</v>
      </c>
      <c r="L2536" t="s">
        <v>71</v>
      </c>
      <c r="M2536" t="s">
        <v>46</v>
      </c>
      <c r="N2536" t="s">
        <v>47</v>
      </c>
      <c r="O2536">
        <v>3</v>
      </c>
      <c r="P2536">
        <v>1</v>
      </c>
      <c r="Q2536">
        <v>3</v>
      </c>
      <c r="R2536" t="s">
        <v>48</v>
      </c>
      <c r="S2536" t="s">
        <v>49</v>
      </c>
      <c r="T2536" s="3">
        <v>0.84</v>
      </c>
      <c r="U2536" s="3">
        <v>0.23</v>
      </c>
      <c r="V2536" s="3">
        <v>2.68</v>
      </c>
      <c r="W2536">
        <v>1.35</v>
      </c>
      <c r="X2536" t="s">
        <v>108</v>
      </c>
      <c r="Y2536" s="3">
        <v>5.14</v>
      </c>
      <c r="Z2536" t="s">
        <v>9850</v>
      </c>
      <c r="AA2536" t="s">
        <v>16146</v>
      </c>
      <c r="AB2536" t="s">
        <v>53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f t="shared" si="78"/>
        <v>8.89</v>
      </c>
      <c r="AK2536" s="3">
        <f t="shared" si="79"/>
        <v>3.7500000000000009</v>
      </c>
    </row>
    <row r="2537" spans="1:37">
      <c r="A2537">
        <v>10411572</v>
      </c>
      <c r="B2537" t="s">
        <v>37</v>
      </c>
      <c r="C2537" t="s">
        <v>16147</v>
      </c>
      <c r="E2537" t="s">
        <v>1236</v>
      </c>
      <c r="F2537" t="s">
        <v>16148</v>
      </c>
      <c r="G2537" t="s">
        <v>16149</v>
      </c>
      <c r="H2537" t="s">
        <v>42</v>
      </c>
      <c r="I2537" t="s">
        <v>16150</v>
      </c>
      <c r="J2537" t="s">
        <v>16151</v>
      </c>
      <c r="K2537">
        <v>33699</v>
      </c>
      <c r="L2537" t="s">
        <v>71</v>
      </c>
      <c r="M2537" t="s">
        <v>46</v>
      </c>
      <c r="N2537" t="s">
        <v>47</v>
      </c>
      <c r="O2537">
        <v>4</v>
      </c>
      <c r="P2537">
        <v>1</v>
      </c>
      <c r="Q2537">
        <v>4</v>
      </c>
      <c r="R2537" t="s">
        <v>48</v>
      </c>
      <c r="S2537" t="s">
        <v>49</v>
      </c>
      <c r="T2537" s="3">
        <v>0.84</v>
      </c>
      <c r="U2537" s="3">
        <v>0.23</v>
      </c>
      <c r="V2537" s="3">
        <v>3.55</v>
      </c>
      <c r="W2537">
        <v>1.18</v>
      </c>
      <c r="X2537" t="s">
        <v>108</v>
      </c>
      <c r="Y2537" s="3">
        <v>5.13</v>
      </c>
      <c r="Z2537" t="s">
        <v>9850</v>
      </c>
      <c r="AA2537" t="s">
        <v>16152</v>
      </c>
      <c r="AB2537" t="s">
        <v>53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f t="shared" si="78"/>
        <v>9.75</v>
      </c>
      <c r="AK2537" s="3">
        <f t="shared" si="79"/>
        <v>4.62</v>
      </c>
    </row>
    <row r="2538" spans="1:37">
      <c r="A2538">
        <v>10411892</v>
      </c>
      <c r="B2538" t="s">
        <v>37</v>
      </c>
      <c r="C2538" t="s">
        <v>16153</v>
      </c>
      <c r="E2538" t="s">
        <v>5487</v>
      </c>
      <c r="F2538" t="s">
        <v>16154</v>
      </c>
      <c r="G2538" t="s">
        <v>16155</v>
      </c>
      <c r="H2538" t="s">
        <v>42</v>
      </c>
      <c r="I2538" t="s">
        <v>16156</v>
      </c>
      <c r="J2538" t="s">
        <v>16157</v>
      </c>
      <c r="K2538" t="s">
        <v>16158</v>
      </c>
      <c r="L2538" t="s">
        <v>82</v>
      </c>
      <c r="M2538" t="s">
        <v>46</v>
      </c>
      <c r="N2538" t="s">
        <v>47</v>
      </c>
      <c r="O2538">
        <v>4</v>
      </c>
      <c r="P2538">
        <v>1</v>
      </c>
      <c r="Q2538">
        <v>4</v>
      </c>
      <c r="R2538" t="s">
        <v>48</v>
      </c>
      <c r="S2538" t="s">
        <v>49</v>
      </c>
      <c r="T2538" s="3">
        <v>0.84</v>
      </c>
      <c r="U2538" s="3">
        <v>0.23</v>
      </c>
      <c r="V2538" s="3">
        <v>3.55</v>
      </c>
      <c r="W2538">
        <v>1.66</v>
      </c>
      <c r="X2538" t="s">
        <v>50</v>
      </c>
      <c r="Y2538" s="3">
        <v>9.1999999999999993</v>
      </c>
      <c r="Z2538" t="s">
        <v>9686</v>
      </c>
      <c r="AA2538" t="s">
        <v>16159</v>
      </c>
      <c r="AB2538" t="s">
        <v>53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f t="shared" si="78"/>
        <v>13.82</v>
      </c>
      <c r="AK2538" s="3">
        <f t="shared" si="79"/>
        <v>4.620000000000001</v>
      </c>
    </row>
    <row r="2539" spans="1:37">
      <c r="A2539">
        <v>10412221</v>
      </c>
      <c r="B2539" t="s">
        <v>37</v>
      </c>
      <c r="C2539" t="s">
        <v>16160</v>
      </c>
      <c r="E2539" t="s">
        <v>6077</v>
      </c>
      <c r="F2539" t="s">
        <v>16161</v>
      </c>
      <c r="G2539" t="s">
        <v>16162</v>
      </c>
      <c r="H2539" t="s">
        <v>42</v>
      </c>
      <c r="I2539" t="s">
        <v>16163</v>
      </c>
      <c r="J2539" t="s">
        <v>16164</v>
      </c>
      <c r="K2539" t="s">
        <v>16165</v>
      </c>
      <c r="L2539" t="s">
        <v>142</v>
      </c>
      <c r="M2539" t="s">
        <v>46</v>
      </c>
      <c r="N2539" t="s">
        <v>47</v>
      </c>
      <c r="O2539">
        <v>4</v>
      </c>
      <c r="P2539">
        <v>1</v>
      </c>
      <c r="Q2539">
        <v>4</v>
      </c>
      <c r="R2539" t="s">
        <v>48</v>
      </c>
      <c r="S2539" t="s">
        <v>49</v>
      </c>
      <c r="T2539" s="3">
        <v>0.84</v>
      </c>
      <c r="U2539" s="3">
        <v>0.23</v>
      </c>
      <c r="V2539" s="3">
        <v>3.55</v>
      </c>
      <c r="W2539">
        <v>1.56</v>
      </c>
      <c r="X2539" t="s">
        <v>50</v>
      </c>
      <c r="Y2539" s="3">
        <v>16.43</v>
      </c>
      <c r="Z2539" t="s">
        <v>9686</v>
      </c>
      <c r="AA2539" t="s">
        <v>429</v>
      </c>
      <c r="AB2539" t="s">
        <v>53</v>
      </c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f t="shared" si="78"/>
        <v>21.05</v>
      </c>
      <c r="AK2539" s="3">
        <f t="shared" si="79"/>
        <v>4.620000000000001</v>
      </c>
    </row>
    <row r="2540" spans="1:37">
      <c r="A2540">
        <v>10410501</v>
      </c>
      <c r="B2540" t="s">
        <v>37</v>
      </c>
      <c r="C2540" t="s">
        <v>16166</v>
      </c>
      <c r="E2540" t="s">
        <v>16167</v>
      </c>
      <c r="F2540" t="s">
        <v>16168</v>
      </c>
      <c r="G2540" t="s">
        <v>16169</v>
      </c>
      <c r="H2540" t="s">
        <v>42</v>
      </c>
      <c r="I2540" t="s">
        <v>16170</v>
      </c>
      <c r="J2540" t="s">
        <v>16171</v>
      </c>
      <c r="K2540" t="s">
        <v>16172</v>
      </c>
      <c r="L2540" t="s">
        <v>142</v>
      </c>
      <c r="M2540" t="s">
        <v>46</v>
      </c>
      <c r="N2540" t="s">
        <v>47</v>
      </c>
      <c r="O2540">
        <v>4</v>
      </c>
      <c r="P2540">
        <v>1</v>
      </c>
      <c r="Q2540">
        <v>4</v>
      </c>
      <c r="R2540" t="s">
        <v>48</v>
      </c>
      <c r="S2540" t="s">
        <v>49</v>
      </c>
      <c r="T2540" s="3">
        <v>0.84</v>
      </c>
      <c r="U2540" s="3">
        <v>0.23</v>
      </c>
      <c r="V2540" s="3">
        <v>3.55</v>
      </c>
      <c r="W2540">
        <v>1.56</v>
      </c>
      <c r="X2540" t="s">
        <v>50</v>
      </c>
      <c r="Y2540" s="3">
        <v>16.43</v>
      </c>
      <c r="Z2540" t="s">
        <v>9686</v>
      </c>
      <c r="AA2540" t="s">
        <v>429</v>
      </c>
      <c r="AB2540" t="s">
        <v>53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f t="shared" si="78"/>
        <v>21.05</v>
      </c>
      <c r="AK2540" s="3">
        <f t="shared" si="79"/>
        <v>4.620000000000001</v>
      </c>
    </row>
    <row r="2541" spans="1:37">
      <c r="A2541">
        <v>10410934</v>
      </c>
      <c r="B2541" t="s">
        <v>37</v>
      </c>
      <c r="C2541" t="s">
        <v>16173</v>
      </c>
      <c r="E2541" t="s">
        <v>992</v>
      </c>
      <c r="F2541" t="s">
        <v>16174</v>
      </c>
      <c r="G2541" t="s">
        <v>16175</v>
      </c>
      <c r="H2541" t="s">
        <v>42</v>
      </c>
      <c r="I2541" t="s">
        <v>16176</v>
      </c>
      <c r="J2541" t="s">
        <v>16177</v>
      </c>
      <c r="K2541">
        <v>84347</v>
      </c>
      <c r="L2541" t="s">
        <v>71</v>
      </c>
      <c r="M2541" t="s">
        <v>46</v>
      </c>
      <c r="N2541" t="s">
        <v>47</v>
      </c>
      <c r="O2541">
        <v>3</v>
      </c>
      <c r="P2541">
        <v>1</v>
      </c>
      <c r="Q2541">
        <v>3</v>
      </c>
      <c r="R2541" t="s">
        <v>48</v>
      </c>
      <c r="S2541" t="s">
        <v>49</v>
      </c>
      <c r="T2541" s="3">
        <v>0.84</v>
      </c>
      <c r="U2541" s="3">
        <v>0.23</v>
      </c>
      <c r="V2541" s="3">
        <v>2.68</v>
      </c>
      <c r="W2541">
        <v>0.4</v>
      </c>
      <c r="X2541" t="s">
        <v>108</v>
      </c>
      <c r="Y2541" s="3">
        <v>5.14</v>
      </c>
      <c r="Z2541" t="s">
        <v>9850</v>
      </c>
      <c r="AA2541" t="s">
        <v>16178</v>
      </c>
      <c r="AB2541" t="s">
        <v>53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f t="shared" si="78"/>
        <v>8.89</v>
      </c>
      <c r="AK2541" s="3">
        <f t="shared" si="79"/>
        <v>3.7500000000000009</v>
      </c>
    </row>
    <row r="2542" spans="1:37">
      <c r="A2542">
        <v>10413322</v>
      </c>
      <c r="B2542" t="s">
        <v>37</v>
      </c>
      <c r="C2542" t="s">
        <v>16179</v>
      </c>
      <c r="E2542" t="s">
        <v>16180</v>
      </c>
      <c r="F2542" t="s">
        <v>16181</v>
      </c>
      <c r="G2542" t="s">
        <v>16182</v>
      </c>
      <c r="H2542" t="s">
        <v>42</v>
      </c>
      <c r="I2542" t="s">
        <v>16183</v>
      </c>
      <c r="J2542" t="s">
        <v>16184</v>
      </c>
      <c r="K2542" t="s">
        <v>16185</v>
      </c>
      <c r="L2542" t="s">
        <v>82</v>
      </c>
      <c r="M2542" t="s">
        <v>46</v>
      </c>
      <c r="N2542" t="s">
        <v>47</v>
      </c>
      <c r="O2542">
        <v>4</v>
      </c>
      <c r="P2542">
        <v>1</v>
      </c>
      <c r="Q2542">
        <v>4</v>
      </c>
      <c r="R2542" t="s">
        <v>48</v>
      </c>
      <c r="S2542" t="s">
        <v>49</v>
      </c>
      <c r="T2542" s="3">
        <v>0.84</v>
      </c>
      <c r="U2542" s="3">
        <v>0.23</v>
      </c>
      <c r="V2542" s="3">
        <v>3.55</v>
      </c>
      <c r="W2542">
        <v>1.96</v>
      </c>
      <c r="X2542" t="s">
        <v>50</v>
      </c>
      <c r="Y2542" s="3">
        <v>9.19</v>
      </c>
      <c r="Z2542" t="s">
        <v>9686</v>
      </c>
      <c r="AA2542" t="s">
        <v>16186</v>
      </c>
      <c r="AB2542" t="s">
        <v>53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f t="shared" si="78"/>
        <v>13.809999999999999</v>
      </c>
      <c r="AK2542" s="3">
        <f t="shared" si="79"/>
        <v>4.6199999999999992</v>
      </c>
    </row>
    <row r="2543" spans="1:37">
      <c r="A2543">
        <v>10413837</v>
      </c>
      <c r="B2543" t="s">
        <v>37</v>
      </c>
      <c r="C2543" t="s">
        <v>16187</v>
      </c>
      <c r="E2543" t="s">
        <v>4019</v>
      </c>
      <c r="F2543" t="s">
        <v>16188</v>
      </c>
      <c r="G2543" t="s">
        <v>16189</v>
      </c>
      <c r="H2543" t="s">
        <v>42</v>
      </c>
      <c r="I2543" t="s">
        <v>16190</v>
      </c>
      <c r="J2543" t="s">
        <v>16191</v>
      </c>
      <c r="K2543" t="s">
        <v>16192</v>
      </c>
      <c r="L2543" t="s">
        <v>142</v>
      </c>
      <c r="M2543" t="s">
        <v>46</v>
      </c>
      <c r="N2543" t="s">
        <v>47</v>
      </c>
      <c r="O2543">
        <v>4</v>
      </c>
      <c r="P2543">
        <v>1</v>
      </c>
      <c r="Q2543">
        <v>4</v>
      </c>
      <c r="R2543" t="s">
        <v>48</v>
      </c>
      <c r="S2543" t="s">
        <v>49</v>
      </c>
      <c r="T2543" s="3">
        <v>0.84</v>
      </c>
      <c r="U2543" s="3">
        <v>0.23</v>
      </c>
      <c r="V2543" s="3">
        <v>3.55</v>
      </c>
      <c r="W2543">
        <v>1.56</v>
      </c>
      <c r="X2543" t="s">
        <v>50</v>
      </c>
      <c r="Y2543" s="3">
        <v>16.43</v>
      </c>
      <c r="Z2543" t="s">
        <v>9686</v>
      </c>
      <c r="AA2543" t="s">
        <v>459</v>
      </c>
      <c r="AB2543" t="s">
        <v>53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f t="shared" si="78"/>
        <v>21.05</v>
      </c>
      <c r="AK2543" s="3">
        <f t="shared" si="79"/>
        <v>4.620000000000001</v>
      </c>
    </row>
    <row r="2544" spans="1:37">
      <c r="A2544">
        <v>10414034</v>
      </c>
      <c r="B2544" t="s">
        <v>37</v>
      </c>
      <c r="C2544" t="s">
        <v>16193</v>
      </c>
      <c r="E2544" t="s">
        <v>16194</v>
      </c>
      <c r="F2544" t="s">
        <v>16195</v>
      </c>
      <c r="G2544" t="s">
        <v>16196</v>
      </c>
      <c r="H2544" t="s">
        <v>42</v>
      </c>
      <c r="I2544" t="s">
        <v>16197</v>
      </c>
      <c r="J2544" t="s">
        <v>16198</v>
      </c>
      <c r="K2544">
        <v>10777</v>
      </c>
      <c r="L2544" t="s">
        <v>71</v>
      </c>
      <c r="M2544" t="s">
        <v>46</v>
      </c>
      <c r="N2544" t="s">
        <v>47</v>
      </c>
      <c r="O2544">
        <v>4</v>
      </c>
      <c r="P2544">
        <v>1</v>
      </c>
      <c r="Q2544">
        <v>4</v>
      </c>
      <c r="R2544" t="s">
        <v>48</v>
      </c>
      <c r="S2544" t="s">
        <v>49</v>
      </c>
      <c r="T2544" s="3">
        <v>0.84</v>
      </c>
      <c r="U2544" s="3">
        <v>0.23</v>
      </c>
      <c r="V2544" s="3">
        <v>3.55</v>
      </c>
      <c r="W2544">
        <v>1.62</v>
      </c>
      <c r="X2544" t="s">
        <v>108</v>
      </c>
      <c r="Y2544" s="3">
        <v>5.13</v>
      </c>
      <c r="Z2544" t="s">
        <v>9686</v>
      </c>
      <c r="AA2544" t="s">
        <v>16199</v>
      </c>
      <c r="AB2544" t="s">
        <v>53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s="3">
        <f t="shared" si="78"/>
        <v>9.75</v>
      </c>
      <c r="AK2544" s="3">
        <f t="shared" si="79"/>
        <v>4.62</v>
      </c>
    </row>
    <row r="2545" spans="1:37">
      <c r="A2545">
        <v>10413841</v>
      </c>
      <c r="B2545" t="s">
        <v>37</v>
      </c>
      <c r="C2545" t="s">
        <v>16200</v>
      </c>
      <c r="E2545" t="s">
        <v>809</v>
      </c>
      <c r="F2545" t="s">
        <v>16201</v>
      </c>
      <c r="G2545" t="s">
        <v>16202</v>
      </c>
      <c r="H2545" t="s">
        <v>42</v>
      </c>
      <c r="I2545" t="s">
        <v>16203</v>
      </c>
      <c r="J2545" t="s">
        <v>16204</v>
      </c>
      <c r="K2545">
        <v>28259</v>
      </c>
      <c r="L2545" t="s">
        <v>71</v>
      </c>
      <c r="M2545" t="s">
        <v>46</v>
      </c>
      <c r="N2545" t="s">
        <v>47</v>
      </c>
      <c r="O2545">
        <v>3</v>
      </c>
      <c r="P2545">
        <v>1</v>
      </c>
      <c r="Q2545">
        <v>3</v>
      </c>
      <c r="R2545" t="s">
        <v>48</v>
      </c>
      <c r="S2545" t="s">
        <v>49</v>
      </c>
      <c r="T2545" s="3">
        <v>0.84</v>
      </c>
      <c r="U2545" s="3">
        <v>0.23</v>
      </c>
      <c r="V2545" s="3">
        <v>2.68</v>
      </c>
      <c r="W2545">
        <v>1.35</v>
      </c>
      <c r="X2545" t="s">
        <v>108</v>
      </c>
      <c r="Y2545" s="3">
        <v>5.13</v>
      </c>
      <c r="Z2545" t="s">
        <v>9686</v>
      </c>
      <c r="AA2545" t="s">
        <v>16205</v>
      </c>
      <c r="AB2545" t="s">
        <v>53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f t="shared" si="78"/>
        <v>8.8800000000000008</v>
      </c>
      <c r="AK2545" s="3">
        <f t="shared" si="79"/>
        <v>3.7500000000000009</v>
      </c>
    </row>
    <row r="2546" spans="1:37">
      <c r="A2546">
        <v>10404670</v>
      </c>
      <c r="B2546" t="s">
        <v>111</v>
      </c>
      <c r="C2546" t="s">
        <v>16206</v>
      </c>
      <c r="E2546" t="s">
        <v>16207</v>
      </c>
      <c r="F2546" t="s">
        <v>16208</v>
      </c>
      <c r="G2546" t="s">
        <v>16209</v>
      </c>
      <c r="H2546" t="s">
        <v>117</v>
      </c>
      <c r="I2546" t="s">
        <v>16210</v>
      </c>
      <c r="J2546" t="s">
        <v>16211</v>
      </c>
      <c r="K2546">
        <v>17410</v>
      </c>
      <c r="L2546" t="s">
        <v>130</v>
      </c>
      <c r="M2546" t="s">
        <v>46</v>
      </c>
      <c r="N2546" t="s">
        <v>47</v>
      </c>
      <c r="O2546">
        <v>48</v>
      </c>
      <c r="P2546">
        <v>1</v>
      </c>
      <c r="Q2546">
        <v>48</v>
      </c>
      <c r="R2546" t="s">
        <v>48</v>
      </c>
      <c r="S2546" t="s">
        <v>49</v>
      </c>
      <c r="T2546" s="3">
        <v>7</v>
      </c>
      <c r="U2546" s="3">
        <v>0.23</v>
      </c>
      <c r="V2546" s="3">
        <v>48.13</v>
      </c>
      <c r="W2546">
        <v>18</v>
      </c>
      <c r="X2546" t="s">
        <v>50</v>
      </c>
      <c r="Y2546" s="3">
        <v>47.68</v>
      </c>
      <c r="Z2546" t="s">
        <v>51</v>
      </c>
      <c r="AA2546" t="s">
        <v>16212</v>
      </c>
      <c r="AB2546" t="s">
        <v>53</v>
      </c>
      <c r="AC2546" s="3">
        <v>1.87</v>
      </c>
      <c r="AD2546" s="3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f t="shared" si="78"/>
        <v>104.91000000000001</v>
      </c>
      <c r="AK2546" s="3">
        <f t="shared" si="79"/>
        <v>57.230000000000011</v>
      </c>
    </row>
    <row r="2547" spans="1:37">
      <c r="A2547">
        <v>10413839</v>
      </c>
      <c r="B2547" t="s">
        <v>37</v>
      </c>
      <c r="C2547" t="s">
        <v>16213</v>
      </c>
      <c r="E2547" t="s">
        <v>247</v>
      </c>
      <c r="F2547" t="s">
        <v>16214</v>
      </c>
      <c r="G2547" t="s">
        <v>16215</v>
      </c>
      <c r="H2547" t="s">
        <v>42</v>
      </c>
      <c r="I2547" t="s">
        <v>16216</v>
      </c>
      <c r="J2547" t="s">
        <v>16217</v>
      </c>
      <c r="K2547">
        <v>14482</v>
      </c>
      <c r="L2547" t="s">
        <v>71</v>
      </c>
      <c r="M2547" t="s">
        <v>46</v>
      </c>
      <c r="N2547" t="s">
        <v>47</v>
      </c>
      <c r="O2547">
        <v>3</v>
      </c>
      <c r="P2547">
        <v>1</v>
      </c>
      <c r="Q2547">
        <v>3</v>
      </c>
      <c r="R2547" t="s">
        <v>48</v>
      </c>
      <c r="S2547" t="s">
        <v>49</v>
      </c>
      <c r="T2547" s="3">
        <v>0.84</v>
      </c>
      <c r="U2547" s="3">
        <v>0.23</v>
      </c>
      <c r="V2547" s="3">
        <v>2.68</v>
      </c>
      <c r="W2547">
        <v>1.02</v>
      </c>
      <c r="X2547" t="s">
        <v>108</v>
      </c>
      <c r="Y2547" s="3">
        <v>5.13</v>
      </c>
      <c r="Z2547" t="s">
        <v>9686</v>
      </c>
      <c r="AA2547" t="s">
        <v>11061</v>
      </c>
      <c r="AB2547" t="s">
        <v>53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f t="shared" si="78"/>
        <v>8.8800000000000008</v>
      </c>
      <c r="AK2547" s="3">
        <f t="shared" si="79"/>
        <v>3.7500000000000009</v>
      </c>
    </row>
    <row r="2548" spans="1:37">
      <c r="A2548">
        <v>10412222</v>
      </c>
      <c r="B2548" t="s">
        <v>111</v>
      </c>
      <c r="C2548" t="s">
        <v>16218</v>
      </c>
      <c r="E2548" t="s">
        <v>2071</v>
      </c>
      <c r="F2548" t="s">
        <v>3053</v>
      </c>
      <c r="G2548" t="s">
        <v>16219</v>
      </c>
      <c r="H2548" t="s">
        <v>117</v>
      </c>
      <c r="I2548" t="s">
        <v>16220</v>
      </c>
      <c r="J2548" t="s">
        <v>3056</v>
      </c>
      <c r="K2548">
        <v>90451</v>
      </c>
      <c r="L2548" t="s">
        <v>71</v>
      </c>
      <c r="M2548" t="s">
        <v>46</v>
      </c>
      <c r="N2548" t="s">
        <v>47</v>
      </c>
      <c r="O2548">
        <v>200</v>
      </c>
      <c r="P2548">
        <v>6</v>
      </c>
      <c r="Q2548">
        <v>6</v>
      </c>
      <c r="R2548" t="s">
        <v>48</v>
      </c>
      <c r="S2548" t="s">
        <v>49</v>
      </c>
      <c r="T2548" s="3">
        <v>7</v>
      </c>
      <c r="U2548" s="3">
        <v>0.23</v>
      </c>
      <c r="V2548" s="3">
        <v>7.96</v>
      </c>
      <c r="W2548">
        <v>96</v>
      </c>
      <c r="X2548" t="s">
        <v>72</v>
      </c>
      <c r="Y2548" s="3">
        <v>51.64</v>
      </c>
      <c r="Z2548" t="s">
        <v>4298</v>
      </c>
      <c r="AA2548" t="s">
        <v>16221</v>
      </c>
      <c r="AB2548" t="s">
        <v>53</v>
      </c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f t="shared" si="78"/>
        <v>66.83</v>
      </c>
      <c r="AK2548" s="3">
        <f t="shared" si="79"/>
        <v>15.189999999999998</v>
      </c>
    </row>
    <row r="2549" spans="1:37">
      <c r="A2549">
        <v>10412455</v>
      </c>
      <c r="B2549" t="s">
        <v>37</v>
      </c>
      <c r="C2549" t="s">
        <v>16222</v>
      </c>
      <c r="E2549" t="s">
        <v>39</v>
      </c>
      <c r="F2549" t="s">
        <v>16223</v>
      </c>
      <c r="G2549" t="s">
        <v>16224</v>
      </c>
      <c r="H2549" t="s">
        <v>42</v>
      </c>
      <c r="I2549" t="s">
        <v>16225</v>
      </c>
      <c r="J2549" t="s">
        <v>16226</v>
      </c>
      <c r="K2549" t="s">
        <v>16227</v>
      </c>
      <c r="L2549" t="s">
        <v>91</v>
      </c>
      <c r="M2549" t="s">
        <v>46</v>
      </c>
      <c r="N2549" t="s">
        <v>47</v>
      </c>
      <c r="O2549">
        <v>2</v>
      </c>
      <c r="P2549">
        <v>1</v>
      </c>
      <c r="Q2549">
        <v>2</v>
      </c>
      <c r="R2549" t="s">
        <v>48</v>
      </c>
      <c r="S2549" t="s">
        <v>49</v>
      </c>
      <c r="T2549" s="3">
        <v>0.84</v>
      </c>
      <c r="U2549" s="3">
        <v>0.23</v>
      </c>
      <c r="V2549" s="3">
        <v>1.81</v>
      </c>
      <c r="W2549">
        <v>1.64</v>
      </c>
      <c r="X2549" t="s">
        <v>50</v>
      </c>
      <c r="Y2549" s="3">
        <v>16.43</v>
      </c>
      <c r="Z2549" t="s">
        <v>73</v>
      </c>
      <c r="AA2549" t="s">
        <v>13670</v>
      </c>
      <c r="AB2549" t="s">
        <v>53</v>
      </c>
      <c r="AC2549" s="3">
        <v>1.29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f t="shared" si="78"/>
        <v>20.599999999999998</v>
      </c>
      <c r="AK2549" s="3">
        <f t="shared" si="79"/>
        <v>4.1699999999999982</v>
      </c>
    </row>
    <row r="2550" spans="1:37">
      <c r="A2550">
        <v>10410495</v>
      </c>
      <c r="B2550" t="s">
        <v>37</v>
      </c>
      <c r="C2550" t="s">
        <v>16228</v>
      </c>
      <c r="D2550" t="s">
        <v>16229</v>
      </c>
      <c r="E2550" t="s">
        <v>880</v>
      </c>
      <c r="F2550" t="s">
        <v>16230</v>
      </c>
      <c r="G2550" t="s">
        <v>16231</v>
      </c>
      <c r="H2550" t="s">
        <v>42</v>
      </c>
      <c r="I2550" t="s">
        <v>16232</v>
      </c>
      <c r="J2550" t="s">
        <v>16233</v>
      </c>
      <c r="K2550" t="s">
        <v>16234</v>
      </c>
      <c r="L2550" t="s">
        <v>82</v>
      </c>
      <c r="M2550" t="s">
        <v>46</v>
      </c>
      <c r="N2550" t="s">
        <v>47</v>
      </c>
      <c r="O2550">
        <v>2</v>
      </c>
      <c r="P2550">
        <v>1</v>
      </c>
      <c r="Q2550">
        <v>2</v>
      </c>
      <c r="R2550" t="s">
        <v>48</v>
      </c>
      <c r="S2550" t="s">
        <v>49</v>
      </c>
      <c r="T2550" s="3">
        <v>0.84</v>
      </c>
      <c r="U2550" s="3">
        <v>0.23</v>
      </c>
      <c r="V2550" s="3">
        <v>1.81</v>
      </c>
      <c r="W2550">
        <v>1.7</v>
      </c>
      <c r="X2550" t="s">
        <v>50</v>
      </c>
      <c r="Y2550" s="3">
        <v>9.19</v>
      </c>
      <c r="Z2550" t="s">
        <v>73</v>
      </c>
      <c r="AA2550" t="s">
        <v>16235</v>
      </c>
      <c r="AB2550" t="s">
        <v>53</v>
      </c>
      <c r="AC2550" s="3">
        <v>1.29</v>
      </c>
      <c r="AD2550" s="3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f t="shared" si="78"/>
        <v>13.360000000000001</v>
      </c>
      <c r="AK2550" s="3">
        <f t="shared" si="79"/>
        <v>4.1700000000000017</v>
      </c>
    </row>
    <row r="2551" spans="1:37">
      <c r="A2551">
        <v>10411574</v>
      </c>
      <c r="B2551" t="s">
        <v>37</v>
      </c>
      <c r="C2551" t="s">
        <v>16236</v>
      </c>
      <c r="E2551" t="s">
        <v>2064</v>
      </c>
      <c r="F2551" t="s">
        <v>8467</v>
      </c>
      <c r="G2551" t="s">
        <v>16237</v>
      </c>
      <c r="H2551" t="s">
        <v>42</v>
      </c>
      <c r="I2551" t="s">
        <v>16238</v>
      </c>
      <c r="J2551" t="s">
        <v>16239</v>
      </c>
      <c r="K2551">
        <v>10115</v>
      </c>
      <c r="L2551" t="s">
        <v>71</v>
      </c>
      <c r="M2551" t="s">
        <v>46</v>
      </c>
      <c r="N2551" t="s">
        <v>47</v>
      </c>
      <c r="O2551">
        <v>2</v>
      </c>
      <c r="P2551">
        <v>1</v>
      </c>
      <c r="Q2551">
        <v>2</v>
      </c>
      <c r="R2551" t="s">
        <v>48</v>
      </c>
      <c r="S2551" t="s">
        <v>49</v>
      </c>
      <c r="T2551" s="3">
        <v>0.84</v>
      </c>
      <c r="U2551" s="3">
        <v>0.23</v>
      </c>
      <c r="V2551" s="3">
        <v>1.81</v>
      </c>
      <c r="W2551">
        <v>2.1</v>
      </c>
      <c r="X2551" t="s">
        <v>72</v>
      </c>
      <c r="Y2551" s="3">
        <v>5.43</v>
      </c>
      <c r="Z2551" t="s">
        <v>73</v>
      </c>
      <c r="AA2551" t="s">
        <v>16240</v>
      </c>
      <c r="AB2551" t="s">
        <v>53</v>
      </c>
      <c r="AC2551" s="3">
        <v>1.29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f t="shared" si="78"/>
        <v>9.6</v>
      </c>
      <c r="AK2551" s="3">
        <f t="shared" si="79"/>
        <v>4.17</v>
      </c>
    </row>
    <row r="2552" spans="1:37">
      <c r="A2552">
        <v>10412680</v>
      </c>
      <c r="B2552" t="s">
        <v>37</v>
      </c>
      <c r="C2552" t="s">
        <v>16241</v>
      </c>
      <c r="E2552" t="s">
        <v>3310</v>
      </c>
      <c r="F2552" t="s">
        <v>16242</v>
      </c>
      <c r="G2552" t="s">
        <v>16243</v>
      </c>
      <c r="H2552" t="s">
        <v>42</v>
      </c>
      <c r="I2552" t="s">
        <v>16244</v>
      </c>
      <c r="J2552" t="s">
        <v>16245</v>
      </c>
      <c r="K2552">
        <v>8900</v>
      </c>
      <c r="L2552" t="s">
        <v>403</v>
      </c>
      <c r="M2552" t="s">
        <v>46</v>
      </c>
      <c r="N2552" t="s">
        <v>47</v>
      </c>
      <c r="O2552">
        <v>4</v>
      </c>
      <c r="P2552">
        <v>1</v>
      </c>
      <c r="Q2552">
        <v>4</v>
      </c>
      <c r="R2552" t="s">
        <v>48</v>
      </c>
      <c r="S2552" t="s">
        <v>49</v>
      </c>
      <c r="T2552" s="3">
        <v>0.84</v>
      </c>
      <c r="U2552" s="3">
        <v>0.23</v>
      </c>
      <c r="V2552" s="3">
        <v>3.55</v>
      </c>
      <c r="W2552">
        <v>1.08</v>
      </c>
      <c r="X2552" t="s">
        <v>50</v>
      </c>
      <c r="Y2552" s="3">
        <v>12.09</v>
      </c>
      <c r="Z2552" t="s">
        <v>9686</v>
      </c>
      <c r="AA2552" t="s">
        <v>16246</v>
      </c>
      <c r="AB2552" t="s">
        <v>53</v>
      </c>
      <c r="AC2552" s="3">
        <v>0</v>
      </c>
      <c r="AD2552" s="3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f t="shared" si="78"/>
        <v>16.71</v>
      </c>
      <c r="AK2552" s="3">
        <f t="shared" si="79"/>
        <v>4.620000000000001</v>
      </c>
    </row>
    <row r="2553" spans="1:37">
      <c r="A2553">
        <v>10410471</v>
      </c>
      <c r="B2553" t="s">
        <v>37</v>
      </c>
      <c r="C2553" t="s">
        <v>16247</v>
      </c>
      <c r="E2553" t="s">
        <v>15964</v>
      </c>
      <c r="F2553" t="s">
        <v>16248</v>
      </c>
      <c r="G2553" t="s">
        <v>16249</v>
      </c>
      <c r="H2553" t="s">
        <v>42</v>
      </c>
      <c r="I2553" t="s">
        <v>16250</v>
      </c>
      <c r="J2553" t="s">
        <v>16251</v>
      </c>
      <c r="K2553" t="s">
        <v>16252</v>
      </c>
      <c r="L2553" t="s">
        <v>142</v>
      </c>
      <c r="M2553" t="s">
        <v>46</v>
      </c>
      <c r="N2553" t="s">
        <v>47</v>
      </c>
      <c r="O2553">
        <v>2</v>
      </c>
      <c r="P2553">
        <v>1</v>
      </c>
      <c r="Q2553">
        <v>2</v>
      </c>
      <c r="R2553" t="s">
        <v>48</v>
      </c>
      <c r="S2553" t="s">
        <v>49</v>
      </c>
      <c r="T2553" s="3">
        <v>0.84</v>
      </c>
      <c r="U2553" s="3">
        <v>0.23</v>
      </c>
      <c r="V2553" s="3">
        <v>1.81</v>
      </c>
      <c r="W2553">
        <v>0.98</v>
      </c>
      <c r="X2553" t="s">
        <v>50</v>
      </c>
      <c r="Y2553" s="3">
        <v>16.43</v>
      </c>
      <c r="Z2553" t="s">
        <v>9686</v>
      </c>
      <c r="AA2553" t="s">
        <v>6567</v>
      </c>
      <c r="AB2553" t="s">
        <v>53</v>
      </c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  <c r="AJ2553" s="3">
        <f t="shared" si="78"/>
        <v>19.309999999999999</v>
      </c>
      <c r="AK2553" s="3">
        <f t="shared" si="79"/>
        <v>2.879999999999999</v>
      </c>
    </row>
    <row r="2554" spans="1:37">
      <c r="A2554">
        <v>10412924</v>
      </c>
      <c r="B2554" t="s">
        <v>37</v>
      </c>
      <c r="C2554" t="s">
        <v>16253</v>
      </c>
      <c r="E2554" t="s">
        <v>16254</v>
      </c>
      <c r="F2554" t="s">
        <v>16255</v>
      </c>
      <c r="G2554" t="s">
        <v>16256</v>
      </c>
      <c r="H2554" t="s">
        <v>42</v>
      </c>
      <c r="I2554" t="s">
        <v>16257</v>
      </c>
      <c r="J2554" t="s">
        <v>16258</v>
      </c>
      <c r="K2554">
        <v>51065</v>
      </c>
      <c r="L2554" t="s">
        <v>71</v>
      </c>
      <c r="M2554" t="s">
        <v>46</v>
      </c>
      <c r="N2554" t="s">
        <v>47</v>
      </c>
      <c r="O2554">
        <v>2</v>
      </c>
      <c r="P2554">
        <v>1</v>
      </c>
      <c r="Q2554">
        <v>2</v>
      </c>
      <c r="R2554" t="s">
        <v>48</v>
      </c>
      <c r="S2554" t="s">
        <v>49</v>
      </c>
      <c r="T2554" s="3">
        <v>0.84</v>
      </c>
      <c r="U2554" s="3">
        <v>0.23</v>
      </c>
      <c r="V2554" s="3">
        <v>1.81</v>
      </c>
      <c r="W2554">
        <v>0.78</v>
      </c>
      <c r="X2554" t="s">
        <v>108</v>
      </c>
      <c r="Y2554" s="3">
        <v>5.13</v>
      </c>
      <c r="Z2554" t="s">
        <v>9850</v>
      </c>
      <c r="AA2554" t="s">
        <v>6092</v>
      </c>
      <c r="AB2554" t="s">
        <v>53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f t="shared" si="78"/>
        <v>8.01</v>
      </c>
      <c r="AK2554" s="3">
        <f t="shared" si="79"/>
        <v>2.88</v>
      </c>
    </row>
    <row r="2555" spans="1:37">
      <c r="A2555">
        <v>10413317</v>
      </c>
      <c r="B2555" t="s">
        <v>37</v>
      </c>
      <c r="C2555" t="s">
        <v>16259</v>
      </c>
      <c r="E2555" t="s">
        <v>16260</v>
      </c>
      <c r="F2555" t="s">
        <v>16261</v>
      </c>
      <c r="G2555" t="s">
        <v>16262</v>
      </c>
      <c r="H2555" t="s">
        <v>42</v>
      </c>
      <c r="I2555" t="s">
        <v>16263</v>
      </c>
      <c r="J2555" t="s">
        <v>16264</v>
      </c>
      <c r="K2555" t="s">
        <v>16265</v>
      </c>
      <c r="L2555" t="s">
        <v>142</v>
      </c>
      <c r="M2555" t="s">
        <v>46</v>
      </c>
      <c r="N2555" t="s">
        <v>47</v>
      </c>
      <c r="O2555">
        <v>4</v>
      </c>
      <c r="P2555">
        <v>1</v>
      </c>
      <c r="Q2555">
        <v>4</v>
      </c>
      <c r="R2555" t="s">
        <v>48</v>
      </c>
      <c r="S2555" t="s">
        <v>49</v>
      </c>
      <c r="T2555" s="3">
        <v>0.84</v>
      </c>
      <c r="U2555" s="3">
        <v>0.23</v>
      </c>
      <c r="V2555" s="3">
        <v>3.55</v>
      </c>
      <c r="W2555">
        <v>1.56</v>
      </c>
      <c r="X2555" t="s">
        <v>50</v>
      </c>
      <c r="Y2555" s="3">
        <v>16.43</v>
      </c>
      <c r="Z2555" t="s">
        <v>9686</v>
      </c>
      <c r="AA2555" t="s">
        <v>2255</v>
      </c>
      <c r="AB2555" t="s">
        <v>53</v>
      </c>
      <c r="AC2555" s="3">
        <v>0</v>
      </c>
      <c r="AD2555" s="3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>
        <f t="shared" si="78"/>
        <v>21.05</v>
      </c>
      <c r="AK2555" s="3">
        <f t="shared" si="79"/>
        <v>4.620000000000001</v>
      </c>
    </row>
    <row r="2556" spans="1:37">
      <c r="A2556">
        <v>10410490</v>
      </c>
      <c r="B2556" t="s">
        <v>37</v>
      </c>
      <c r="C2556" t="s">
        <v>16266</v>
      </c>
      <c r="D2556" t="s">
        <v>16267</v>
      </c>
      <c r="E2556" t="s">
        <v>16268</v>
      </c>
      <c r="F2556" t="s">
        <v>16269</v>
      </c>
      <c r="G2556" t="s">
        <v>16270</v>
      </c>
      <c r="H2556" t="s">
        <v>42</v>
      </c>
      <c r="I2556" t="s">
        <v>16271</v>
      </c>
      <c r="J2556" t="s">
        <v>16272</v>
      </c>
      <c r="K2556">
        <v>37126</v>
      </c>
      <c r="L2556" t="s">
        <v>283</v>
      </c>
      <c r="M2556" t="s">
        <v>46</v>
      </c>
      <c r="N2556" t="s">
        <v>47</v>
      </c>
      <c r="O2556">
        <v>2</v>
      </c>
      <c r="P2556">
        <v>1</v>
      </c>
      <c r="Q2556">
        <v>2</v>
      </c>
      <c r="R2556" t="s">
        <v>48</v>
      </c>
      <c r="S2556" t="s">
        <v>49</v>
      </c>
      <c r="T2556" s="3">
        <v>0.84</v>
      </c>
      <c r="U2556" s="3">
        <v>0.23</v>
      </c>
      <c r="V2556" s="3">
        <v>1.81</v>
      </c>
      <c r="W2556">
        <v>0.9</v>
      </c>
      <c r="X2556" t="s">
        <v>50</v>
      </c>
      <c r="Y2556" s="3">
        <v>14.98</v>
      </c>
      <c r="Z2556" t="s">
        <v>9850</v>
      </c>
      <c r="AA2556" t="s">
        <v>16273</v>
      </c>
      <c r="AB2556" t="s">
        <v>53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f t="shared" si="78"/>
        <v>17.86</v>
      </c>
      <c r="AK2556" s="3">
        <f t="shared" si="79"/>
        <v>2.879999999999999</v>
      </c>
    </row>
    <row r="2557" spans="1:37">
      <c r="A2557">
        <v>10413318</v>
      </c>
      <c r="B2557" t="s">
        <v>37</v>
      </c>
      <c r="C2557" t="s">
        <v>16274</v>
      </c>
      <c r="E2557" t="s">
        <v>16275</v>
      </c>
      <c r="F2557" t="s">
        <v>16276</v>
      </c>
      <c r="G2557" t="s">
        <v>16277</v>
      </c>
      <c r="H2557" t="s">
        <v>42</v>
      </c>
      <c r="I2557" t="s">
        <v>16278</v>
      </c>
      <c r="J2557" t="s">
        <v>16279</v>
      </c>
      <c r="K2557">
        <v>2900</v>
      </c>
      <c r="L2557" t="s">
        <v>403</v>
      </c>
      <c r="M2557" t="s">
        <v>46</v>
      </c>
      <c r="N2557" t="s">
        <v>47</v>
      </c>
      <c r="O2557">
        <v>3</v>
      </c>
      <c r="P2557">
        <v>1</v>
      </c>
      <c r="Q2557">
        <v>3</v>
      </c>
      <c r="R2557" t="s">
        <v>48</v>
      </c>
      <c r="S2557" t="s">
        <v>49</v>
      </c>
      <c r="T2557" s="3">
        <v>0.84</v>
      </c>
      <c r="U2557" s="3">
        <v>0.23</v>
      </c>
      <c r="V2557" s="3">
        <v>2.68</v>
      </c>
      <c r="W2557">
        <v>1.31</v>
      </c>
      <c r="X2557" t="s">
        <v>50</v>
      </c>
      <c r="Y2557" s="3">
        <v>12.09</v>
      </c>
      <c r="Z2557" t="s">
        <v>9686</v>
      </c>
      <c r="AA2557" t="s">
        <v>16280</v>
      </c>
      <c r="AB2557" t="s">
        <v>53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f t="shared" si="78"/>
        <v>15.84</v>
      </c>
      <c r="AK2557" s="3">
        <f t="shared" si="79"/>
        <v>3.75</v>
      </c>
    </row>
    <row r="2558" spans="1:37">
      <c r="A2558">
        <v>10412926</v>
      </c>
      <c r="B2558" t="s">
        <v>37</v>
      </c>
      <c r="C2558" t="s">
        <v>16281</v>
      </c>
      <c r="E2558" t="s">
        <v>16282</v>
      </c>
      <c r="F2558" t="s">
        <v>16283</v>
      </c>
      <c r="G2558" t="s">
        <v>16284</v>
      </c>
      <c r="H2558" t="s">
        <v>42</v>
      </c>
      <c r="I2558" t="s">
        <v>16285</v>
      </c>
      <c r="J2558" t="s">
        <v>16286</v>
      </c>
      <c r="K2558" t="s">
        <v>16287</v>
      </c>
      <c r="L2558" t="s">
        <v>82</v>
      </c>
      <c r="M2558" t="s">
        <v>46</v>
      </c>
      <c r="N2558" t="s">
        <v>47</v>
      </c>
      <c r="O2558">
        <v>2</v>
      </c>
      <c r="P2558">
        <v>1</v>
      </c>
      <c r="Q2558">
        <v>2</v>
      </c>
      <c r="R2558" t="s">
        <v>48</v>
      </c>
      <c r="S2558" t="s">
        <v>49</v>
      </c>
      <c r="T2558" s="3">
        <v>0.84</v>
      </c>
      <c r="U2558" s="3">
        <v>0.23</v>
      </c>
      <c r="V2558" s="3">
        <v>1.81</v>
      </c>
      <c r="W2558">
        <v>0.98</v>
      </c>
      <c r="X2558" t="s">
        <v>50</v>
      </c>
      <c r="Y2558" s="3">
        <v>9.19</v>
      </c>
      <c r="Z2558" t="s">
        <v>9686</v>
      </c>
      <c r="AA2558" t="s">
        <v>13238</v>
      </c>
      <c r="AB2558" t="s">
        <v>53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f t="shared" si="78"/>
        <v>12.07</v>
      </c>
      <c r="AK2558" s="3">
        <f t="shared" si="79"/>
        <v>2.8800000000000008</v>
      </c>
    </row>
    <row r="2559" spans="1:37">
      <c r="A2559">
        <v>10412679</v>
      </c>
      <c r="B2559" t="s">
        <v>37</v>
      </c>
      <c r="C2559" t="s">
        <v>16288</v>
      </c>
      <c r="E2559" t="s">
        <v>12073</v>
      </c>
      <c r="F2559" t="s">
        <v>16289</v>
      </c>
      <c r="G2559" t="s">
        <v>16290</v>
      </c>
      <c r="H2559" t="s">
        <v>42</v>
      </c>
      <c r="I2559" t="s">
        <v>16291</v>
      </c>
      <c r="J2559" t="s">
        <v>16292</v>
      </c>
      <c r="K2559">
        <v>99084</v>
      </c>
      <c r="L2559" t="s">
        <v>71</v>
      </c>
      <c r="M2559" t="s">
        <v>46</v>
      </c>
      <c r="N2559" t="s">
        <v>47</v>
      </c>
      <c r="O2559">
        <v>2</v>
      </c>
      <c r="P2559">
        <v>1</v>
      </c>
      <c r="Q2559">
        <v>2</v>
      </c>
      <c r="R2559" t="s">
        <v>48</v>
      </c>
      <c r="S2559" t="s">
        <v>49</v>
      </c>
      <c r="T2559" s="3">
        <v>0.84</v>
      </c>
      <c r="U2559" s="3">
        <v>0.23</v>
      </c>
      <c r="V2559" s="3">
        <v>1.81</v>
      </c>
      <c r="W2559">
        <v>0.3</v>
      </c>
      <c r="X2559" t="s">
        <v>108</v>
      </c>
      <c r="Y2559" s="3">
        <v>5.13</v>
      </c>
      <c r="Z2559" t="s">
        <v>9850</v>
      </c>
      <c r="AA2559" t="s">
        <v>9271</v>
      </c>
      <c r="AB2559" t="s">
        <v>53</v>
      </c>
      <c r="AC2559" s="3">
        <v>0</v>
      </c>
      <c r="AD2559" s="3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f t="shared" si="78"/>
        <v>8.01</v>
      </c>
      <c r="AK2559" s="3">
        <f t="shared" si="79"/>
        <v>2.88</v>
      </c>
    </row>
    <row r="2560" spans="1:37">
      <c r="A2560">
        <v>10410474</v>
      </c>
      <c r="B2560" t="s">
        <v>37</v>
      </c>
      <c r="C2560" t="s">
        <v>16293</v>
      </c>
      <c r="E2560" t="s">
        <v>7457</v>
      </c>
      <c r="F2560" t="s">
        <v>7458</v>
      </c>
      <c r="G2560" t="s">
        <v>16294</v>
      </c>
      <c r="H2560" t="s">
        <v>42</v>
      </c>
      <c r="I2560" t="s">
        <v>16295</v>
      </c>
      <c r="J2560" t="s">
        <v>7461</v>
      </c>
      <c r="K2560">
        <v>10789</v>
      </c>
      <c r="L2560" t="s">
        <v>71</v>
      </c>
      <c r="M2560" t="s">
        <v>46</v>
      </c>
      <c r="N2560" t="s">
        <v>47</v>
      </c>
      <c r="O2560">
        <v>2</v>
      </c>
      <c r="P2560">
        <v>1</v>
      </c>
      <c r="Q2560">
        <v>2</v>
      </c>
      <c r="R2560" t="s">
        <v>48</v>
      </c>
      <c r="S2560" t="s">
        <v>49</v>
      </c>
      <c r="T2560" s="3">
        <v>0.84</v>
      </c>
      <c r="U2560" s="3">
        <v>0.23</v>
      </c>
      <c r="V2560" s="3">
        <v>1.81</v>
      </c>
      <c r="W2560">
        <v>0.84</v>
      </c>
      <c r="X2560" t="s">
        <v>108</v>
      </c>
      <c r="Y2560" s="3">
        <v>5.13</v>
      </c>
      <c r="Z2560" t="s">
        <v>9686</v>
      </c>
      <c r="AA2560" t="s">
        <v>16296</v>
      </c>
      <c r="AB2560" t="s">
        <v>53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f t="shared" si="78"/>
        <v>8.01</v>
      </c>
      <c r="AK2560" s="3">
        <f t="shared" si="79"/>
        <v>2.88</v>
      </c>
    </row>
    <row r="2561" spans="1:37">
      <c r="A2561">
        <v>10410493</v>
      </c>
      <c r="B2561" t="s">
        <v>37</v>
      </c>
      <c r="C2561" t="s">
        <v>16297</v>
      </c>
      <c r="E2561" t="s">
        <v>8718</v>
      </c>
      <c r="F2561" t="s">
        <v>16298</v>
      </c>
      <c r="G2561" t="s">
        <v>16299</v>
      </c>
      <c r="H2561" t="s">
        <v>42</v>
      </c>
      <c r="I2561" t="s">
        <v>16300</v>
      </c>
      <c r="J2561" t="s">
        <v>16301</v>
      </c>
      <c r="K2561">
        <v>89182</v>
      </c>
      <c r="L2561" t="s">
        <v>71</v>
      </c>
      <c r="M2561" t="s">
        <v>46</v>
      </c>
      <c r="N2561" t="s">
        <v>47</v>
      </c>
      <c r="O2561">
        <v>2</v>
      </c>
      <c r="P2561">
        <v>1</v>
      </c>
      <c r="Q2561">
        <v>2</v>
      </c>
      <c r="R2561" t="s">
        <v>48</v>
      </c>
      <c r="S2561" t="s">
        <v>49</v>
      </c>
      <c r="T2561" s="3">
        <v>0.84</v>
      </c>
      <c r="U2561" s="3">
        <v>0.23</v>
      </c>
      <c r="V2561" s="3">
        <v>1.81</v>
      </c>
      <c r="W2561">
        <v>0.28000000000000003</v>
      </c>
      <c r="X2561" t="s">
        <v>108</v>
      </c>
      <c r="Y2561" s="3">
        <v>5.13</v>
      </c>
      <c r="Z2561" t="s">
        <v>9850</v>
      </c>
      <c r="AA2561" t="s">
        <v>16302</v>
      </c>
      <c r="AB2561" t="s">
        <v>53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f t="shared" si="78"/>
        <v>8.01</v>
      </c>
      <c r="AK2561" s="3">
        <f t="shared" si="79"/>
        <v>2.88</v>
      </c>
    </row>
    <row r="2562" spans="1:37">
      <c r="A2562">
        <v>10413596</v>
      </c>
      <c r="B2562" t="s">
        <v>37</v>
      </c>
      <c r="C2562" t="s">
        <v>16303</v>
      </c>
      <c r="E2562" t="s">
        <v>1608</v>
      </c>
      <c r="F2562" t="s">
        <v>16304</v>
      </c>
      <c r="G2562" t="s">
        <v>16305</v>
      </c>
      <c r="H2562" t="s">
        <v>42</v>
      </c>
      <c r="I2562" t="s">
        <v>16306</v>
      </c>
      <c r="J2562" t="s">
        <v>16307</v>
      </c>
      <c r="K2562">
        <v>72669</v>
      </c>
      <c r="L2562" t="s">
        <v>71</v>
      </c>
      <c r="M2562" t="s">
        <v>46</v>
      </c>
      <c r="N2562" t="s">
        <v>47</v>
      </c>
      <c r="O2562">
        <v>2</v>
      </c>
      <c r="P2562">
        <v>1</v>
      </c>
      <c r="Q2562">
        <v>2</v>
      </c>
      <c r="R2562" t="s">
        <v>48</v>
      </c>
      <c r="S2562" t="s">
        <v>49</v>
      </c>
      <c r="T2562" s="3">
        <v>0.84</v>
      </c>
      <c r="U2562" s="3">
        <v>0.23</v>
      </c>
      <c r="V2562" s="3">
        <v>1.81</v>
      </c>
      <c r="W2562">
        <v>0.98</v>
      </c>
      <c r="X2562" t="s">
        <v>108</v>
      </c>
      <c r="Y2562" s="3">
        <v>5.13</v>
      </c>
      <c r="Z2562" t="s">
        <v>9686</v>
      </c>
      <c r="AA2562" t="s">
        <v>13592</v>
      </c>
      <c r="AB2562" t="s">
        <v>53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f t="shared" ref="AJ2562:AJ2625" si="80">AI2562+AH2562+AG2562+AF2562+AE2562+AD2562+AC2562+Y2562+V2562+U2562+T2562</f>
        <v>8.01</v>
      </c>
      <c r="AK2562" s="3">
        <f t="shared" ref="AK2562:AK2625" si="81">AJ2562-Y2562</f>
        <v>2.88</v>
      </c>
    </row>
    <row r="2563" spans="1:37">
      <c r="A2563">
        <v>10413599</v>
      </c>
      <c r="B2563" t="s">
        <v>37</v>
      </c>
      <c r="C2563" t="s">
        <v>16308</v>
      </c>
      <c r="E2563" t="s">
        <v>2215</v>
      </c>
      <c r="F2563" t="s">
        <v>16309</v>
      </c>
      <c r="G2563" t="s">
        <v>16310</v>
      </c>
      <c r="H2563" t="s">
        <v>42</v>
      </c>
      <c r="I2563" t="s">
        <v>16311</v>
      </c>
      <c r="J2563" t="s">
        <v>16312</v>
      </c>
      <c r="K2563" t="s">
        <v>16313</v>
      </c>
      <c r="L2563" t="s">
        <v>142</v>
      </c>
      <c r="M2563" t="s">
        <v>46</v>
      </c>
      <c r="N2563" t="s">
        <v>47</v>
      </c>
      <c r="O2563">
        <v>2</v>
      </c>
      <c r="P2563">
        <v>1</v>
      </c>
      <c r="Q2563">
        <v>2</v>
      </c>
      <c r="R2563" t="s">
        <v>48</v>
      </c>
      <c r="S2563" t="s">
        <v>49</v>
      </c>
      <c r="T2563" s="3">
        <v>0.84</v>
      </c>
      <c r="U2563" s="3">
        <v>0.23</v>
      </c>
      <c r="V2563" s="3">
        <v>1.81</v>
      </c>
      <c r="W2563">
        <v>0.98</v>
      </c>
      <c r="X2563" t="s">
        <v>50</v>
      </c>
      <c r="Y2563" s="3">
        <v>16.43</v>
      </c>
      <c r="Z2563" t="s">
        <v>9686</v>
      </c>
      <c r="AA2563" t="s">
        <v>6300</v>
      </c>
      <c r="AB2563" t="s">
        <v>53</v>
      </c>
      <c r="AC2563" s="3">
        <v>0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f t="shared" si="80"/>
        <v>19.309999999999999</v>
      </c>
      <c r="AK2563" s="3">
        <f t="shared" si="81"/>
        <v>2.879999999999999</v>
      </c>
    </row>
    <row r="2564" spans="1:37">
      <c r="A2564">
        <v>10413316</v>
      </c>
      <c r="B2564" t="s">
        <v>37</v>
      </c>
      <c r="C2564" t="s">
        <v>16314</v>
      </c>
      <c r="E2564" t="s">
        <v>16315</v>
      </c>
      <c r="F2564" t="s">
        <v>16316</v>
      </c>
      <c r="G2564" t="s">
        <v>16317</v>
      </c>
      <c r="H2564" t="s">
        <v>42</v>
      </c>
      <c r="I2564" t="s">
        <v>16318</v>
      </c>
      <c r="J2564" t="s">
        <v>16319</v>
      </c>
      <c r="K2564" t="s">
        <v>16320</v>
      </c>
      <c r="L2564" t="s">
        <v>82</v>
      </c>
      <c r="M2564" t="s">
        <v>46</v>
      </c>
      <c r="N2564" t="s">
        <v>47</v>
      </c>
      <c r="O2564">
        <v>2</v>
      </c>
      <c r="P2564">
        <v>1</v>
      </c>
      <c r="Q2564">
        <v>2</v>
      </c>
      <c r="R2564" t="s">
        <v>48</v>
      </c>
      <c r="S2564" t="s">
        <v>49</v>
      </c>
      <c r="T2564" s="3">
        <v>0.84</v>
      </c>
      <c r="U2564" s="3">
        <v>0.23</v>
      </c>
      <c r="V2564" s="3">
        <v>1.81</v>
      </c>
      <c r="W2564">
        <v>0.98</v>
      </c>
      <c r="X2564" t="s">
        <v>50</v>
      </c>
      <c r="Y2564" s="3">
        <v>9.19</v>
      </c>
      <c r="Z2564" t="s">
        <v>9686</v>
      </c>
      <c r="AA2564" t="s">
        <v>16321</v>
      </c>
      <c r="AB2564" t="s">
        <v>53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f t="shared" si="80"/>
        <v>12.07</v>
      </c>
      <c r="AK2564" s="3">
        <f t="shared" si="81"/>
        <v>2.8800000000000008</v>
      </c>
    </row>
    <row r="2565" spans="1:37">
      <c r="A2565">
        <v>10413844</v>
      </c>
      <c r="B2565" t="s">
        <v>37</v>
      </c>
      <c r="C2565" t="s">
        <v>16322</v>
      </c>
      <c r="E2565" t="s">
        <v>16323</v>
      </c>
      <c r="F2565" t="s">
        <v>16324</v>
      </c>
      <c r="G2565" t="s">
        <v>16325</v>
      </c>
      <c r="H2565" t="s">
        <v>42</v>
      </c>
      <c r="I2565" t="s">
        <v>16326</v>
      </c>
      <c r="J2565" t="s">
        <v>16327</v>
      </c>
      <c r="K2565">
        <v>400332</v>
      </c>
      <c r="L2565" t="s">
        <v>3866</v>
      </c>
      <c r="M2565" t="s">
        <v>46</v>
      </c>
      <c r="N2565" t="s">
        <v>47</v>
      </c>
      <c r="O2565">
        <v>2</v>
      </c>
      <c r="P2565">
        <v>1</v>
      </c>
      <c r="Q2565">
        <v>2</v>
      </c>
      <c r="R2565" t="s">
        <v>48</v>
      </c>
      <c r="S2565" t="s">
        <v>49</v>
      </c>
      <c r="T2565" s="3">
        <v>0.84</v>
      </c>
      <c r="U2565" s="3">
        <v>0.23</v>
      </c>
      <c r="V2565" s="3">
        <v>1.81</v>
      </c>
      <c r="W2565">
        <v>0.78</v>
      </c>
      <c r="X2565" t="s">
        <v>100</v>
      </c>
      <c r="Y2565" s="3">
        <v>21.5</v>
      </c>
      <c r="Z2565" t="s">
        <v>9686</v>
      </c>
      <c r="AA2565" t="s">
        <v>16328</v>
      </c>
      <c r="AB2565" t="s">
        <v>53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f t="shared" si="80"/>
        <v>24.38</v>
      </c>
      <c r="AK2565" s="3">
        <f t="shared" si="81"/>
        <v>2.879999999999999</v>
      </c>
    </row>
    <row r="2566" spans="1:37">
      <c r="A2566">
        <v>10414404</v>
      </c>
      <c r="B2566" t="s">
        <v>37</v>
      </c>
      <c r="C2566" t="s">
        <v>16329</v>
      </c>
      <c r="E2566" t="s">
        <v>5561</v>
      </c>
      <c r="F2566" t="s">
        <v>4832</v>
      </c>
      <c r="G2566" t="s">
        <v>16330</v>
      </c>
      <c r="H2566" t="s">
        <v>42</v>
      </c>
      <c r="I2566" t="s">
        <v>16331</v>
      </c>
      <c r="J2566" t="s">
        <v>16332</v>
      </c>
      <c r="K2566">
        <v>68165</v>
      </c>
      <c r="L2566" t="s">
        <v>71</v>
      </c>
      <c r="M2566" t="s">
        <v>46</v>
      </c>
      <c r="N2566" t="s">
        <v>47</v>
      </c>
      <c r="O2566">
        <v>2</v>
      </c>
      <c r="P2566">
        <v>1</v>
      </c>
      <c r="Q2566">
        <v>2</v>
      </c>
      <c r="R2566" t="s">
        <v>48</v>
      </c>
      <c r="S2566" t="s">
        <v>49</v>
      </c>
      <c r="T2566" s="3">
        <v>0.84</v>
      </c>
      <c r="U2566" s="3">
        <v>0.23</v>
      </c>
      <c r="V2566" s="3">
        <v>1.81</v>
      </c>
      <c r="W2566">
        <v>0.98</v>
      </c>
      <c r="X2566" t="s">
        <v>108</v>
      </c>
      <c r="Y2566" s="3">
        <v>5.13</v>
      </c>
      <c r="Z2566" t="s">
        <v>9686</v>
      </c>
      <c r="AA2566" t="s">
        <v>16333</v>
      </c>
      <c r="AB2566" t="s">
        <v>53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f t="shared" si="80"/>
        <v>8.01</v>
      </c>
      <c r="AK2566" s="3">
        <f t="shared" si="81"/>
        <v>2.88</v>
      </c>
    </row>
    <row r="2567" spans="1:37">
      <c r="A2567">
        <v>10413315</v>
      </c>
      <c r="B2567" t="s">
        <v>37</v>
      </c>
      <c r="C2567" t="s">
        <v>16334</v>
      </c>
      <c r="E2567" t="s">
        <v>16335</v>
      </c>
      <c r="F2567" t="s">
        <v>16336</v>
      </c>
      <c r="G2567" t="s">
        <v>16337</v>
      </c>
      <c r="H2567" t="s">
        <v>42</v>
      </c>
      <c r="I2567" t="s">
        <v>16338</v>
      </c>
      <c r="J2567" t="s">
        <v>16339</v>
      </c>
      <c r="K2567">
        <v>86316</v>
      </c>
      <c r="L2567" t="s">
        <v>71</v>
      </c>
      <c r="M2567" t="s">
        <v>46</v>
      </c>
      <c r="N2567" t="s">
        <v>47</v>
      </c>
      <c r="O2567">
        <v>2</v>
      </c>
      <c r="P2567">
        <v>1</v>
      </c>
      <c r="Q2567">
        <v>2</v>
      </c>
      <c r="R2567" t="s">
        <v>48</v>
      </c>
      <c r="S2567" t="s">
        <v>49</v>
      </c>
      <c r="T2567" s="3">
        <v>0.84</v>
      </c>
      <c r="U2567" s="3">
        <v>0.23</v>
      </c>
      <c r="V2567" s="3">
        <v>1.81</v>
      </c>
      <c r="W2567">
        <v>0.78</v>
      </c>
      <c r="X2567" t="s">
        <v>108</v>
      </c>
      <c r="Y2567" s="3">
        <v>5.13</v>
      </c>
      <c r="Z2567" t="s">
        <v>9686</v>
      </c>
      <c r="AA2567" t="s">
        <v>16340</v>
      </c>
      <c r="AB2567" t="s">
        <v>53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f t="shared" si="80"/>
        <v>8.01</v>
      </c>
      <c r="AK2567" s="3">
        <f t="shared" si="81"/>
        <v>2.88</v>
      </c>
    </row>
    <row r="2568" spans="1:37">
      <c r="A2568">
        <v>10413842</v>
      </c>
      <c r="B2568" t="s">
        <v>37</v>
      </c>
      <c r="C2568" t="s">
        <v>16341</v>
      </c>
      <c r="E2568" t="s">
        <v>9023</v>
      </c>
      <c r="F2568" t="s">
        <v>16342</v>
      </c>
      <c r="G2568" t="s">
        <v>16343</v>
      </c>
      <c r="H2568" t="s">
        <v>42</v>
      </c>
      <c r="I2568" t="s">
        <v>16344</v>
      </c>
      <c r="J2568" t="s">
        <v>16345</v>
      </c>
      <c r="K2568">
        <v>76698</v>
      </c>
      <c r="L2568" t="s">
        <v>71</v>
      </c>
      <c r="M2568" t="s">
        <v>46</v>
      </c>
      <c r="N2568" t="s">
        <v>47</v>
      </c>
      <c r="O2568">
        <v>2</v>
      </c>
      <c r="P2568">
        <v>1</v>
      </c>
      <c r="Q2568">
        <v>2</v>
      </c>
      <c r="R2568" t="s">
        <v>48</v>
      </c>
      <c r="S2568" t="s">
        <v>49</v>
      </c>
      <c r="T2568" s="3">
        <v>0.84</v>
      </c>
      <c r="U2568" s="3">
        <v>0.23</v>
      </c>
      <c r="V2568" s="3">
        <v>1.81</v>
      </c>
      <c r="W2568">
        <v>0.98</v>
      </c>
      <c r="X2568" t="s">
        <v>108</v>
      </c>
      <c r="Y2568" s="3">
        <v>5.13</v>
      </c>
      <c r="Z2568" t="s">
        <v>9686</v>
      </c>
      <c r="AA2568" t="s">
        <v>5343</v>
      </c>
      <c r="AB2568" t="s">
        <v>53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f t="shared" si="80"/>
        <v>8.01</v>
      </c>
      <c r="AK2568" s="3">
        <f t="shared" si="81"/>
        <v>2.88</v>
      </c>
    </row>
    <row r="2569" spans="1:37">
      <c r="A2569">
        <v>10413314</v>
      </c>
      <c r="B2569" t="s">
        <v>37</v>
      </c>
      <c r="C2569" t="s">
        <v>16346</v>
      </c>
      <c r="E2569" t="s">
        <v>16347</v>
      </c>
      <c r="F2569" t="s">
        <v>501</v>
      </c>
      <c r="G2569" t="s">
        <v>16348</v>
      </c>
      <c r="H2569" t="s">
        <v>42</v>
      </c>
      <c r="I2569" t="s">
        <v>16349</v>
      </c>
      <c r="J2569" t="s">
        <v>16350</v>
      </c>
      <c r="K2569">
        <v>2110</v>
      </c>
      <c r="L2569" t="s">
        <v>505</v>
      </c>
      <c r="M2569" t="s">
        <v>46</v>
      </c>
      <c r="N2569" t="s">
        <v>47</v>
      </c>
      <c r="O2569">
        <v>2</v>
      </c>
      <c r="P2569">
        <v>1</v>
      </c>
      <c r="Q2569">
        <v>2</v>
      </c>
      <c r="R2569" t="s">
        <v>48</v>
      </c>
      <c r="S2569" t="s">
        <v>49</v>
      </c>
      <c r="T2569" s="3">
        <v>0.84</v>
      </c>
      <c r="U2569" s="3">
        <v>0.23</v>
      </c>
      <c r="V2569" s="3">
        <v>1.81</v>
      </c>
      <c r="W2569">
        <v>0.69</v>
      </c>
      <c r="X2569" t="s">
        <v>50</v>
      </c>
      <c r="Y2569" s="3">
        <v>9.19</v>
      </c>
      <c r="Z2569" t="s">
        <v>9686</v>
      </c>
      <c r="AA2569" t="s">
        <v>16351</v>
      </c>
      <c r="AB2569" t="s">
        <v>53</v>
      </c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f t="shared" si="80"/>
        <v>12.07</v>
      </c>
      <c r="AK2569" s="3">
        <f t="shared" si="81"/>
        <v>2.8800000000000008</v>
      </c>
    </row>
    <row r="2570" spans="1:37">
      <c r="A2570">
        <v>10414546</v>
      </c>
      <c r="B2570" t="s">
        <v>37</v>
      </c>
      <c r="C2570" t="s">
        <v>16352</v>
      </c>
      <c r="E2570" t="s">
        <v>16353</v>
      </c>
      <c r="F2570" t="s">
        <v>16354</v>
      </c>
      <c r="G2570" t="s">
        <v>16355</v>
      </c>
      <c r="H2570" t="s">
        <v>42</v>
      </c>
      <c r="I2570" t="s">
        <v>16356</v>
      </c>
      <c r="J2570" t="s">
        <v>16357</v>
      </c>
      <c r="K2570">
        <v>18055</v>
      </c>
      <c r="L2570" t="s">
        <v>71</v>
      </c>
      <c r="M2570" t="s">
        <v>46</v>
      </c>
      <c r="N2570" t="s">
        <v>47</v>
      </c>
      <c r="O2570">
        <v>2</v>
      </c>
      <c r="P2570">
        <v>1</v>
      </c>
      <c r="Q2570">
        <v>2</v>
      </c>
      <c r="R2570" t="s">
        <v>48</v>
      </c>
      <c r="S2570" t="s">
        <v>49</v>
      </c>
      <c r="T2570" s="3">
        <v>0.84</v>
      </c>
      <c r="U2570" s="3">
        <v>0.23</v>
      </c>
      <c r="V2570" s="3">
        <v>1.81</v>
      </c>
      <c r="W2570">
        <v>0.3</v>
      </c>
      <c r="X2570" t="s">
        <v>108</v>
      </c>
      <c r="Y2570" s="3">
        <v>5.13</v>
      </c>
      <c r="Z2570" t="s">
        <v>9850</v>
      </c>
      <c r="AA2570" t="s">
        <v>9271</v>
      </c>
      <c r="AB2570" t="s">
        <v>53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f t="shared" si="80"/>
        <v>8.01</v>
      </c>
      <c r="AK2570" s="3">
        <f t="shared" si="81"/>
        <v>2.88</v>
      </c>
    </row>
    <row r="2571" spans="1:37">
      <c r="A2571">
        <v>10413319</v>
      </c>
      <c r="B2571" t="s">
        <v>37</v>
      </c>
      <c r="C2571" t="s">
        <v>16358</v>
      </c>
      <c r="E2571" t="s">
        <v>16359</v>
      </c>
      <c r="F2571" t="s">
        <v>16359</v>
      </c>
      <c r="G2571" t="s">
        <v>16360</v>
      </c>
      <c r="H2571" t="s">
        <v>42</v>
      </c>
      <c r="I2571" t="s">
        <v>16361</v>
      </c>
      <c r="J2571" t="s">
        <v>16362</v>
      </c>
      <c r="K2571">
        <v>55252</v>
      </c>
      <c r="L2571" t="s">
        <v>71</v>
      </c>
      <c r="M2571" t="s">
        <v>46</v>
      </c>
      <c r="N2571" t="s">
        <v>47</v>
      </c>
      <c r="O2571">
        <v>4</v>
      </c>
      <c r="P2571">
        <v>1</v>
      </c>
      <c r="Q2571">
        <v>4</v>
      </c>
      <c r="R2571" t="s">
        <v>48</v>
      </c>
      <c r="S2571" t="s">
        <v>49</v>
      </c>
      <c r="T2571" s="3">
        <v>0.84</v>
      </c>
      <c r="U2571" s="3">
        <v>0.23</v>
      </c>
      <c r="V2571" s="3">
        <v>3.55</v>
      </c>
      <c r="W2571">
        <v>1.56</v>
      </c>
      <c r="X2571" t="s">
        <v>108</v>
      </c>
      <c r="Y2571" s="3">
        <v>5.14</v>
      </c>
      <c r="Z2571" t="s">
        <v>9686</v>
      </c>
      <c r="AA2571" t="s">
        <v>429</v>
      </c>
      <c r="AB2571" t="s">
        <v>53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f t="shared" si="80"/>
        <v>9.76</v>
      </c>
      <c r="AK2571" s="3">
        <f t="shared" si="81"/>
        <v>4.62</v>
      </c>
    </row>
    <row r="2572" spans="1:37">
      <c r="A2572">
        <v>10412678</v>
      </c>
      <c r="B2572" t="s">
        <v>37</v>
      </c>
      <c r="C2572" t="s">
        <v>16363</v>
      </c>
      <c r="E2572" t="s">
        <v>1395</v>
      </c>
      <c r="F2572" t="s">
        <v>8220</v>
      </c>
      <c r="G2572" t="s">
        <v>16364</v>
      </c>
      <c r="H2572" t="s">
        <v>42</v>
      </c>
      <c r="I2572" t="s">
        <v>16365</v>
      </c>
      <c r="J2572" t="s">
        <v>16366</v>
      </c>
      <c r="K2572" t="s">
        <v>16367</v>
      </c>
      <c r="L2572" t="s">
        <v>142</v>
      </c>
      <c r="M2572" t="s">
        <v>46</v>
      </c>
      <c r="N2572" t="s">
        <v>47</v>
      </c>
      <c r="O2572">
        <v>4</v>
      </c>
      <c r="P2572">
        <v>1</v>
      </c>
      <c r="Q2572">
        <v>4</v>
      </c>
      <c r="R2572" t="s">
        <v>48</v>
      </c>
      <c r="S2572" t="s">
        <v>49</v>
      </c>
      <c r="T2572" s="3">
        <v>0.84</v>
      </c>
      <c r="U2572" s="3">
        <v>0.23</v>
      </c>
      <c r="V2572" s="3">
        <v>3.55</v>
      </c>
      <c r="W2572">
        <v>1.96</v>
      </c>
      <c r="X2572" t="s">
        <v>50</v>
      </c>
      <c r="Y2572" s="3">
        <v>16.43</v>
      </c>
      <c r="Z2572" t="s">
        <v>9686</v>
      </c>
      <c r="AA2572" t="s">
        <v>16368</v>
      </c>
      <c r="AB2572" t="s">
        <v>53</v>
      </c>
      <c r="AC2572" s="3">
        <v>0</v>
      </c>
      <c r="AD2572" s="3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f t="shared" si="80"/>
        <v>21.05</v>
      </c>
      <c r="AK2572" s="3">
        <f t="shared" si="81"/>
        <v>4.620000000000001</v>
      </c>
    </row>
    <row r="2573" spans="1:37">
      <c r="A2573">
        <v>10414862</v>
      </c>
      <c r="B2573" t="s">
        <v>37</v>
      </c>
      <c r="C2573" t="s">
        <v>16369</v>
      </c>
      <c r="E2573" t="s">
        <v>16370</v>
      </c>
      <c r="F2573" t="s">
        <v>16371</v>
      </c>
      <c r="G2573" t="s">
        <v>16372</v>
      </c>
      <c r="H2573" t="s">
        <v>42</v>
      </c>
      <c r="I2573" t="s">
        <v>16373</v>
      </c>
      <c r="J2573" t="s">
        <v>16374</v>
      </c>
      <c r="K2573">
        <v>65189</v>
      </c>
      <c r="L2573" t="s">
        <v>71</v>
      </c>
      <c r="M2573" t="s">
        <v>46</v>
      </c>
      <c r="N2573" t="s">
        <v>47</v>
      </c>
      <c r="O2573">
        <v>1</v>
      </c>
      <c r="P2573">
        <v>1</v>
      </c>
      <c r="Q2573">
        <v>1</v>
      </c>
      <c r="R2573" t="s">
        <v>48</v>
      </c>
      <c r="S2573" t="s">
        <v>49</v>
      </c>
      <c r="T2573" s="3">
        <v>0.84</v>
      </c>
      <c r="U2573" s="3">
        <v>0.23</v>
      </c>
      <c r="V2573" s="3">
        <v>0.94</v>
      </c>
      <c r="W2573">
        <v>1.4</v>
      </c>
      <c r="X2573" t="s">
        <v>108</v>
      </c>
      <c r="Y2573" s="3">
        <v>5.14</v>
      </c>
      <c r="Z2573" t="s">
        <v>9686</v>
      </c>
      <c r="AA2573" t="s">
        <v>1305</v>
      </c>
      <c r="AB2573" t="s">
        <v>53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f t="shared" si="80"/>
        <v>7.15</v>
      </c>
      <c r="AK2573" s="3">
        <f t="shared" si="81"/>
        <v>2.0100000000000007</v>
      </c>
    </row>
    <row r="2574" spans="1:37">
      <c r="A2574">
        <v>10412456</v>
      </c>
      <c r="B2574" t="s">
        <v>37</v>
      </c>
      <c r="C2574" t="s">
        <v>16375</v>
      </c>
      <c r="E2574" t="s">
        <v>2534</v>
      </c>
      <c r="F2574" t="s">
        <v>16376</v>
      </c>
      <c r="G2574" t="s">
        <v>16377</v>
      </c>
      <c r="H2574" t="s">
        <v>42</v>
      </c>
      <c r="I2574" t="s">
        <v>16378</v>
      </c>
      <c r="J2574" t="s">
        <v>16379</v>
      </c>
      <c r="K2574">
        <v>65385</v>
      </c>
      <c r="L2574" t="s">
        <v>71</v>
      </c>
      <c r="M2574" t="s">
        <v>46</v>
      </c>
      <c r="N2574" t="s">
        <v>47</v>
      </c>
      <c r="O2574">
        <v>1</v>
      </c>
      <c r="P2574">
        <v>1</v>
      </c>
      <c r="Q2574">
        <v>1</v>
      </c>
      <c r="R2574" t="s">
        <v>48</v>
      </c>
      <c r="S2574" t="s">
        <v>49</v>
      </c>
      <c r="T2574" s="3">
        <v>0.84</v>
      </c>
      <c r="U2574" s="3">
        <v>0.23</v>
      </c>
      <c r="V2574" s="3">
        <v>0.94</v>
      </c>
      <c r="W2574">
        <v>1.4</v>
      </c>
      <c r="X2574" t="s">
        <v>108</v>
      </c>
      <c r="Y2574" s="3">
        <v>5.14</v>
      </c>
      <c r="Z2574" t="s">
        <v>9686</v>
      </c>
      <c r="AA2574" t="s">
        <v>1297</v>
      </c>
      <c r="AB2574" t="s">
        <v>53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f t="shared" si="80"/>
        <v>7.15</v>
      </c>
      <c r="AK2574" s="3">
        <f t="shared" si="81"/>
        <v>2.0100000000000007</v>
      </c>
    </row>
    <row r="2575" spans="1:37">
      <c r="A2575">
        <v>10413843</v>
      </c>
      <c r="B2575" t="s">
        <v>37</v>
      </c>
      <c r="C2575" t="s">
        <v>16380</v>
      </c>
      <c r="E2575" t="s">
        <v>1330</v>
      </c>
      <c r="F2575" t="s">
        <v>16381</v>
      </c>
      <c r="G2575" t="s">
        <v>16382</v>
      </c>
      <c r="H2575" t="s">
        <v>42</v>
      </c>
      <c r="I2575" t="s">
        <v>16383</v>
      </c>
      <c r="J2575" t="s">
        <v>16384</v>
      </c>
      <c r="K2575">
        <v>40476</v>
      </c>
      <c r="L2575" t="s">
        <v>71</v>
      </c>
      <c r="M2575" t="s">
        <v>46</v>
      </c>
      <c r="N2575" t="s">
        <v>47</v>
      </c>
      <c r="O2575">
        <v>1</v>
      </c>
      <c r="P2575">
        <v>1</v>
      </c>
      <c r="Q2575">
        <v>1</v>
      </c>
      <c r="R2575" t="s">
        <v>48</v>
      </c>
      <c r="S2575" t="s">
        <v>49</v>
      </c>
      <c r="T2575" s="3">
        <v>0.84</v>
      </c>
      <c r="U2575" s="3">
        <v>0.23</v>
      </c>
      <c r="V2575" s="3">
        <v>0.94</v>
      </c>
      <c r="W2575">
        <v>0.39</v>
      </c>
      <c r="X2575" t="s">
        <v>108</v>
      </c>
      <c r="Y2575" s="3">
        <v>6.54</v>
      </c>
      <c r="Z2575" t="s">
        <v>9850</v>
      </c>
      <c r="AA2575" t="s">
        <v>1802</v>
      </c>
      <c r="AB2575" t="s">
        <v>53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f t="shared" si="80"/>
        <v>8.5500000000000007</v>
      </c>
      <c r="AK2575" s="3">
        <f t="shared" si="81"/>
        <v>2.0100000000000007</v>
      </c>
    </row>
    <row r="2576" spans="1:37">
      <c r="A2576">
        <v>10414989</v>
      </c>
      <c r="B2576" t="s">
        <v>37</v>
      </c>
      <c r="C2576" t="s">
        <v>16385</v>
      </c>
      <c r="E2576" t="s">
        <v>16386</v>
      </c>
      <c r="F2576" t="s">
        <v>16387</v>
      </c>
      <c r="G2576" t="s">
        <v>16388</v>
      </c>
      <c r="H2576" t="s">
        <v>42</v>
      </c>
      <c r="I2576" t="s">
        <v>16389</v>
      </c>
      <c r="J2576" t="s">
        <v>16390</v>
      </c>
      <c r="K2576">
        <v>21029</v>
      </c>
      <c r="L2576" t="s">
        <v>71</v>
      </c>
      <c r="M2576" t="s">
        <v>46</v>
      </c>
      <c r="N2576" t="s">
        <v>47</v>
      </c>
      <c r="O2576">
        <v>1</v>
      </c>
      <c r="P2576">
        <v>1</v>
      </c>
      <c r="Q2576">
        <v>1</v>
      </c>
      <c r="R2576" t="s">
        <v>48</v>
      </c>
      <c r="S2576" t="s">
        <v>49</v>
      </c>
      <c r="T2576" s="3">
        <v>0.84</v>
      </c>
      <c r="U2576" s="3">
        <v>0.23</v>
      </c>
      <c r="V2576" s="3">
        <v>0.94</v>
      </c>
      <c r="W2576">
        <v>0.26</v>
      </c>
      <c r="X2576" t="s">
        <v>108</v>
      </c>
      <c r="Y2576" s="3">
        <v>5.14</v>
      </c>
      <c r="Z2576" t="s">
        <v>9850</v>
      </c>
      <c r="AA2576" t="s">
        <v>4068</v>
      </c>
      <c r="AB2576" t="s">
        <v>53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f t="shared" si="80"/>
        <v>7.15</v>
      </c>
      <c r="AK2576" s="3">
        <f t="shared" si="81"/>
        <v>2.0100000000000007</v>
      </c>
    </row>
    <row r="2577" spans="1:37">
      <c r="A2577">
        <v>10413320</v>
      </c>
      <c r="B2577" t="s">
        <v>37</v>
      </c>
      <c r="C2577" t="s">
        <v>16391</v>
      </c>
      <c r="E2577" t="s">
        <v>515</v>
      </c>
      <c r="F2577" t="s">
        <v>16392</v>
      </c>
      <c r="G2577" t="s">
        <v>16393</v>
      </c>
      <c r="H2577" t="s">
        <v>42</v>
      </c>
      <c r="I2577" t="s">
        <v>16394</v>
      </c>
      <c r="J2577" t="s">
        <v>16395</v>
      </c>
      <c r="K2577">
        <v>18258</v>
      </c>
      <c r="L2577" t="s">
        <v>71</v>
      </c>
      <c r="M2577" t="s">
        <v>46</v>
      </c>
      <c r="N2577" t="s">
        <v>47</v>
      </c>
      <c r="O2577">
        <v>1</v>
      </c>
      <c r="P2577">
        <v>1</v>
      </c>
      <c r="Q2577">
        <v>1</v>
      </c>
      <c r="R2577" t="s">
        <v>48</v>
      </c>
      <c r="S2577" t="s">
        <v>49</v>
      </c>
      <c r="T2577" s="3">
        <v>0.84</v>
      </c>
      <c r="U2577" s="3">
        <v>0.23</v>
      </c>
      <c r="V2577" s="3">
        <v>0.94</v>
      </c>
      <c r="W2577">
        <v>0.39</v>
      </c>
      <c r="X2577" t="s">
        <v>108</v>
      </c>
      <c r="Y2577" s="3">
        <v>5.14</v>
      </c>
      <c r="Z2577" t="s">
        <v>9850</v>
      </c>
      <c r="AA2577" t="s">
        <v>3216</v>
      </c>
      <c r="AB2577" t="s">
        <v>53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f t="shared" si="80"/>
        <v>7.15</v>
      </c>
      <c r="AK2577" s="3">
        <f t="shared" si="81"/>
        <v>2.0100000000000007</v>
      </c>
    </row>
    <row r="2578" spans="1:37">
      <c r="A2578">
        <v>10414990</v>
      </c>
      <c r="B2578" t="s">
        <v>37</v>
      </c>
      <c r="C2578" t="s">
        <v>16396</v>
      </c>
      <c r="E2578" t="s">
        <v>1185</v>
      </c>
      <c r="F2578" t="s">
        <v>16397</v>
      </c>
      <c r="G2578" t="s">
        <v>16398</v>
      </c>
      <c r="H2578" t="s">
        <v>42</v>
      </c>
      <c r="I2578" t="s">
        <v>16399</v>
      </c>
      <c r="J2578" t="s">
        <v>16400</v>
      </c>
      <c r="K2578">
        <v>20253</v>
      </c>
      <c r="L2578" t="s">
        <v>71</v>
      </c>
      <c r="M2578" t="s">
        <v>46</v>
      </c>
      <c r="N2578" t="s">
        <v>47</v>
      </c>
      <c r="O2578">
        <v>1</v>
      </c>
      <c r="P2578">
        <v>1</v>
      </c>
      <c r="Q2578">
        <v>1</v>
      </c>
      <c r="R2578" t="s">
        <v>48</v>
      </c>
      <c r="S2578" t="s">
        <v>49</v>
      </c>
      <c r="T2578" s="3">
        <v>0.84</v>
      </c>
      <c r="U2578" s="3">
        <v>0.23</v>
      </c>
      <c r="V2578" s="3">
        <v>0.94</v>
      </c>
      <c r="W2578">
        <v>0.26</v>
      </c>
      <c r="X2578" t="s">
        <v>108</v>
      </c>
      <c r="Y2578" s="3">
        <v>5.14</v>
      </c>
      <c r="Z2578" t="s">
        <v>9850</v>
      </c>
      <c r="AA2578" t="s">
        <v>5218</v>
      </c>
      <c r="AB2578" t="s">
        <v>53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f t="shared" si="80"/>
        <v>7.15</v>
      </c>
      <c r="AK2578" s="3">
        <f t="shared" si="81"/>
        <v>2.0100000000000007</v>
      </c>
    </row>
    <row r="2579" spans="1:37">
      <c r="A2579">
        <v>10415364</v>
      </c>
      <c r="B2579" t="s">
        <v>37</v>
      </c>
      <c r="C2579" t="s">
        <v>16401</v>
      </c>
      <c r="E2579" t="s">
        <v>7014</v>
      </c>
      <c r="F2579" t="s">
        <v>2026</v>
      </c>
      <c r="G2579" t="s">
        <v>16402</v>
      </c>
      <c r="H2579" t="s">
        <v>42</v>
      </c>
      <c r="I2579" t="s">
        <v>16403</v>
      </c>
      <c r="J2579" t="s">
        <v>15944</v>
      </c>
      <c r="K2579">
        <v>22589</v>
      </c>
      <c r="L2579" t="s">
        <v>71</v>
      </c>
      <c r="M2579" t="s">
        <v>46</v>
      </c>
      <c r="N2579" t="s">
        <v>47</v>
      </c>
      <c r="O2579">
        <v>4</v>
      </c>
      <c r="P2579">
        <v>1</v>
      </c>
      <c r="Q2579">
        <v>4</v>
      </c>
      <c r="R2579" t="s">
        <v>48</v>
      </c>
      <c r="S2579" t="s">
        <v>49</v>
      </c>
      <c r="T2579" s="3">
        <v>0.84</v>
      </c>
      <c r="U2579" s="3">
        <v>0.23</v>
      </c>
      <c r="V2579" s="3">
        <v>3.55</v>
      </c>
      <c r="W2579">
        <v>1.96</v>
      </c>
      <c r="X2579" t="s">
        <v>108</v>
      </c>
      <c r="Y2579" s="3">
        <v>5.14</v>
      </c>
      <c r="Z2579" t="s">
        <v>9686</v>
      </c>
      <c r="AA2579" t="s">
        <v>16404</v>
      </c>
      <c r="AB2579" t="s">
        <v>53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f t="shared" si="80"/>
        <v>9.76</v>
      </c>
      <c r="AK2579" s="3">
        <f t="shared" si="81"/>
        <v>4.62</v>
      </c>
    </row>
    <row r="2580" spans="1:37">
      <c r="A2580">
        <v>10415365</v>
      </c>
      <c r="B2580" t="s">
        <v>37</v>
      </c>
      <c r="C2580" t="s">
        <v>16405</v>
      </c>
      <c r="E2580" t="s">
        <v>16406</v>
      </c>
      <c r="F2580" t="s">
        <v>2535</v>
      </c>
      <c r="G2580" t="s">
        <v>16407</v>
      </c>
      <c r="H2580" t="s">
        <v>42</v>
      </c>
      <c r="I2580" t="s">
        <v>16408</v>
      </c>
      <c r="J2580" t="s">
        <v>16409</v>
      </c>
      <c r="K2580" t="s">
        <v>16410</v>
      </c>
      <c r="L2580" t="s">
        <v>142</v>
      </c>
      <c r="M2580" t="s">
        <v>46</v>
      </c>
      <c r="N2580" t="s">
        <v>47</v>
      </c>
      <c r="O2580">
        <v>7</v>
      </c>
      <c r="P2580">
        <v>1</v>
      </c>
      <c r="Q2580">
        <v>7</v>
      </c>
      <c r="R2580" t="s">
        <v>48</v>
      </c>
      <c r="S2580" t="s">
        <v>49</v>
      </c>
      <c r="T2580" s="3">
        <v>0.84</v>
      </c>
      <c r="U2580" s="3">
        <v>0.23</v>
      </c>
      <c r="V2580" s="3">
        <v>6.16</v>
      </c>
      <c r="W2580">
        <v>2.57</v>
      </c>
      <c r="X2580" t="s">
        <v>50</v>
      </c>
      <c r="Y2580" s="3">
        <v>16.43</v>
      </c>
      <c r="Z2580" t="s">
        <v>73</v>
      </c>
      <c r="AA2580" t="s">
        <v>16411</v>
      </c>
      <c r="AB2580" t="s">
        <v>53</v>
      </c>
      <c r="AC2580" s="3">
        <v>1.29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f t="shared" si="80"/>
        <v>24.95</v>
      </c>
      <c r="AK2580" s="3">
        <f t="shared" si="81"/>
        <v>8.52</v>
      </c>
    </row>
    <row r="2581" spans="1:37">
      <c r="A2581">
        <v>10415139</v>
      </c>
      <c r="B2581" t="s">
        <v>37</v>
      </c>
      <c r="C2581" t="s">
        <v>16412</v>
      </c>
      <c r="E2581" t="s">
        <v>1094</v>
      </c>
      <c r="F2581" t="s">
        <v>4301</v>
      </c>
      <c r="G2581" t="s">
        <v>16413</v>
      </c>
      <c r="H2581" t="s">
        <v>42</v>
      </c>
      <c r="I2581" t="s">
        <v>16414</v>
      </c>
      <c r="J2581" t="s">
        <v>16415</v>
      </c>
      <c r="K2581" t="s">
        <v>16416</v>
      </c>
      <c r="L2581" t="s">
        <v>71</v>
      </c>
      <c r="M2581" t="s">
        <v>46</v>
      </c>
      <c r="N2581" t="s">
        <v>47</v>
      </c>
      <c r="O2581">
        <v>1</v>
      </c>
      <c r="P2581">
        <v>1</v>
      </c>
      <c r="Q2581">
        <v>1</v>
      </c>
      <c r="R2581" t="s">
        <v>48</v>
      </c>
      <c r="S2581" t="s">
        <v>49</v>
      </c>
      <c r="T2581" s="3">
        <v>0.84</v>
      </c>
      <c r="U2581" s="3">
        <v>0.23</v>
      </c>
      <c r="V2581" s="3">
        <v>0.94</v>
      </c>
      <c r="W2581">
        <v>1.4</v>
      </c>
      <c r="X2581" t="s">
        <v>108</v>
      </c>
      <c r="Y2581" s="3">
        <v>5.14</v>
      </c>
      <c r="Z2581" t="s">
        <v>9686</v>
      </c>
      <c r="AA2581" t="s">
        <v>259</v>
      </c>
      <c r="AB2581" t="s">
        <v>53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f t="shared" si="80"/>
        <v>7.15</v>
      </c>
      <c r="AK2581" s="3">
        <f t="shared" si="81"/>
        <v>2.0100000000000007</v>
      </c>
    </row>
    <row r="2582" spans="1:37">
      <c r="A2582">
        <v>10385545</v>
      </c>
      <c r="B2582" t="s">
        <v>111</v>
      </c>
      <c r="C2582" t="s">
        <v>16417</v>
      </c>
      <c r="D2582" t="s">
        <v>16418</v>
      </c>
      <c r="E2582" t="s">
        <v>3582</v>
      </c>
      <c r="F2582" t="s">
        <v>16419</v>
      </c>
      <c r="G2582" t="s">
        <v>16420</v>
      </c>
      <c r="H2582" t="s">
        <v>117</v>
      </c>
      <c r="I2582" t="s">
        <v>16421</v>
      </c>
      <c r="J2582" t="s">
        <v>16422</v>
      </c>
      <c r="K2582">
        <v>78187</v>
      </c>
      <c r="L2582" t="s">
        <v>71</v>
      </c>
      <c r="M2582" t="s">
        <v>46</v>
      </c>
      <c r="N2582" t="s">
        <v>47</v>
      </c>
      <c r="O2582">
        <v>457</v>
      </c>
      <c r="P2582">
        <v>8</v>
      </c>
      <c r="Q2582">
        <v>457</v>
      </c>
      <c r="R2582" t="s">
        <v>48</v>
      </c>
      <c r="S2582" t="s">
        <v>49</v>
      </c>
      <c r="T2582" s="3">
        <v>7</v>
      </c>
      <c r="U2582" s="3">
        <v>0.23</v>
      </c>
      <c r="V2582" s="3">
        <v>207.87</v>
      </c>
      <c r="W2582">
        <v>144.5</v>
      </c>
      <c r="X2582" t="s">
        <v>72</v>
      </c>
      <c r="Y2582" s="3">
        <v>82.89</v>
      </c>
      <c r="Z2582" t="s">
        <v>16423</v>
      </c>
      <c r="AA2582" t="s">
        <v>16424</v>
      </c>
      <c r="AB2582" t="s">
        <v>53</v>
      </c>
      <c r="AC2582" s="3">
        <v>33.68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f t="shared" si="80"/>
        <v>331.67</v>
      </c>
      <c r="AK2582" s="3">
        <f t="shared" si="81"/>
        <v>248.78000000000003</v>
      </c>
    </row>
    <row r="2583" spans="1:37">
      <c r="A2583">
        <v>10414991</v>
      </c>
      <c r="B2583" t="s">
        <v>37</v>
      </c>
      <c r="C2583" t="s">
        <v>16425</v>
      </c>
      <c r="E2583" t="s">
        <v>1886</v>
      </c>
      <c r="F2583" t="s">
        <v>16426</v>
      </c>
      <c r="G2583" t="s">
        <v>16427</v>
      </c>
      <c r="H2583" t="s">
        <v>42</v>
      </c>
      <c r="I2583" t="s">
        <v>16428</v>
      </c>
      <c r="J2583" t="s">
        <v>16429</v>
      </c>
      <c r="K2583">
        <v>53844</v>
      </c>
      <c r="L2583" t="s">
        <v>71</v>
      </c>
      <c r="M2583" t="s">
        <v>46</v>
      </c>
      <c r="N2583" t="s">
        <v>47</v>
      </c>
      <c r="O2583">
        <v>9</v>
      </c>
      <c r="P2583">
        <v>1</v>
      </c>
      <c r="Q2583">
        <v>9</v>
      </c>
      <c r="R2583" t="s">
        <v>48</v>
      </c>
      <c r="S2583" t="s">
        <v>49</v>
      </c>
      <c r="T2583" s="3">
        <v>0.84</v>
      </c>
      <c r="U2583" s="3">
        <v>0.23</v>
      </c>
      <c r="V2583" s="3">
        <v>7.9</v>
      </c>
      <c r="W2583">
        <v>3.8969999999999998</v>
      </c>
      <c r="X2583" t="s">
        <v>72</v>
      </c>
      <c r="Y2583" s="3">
        <v>8.01</v>
      </c>
      <c r="Z2583" t="s">
        <v>83</v>
      </c>
      <c r="AA2583" t="s">
        <v>16430</v>
      </c>
      <c r="AB2583" t="s">
        <v>53</v>
      </c>
      <c r="AC2583" s="3">
        <v>1.27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f t="shared" si="80"/>
        <v>18.25</v>
      </c>
      <c r="AK2583" s="3">
        <f t="shared" si="81"/>
        <v>10.24</v>
      </c>
    </row>
    <row r="2584" spans="1:37">
      <c r="A2584">
        <v>10414861</v>
      </c>
      <c r="B2584" t="s">
        <v>37</v>
      </c>
      <c r="C2584" t="s">
        <v>16431</v>
      </c>
      <c r="E2584" t="s">
        <v>16432</v>
      </c>
      <c r="F2584" t="s">
        <v>492</v>
      </c>
      <c r="G2584" t="s">
        <v>16433</v>
      </c>
      <c r="H2584" t="s">
        <v>42</v>
      </c>
      <c r="I2584" t="s">
        <v>16434</v>
      </c>
      <c r="J2584" t="s">
        <v>16435</v>
      </c>
      <c r="K2584" t="s">
        <v>16436</v>
      </c>
      <c r="L2584" t="s">
        <v>91</v>
      </c>
      <c r="M2584" t="s">
        <v>46</v>
      </c>
      <c r="N2584" t="s">
        <v>47</v>
      </c>
      <c r="O2584">
        <v>3</v>
      </c>
      <c r="P2584">
        <v>1</v>
      </c>
      <c r="Q2584">
        <v>3</v>
      </c>
      <c r="R2584" t="s">
        <v>48</v>
      </c>
      <c r="S2584" t="s">
        <v>49</v>
      </c>
      <c r="T2584" s="3">
        <v>0.84</v>
      </c>
      <c r="U2584" s="3">
        <v>0.23</v>
      </c>
      <c r="V2584" s="3">
        <v>2.68</v>
      </c>
      <c r="W2584">
        <v>1.44</v>
      </c>
      <c r="X2584" t="s">
        <v>50</v>
      </c>
      <c r="Y2584" s="3">
        <v>16.43</v>
      </c>
      <c r="Z2584" t="s">
        <v>9686</v>
      </c>
      <c r="AA2584" t="s">
        <v>16437</v>
      </c>
      <c r="AB2584" t="s">
        <v>53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f t="shared" si="80"/>
        <v>20.18</v>
      </c>
      <c r="AK2584" s="3">
        <f t="shared" si="81"/>
        <v>3.75</v>
      </c>
    </row>
    <row r="2585" spans="1:37">
      <c r="A2585">
        <v>10415367</v>
      </c>
      <c r="B2585" t="s">
        <v>37</v>
      </c>
      <c r="C2585" t="s">
        <v>16438</v>
      </c>
      <c r="E2585" t="s">
        <v>11175</v>
      </c>
      <c r="F2585" t="s">
        <v>3076</v>
      </c>
      <c r="G2585" t="s">
        <v>16439</v>
      </c>
      <c r="H2585" t="s">
        <v>42</v>
      </c>
      <c r="I2585" t="s">
        <v>16440</v>
      </c>
      <c r="J2585" t="s">
        <v>16441</v>
      </c>
      <c r="K2585" t="s">
        <v>16442</v>
      </c>
      <c r="L2585" t="s">
        <v>142</v>
      </c>
      <c r="M2585" t="s">
        <v>46</v>
      </c>
      <c r="N2585" t="s">
        <v>47</v>
      </c>
      <c r="O2585">
        <v>2</v>
      </c>
      <c r="P2585">
        <v>1</v>
      </c>
      <c r="Q2585">
        <v>2</v>
      </c>
      <c r="R2585" t="s">
        <v>48</v>
      </c>
      <c r="S2585" t="s">
        <v>49</v>
      </c>
      <c r="T2585" s="3">
        <v>0.84</v>
      </c>
      <c r="U2585" s="3">
        <v>0.23</v>
      </c>
      <c r="V2585" s="3">
        <v>1.81</v>
      </c>
      <c r="W2585">
        <v>2.65</v>
      </c>
      <c r="X2585" t="s">
        <v>50</v>
      </c>
      <c r="Y2585" s="3">
        <v>16.43</v>
      </c>
      <c r="Z2585" t="s">
        <v>83</v>
      </c>
      <c r="AA2585" t="s">
        <v>16443</v>
      </c>
      <c r="AB2585" t="s">
        <v>53</v>
      </c>
      <c r="AC2585" s="3">
        <v>1.27</v>
      </c>
      <c r="AD2585" s="3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f t="shared" si="80"/>
        <v>20.58</v>
      </c>
      <c r="AK2585" s="3">
        <f t="shared" si="81"/>
        <v>4.1499999999999986</v>
      </c>
    </row>
    <row r="2586" spans="1:37">
      <c r="A2586">
        <v>10415366</v>
      </c>
      <c r="B2586" t="s">
        <v>37</v>
      </c>
      <c r="C2586" t="s">
        <v>16444</v>
      </c>
      <c r="E2586" t="s">
        <v>16445</v>
      </c>
      <c r="F2586" t="s">
        <v>16446</v>
      </c>
      <c r="G2586" t="s">
        <v>16447</v>
      </c>
      <c r="H2586" t="s">
        <v>42</v>
      </c>
      <c r="I2586" t="s">
        <v>16448</v>
      </c>
      <c r="J2586" t="s">
        <v>16449</v>
      </c>
      <c r="K2586">
        <v>64673</v>
      </c>
      <c r="L2586" t="s">
        <v>71</v>
      </c>
      <c r="M2586" t="s">
        <v>46</v>
      </c>
      <c r="N2586" t="s">
        <v>47</v>
      </c>
      <c r="O2586">
        <v>4</v>
      </c>
      <c r="P2586">
        <v>1</v>
      </c>
      <c r="Q2586">
        <v>4</v>
      </c>
      <c r="R2586" t="s">
        <v>48</v>
      </c>
      <c r="S2586" t="s">
        <v>49</v>
      </c>
      <c r="T2586" s="3">
        <v>0.84</v>
      </c>
      <c r="U2586" s="3">
        <v>0.23</v>
      </c>
      <c r="V2586" s="3">
        <v>3.55</v>
      </c>
      <c r="W2586">
        <v>1.31</v>
      </c>
      <c r="X2586" t="s">
        <v>108</v>
      </c>
      <c r="Y2586" s="3">
        <v>5.14</v>
      </c>
      <c r="Z2586" t="s">
        <v>9686</v>
      </c>
      <c r="AA2586" t="s">
        <v>16450</v>
      </c>
      <c r="AB2586" t="s">
        <v>53</v>
      </c>
      <c r="AC2586" s="3">
        <v>0</v>
      </c>
      <c r="AD2586" s="3">
        <v>0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s="3">
        <f t="shared" si="80"/>
        <v>9.76</v>
      </c>
      <c r="AK2586" s="3">
        <f t="shared" si="81"/>
        <v>4.62</v>
      </c>
    </row>
    <row r="2587" spans="1:37">
      <c r="A2587">
        <v>10412223</v>
      </c>
      <c r="B2587" t="s">
        <v>111</v>
      </c>
      <c r="C2587" t="s">
        <v>16451</v>
      </c>
      <c r="E2587" t="s">
        <v>2071</v>
      </c>
      <c r="F2587" t="s">
        <v>16452</v>
      </c>
      <c r="G2587" t="s">
        <v>16453</v>
      </c>
      <c r="H2587" t="s">
        <v>117</v>
      </c>
      <c r="I2587" t="s">
        <v>16454</v>
      </c>
      <c r="J2587" t="s">
        <v>16455</v>
      </c>
      <c r="K2587">
        <v>44145</v>
      </c>
      <c r="L2587" t="s">
        <v>71</v>
      </c>
      <c r="M2587" t="s">
        <v>46</v>
      </c>
      <c r="N2587" t="s">
        <v>47</v>
      </c>
      <c r="O2587">
        <v>62</v>
      </c>
      <c r="P2587">
        <v>3</v>
      </c>
      <c r="Q2587">
        <v>62</v>
      </c>
      <c r="R2587" t="s">
        <v>48</v>
      </c>
      <c r="S2587" t="s">
        <v>49</v>
      </c>
      <c r="T2587" s="3">
        <v>7</v>
      </c>
      <c r="U2587" s="3">
        <v>0.23</v>
      </c>
      <c r="V2587" s="3">
        <v>56.93</v>
      </c>
      <c r="W2587">
        <v>45</v>
      </c>
      <c r="X2587" t="s">
        <v>72</v>
      </c>
      <c r="Y2587" s="3">
        <v>27.59</v>
      </c>
      <c r="Z2587" t="s">
        <v>132</v>
      </c>
      <c r="AA2587" t="s">
        <v>16456</v>
      </c>
      <c r="AB2587" t="s">
        <v>53</v>
      </c>
      <c r="AC2587" s="3">
        <v>5.61</v>
      </c>
      <c r="AD2587" s="3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s="3">
        <f t="shared" si="80"/>
        <v>97.36</v>
      </c>
      <c r="AK2587" s="3">
        <f t="shared" si="81"/>
        <v>69.77</v>
      </c>
    </row>
    <row r="2588" spans="1:37">
      <c r="A2588">
        <v>10394049</v>
      </c>
      <c r="B2588" t="s">
        <v>111</v>
      </c>
      <c r="C2588" t="s">
        <v>16457</v>
      </c>
      <c r="D2588" t="s">
        <v>3526</v>
      </c>
      <c r="E2588" t="s">
        <v>3527</v>
      </c>
      <c r="F2588" t="s">
        <v>3528</v>
      </c>
      <c r="G2588" t="s">
        <v>16458</v>
      </c>
      <c r="H2588" t="s">
        <v>117</v>
      </c>
      <c r="I2588" t="s">
        <v>16459</v>
      </c>
      <c r="J2588" t="s">
        <v>3531</v>
      </c>
      <c r="K2588">
        <v>81543</v>
      </c>
      <c r="L2588" t="s">
        <v>71</v>
      </c>
      <c r="M2588" t="s">
        <v>46</v>
      </c>
      <c r="N2588" t="s">
        <v>47</v>
      </c>
      <c r="O2588">
        <v>62</v>
      </c>
      <c r="P2588">
        <v>1</v>
      </c>
      <c r="Q2588">
        <v>62</v>
      </c>
      <c r="R2588" t="s">
        <v>48</v>
      </c>
      <c r="S2588" t="s">
        <v>49</v>
      </c>
      <c r="T2588" s="3">
        <v>7</v>
      </c>
      <c r="U2588" s="3">
        <v>0.23</v>
      </c>
      <c r="V2588" s="3">
        <v>56.93</v>
      </c>
      <c r="W2588">
        <v>20</v>
      </c>
      <c r="X2588" t="s">
        <v>72</v>
      </c>
      <c r="Y2588" s="3">
        <v>11.56</v>
      </c>
      <c r="Z2588" t="s">
        <v>51</v>
      </c>
      <c r="AA2588" t="s">
        <v>16460</v>
      </c>
      <c r="AB2588" t="s">
        <v>53</v>
      </c>
      <c r="AC2588" s="3">
        <v>1.87</v>
      </c>
      <c r="AD2588" s="3">
        <v>0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s="3">
        <f t="shared" si="80"/>
        <v>77.59</v>
      </c>
      <c r="AK2588" s="3">
        <f t="shared" si="81"/>
        <v>66.03</v>
      </c>
    </row>
    <row r="2589" spans="1:37">
      <c r="A2589">
        <v>10415967</v>
      </c>
      <c r="B2589" t="s">
        <v>37</v>
      </c>
      <c r="C2589" t="s">
        <v>16461</v>
      </c>
      <c r="E2589" t="s">
        <v>16462</v>
      </c>
      <c r="F2589" t="s">
        <v>16463</v>
      </c>
      <c r="G2589" t="s">
        <v>16464</v>
      </c>
      <c r="H2589" t="s">
        <v>42</v>
      </c>
      <c r="I2589" t="s">
        <v>16465</v>
      </c>
      <c r="J2589" t="s">
        <v>16466</v>
      </c>
      <c r="K2589">
        <v>18008</v>
      </c>
      <c r="L2589" t="s">
        <v>91</v>
      </c>
      <c r="M2589" t="s">
        <v>46</v>
      </c>
      <c r="N2589" t="s">
        <v>47</v>
      </c>
      <c r="O2589">
        <v>2</v>
      </c>
      <c r="P2589">
        <v>1</v>
      </c>
      <c r="Q2589">
        <v>2</v>
      </c>
      <c r="R2589" t="s">
        <v>48</v>
      </c>
      <c r="S2589" t="s">
        <v>49</v>
      </c>
      <c r="T2589" s="3">
        <v>0.84</v>
      </c>
      <c r="U2589" s="3">
        <v>0.23</v>
      </c>
      <c r="V2589" s="3">
        <v>1.81</v>
      </c>
      <c r="W2589">
        <v>0.9</v>
      </c>
      <c r="X2589" t="s">
        <v>50</v>
      </c>
      <c r="Y2589" s="3">
        <v>16.43</v>
      </c>
      <c r="Z2589" t="s">
        <v>9850</v>
      </c>
      <c r="AA2589" t="s">
        <v>16467</v>
      </c>
      <c r="AB2589" t="s">
        <v>53</v>
      </c>
      <c r="AC2589" s="3">
        <v>0</v>
      </c>
      <c r="AD2589" s="3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s="3">
        <f t="shared" si="80"/>
        <v>19.309999999999999</v>
      </c>
      <c r="AK2589" s="3">
        <f t="shared" si="81"/>
        <v>2.879999999999999</v>
      </c>
    </row>
    <row r="2590" spans="1:37">
      <c r="A2590">
        <v>10415641</v>
      </c>
      <c r="B2590" t="s">
        <v>37</v>
      </c>
      <c r="C2590" t="s">
        <v>16468</v>
      </c>
      <c r="E2590" t="s">
        <v>9023</v>
      </c>
      <c r="F2590" t="s">
        <v>16469</v>
      </c>
      <c r="G2590" t="s">
        <v>16470</v>
      </c>
      <c r="H2590" t="s">
        <v>42</v>
      </c>
      <c r="I2590" t="s">
        <v>16471</v>
      </c>
      <c r="J2590" t="s">
        <v>16472</v>
      </c>
      <c r="K2590">
        <v>28790</v>
      </c>
      <c r="L2590" t="s">
        <v>71</v>
      </c>
      <c r="M2590" t="s">
        <v>46</v>
      </c>
      <c r="N2590" t="s">
        <v>47</v>
      </c>
      <c r="O2590">
        <v>2</v>
      </c>
      <c r="P2590">
        <v>1</v>
      </c>
      <c r="Q2590">
        <v>2</v>
      </c>
      <c r="R2590" t="s">
        <v>48</v>
      </c>
      <c r="S2590" t="s">
        <v>49</v>
      </c>
      <c r="T2590" s="3">
        <v>0.84</v>
      </c>
      <c r="U2590" s="3">
        <v>0.23</v>
      </c>
      <c r="V2590" s="3">
        <v>1.81</v>
      </c>
      <c r="W2590">
        <v>1</v>
      </c>
      <c r="X2590" t="s">
        <v>108</v>
      </c>
      <c r="Y2590" s="3">
        <v>5.14</v>
      </c>
      <c r="Z2590" t="s">
        <v>9686</v>
      </c>
      <c r="AA2590" t="s">
        <v>16473</v>
      </c>
      <c r="AB2590" t="s">
        <v>53</v>
      </c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f t="shared" si="80"/>
        <v>8.02</v>
      </c>
      <c r="AK2590" s="3">
        <f t="shared" si="81"/>
        <v>2.88</v>
      </c>
    </row>
    <row r="2591" spans="1:37">
      <c r="A2591">
        <v>10415644</v>
      </c>
      <c r="B2591" t="s">
        <v>37</v>
      </c>
      <c r="C2591" t="s">
        <v>16474</v>
      </c>
      <c r="E2591" t="s">
        <v>16475</v>
      </c>
      <c r="F2591" t="s">
        <v>16476</v>
      </c>
      <c r="G2591" t="s">
        <v>16477</v>
      </c>
      <c r="H2591" t="s">
        <v>42</v>
      </c>
      <c r="I2591" t="s">
        <v>16478</v>
      </c>
      <c r="J2591" t="s">
        <v>16479</v>
      </c>
      <c r="K2591">
        <v>2910</v>
      </c>
      <c r="L2591" t="s">
        <v>505</v>
      </c>
      <c r="M2591" t="s">
        <v>46</v>
      </c>
      <c r="N2591" t="s">
        <v>47</v>
      </c>
      <c r="O2591">
        <v>2</v>
      </c>
      <c r="P2591">
        <v>1</v>
      </c>
      <c r="Q2591">
        <v>2</v>
      </c>
      <c r="R2591" t="s">
        <v>48</v>
      </c>
      <c r="S2591" t="s">
        <v>49</v>
      </c>
      <c r="T2591" s="3">
        <v>0.84</v>
      </c>
      <c r="U2591" s="3">
        <v>0.23</v>
      </c>
      <c r="V2591" s="3">
        <v>1.81</v>
      </c>
      <c r="W2591">
        <v>0.98</v>
      </c>
      <c r="X2591" t="s">
        <v>50</v>
      </c>
      <c r="Y2591" s="3">
        <v>9.1999999999999993</v>
      </c>
      <c r="Z2591" t="s">
        <v>9850</v>
      </c>
      <c r="AA2591" t="s">
        <v>16480</v>
      </c>
      <c r="AB2591" t="s">
        <v>53</v>
      </c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f t="shared" si="80"/>
        <v>12.08</v>
      </c>
      <c r="AK2591" s="3">
        <f t="shared" si="81"/>
        <v>2.8800000000000008</v>
      </c>
    </row>
    <row r="2592" spans="1:37">
      <c r="A2592">
        <v>10385828</v>
      </c>
      <c r="B2592" t="s">
        <v>37</v>
      </c>
      <c r="C2592" t="s">
        <v>16481</v>
      </c>
      <c r="E2592" t="s">
        <v>6609</v>
      </c>
      <c r="F2592" t="s">
        <v>16482</v>
      </c>
      <c r="G2592" t="s">
        <v>16483</v>
      </c>
      <c r="H2592" t="s">
        <v>42</v>
      </c>
      <c r="I2592" t="s">
        <v>16484</v>
      </c>
      <c r="J2592" t="s">
        <v>16485</v>
      </c>
      <c r="K2592">
        <v>37250</v>
      </c>
      <c r="L2592" t="s">
        <v>130</v>
      </c>
      <c r="M2592" t="s">
        <v>46</v>
      </c>
      <c r="N2592" t="s">
        <v>47</v>
      </c>
      <c r="O2592">
        <v>2</v>
      </c>
      <c r="P2592">
        <v>1</v>
      </c>
      <c r="Q2592">
        <v>2</v>
      </c>
      <c r="R2592" t="s">
        <v>48</v>
      </c>
      <c r="S2592" t="s">
        <v>49</v>
      </c>
      <c r="T2592" s="3">
        <v>0.84</v>
      </c>
      <c r="U2592" s="3">
        <v>0.23</v>
      </c>
      <c r="V2592" s="3">
        <v>1.81</v>
      </c>
      <c r="W2592">
        <v>0.3</v>
      </c>
      <c r="X2592" t="s">
        <v>50</v>
      </c>
      <c r="Y2592" s="3">
        <v>14.26</v>
      </c>
      <c r="Z2592" t="s">
        <v>9850</v>
      </c>
      <c r="AA2592" t="s">
        <v>13741</v>
      </c>
      <c r="AB2592" t="s">
        <v>53</v>
      </c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f t="shared" si="80"/>
        <v>17.14</v>
      </c>
      <c r="AK2592" s="3">
        <f t="shared" si="81"/>
        <v>2.8800000000000008</v>
      </c>
    </row>
    <row r="2593" spans="1:37">
      <c r="A2593">
        <v>10415654</v>
      </c>
      <c r="B2593" t="s">
        <v>37</v>
      </c>
      <c r="C2593" t="s">
        <v>16486</v>
      </c>
      <c r="E2593" t="s">
        <v>2955</v>
      </c>
      <c r="F2593" t="s">
        <v>16487</v>
      </c>
      <c r="G2593" t="s">
        <v>16488</v>
      </c>
      <c r="H2593" t="s">
        <v>42</v>
      </c>
      <c r="I2593" t="s">
        <v>16489</v>
      </c>
      <c r="J2593" t="s">
        <v>16490</v>
      </c>
      <c r="K2593">
        <v>96486</v>
      </c>
      <c r="L2593" t="s">
        <v>71</v>
      </c>
      <c r="M2593" t="s">
        <v>46</v>
      </c>
      <c r="N2593" t="s">
        <v>47</v>
      </c>
      <c r="O2593">
        <v>2</v>
      </c>
      <c r="P2593">
        <v>1</v>
      </c>
      <c r="Q2593">
        <v>2</v>
      </c>
      <c r="R2593" t="s">
        <v>48</v>
      </c>
      <c r="S2593" t="s">
        <v>49</v>
      </c>
      <c r="T2593" s="3">
        <v>0.84</v>
      </c>
      <c r="U2593" s="3">
        <v>0.23</v>
      </c>
      <c r="V2593" s="3">
        <v>1.81</v>
      </c>
      <c r="W2593">
        <v>0.3</v>
      </c>
      <c r="X2593" t="s">
        <v>108</v>
      </c>
      <c r="Y2593" s="3">
        <v>5.14</v>
      </c>
      <c r="Z2593" t="s">
        <v>9850</v>
      </c>
      <c r="AA2593" t="s">
        <v>13741</v>
      </c>
      <c r="AB2593" t="s">
        <v>53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f t="shared" si="80"/>
        <v>8.02</v>
      </c>
      <c r="AK2593" s="3">
        <f t="shared" si="81"/>
        <v>2.88</v>
      </c>
    </row>
    <row r="2594" spans="1:37">
      <c r="A2594">
        <v>10415955</v>
      </c>
      <c r="B2594" t="s">
        <v>37</v>
      </c>
      <c r="C2594" t="s">
        <v>16491</v>
      </c>
      <c r="E2594" t="s">
        <v>16492</v>
      </c>
      <c r="F2594" t="s">
        <v>16493</v>
      </c>
      <c r="G2594" t="s">
        <v>16494</v>
      </c>
      <c r="H2594" t="s">
        <v>42</v>
      </c>
      <c r="I2594" t="s">
        <v>16495</v>
      </c>
      <c r="J2594" t="s">
        <v>16496</v>
      </c>
      <c r="K2594">
        <v>5140</v>
      </c>
      <c r="L2594" t="s">
        <v>505</v>
      </c>
      <c r="M2594" t="s">
        <v>46</v>
      </c>
      <c r="N2594" t="s">
        <v>47</v>
      </c>
      <c r="O2594">
        <v>4</v>
      </c>
      <c r="P2594">
        <v>1</v>
      </c>
      <c r="Q2594">
        <v>4</v>
      </c>
      <c r="R2594" t="s">
        <v>48</v>
      </c>
      <c r="S2594" t="s">
        <v>49</v>
      </c>
      <c r="T2594" s="3">
        <v>0.84</v>
      </c>
      <c r="U2594" s="3">
        <v>0.23</v>
      </c>
      <c r="V2594" s="3">
        <v>3.55</v>
      </c>
      <c r="W2594">
        <v>1.55</v>
      </c>
      <c r="X2594" t="s">
        <v>50</v>
      </c>
      <c r="Y2594" s="3">
        <v>9.1999999999999993</v>
      </c>
      <c r="Z2594" t="s">
        <v>9686</v>
      </c>
      <c r="AA2594" t="s">
        <v>16497</v>
      </c>
      <c r="AB2594" t="s">
        <v>53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f t="shared" si="80"/>
        <v>13.82</v>
      </c>
      <c r="AK2594" s="3">
        <f t="shared" si="81"/>
        <v>4.620000000000001</v>
      </c>
    </row>
    <row r="2595" spans="1:37">
      <c r="A2595">
        <v>10415651</v>
      </c>
      <c r="B2595" t="s">
        <v>37</v>
      </c>
      <c r="C2595" t="s">
        <v>16498</v>
      </c>
      <c r="E2595" t="s">
        <v>1470</v>
      </c>
      <c r="F2595" t="s">
        <v>16499</v>
      </c>
      <c r="G2595" t="s">
        <v>16500</v>
      </c>
      <c r="H2595" t="s">
        <v>42</v>
      </c>
      <c r="I2595" t="s">
        <v>16501</v>
      </c>
      <c r="J2595" t="s">
        <v>16502</v>
      </c>
      <c r="K2595">
        <v>2800</v>
      </c>
      <c r="L2595" t="s">
        <v>505</v>
      </c>
      <c r="M2595" t="s">
        <v>46</v>
      </c>
      <c r="N2595" t="s">
        <v>47</v>
      </c>
      <c r="O2595">
        <v>3</v>
      </c>
      <c r="P2595">
        <v>1</v>
      </c>
      <c r="Q2595">
        <v>3</v>
      </c>
      <c r="R2595" t="s">
        <v>48</v>
      </c>
      <c r="S2595" t="s">
        <v>49</v>
      </c>
      <c r="T2595" s="3">
        <v>0.84</v>
      </c>
      <c r="U2595" s="3">
        <v>0.23</v>
      </c>
      <c r="V2595" s="3">
        <v>2.68</v>
      </c>
      <c r="W2595">
        <v>0.79</v>
      </c>
      <c r="X2595" t="s">
        <v>50</v>
      </c>
      <c r="Y2595" s="3">
        <v>9.1999999999999993</v>
      </c>
      <c r="Z2595" t="s">
        <v>9686</v>
      </c>
      <c r="AA2595" t="s">
        <v>16503</v>
      </c>
      <c r="AB2595" t="s">
        <v>53</v>
      </c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f t="shared" si="80"/>
        <v>12.95</v>
      </c>
      <c r="AK2595" s="3">
        <f t="shared" si="81"/>
        <v>3.75</v>
      </c>
    </row>
    <row r="2596" spans="1:37">
      <c r="A2596">
        <v>10415963</v>
      </c>
      <c r="B2596" t="s">
        <v>37</v>
      </c>
      <c r="C2596" t="s">
        <v>16504</v>
      </c>
      <c r="E2596" t="s">
        <v>247</v>
      </c>
      <c r="F2596" t="s">
        <v>16505</v>
      </c>
      <c r="G2596" t="s">
        <v>16506</v>
      </c>
      <c r="H2596" t="s">
        <v>42</v>
      </c>
      <c r="I2596" t="s">
        <v>16507</v>
      </c>
      <c r="J2596" t="s">
        <v>16508</v>
      </c>
      <c r="K2596">
        <v>13189</v>
      </c>
      <c r="L2596" t="s">
        <v>71</v>
      </c>
      <c r="M2596" t="s">
        <v>46</v>
      </c>
      <c r="N2596" t="s">
        <v>47</v>
      </c>
      <c r="O2596">
        <v>3</v>
      </c>
      <c r="P2596">
        <v>1</v>
      </c>
      <c r="Q2596">
        <v>3</v>
      </c>
      <c r="R2596" t="s">
        <v>48</v>
      </c>
      <c r="S2596" t="s">
        <v>49</v>
      </c>
      <c r="T2596" s="3">
        <v>0.84</v>
      </c>
      <c r="U2596" s="3">
        <v>0.23</v>
      </c>
      <c r="V2596" s="3">
        <v>2.68</v>
      </c>
      <c r="W2596">
        <v>1.27</v>
      </c>
      <c r="X2596" t="s">
        <v>108</v>
      </c>
      <c r="Y2596" s="3">
        <v>5.14</v>
      </c>
      <c r="Z2596" t="s">
        <v>9686</v>
      </c>
      <c r="AA2596" t="s">
        <v>16509</v>
      </c>
      <c r="AB2596" t="s">
        <v>53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f t="shared" si="80"/>
        <v>8.89</v>
      </c>
      <c r="AK2596" s="3">
        <f t="shared" si="81"/>
        <v>3.7500000000000009</v>
      </c>
    </row>
    <row r="2597" spans="1:37">
      <c r="A2597">
        <v>10415650</v>
      </c>
      <c r="B2597" t="s">
        <v>37</v>
      </c>
      <c r="C2597" t="s">
        <v>16510</v>
      </c>
      <c r="E2597" t="s">
        <v>969</v>
      </c>
      <c r="F2597" t="s">
        <v>16511</v>
      </c>
      <c r="G2597" t="s">
        <v>16512</v>
      </c>
      <c r="H2597" t="s">
        <v>42</v>
      </c>
      <c r="I2597" t="s">
        <v>16513</v>
      </c>
      <c r="J2597" t="s">
        <v>16514</v>
      </c>
      <c r="K2597">
        <v>15745</v>
      </c>
      <c r="L2597" t="s">
        <v>71</v>
      </c>
      <c r="M2597" t="s">
        <v>46</v>
      </c>
      <c r="N2597" t="s">
        <v>47</v>
      </c>
      <c r="O2597">
        <v>3</v>
      </c>
      <c r="P2597">
        <v>1</v>
      </c>
      <c r="Q2597">
        <v>3</v>
      </c>
      <c r="R2597" t="s">
        <v>48</v>
      </c>
      <c r="S2597" t="s">
        <v>49</v>
      </c>
      <c r="T2597" s="3">
        <v>0.84</v>
      </c>
      <c r="U2597" s="3">
        <v>0.23</v>
      </c>
      <c r="V2597" s="3">
        <v>2.68</v>
      </c>
      <c r="W2597">
        <v>1.47</v>
      </c>
      <c r="X2597" t="s">
        <v>108</v>
      </c>
      <c r="Y2597" s="3">
        <v>6.54</v>
      </c>
      <c r="Z2597" t="s">
        <v>9686</v>
      </c>
      <c r="AA2597" t="s">
        <v>16515</v>
      </c>
      <c r="AB2597" t="s">
        <v>53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f t="shared" si="80"/>
        <v>10.290000000000001</v>
      </c>
      <c r="AK2597" s="3">
        <f t="shared" si="81"/>
        <v>3.7500000000000009</v>
      </c>
    </row>
    <row r="2598" spans="1:37">
      <c r="A2598">
        <v>10415957</v>
      </c>
      <c r="B2598" t="s">
        <v>37</v>
      </c>
      <c r="C2598" t="s">
        <v>16516</v>
      </c>
      <c r="E2598" t="s">
        <v>16517</v>
      </c>
      <c r="F2598" t="s">
        <v>16518</v>
      </c>
      <c r="G2598" t="s">
        <v>16519</v>
      </c>
      <c r="H2598" t="s">
        <v>42</v>
      </c>
      <c r="I2598" t="s">
        <v>16520</v>
      </c>
      <c r="J2598" t="s">
        <v>16521</v>
      </c>
      <c r="K2598">
        <v>8810</v>
      </c>
      <c r="L2598" t="s">
        <v>505</v>
      </c>
      <c r="M2598" t="s">
        <v>46</v>
      </c>
      <c r="N2598" t="s">
        <v>47</v>
      </c>
      <c r="O2598">
        <v>1</v>
      </c>
      <c r="P2598">
        <v>1</v>
      </c>
      <c r="Q2598">
        <v>1</v>
      </c>
      <c r="R2598" t="s">
        <v>48</v>
      </c>
      <c r="S2598" t="s">
        <v>49</v>
      </c>
      <c r="T2598" s="3">
        <v>0.84</v>
      </c>
      <c r="U2598" s="3">
        <v>0.23</v>
      </c>
      <c r="V2598" s="3">
        <v>0.94</v>
      </c>
      <c r="W2598">
        <v>0.49</v>
      </c>
      <c r="X2598" t="s">
        <v>50</v>
      </c>
      <c r="Y2598" s="3">
        <v>9.1999999999999993</v>
      </c>
      <c r="Z2598" t="s">
        <v>9850</v>
      </c>
      <c r="AA2598" t="s">
        <v>2851</v>
      </c>
      <c r="AB2598" t="s">
        <v>53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f t="shared" si="80"/>
        <v>11.209999999999999</v>
      </c>
      <c r="AK2598" s="3">
        <f t="shared" si="81"/>
        <v>2.0099999999999998</v>
      </c>
    </row>
    <row r="2599" spans="1:37">
      <c r="A2599">
        <v>10415653</v>
      </c>
      <c r="B2599" t="s">
        <v>37</v>
      </c>
      <c r="C2599" t="s">
        <v>16522</v>
      </c>
      <c r="E2599" t="s">
        <v>16523</v>
      </c>
      <c r="F2599" t="s">
        <v>16524</v>
      </c>
      <c r="G2599" t="s">
        <v>16525</v>
      </c>
      <c r="H2599" t="s">
        <v>42</v>
      </c>
      <c r="I2599" t="s">
        <v>16526</v>
      </c>
      <c r="J2599" t="s">
        <v>16527</v>
      </c>
      <c r="K2599">
        <v>81379</v>
      </c>
      <c r="L2599" t="s">
        <v>71</v>
      </c>
      <c r="M2599" t="s">
        <v>46</v>
      </c>
      <c r="N2599" t="s">
        <v>47</v>
      </c>
      <c r="O2599">
        <v>1</v>
      </c>
      <c r="P2599">
        <v>1</v>
      </c>
      <c r="Q2599">
        <v>1</v>
      </c>
      <c r="R2599" t="s">
        <v>48</v>
      </c>
      <c r="S2599" t="s">
        <v>49</v>
      </c>
      <c r="T2599" s="3">
        <v>0.84</v>
      </c>
      <c r="U2599" s="3">
        <v>0.23</v>
      </c>
      <c r="V2599" s="3">
        <v>0.94</v>
      </c>
      <c r="W2599">
        <v>1.4</v>
      </c>
      <c r="X2599" t="s">
        <v>108</v>
      </c>
      <c r="Y2599" s="3">
        <v>5.14</v>
      </c>
      <c r="Z2599" t="s">
        <v>9686</v>
      </c>
      <c r="AA2599" t="s">
        <v>198</v>
      </c>
      <c r="AB2599" t="s">
        <v>53</v>
      </c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f t="shared" si="80"/>
        <v>7.15</v>
      </c>
      <c r="AK2599" s="3">
        <f t="shared" si="81"/>
        <v>2.0100000000000007</v>
      </c>
    </row>
    <row r="2600" spans="1:37">
      <c r="A2600">
        <v>10415952</v>
      </c>
      <c r="B2600" t="s">
        <v>37</v>
      </c>
      <c r="C2600" t="s">
        <v>16528</v>
      </c>
      <c r="E2600" t="s">
        <v>2099</v>
      </c>
      <c r="F2600" t="s">
        <v>10234</v>
      </c>
      <c r="G2600" t="s">
        <v>16529</v>
      </c>
      <c r="H2600" t="s">
        <v>42</v>
      </c>
      <c r="I2600" t="s">
        <v>16530</v>
      </c>
      <c r="J2600" t="s">
        <v>16531</v>
      </c>
      <c r="K2600">
        <v>85221</v>
      </c>
      <c r="L2600" t="s">
        <v>71</v>
      </c>
      <c r="M2600" t="s">
        <v>46</v>
      </c>
      <c r="N2600" t="s">
        <v>47</v>
      </c>
      <c r="O2600">
        <v>1</v>
      </c>
      <c r="P2600">
        <v>1</v>
      </c>
      <c r="Q2600">
        <v>1</v>
      </c>
      <c r="R2600" t="s">
        <v>48</v>
      </c>
      <c r="S2600" t="s">
        <v>49</v>
      </c>
      <c r="T2600" s="3">
        <v>0.84</v>
      </c>
      <c r="U2600" s="3">
        <v>0.23</v>
      </c>
      <c r="V2600" s="3">
        <v>0.94</v>
      </c>
      <c r="W2600">
        <v>1.4</v>
      </c>
      <c r="X2600" t="s">
        <v>108</v>
      </c>
      <c r="Y2600" s="3">
        <v>5.14</v>
      </c>
      <c r="Z2600" t="s">
        <v>9686</v>
      </c>
      <c r="AA2600" t="s">
        <v>259</v>
      </c>
      <c r="AB2600" t="s">
        <v>53</v>
      </c>
      <c r="AC2600" s="3">
        <v>0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f t="shared" si="80"/>
        <v>7.15</v>
      </c>
      <c r="AK2600" s="3">
        <f t="shared" si="81"/>
        <v>2.0100000000000007</v>
      </c>
    </row>
    <row r="2601" spans="1:37">
      <c r="A2601">
        <v>10415971</v>
      </c>
      <c r="B2601" t="s">
        <v>37</v>
      </c>
      <c r="C2601" t="s">
        <v>16532</v>
      </c>
      <c r="E2601" t="s">
        <v>14320</v>
      </c>
      <c r="F2601" t="s">
        <v>16533</v>
      </c>
      <c r="G2601" t="s">
        <v>16534</v>
      </c>
      <c r="H2601" t="s">
        <v>42</v>
      </c>
      <c r="I2601" t="s">
        <v>16535</v>
      </c>
      <c r="J2601" t="s">
        <v>16536</v>
      </c>
      <c r="K2601" t="s">
        <v>16537</v>
      </c>
      <c r="L2601" t="s">
        <v>142</v>
      </c>
      <c r="M2601" t="s">
        <v>46</v>
      </c>
      <c r="N2601" t="s">
        <v>47</v>
      </c>
      <c r="O2601">
        <v>1</v>
      </c>
      <c r="P2601">
        <v>1</v>
      </c>
      <c r="Q2601">
        <v>1</v>
      </c>
      <c r="R2601" t="s">
        <v>48</v>
      </c>
      <c r="S2601" t="s">
        <v>49</v>
      </c>
      <c r="T2601" s="3">
        <v>0.84</v>
      </c>
      <c r="U2601" s="3">
        <v>0.23</v>
      </c>
      <c r="V2601" s="3">
        <v>0.94</v>
      </c>
      <c r="W2601">
        <v>0.49</v>
      </c>
      <c r="X2601" t="s">
        <v>50</v>
      </c>
      <c r="Y2601" s="3">
        <v>16.43</v>
      </c>
      <c r="Z2601" t="s">
        <v>9850</v>
      </c>
      <c r="AA2601" t="s">
        <v>498</v>
      </c>
      <c r="AB2601" t="s">
        <v>53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f t="shared" si="80"/>
        <v>18.440000000000001</v>
      </c>
      <c r="AK2601" s="3">
        <f t="shared" si="81"/>
        <v>2.0100000000000016</v>
      </c>
    </row>
    <row r="2602" spans="1:37">
      <c r="A2602">
        <v>10415960</v>
      </c>
      <c r="B2602" t="s">
        <v>37</v>
      </c>
      <c r="C2602" t="s">
        <v>16538</v>
      </c>
      <c r="E2602" t="s">
        <v>1647</v>
      </c>
      <c r="F2602" t="s">
        <v>16539</v>
      </c>
      <c r="G2602" t="s">
        <v>16540</v>
      </c>
      <c r="H2602" t="s">
        <v>42</v>
      </c>
      <c r="I2602" t="s">
        <v>16541</v>
      </c>
      <c r="J2602" t="s">
        <v>16542</v>
      </c>
      <c r="K2602">
        <v>57250</v>
      </c>
      <c r="L2602" t="s">
        <v>71</v>
      </c>
      <c r="M2602" t="s">
        <v>46</v>
      </c>
      <c r="N2602" t="s">
        <v>47</v>
      </c>
      <c r="O2602">
        <v>1</v>
      </c>
      <c r="P2602">
        <v>1</v>
      </c>
      <c r="Q2602">
        <v>1</v>
      </c>
      <c r="R2602" t="s">
        <v>48</v>
      </c>
      <c r="S2602" t="s">
        <v>49</v>
      </c>
      <c r="T2602" s="3">
        <v>0.84</v>
      </c>
      <c r="U2602" s="3">
        <v>0.23</v>
      </c>
      <c r="V2602" s="3">
        <v>0.94</v>
      </c>
      <c r="W2602">
        <v>0.49</v>
      </c>
      <c r="X2602" t="s">
        <v>108</v>
      </c>
      <c r="Y2602" s="3">
        <v>5.14</v>
      </c>
      <c r="Z2602" t="s">
        <v>9850</v>
      </c>
      <c r="AA2602" t="s">
        <v>2623</v>
      </c>
      <c r="AB2602" t="s">
        <v>53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f t="shared" si="80"/>
        <v>7.15</v>
      </c>
      <c r="AK2602" s="3">
        <f t="shared" si="81"/>
        <v>2.0100000000000007</v>
      </c>
    </row>
    <row r="2603" spans="1:37">
      <c r="A2603">
        <v>10415640</v>
      </c>
      <c r="B2603" t="s">
        <v>37</v>
      </c>
      <c r="C2603" t="s">
        <v>16543</v>
      </c>
      <c r="E2603" t="s">
        <v>2860</v>
      </c>
      <c r="F2603" t="s">
        <v>16544</v>
      </c>
      <c r="G2603" t="s">
        <v>16545</v>
      </c>
      <c r="H2603" t="s">
        <v>42</v>
      </c>
      <c r="I2603" t="s">
        <v>16546</v>
      </c>
      <c r="J2603" t="s">
        <v>16547</v>
      </c>
      <c r="K2603">
        <v>86675</v>
      </c>
      <c r="L2603" t="s">
        <v>71</v>
      </c>
      <c r="M2603" t="s">
        <v>46</v>
      </c>
      <c r="N2603" t="s">
        <v>47</v>
      </c>
      <c r="O2603">
        <v>1</v>
      </c>
      <c r="P2603">
        <v>1</v>
      </c>
      <c r="Q2603">
        <v>1</v>
      </c>
      <c r="R2603" t="s">
        <v>48</v>
      </c>
      <c r="S2603" t="s">
        <v>49</v>
      </c>
      <c r="T2603" s="3">
        <v>0.84</v>
      </c>
      <c r="U2603" s="3">
        <v>0.23</v>
      </c>
      <c r="V2603" s="3">
        <v>0.94</v>
      </c>
      <c r="W2603">
        <v>0.49</v>
      </c>
      <c r="X2603" t="s">
        <v>108</v>
      </c>
      <c r="Y2603" s="3">
        <v>5.14</v>
      </c>
      <c r="Z2603" t="s">
        <v>9850</v>
      </c>
      <c r="AA2603" t="s">
        <v>5153</v>
      </c>
      <c r="AB2603" t="s">
        <v>53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f t="shared" si="80"/>
        <v>7.15</v>
      </c>
      <c r="AK2603" s="3">
        <f t="shared" si="81"/>
        <v>2.0100000000000007</v>
      </c>
    </row>
    <row r="2604" spans="1:37">
      <c r="A2604">
        <v>10415647</v>
      </c>
      <c r="B2604" t="s">
        <v>37</v>
      </c>
      <c r="C2604" t="s">
        <v>16548</v>
      </c>
      <c r="E2604" t="s">
        <v>1911</v>
      </c>
      <c r="F2604" t="s">
        <v>5162</v>
      </c>
      <c r="G2604" t="s">
        <v>16549</v>
      </c>
      <c r="H2604" t="s">
        <v>42</v>
      </c>
      <c r="I2604" t="s">
        <v>16550</v>
      </c>
      <c r="J2604" t="s">
        <v>5165</v>
      </c>
      <c r="K2604" t="s">
        <v>5166</v>
      </c>
      <c r="L2604" t="s">
        <v>82</v>
      </c>
      <c r="M2604" t="s">
        <v>46</v>
      </c>
      <c r="N2604" t="s">
        <v>47</v>
      </c>
      <c r="O2604">
        <v>1</v>
      </c>
      <c r="P2604">
        <v>1</v>
      </c>
      <c r="Q2604">
        <v>1</v>
      </c>
      <c r="R2604" t="s">
        <v>48</v>
      </c>
      <c r="S2604" t="s">
        <v>49</v>
      </c>
      <c r="T2604" s="3">
        <v>0.84</v>
      </c>
      <c r="U2604" s="3">
        <v>0.23</v>
      </c>
      <c r="V2604" s="3">
        <v>0.94</v>
      </c>
      <c r="W2604">
        <v>0.49</v>
      </c>
      <c r="X2604" t="s">
        <v>50</v>
      </c>
      <c r="Y2604" s="3">
        <v>9.1999999999999993</v>
      </c>
      <c r="Z2604" t="s">
        <v>9850</v>
      </c>
      <c r="AA2604" t="s">
        <v>1776</v>
      </c>
      <c r="AB2604" t="s">
        <v>53</v>
      </c>
      <c r="AC2604" s="3">
        <v>0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f t="shared" si="80"/>
        <v>11.209999999999999</v>
      </c>
      <c r="AK2604" s="3">
        <f t="shared" si="81"/>
        <v>2.0099999999999998</v>
      </c>
    </row>
    <row r="2605" spans="1:37">
      <c r="A2605">
        <v>10415655</v>
      </c>
      <c r="B2605" t="s">
        <v>37</v>
      </c>
      <c r="C2605" t="s">
        <v>16551</v>
      </c>
      <c r="E2605" t="s">
        <v>16552</v>
      </c>
      <c r="F2605" t="s">
        <v>16553</v>
      </c>
      <c r="G2605" t="s">
        <v>16554</v>
      </c>
      <c r="H2605" t="s">
        <v>42</v>
      </c>
      <c r="I2605" t="s">
        <v>16555</v>
      </c>
      <c r="J2605" t="s">
        <v>16556</v>
      </c>
      <c r="K2605">
        <v>4140</v>
      </c>
      <c r="L2605" t="s">
        <v>505</v>
      </c>
      <c r="M2605" t="s">
        <v>46</v>
      </c>
      <c r="N2605" t="s">
        <v>47</v>
      </c>
      <c r="O2605">
        <v>1</v>
      </c>
      <c r="P2605">
        <v>1</v>
      </c>
      <c r="Q2605">
        <v>1</v>
      </c>
      <c r="R2605" t="s">
        <v>48</v>
      </c>
      <c r="S2605" t="s">
        <v>49</v>
      </c>
      <c r="T2605" s="3">
        <v>0.84</v>
      </c>
      <c r="U2605" s="3">
        <v>0.23</v>
      </c>
      <c r="V2605" s="3">
        <v>0.94</v>
      </c>
      <c r="W2605">
        <v>0.49</v>
      </c>
      <c r="X2605" t="s">
        <v>50</v>
      </c>
      <c r="Y2605" s="3">
        <v>9.1999999999999993</v>
      </c>
      <c r="Z2605" t="s">
        <v>9850</v>
      </c>
      <c r="AA2605" t="s">
        <v>5186</v>
      </c>
      <c r="AB2605" t="s">
        <v>53</v>
      </c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f t="shared" si="80"/>
        <v>11.209999999999999</v>
      </c>
      <c r="AK2605" s="3">
        <f t="shared" si="81"/>
        <v>2.0099999999999998</v>
      </c>
    </row>
    <row r="2606" spans="1:37">
      <c r="A2606">
        <v>10416315</v>
      </c>
      <c r="B2606" t="s">
        <v>37</v>
      </c>
      <c r="C2606" t="s">
        <v>16557</v>
      </c>
      <c r="E2606" t="s">
        <v>16558</v>
      </c>
      <c r="F2606" t="s">
        <v>16559</v>
      </c>
      <c r="G2606" t="s">
        <v>16560</v>
      </c>
      <c r="H2606" t="s">
        <v>42</v>
      </c>
      <c r="I2606" t="s">
        <v>16561</v>
      </c>
      <c r="J2606" t="s">
        <v>16562</v>
      </c>
      <c r="K2606">
        <v>3090</v>
      </c>
      <c r="L2606" t="s">
        <v>505</v>
      </c>
      <c r="M2606" t="s">
        <v>46</v>
      </c>
      <c r="N2606" t="s">
        <v>47</v>
      </c>
      <c r="O2606">
        <v>4</v>
      </c>
      <c r="P2606">
        <v>1</v>
      </c>
      <c r="Q2606">
        <v>4</v>
      </c>
      <c r="R2606" t="s">
        <v>48</v>
      </c>
      <c r="S2606" t="s">
        <v>49</v>
      </c>
      <c r="T2606" s="3">
        <v>0.84</v>
      </c>
      <c r="U2606" s="3">
        <v>0.23</v>
      </c>
      <c r="V2606" s="3">
        <v>3.55</v>
      </c>
      <c r="W2606">
        <v>1.56</v>
      </c>
      <c r="X2606" t="s">
        <v>50</v>
      </c>
      <c r="Y2606" s="3">
        <v>9.19</v>
      </c>
      <c r="Z2606" t="s">
        <v>9686</v>
      </c>
      <c r="AA2606" t="s">
        <v>2255</v>
      </c>
      <c r="AB2606" t="s">
        <v>53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f t="shared" si="80"/>
        <v>13.809999999999999</v>
      </c>
      <c r="AK2606" s="3">
        <f t="shared" si="81"/>
        <v>4.6199999999999992</v>
      </c>
    </row>
    <row r="2607" spans="1:37">
      <c r="A2607">
        <v>10416323</v>
      </c>
      <c r="B2607" t="s">
        <v>37</v>
      </c>
      <c r="C2607" t="s">
        <v>16563</v>
      </c>
      <c r="E2607" t="s">
        <v>16564</v>
      </c>
      <c r="F2607" t="s">
        <v>16564</v>
      </c>
      <c r="G2607" t="s">
        <v>16565</v>
      </c>
      <c r="H2607" t="s">
        <v>42</v>
      </c>
      <c r="I2607" t="s">
        <v>16566</v>
      </c>
      <c r="J2607" t="s">
        <v>16567</v>
      </c>
      <c r="K2607" t="s">
        <v>16568</v>
      </c>
      <c r="L2607" t="s">
        <v>142</v>
      </c>
      <c r="M2607" t="s">
        <v>46</v>
      </c>
      <c r="N2607" t="s">
        <v>47</v>
      </c>
      <c r="O2607">
        <v>5</v>
      </c>
      <c r="P2607">
        <v>1</v>
      </c>
      <c r="Q2607">
        <v>5</v>
      </c>
      <c r="R2607" t="s">
        <v>48</v>
      </c>
      <c r="S2607" t="s">
        <v>49</v>
      </c>
      <c r="T2607" s="3">
        <v>0.84</v>
      </c>
      <c r="U2607" s="3">
        <v>0.23</v>
      </c>
      <c r="V2607" s="3">
        <v>4.42</v>
      </c>
      <c r="W2607">
        <v>2.35</v>
      </c>
      <c r="X2607" t="s">
        <v>50</v>
      </c>
      <c r="Y2607" s="3">
        <v>16.43</v>
      </c>
      <c r="Z2607" t="s">
        <v>83</v>
      </c>
      <c r="AA2607" t="s">
        <v>16569</v>
      </c>
      <c r="AB2607" t="s">
        <v>53</v>
      </c>
      <c r="AC2607" s="3">
        <v>1.27</v>
      </c>
      <c r="AD2607" s="3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s="3">
        <f t="shared" si="80"/>
        <v>23.189999999999998</v>
      </c>
      <c r="AK2607" s="3">
        <f t="shared" si="81"/>
        <v>6.759999999999998</v>
      </c>
    </row>
    <row r="2608" spans="1:37">
      <c r="A2608">
        <v>10416320</v>
      </c>
      <c r="B2608" t="s">
        <v>37</v>
      </c>
      <c r="C2608" t="s">
        <v>16570</v>
      </c>
      <c r="E2608" t="s">
        <v>16571</v>
      </c>
      <c r="F2608" t="s">
        <v>16572</v>
      </c>
      <c r="G2608" t="s">
        <v>16573</v>
      </c>
      <c r="H2608" t="s">
        <v>42</v>
      </c>
      <c r="I2608" t="s">
        <v>16574</v>
      </c>
      <c r="J2608" t="s">
        <v>16575</v>
      </c>
      <c r="K2608" t="s">
        <v>16576</v>
      </c>
      <c r="L2608" t="s">
        <v>82</v>
      </c>
      <c r="M2608" t="s">
        <v>46</v>
      </c>
      <c r="N2608" t="s">
        <v>47</v>
      </c>
      <c r="O2608">
        <v>3</v>
      </c>
      <c r="P2608">
        <v>1</v>
      </c>
      <c r="Q2608">
        <v>3</v>
      </c>
      <c r="R2608" t="s">
        <v>48</v>
      </c>
      <c r="S2608" t="s">
        <v>49</v>
      </c>
      <c r="T2608" s="3">
        <v>0.84</v>
      </c>
      <c r="U2608" s="3">
        <v>0.23</v>
      </c>
      <c r="V2608" s="3">
        <v>2.68</v>
      </c>
      <c r="W2608">
        <v>1.38</v>
      </c>
      <c r="X2608" t="s">
        <v>50</v>
      </c>
      <c r="Y2608" s="3">
        <v>9.19</v>
      </c>
      <c r="Z2608" t="s">
        <v>9686</v>
      </c>
      <c r="AA2608" t="s">
        <v>16577</v>
      </c>
      <c r="AB2608" t="s">
        <v>53</v>
      </c>
      <c r="AC2608" s="3">
        <v>0</v>
      </c>
      <c r="AD2608" s="3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s="3">
        <f t="shared" si="80"/>
        <v>12.94</v>
      </c>
      <c r="AK2608" s="3">
        <f t="shared" si="81"/>
        <v>3.75</v>
      </c>
    </row>
    <row r="2609" spans="1:37">
      <c r="A2609">
        <v>10416325</v>
      </c>
      <c r="B2609" t="s">
        <v>37</v>
      </c>
      <c r="C2609" t="s">
        <v>16578</v>
      </c>
      <c r="E2609" t="s">
        <v>2984</v>
      </c>
      <c r="F2609" t="s">
        <v>16579</v>
      </c>
      <c r="G2609" t="s">
        <v>16580</v>
      </c>
      <c r="H2609" t="s">
        <v>42</v>
      </c>
      <c r="I2609" t="s">
        <v>16581</v>
      </c>
      <c r="J2609" t="s">
        <v>16582</v>
      </c>
      <c r="K2609">
        <v>73467</v>
      </c>
      <c r="L2609" t="s">
        <v>71</v>
      </c>
      <c r="M2609" t="s">
        <v>46</v>
      </c>
      <c r="N2609" t="s">
        <v>47</v>
      </c>
      <c r="O2609">
        <v>2</v>
      </c>
      <c r="P2609">
        <v>1</v>
      </c>
      <c r="Q2609">
        <v>2</v>
      </c>
      <c r="R2609" t="s">
        <v>48</v>
      </c>
      <c r="S2609" t="s">
        <v>49</v>
      </c>
      <c r="T2609" s="3">
        <v>0.84</v>
      </c>
      <c r="U2609" s="3">
        <v>0.23</v>
      </c>
      <c r="V2609" s="3">
        <v>1.81</v>
      </c>
      <c r="W2609">
        <v>0.78</v>
      </c>
      <c r="X2609" t="s">
        <v>108</v>
      </c>
      <c r="Y2609" s="3">
        <v>5.13</v>
      </c>
      <c r="Z2609" t="s">
        <v>9850</v>
      </c>
      <c r="AA2609" t="s">
        <v>16583</v>
      </c>
      <c r="AB2609" t="s">
        <v>53</v>
      </c>
      <c r="AC2609" s="3">
        <v>0</v>
      </c>
      <c r="AD2609" s="3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s="3">
        <f t="shared" si="80"/>
        <v>8.01</v>
      </c>
      <c r="AK2609" s="3">
        <f t="shared" si="81"/>
        <v>2.88</v>
      </c>
    </row>
    <row r="2610" spans="1:37">
      <c r="A2610">
        <v>10416317</v>
      </c>
      <c r="B2610" t="s">
        <v>37</v>
      </c>
      <c r="C2610" t="s">
        <v>16584</v>
      </c>
      <c r="E2610" t="s">
        <v>351</v>
      </c>
      <c r="F2610" t="s">
        <v>16585</v>
      </c>
      <c r="G2610" t="s">
        <v>16586</v>
      </c>
      <c r="H2610" t="s">
        <v>42</v>
      </c>
      <c r="I2610" t="s">
        <v>16587</v>
      </c>
      <c r="J2610" t="s">
        <v>16588</v>
      </c>
      <c r="K2610" t="s">
        <v>16589</v>
      </c>
      <c r="L2610" t="s">
        <v>142</v>
      </c>
      <c r="M2610" t="s">
        <v>46</v>
      </c>
      <c r="N2610" t="s">
        <v>47</v>
      </c>
      <c r="O2610">
        <v>2</v>
      </c>
      <c r="P2610">
        <v>1</v>
      </c>
      <c r="Q2610">
        <v>2</v>
      </c>
      <c r="R2610" t="s">
        <v>48</v>
      </c>
      <c r="S2610" t="s">
        <v>49</v>
      </c>
      <c r="T2610" s="3">
        <v>0.84</v>
      </c>
      <c r="U2610" s="3">
        <v>0.23</v>
      </c>
      <c r="V2610" s="3">
        <v>1.81</v>
      </c>
      <c r="W2610">
        <v>0.78</v>
      </c>
      <c r="X2610" t="s">
        <v>50</v>
      </c>
      <c r="Y2610" s="3">
        <v>16.43</v>
      </c>
      <c r="Z2610" t="s">
        <v>9850</v>
      </c>
      <c r="AA2610" t="s">
        <v>4902</v>
      </c>
      <c r="AB2610" t="s">
        <v>53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f t="shared" si="80"/>
        <v>19.309999999999999</v>
      </c>
      <c r="AK2610" s="3">
        <f t="shared" si="81"/>
        <v>2.879999999999999</v>
      </c>
    </row>
    <row r="2611" spans="1:37">
      <c r="A2611">
        <v>10416560</v>
      </c>
      <c r="B2611" t="s">
        <v>37</v>
      </c>
      <c r="C2611" t="s">
        <v>16590</v>
      </c>
      <c r="E2611" t="s">
        <v>16591</v>
      </c>
      <c r="F2611" t="s">
        <v>16592</v>
      </c>
      <c r="G2611" t="s">
        <v>16593</v>
      </c>
      <c r="H2611" t="s">
        <v>42</v>
      </c>
      <c r="I2611" t="s">
        <v>16594</v>
      </c>
      <c r="J2611" t="s">
        <v>16595</v>
      </c>
      <c r="K2611" t="s">
        <v>16596</v>
      </c>
      <c r="L2611" t="s">
        <v>142</v>
      </c>
      <c r="M2611" t="s">
        <v>46</v>
      </c>
      <c r="N2611" t="s">
        <v>47</v>
      </c>
      <c r="O2611">
        <v>2</v>
      </c>
      <c r="P2611">
        <v>1</v>
      </c>
      <c r="Q2611">
        <v>2</v>
      </c>
      <c r="R2611" t="s">
        <v>48</v>
      </c>
      <c r="S2611" t="s">
        <v>49</v>
      </c>
      <c r="T2611" s="3">
        <v>0.84</v>
      </c>
      <c r="U2611" s="3">
        <v>0.23</v>
      </c>
      <c r="V2611" s="3">
        <v>1.81</v>
      </c>
      <c r="W2611">
        <v>0.98</v>
      </c>
      <c r="X2611" t="s">
        <v>50</v>
      </c>
      <c r="Y2611" s="3">
        <v>16.43</v>
      </c>
      <c r="Z2611" t="s">
        <v>9686</v>
      </c>
      <c r="AA2611" t="s">
        <v>6300</v>
      </c>
      <c r="AB2611" t="s">
        <v>53</v>
      </c>
      <c r="AC2611" s="3">
        <v>0</v>
      </c>
      <c r="AD2611" s="3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f t="shared" si="80"/>
        <v>19.309999999999999</v>
      </c>
      <c r="AK2611" s="3">
        <f t="shared" si="81"/>
        <v>2.879999999999999</v>
      </c>
    </row>
    <row r="2612" spans="1:37">
      <c r="A2612">
        <v>10397790</v>
      </c>
      <c r="B2612" t="s">
        <v>37</v>
      </c>
      <c r="C2612" t="s">
        <v>16597</v>
      </c>
      <c r="E2612" t="s">
        <v>12180</v>
      </c>
      <c r="F2612" t="s">
        <v>16598</v>
      </c>
      <c r="G2612" t="s">
        <v>16599</v>
      </c>
      <c r="H2612" t="s">
        <v>42</v>
      </c>
      <c r="J2612" t="s">
        <v>16600</v>
      </c>
      <c r="K2612">
        <v>13053</v>
      </c>
      <c r="L2612" t="s">
        <v>71</v>
      </c>
      <c r="M2612" t="s">
        <v>46</v>
      </c>
      <c r="N2612" t="s">
        <v>47</v>
      </c>
      <c r="O2612">
        <v>1</v>
      </c>
      <c r="P2612">
        <v>1</v>
      </c>
      <c r="Q2612">
        <v>1</v>
      </c>
      <c r="R2612" t="s">
        <v>48</v>
      </c>
      <c r="S2612" t="s">
        <v>49</v>
      </c>
      <c r="T2612" s="3">
        <v>0.84</v>
      </c>
      <c r="U2612" s="3">
        <v>0.23</v>
      </c>
      <c r="V2612" s="3">
        <v>0.94</v>
      </c>
      <c r="W2612">
        <v>1.02</v>
      </c>
      <c r="X2612" t="s">
        <v>108</v>
      </c>
      <c r="Y2612" s="3">
        <v>0</v>
      </c>
      <c r="Z2612" t="s">
        <v>9686</v>
      </c>
      <c r="AA2612" t="s">
        <v>9992</v>
      </c>
      <c r="AB2612" t="s">
        <v>53</v>
      </c>
      <c r="AC2612" s="3">
        <v>0</v>
      </c>
      <c r="AD2612" s="3">
        <v>0</v>
      </c>
      <c r="AE2612" s="3">
        <v>0</v>
      </c>
      <c r="AF2612" s="3">
        <v>0</v>
      </c>
      <c r="AG2612" s="3">
        <v>0</v>
      </c>
      <c r="AH2612" s="3">
        <v>0.94</v>
      </c>
      <c r="AI2612" s="3">
        <v>0</v>
      </c>
      <c r="AJ2612" s="3">
        <f t="shared" si="80"/>
        <v>2.9499999999999997</v>
      </c>
      <c r="AK2612" s="3">
        <f t="shared" si="81"/>
        <v>2.9499999999999997</v>
      </c>
    </row>
    <row r="2613" spans="1:37">
      <c r="A2613">
        <v>10383355</v>
      </c>
      <c r="B2613" t="s">
        <v>37</v>
      </c>
      <c r="C2613" t="s">
        <v>16601</v>
      </c>
      <c r="E2613" t="s">
        <v>3705</v>
      </c>
      <c r="F2613" t="s">
        <v>16602</v>
      </c>
      <c r="G2613" t="s">
        <v>16603</v>
      </c>
      <c r="H2613" t="s">
        <v>42</v>
      </c>
      <c r="J2613" t="s">
        <v>16604</v>
      </c>
      <c r="K2613">
        <v>59302</v>
      </c>
      <c r="L2613" t="s">
        <v>71</v>
      </c>
      <c r="M2613" t="s">
        <v>46</v>
      </c>
      <c r="N2613" t="s">
        <v>47</v>
      </c>
      <c r="O2613">
        <v>1</v>
      </c>
      <c r="P2613">
        <v>0</v>
      </c>
      <c r="Q2613">
        <v>1</v>
      </c>
      <c r="R2613" t="s">
        <v>48</v>
      </c>
      <c r="S2613" t="s">
        <v>49</v>
      </c>
      <c r="T2613" s="3">
        <v>0.84</v>
      </c>
      <c r="U2613" s="3">
        <v>0.23</v>
      </c>
      <c r="V2613" s="3">
        <v>0.94</v>
      </c>
      <c r="W2613">
        <v>0</v>
      </c>
      <c r="Y2613" s="3">
        <v>0</v>
      </c>
      <c r="Z2613" t="s">
        <v>16605</v>
      </c>
      <c r="AA2613" t="s">
        <v>12434</v>
      </c>
      <c r="AB2613" t="s">
        <v>53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0.94</v>
      </c>
      <c r="AI2613" s="3">
        <v>0</v>
      </c>
      <c r="AJ2613" s="3">
        <f t="shared" si="80"/>
        <v>2.9499999999999997</v>
      </c>
      <c r="AK2613" s="3">
        <f t="shared" si="81"/>
        <v>2.9499999999999997</v>
      </c>
    </row>
    <row r="2614" spans="1:37">
      <c r="A2614">
        <v>10298471</v>
      </c>
      <c r="B2614" t="s">
        <v>37</v>
      </c>
      <c r="C2614" t="s">
        <v>16606</v>
      </c>
      <c r="E2614" t="s">
        <v>1658</v>
      </c>
      <c r="F2614" t="s">
        <v>16607</v>
      </c>
      <c r="G2614" t="s">
        <v>16608</v>
      </c>
      <c r="H2614" t="s">
        <v>42</v>
      </c>
      <c r="J2614" t="s">
        <v>16609</v>
      </c>
      <c r="K2614">
        <v>71686</v>
      </c>
      <c r="L2614" t="s">
        <v>71</v>
      </c>
      <c r="M2614" t="s">
        <v>46</v>
      </c>
      <c r="N2614" t="s">
        <v>47</v>
      </c>
      <c r="O2614">
        <v>2</v>
      </c>
      <c r="P2614">
        <v>0</v>
      </c>
      <c r="Q2614">
        <v>2</v>
      </c>
      <c r="R2614" t="s">
        <v>48</v>
      </c>
      <c r="S2614" t="s">
        <v>49</v>
      </c>
      <c r="T2614" s="3">
        <v>0.84</v>
      </c>
      <c r="U2614" s="3">
        <v>0.23</v>
      </c>
      <c r="V2614" s="3">
        <v>1.81</v>
      </c>
      <c r="W2614">
        <v>0</v>
      </c>
      <c r="Y2614" s="3">
        <v>0</v>
      </c>
      <c r="Z2614" t="s">
        <v>16605</v>
      </c>
      <c r="AA2614" t="s">
        <v>16610</v>
      </c>
      <c r="AB2614" t="s">
        <v>53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1.81</v>
      </c>
      <c r="AI2614" s="3">
        <v>0</v>
      </c>
      <c r="AJ2614" s="3">
        <f t="shared" si="80"/>
        <v>4.6900000000000004</v>
      </c>
      <c r="AK2614" s="3">
        <f t="shared" si="81"/>
        <v>4.6900000000000004</v>
      </c>
    </row>
    <row r="2616" spans="1:37" ht="15.75" thickBot="1">
      <c r="T2616" s="9">
        <f>SUM(T2:T2614)</f>
        <v>2682.9600000000196</v>
      </c>
      <c r="U2616" s="9">
        <f t="shared" ref="U2616:AK2616" si="82">SUM(U2:U2614)</f>
        <v>567.64000000001965</v>
      </c>
      <c r="V2616" s="9">
        <f t="shared" si="82"/>
        <v>10283.490000000031</v>
      </c>
      <c r="W2616" s="11"/>
      <c r="X2616" s="11"/>
      <c r="Y2616" s="9">
        <f t="shared" si="82"/>
        <v>29929.269999999669</v>
      </c>
      <c r="Z2616" s="11"/>
      <c r="AA2616" s="11"/>
      <c r="AB2616" s="11"/>
      <c r="AC2616" s="9">
        <f t="shared" si="82"/>
        <v>2064.4299999999621</v>
      </c>
      <c r="AD2616" s="9">
        <f t="shared" si="82"/>
        <v>0</v>
      </c>
      <c r="AE2616" s="9">
        <f t="shared" si="82"/>
        <v>0</v>
      </c>
      <c r="AF2616" s="9">
        <f t="shared" si="82"/>
        <v>0</v>
      </c>
      <c r="AG2616" s="9">
        <f t="shared" si="82"/>
        <v>0</v>
      </c>
      <c r="AH2616" s="9">
        <f t="shared" si="82"/>
        <v>88.69</v>
      </c>
      <c r="AI2616" s="9">
        <f t="shared" si="82"/>
        <v>0</v>
      </c>
      <c r="AJ2616" s="9">
        <f t="shared" si="82"/>
        <v>45616.480000000105</v>
      </c>
      <c r="AK2616" s="9">
        <f t="shared" si="82"/>
        <v>15687.209999999954</v>
      </c>
    </row>
  </sheetData>
  <sheetProtection formatCells="0" formatColumns="0" formatRows="0" insertColumns="0" insertRows="0" insertHyperlinks="0" deleteColumns="0" deleteRows="0" sort="0" autoFilter="0" pivotTables="0"/>
  <autoFilter ref="A1:AK2614" xr:uid="{00000000-0009-0000-0000-000000000000}">
    <sortState xmlns:xlrd2="http://schemas.microsoft.com/office/spreadsheetml/2017/richdata2" ref="A2:AK2614">
      <sortCondition ref="I1:I261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5"/>
  <sheetData>
    <row r="1" spans="1:21">
      <c r="A1" s="1" t="s">
        <v>0</v>
      </c>
      <c r="B1" s="1" t="s">
        <v>6</v>
      </c>
      <c r="C1" s="1" t="s">
        <v>16611</v>
      </c>
      <c r="D1" s="1" t="s">
        <v>17</v>
      </c>
      <c r="E1" s="1" t="s">
        <v>16612</v>
      </c>
      <c r="F1" s="1" t="s">
        <v>16613</v>
      </c>
      <c r="G1" s="1" t="s">
        <v>16614</v>
      </c>
      <c r="H1" s="1" t="s">
        <v>16615</v>
      </c>
      <c r="I1" s="1" t="s">
        <v>16616</v>
      </c>
      <c r="J1" s="1" t="s">
        <v>16617</v>
      </c>
      <c r="K1" s="1" t="s">
        <v>16618</v>
      </c>
      <c r="L1" s="1" t="s">
        <v>16619</v>
      </c>
      <c r="M1" s="1" t="s">
        <v>17</v>
      </c>
      <c r="N1" s="1" t="s">
        <v>16620</v>
      </c>
      <c r="O1" s="1" t="s">
        <v>31</v>
      </c>
      <c r="P1" s="1" t="s">
        <v>16621</v>
      </c>
      <c r="Q1" s="1" t="s">
        <v>16622</v>
      </c>
      <c r="R1" s="1" t="s">
        <v>16623</v>
      </c>
      <c r="S1" s="1" t="s">
        <v>16624</v>
      </c>
      <c r="T1" s="1" t="s">
        <v>12</v>
      </c>
      <c r="U1" s="1" t="s">
        <v>13</v>
      </c>
    </row>
    <row r="2" spans="1:21">
      <c r="A2" t="s">
        <v>16625</v>
      </c>
      <c r="B2" t="s">
        <v>16626</v>
      </c>
      <c r="C2" t="s">
        <v>53</v>
      </c>
      <c r="D2" t="s">
        <v>16627</v>
      </c>
      <c r="E2" t="s">
        <v>53</v>
      </c>
      <c r="F2" t="s">
        <v>16628</v>
      </c>
      <c r="G2" t="s">
        <v>16629</v>
      </c>
      <c r="I2">
        <v>2</v>
      </c>
      <c r="K2">
        <v>31</v>
      </c>
      <c r="L2">
        <v>3655</v>
      </c>
      <c r="M2" t="s">
        <v>48</v>
      </c>
      <c r="N2" s="3">
        <v>57.35</v>
      </c>
      <c r="O2" s="3">
        <v>0</v>
      </c>
      <c r="P2" s="3">
        <v>0</v>
      </c>
      <c r="Q2" s="3">
        <v>0</v>
      </c>
      <c r="R2" s="3">
        <v>0</v>
      </c>
      <c r="S2" s="3">
        <v>57.35</v>
      </c>
      <c r="T2" t="s">
        <v>46</v>
      </c>
      <c r="U2" t="s">
        <v>47</v>
      </c>
    </row>
    <row r="3" spans="1:21">
      <c r="A3" t="s">
        <v>16630</v>
      </c>
      <c r="B3" t="s">
        <v>16631</v>
      </c>
      <c r="C3" t="s">
        <v>53</v>
      </c>
      <c r="D3" t="s">
        <v>16627</v>
      </c>
      <c r="E3" t="s">
        <v>53</v>
      </c>
      <c r="G3" t="s">
        <v>16629</v>
      </c>
      <c r="J3">
        <v>1</v>
      </c>
      <c r="K3">
        <v>16</v>
      </c>
      <c r="L3">
        <v>1658</v>
      </c>
      <c r="M3" t="s">
        <v>48</v>
      </c>
      <c r="N3" s="3">
        <v>29.6</v>
      </c>
      <c r="O3" s="3">
        <v>0</v>
      </c>
      <c r="P3" s="3">
        <v>0</v>
      </c>
      <c r="Q3" s="3">
        <v>0</v>
      </c>
      <c r="R3" s="3">
        <v>0</v>
      </c>
      <c r="S3" s="3">
        <v>29.6</v>
      </c>
      <c r="T3" t="s">
        <v>46</v>
      </c>
      <c r="U3" t="s">
        <v>47</v>
      </c>
    </row>
    <row r="4" spans="1:21">
      <c r="N4" s="3"/>
      <c r="O4" s="3"/>
      <c r="P4" s="3"/>
      <c r="Q4" s="3"/>
      <c r="R4" s="3"/>
      <c r="S4" s="3"/>
    </row>
    <row r="5" spans="1:21" ht="15.75" thickBot="1">
      <c r="N5" s="10">
        <f>SUM(N2:N3)</f>
        <v>86.95</v>
      </c>
      <c r="O5" s="10">
        <f t="shared" ref="O5:S5" si="0">SUM(O2:O3)</f>
        <v>0</v>
      </c>
      <c r="P5" s="10">
        <f t="shared" si="0"/>
        <v>0</v>
      </c>
      <c r="Q5" s="10">
        <f t="shared" si="0"/>
        <v>0</v>
      </c>
      <c r="R5" s="10">
        <f t="shared" si="0"/>
        <v>0</v>
      </c>
      <c r="S5" s="10">
        <f t="shared" si="0"/>
        <v>86.95</v>
      </c>
    </row>
    <row r="6" spans="1:21">
      <c r="N6" s="3"/>
      <c r="O6" s="3"/>
      <c r="P6" s="3"/>
      <c r="Q6" s="3"/>
      <c r="R6" s="3"/>
      <c r="S6" s="3"/>
    </row>
  </sheetData>
  <sheetProtection formatCells="0" formatColumns="0" formatRows="0" insertColumns="0" insertRows="0" insertHyperlinks="0" deleteColumns="0" deleteRows="0" sort="0" autoFilter="0" pivotTables="0"/>
  <autoFilter ref="A1:U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7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5"/>
  <cols>
    <col min="4" max="4" width="20.5703125" customWidth="1"/>
    <col min="6" max="6" width="13.28515625" customWidth="1"/>
    <col min="11" max="11" width="10" style="3" bestFit="1" customWidth="1"/>
    <col min="12" max="13" width="9" style="3" bestFit="1" customWidth="1"/>
    <col min="14" max="14" width="10.5703125" style="3" customWidth="1"/>
    <col min="15" max="15" width="18.140625" customWidth="1"/>
  </cols>
  <sheetData>
    <row r="1" spans="1:17">
      <c r="A1" s="1" t="s">
        <v>0</v>
      </c>
      <c r="B1" s="1" t="s">
        <v>16632</v>
      </c>
      <c r="C1" s="1" t="s">
        <v>1</v>
      </c>
      <c r="D1" s="1" t="s">
        <v>2</v>
      </c>
      <c r="E1" s="1" t="s">
        <v>6</v>
      </c>
      <c r="F1" s="1" t="s">
        <v>9</v>
      </c>
      <c r="G1" s="1" t="s">
        <v>8</v>
      </c>
      <c r="H1" s="1" t="s">
        <v>16633</v>
      </c>
      <c r="I1" s="1" t="s">
        <v>16619</v>
      </c>
      <c r="J1" s="1" t="s">
        <v>17</v>
      </c>
      <c r="K1" s="4" t="s">
        <v>16634</v>
      </c>
      <c r="L1" s="4" t="s">
        <v>16635</v>
      </c>
      <c r="M1" s="4" t="s">
        <v>25</v>
      </c>
      <c r="N1" s="4" t="s">
        <v>16624</v>
      </c>
      <c r="O1" s="1" t="s">
        <v>16636</v>
      </c>
      <c r="P1" s="1" t="s">
        <v>12</v>
      </c>
      <c r="Q1" s="1" t="s">
        <v>13</v>
      </c>
    </row>
    <row r="2" spans="1:17">
      <c r="A2">
        <v>2502632</v>
      </c>
      <c r="B2" t="s">
        <v>53</v>
      </c>
      <c r="C2" t="s">
        <v>37</v>
      </c>
      <c r="D2" t="s">
        <v>16637</v>
      </c>
      <c r="E2" t="s">
        <v>16638</v>
      </c>
      <c r="F2" t="s">
        <v>16639</v>
      </c>
      <c r="G2" t="s">
        <v>16640</v>
      </c>
      <c r="H2" t="s">
        <v>16641</v>
      </c>
      <c r="I2">
        <v>4</v>
      </c>
      <c r="J2" t="s">
        <v>48</v>
      </c>
      <c r="K2" s="3">
        <v>8</v>
      </c>
      <c r="L2" s="3">
        <v>0</v>
      </c>
      <c r="M2" s="3">
        <v>0</v>
      </c>
      <c r="N2" s="3">
        <f>K2+L2+M2</f>
        <v>8</v>
      </c>
      <c r="O2" t="s">
        <v>16642</v>
      </c>
      <c r="P2" t="s">
        <v>46</v>
      </c>
      <c r="Q2" t="s">
        <v>47</v>
      </c>
    </row>
    <row r="3" spans="1:17">
      <c r="A3">
        <v>2502636</v>
      </c>
      <c r="B3" t="s">
        <v>53</v>
      </c>
      <c r="C3" t="s">
        <v>37</v>
      </c>
      <c r="D3" t="s">
        <v>16643</v>
      </c>
      <c r="E3" t="s">
        <v>16644</v>
      </c>
      <c r="F3" t="s">
        <v>16645</v>
      </c>
      <c r="G3" t="s">
        <v>16646</v>
      </c>
      <c r="H3" t="s">
        <v>16647</v>
      </c>
      <c r="I3">
        <v>3</v>
      </c>
      <c r="J3" t="s">
        <v>48</v>
      </c>
      <c r="K3" s="3">
        <v>6.6</v>
      </c>
      <c r="L3" s="3">
        <v>0</v>
      </c>
      <c r="M3" s="3">
        <v>0</v>
      </c>
      <c r="N3" s="3">
        <f t="shared" ref="N3:N66" si="0">K3+L3+M3</f>
        <v>6.6</v>
      </c>
      <c r="O3" t="s">
        <v>16642</v>
      </c>
      <c r="P3" t="s">
        <v>46</v>
      </c>
      <c r="Q3" t="s">
        <v>47</v>
      </c>
    </row>
    <row r="4" spans="1:17">
      <c r="A4">
        <v>2502643</v>
      </c>
      <c r="B4" t="s">
        <v>53</v>
      </c>
      <c r="C4" t="s">
        <v>37</v>
      </c>
      <c r="D4" t="s">
        <v>16648</v>
      </c>
      <c r="E4" t="s">
        <v>16649</v>
      </c>
      <c r="F4" t="s">
        <v>16650</v>
      </c>
      <c r="G4" t="s">
        <v>16651</v>
      </c>
      <c r="H4" t="s">
        <v>16652</v>
      </c>
      <c r="I4">
        <v>1</v>
      </c>
      <c r="J4" t="s">
        <v>48</v>
      </c>
      <c r="K4" s="3">
        <v>3.8</v>
      </c>
      <c r="L4" s="3">
        <v>0</v>
      </c>
      <c r="M4" s="3">
        <v>0</v>
      </c>
      <c r="N4" s="3">
        <f t="shared" si="0"/>
        <v>3.8</v>
      </c>
      <c r="O4" t="s">
        <v>16642</v>
      </c>
      <c r="P4" t="s">
        <v>46</v>
      </c>
      <c r="Q4" t="s">
        <v>47</v>
      </c>
    </row>
    <row r="5" spans="1:17">
      <c r="A5">
        <v>2502656</v>
      </c>
      <c r="B5" t="s">
        <v>53</v>
      </c>
      <c r="C5" t="s">
        <v>37</v>
      </c>
      <c r="D5" t="s">
        <v>16653</v>
      </c>
      <c r="E5" t="s">
        <v>16654</v>
      </c>
      <c r="F5" t="s">
        <v>16655</v>
      </c>
      <c r="G5" t="s">
        <v>16656</v>
      </c>
      <c r="H5" t="s">
        <v>16657</v>
      </c>
      <c r="I5">
        <v>1</v>
      </c>
      <c r="J5" t="s">
        <v>48</v>
      </c>
      <c r="K5" s="3">
        <v>3.81</v>
      </c>
      <c r="L5" s="3">
        <v>0</v>
      </c>
      <c r="M5" s="3">
        <v>0</v>
      </c>
      <c r="N5" s="3">
        <f t="shared" si="0"/>
        <v>3.81</v>
      </c>
      <c r="O5" t="s">
        <v>16642</v>
      </c>
      <c r="P5" t="s">
        <v>46</v>
      </c>
      <c r="Q5" t="s">
        <v>47</v>
      </c>
    </row>
    <row r="6" spans="1:17">
      <c r="A6">
        <v>2505000</v>
      </c>
      <c r="B6" t="s">
        <v>53</v>
      </c>
      <c r="C6" t="s">
        <v>37</v>
      </c>
      <c r="D6" t="s">
        <v>16658</v>
      </c>
      <c r="E6" t="s">
        <v>16659</v>
      </c>
      <c r="F6" t="s">
        <v>16645</v>
      </c>
      <c r="G6" t="s">
        <v>16660</v>
      </c>
      <c r="H6" t="s">
        <v>16661</v>
      </c>
      <c r="I6">
        <v>3</v>
      </c>
      <c r="J6" t="s">
        <v>48</v>
      </c>
      <c r="K6" s="3">
        <v>6.6</v>
      </c>
      <c r="L6" s="3">
        <v>0</v>
      </c>
      <c r="M6" s="3">
        <v>0</v>
      </c>
      <c r="N6" s="3">
        <f t="shared" si="0"/>
        <v>6.6</v>
      </c>
      <c r="O6" t="s">
        <v>16642</v>
      </c>
      <c r="P6" t="s">
        <v>46</v>
      </c>
      <c r="Q6" t="s">
        <v>47</v>
      </c>
    </row>
    <row r="7" spans="1:17">
      <c r="A7">
        <v>2505005</v>
      </c>
      <c r="B7" t="s">
        <v>53</v>
      </c>
      <c r="C7" t="s">
        <v>37</v>
      </c>
      <c r="D7" t="s">
        <v>16662</v>
      </c>
      <c r="E7" t="s">
        <v>16663</v>
      </c>
      <c r="F7" t="s">
        <v>16664</v>
      </c>
      <c r="G7" t="s">
        <v>16665</v>
      </c>
      <c r="H7" t="s">
        <v>16666</v>
      </c>
      <c r="I7">
        <v>1</v>
      </c>
      <c r="J7" t="s">
        <v>48</v>
      </c>
      <c r="K7" s="3">
        <v>3.81</v>
      </c>
      <c r="L7" s="3">
        <v>0</v>
      </c>
      <c r="M7" s="3">
        <v>0</v>
      </c>
      <c r="N7" s="3">
        <f t="shared" si="0"/>
        <v>3.81</v>
      </c>
      <c r="O7" t="s">
        <v>16642</v>
      </c>
      <c r="P7" t="s">
        <v>46</v>
      </c>
      <c r="Q7" t="s">
        <v>47</v>
      </c>
    </row>
    <row r="8" spans="1:17">
      <c r="A8">
        <v>2505006</v>
      </c>
      <c r="B8" t="s">
        <v>53</v>
      </c>
      <c r="C8" t="s">
        <v>37</v>
      </c>
      <c r="D8" t="s">
        <v>65</v>
      </c>
      <c r="E8" t="s">
        <v>68</v>
      </c>
      <c r="F8" t="s">
        <v>16667</v>
      </c>
      <c r="G8" t="s">
        <v>69</v>
      </c>
      <c r="H8" t="s">
        <v>16668</v>
      </c>
      <c r="I8">
        <v>1</v>
      </c>
      <c r="J8" t="s">
        <v>48</v>
      </c>
      <c r="K8" s="3">
        <v>3.8</v>
      </c>
      <c r="L8" s="3">
        <v>0</v>
      </c>
      <c r="M8" s="3">
        <v>0</v>
      </c>
      <c r="N8" s="3">
        <f t="shared" si="0"/>
        <v>3.8</v>
      </c>
      <c r="O8" t="s">
        <v>16642</v>
      </c>
      <c r="P8" t="s">
        <v>46</v>
      </c>
      <c r="Q8" t="s">
        <v>47</v>
      </c>
    </row>
    <row r="9" spans="1:17">
      <c r="A9">
        <v>2505007</v>
      </c>
      <c r="B9" t="s">
        <v>53</v>
      </c>
      <c r="C9" t="s">
        <v>37</v>
      </c>
      <c r="D9" t="s">
        <v>16669</v>
      </c>
      <c r="E9" t="s">
        <v>16670</v>
      </c>
      <c r="F9" t="s">
        <v>16671</v>
      </c>
      <c r="G9" t="s">
        <v>16672</v>
      </c>
      <c r="H9" t="s">
        <v>16673</v>
      </c>
      <c r="I9">
        <v>3</v>
      </c>
      <c r="J9" t="s">
        <v>48</v>
      </c>
      <c r="K9" s="3">
        <v>6.6</v>
      </c>
      <c r="L9" s="3">
        <v>0</v>
      </c>
      <c r="M9" s="3">
        <v>0</v>
      </c>
      <c r="N9" s="3">
        <f t="shared" si="0"/>
        <v>6.6</v>
      </c>
      <c r="O9" t="s">
        <v>16642</v>
      </c>
      <c r="P9" t="s">
        <v>46</v>
      </c>
      <c r="Q9" t="s">
        <v>47</v>
      </c>
    </row>
    <row r="10" spans="1:17">
      <c r="A10">
        <v>2505008</v>
      </c>
      <c r="B10" t="s">
        <v>53</v>
      </c>
      <c r="C10" t="s">
        <v>37</v>
      </c>
      <c r="D10" t="s">
        <v>102</v>
      </c>
      <c r="E10" t="s">
        <v>105</v>
      </c>
      <c r="F10" t="s">
        <v>16674</v>
      </c>
      <c r="G10" t="s">
        <v>106</v>
      </c>
      <c r="H10" t="s">
        <v>16675</v>
      </c>
      <c r="I10">
        <v>1</v>
      </c>
      <c r="J10" t="s">
        <v>48</v>
      </c>
      <c r="K10" s="3">
        <v>3.8</v>
      </c>
      <c r="L10" s="3">
        <v>0</v>
      </c>
      <c r="M10" s="3">
        <v>0</v>
      </c>
      <c r="N10" s="3">
        <f t="shared" si="0"/>
        <v>3.8</v>
      </c>
      <c r="O10" t="s">
        <v>16642</v>
      </c>
      <c r="P10" t="s">
        <v>46</v>
      </c>
      <c r="Q10" t="s">
        <v>47</v>
      </c>
    </row>
    <row r="11" spans="1:17">
      <c r="A11">
        <v>2505011</v>
      </c>
      <c r="B11" t="s">
        <v>53</v>
      </c>
      <c r="C11" t="s">
        <v>37</v>
      </c>
      <c r="D11" t="s">
        <v>16676</v>
      </c>
      <c r="E11" t="s">
        <v>16677</v>
      </c>
      <c r="F11" t="s">
        <v>16678</v>
      </c>
      <c r="G11" t="s">
        <v>16679</v>
      </c>
      <c r="H11" t="s">
        <v>16680</v>
      </c>
      <c r="I11">
        <v>1</v>
      </c>
      <c r="J11" t="s">
        <v>48</v>
      </c>
      <c r="K11" s="3">
        <v>3.8</v>
      </c>
      <c r="L11" s="3">
        <v>0</v>
      </c>
      <c r="M11" s="3">
        <v>0</v>
      </c>
      <c r="N11" s="3">
        <f t="shared" si="0"/>
        <v>3.8</v>
      </c>
      <c r="O11" t="s">
        <v>16642</v>
      </c>
      <c r="P11" t="s">
        <v>46</v>
      </c>
      <c r="Q11" t="s">
        <v>47</v>
      </c>
    </row>
    <row r="12" spans="1:17">
      <c r="A12">
        <v>2505015</v>
      </c>
      <c r="B12" t="s">
        <v>53</v>
      </c>
      <c r="C12" t="s">
        <v>37</v>
      </c>
      <c r="D12" t="s">
        <v>16681</v>
      </c>
      <c r="E12" t="s">
        <v>16682</v>
      </c>
      <c r="F12" t="s">
        <v>16683</v>
      </c>
      <c r="G12" t="s">
        <v>16684</v>
      </c>
      <c r="H12" t="s">
        <v>16685</v>
      </c>
      <c r="I12">
        <v>1</v>
      </c>
      <c r="J12" t="s">
        <v>48</v>
      </c>
      <c r="K12" s="3">
        <v>3.81</v>
      </c>
      <c r="L12" s="3">
        <v>0</v>
      </c>
      <c r="M12" s="3">
        <v>0</v>
      </c>
      <c r="N12" s="3">
        <f t="shared" si="0"/>
        <v>3.81</v>
      </c>
      <c r="O12" t="s">
        <v>16642</v>
      </c>
      <c r="P12" t="s">
        <v>46</v>
      </c>
      <c r="Q12" t="s">
        <v>47</v>
      </c>
    </row>
    <row r="13" spans="1:17">
      <c r="A13">
        <v>2505016</v>
      </c>
      <c r="B13" t="s">
        <v>53</v>
      </c>
      <c r="C13" t="s">
        <v>37</v>
      </c>
      <c r="D13" t="s">
        <v>16686</v>
      </c>
      <c r="E13" t="s">
        <v>16687</v>
      </c>
      <c r="F13" t="s">
        <v>16688</v>
      </c>
      <c r="G13" t="s">
        <v>16689</v>
      </c>
      <c r="H13" t="s">
        <v>16690</v>
      </c>
      <c r="I13">
        <v>2</v>
      </c>
      <c r="J13" t="s">
        <v>48</v>
      </c>
      <c r="K13" s="3">
        <v>5.2</v>
      </c>
      <c r="L13" s="3">
        <v>0</v>
      </c>
      <c r="M13" s="3">
        <v>0</v>
      </c>
      <c r="N13" s="3">
        <f t="shared" si="0"/>
        <v>5.2</v>
      </c>
      <c r="O13" t="s">
        <v>16642</v>
      </c>
      <c r="P13" t="s">
        <v>46</v>
      </c>
      <c r="Q13" t="s">
        <v>47</v>
      </c>
    </row>
    <row r="14" spans="1:17">
      <c r="A14">
        <v>2506338</v>
      </c>
      <c r="B14" t="s">
        <v>53</v>
      </c>
      <c r="C14" t="s">
        <v>37</v>
      </c>
      <c r="D14" t="s">
        <v>2437</v>
      </c>
      <c r="E14" t="s">
        <v>2439</v>
      </c>
      <c r="F14" t="s">
        <v>16691</v>
      </c>
      <c r="G14" t="s">
        <v>2440</v>
      </c>
      <c r="H14" t="s">
        <v>16692</v>
      </c>
      <c r="I14">
        <v>2</v>
      </c>
      <c r="J14" t="s">
        <v>48</v>
      </c>
      <c r="K14" s="3">
        <v>5.2</v>
      </c>
      <c r="L14" s="3">
        <v>0</v>
      </c>
      <c r="M14" s="3">
        <v>0</v>
      </c>
      <c r="N14" s="3">
        <f t="shared" si="0"/>
        <v>5.2</v>
      </c>
      <c r="O14" t="s">
        <v>16693</v>
      </c>
      <c r="P14" t="s">
        <v>46</v>
      </c>
      <c r="Q14" t="s">
        <v>47</v>
      </c>
    </row>
    <row r="15" spans="1:17">
      <c r="A15">
        <v>2506828</v>
      </c>
      <c r="B15" t="s">
        <v>53</v>
      </c>
      <c r="C15" t="s">
        <v>37</v>
      </c>
      <c r="D15" t="s">
        <v>16694</v>
      </c>
      <c r="E15" t="s">
        <v>16695</v>
      </c>
      <c r="F15" t="s">
        <v>16696</v>
      </c>
      <c r="G15" t="s">
        <v>16697</v>
      </c>
      <c r="H15" t="s">
        <v>16698</v>
      </c>
      <c r="I15">
        <v>1</v>
      </c>
      <c r="J15" t="s">
        <v>48</v>
      </c>
      <c r="K15" s="3">
        <v>3.8</v>
      </c>
      <c r="L15" s="3">
        <v>0</v>
      </c>
      <c r="M15" s="3">
        <v>0</v>
      </c>
      <c r="N15" s="3">
        <f t="shared" si="0"/>
        <v>3.8</v>
      </c>
      <c r="O15" t="s">
        <v>16642</v>
      </c>
      <c r="P15" t="s">
        <v>46</v>
      </c>
      <c r="Q15" t="s">
        <v>47</v>
      </c>
    </row>
    <row r="16" spans="1:17">
      <c r="A16">
        <v>2506831</v>
      </c>
      <c r="B16" t="s">
        <v>53</v>
      </c>
      <c r="C16" t="s">
        <v>37</v>
      </c>
      <c r="D16" t="s">
        <v>808</v>
      </c>
      <c r="E16" t="s">
        <v>811</v>
      </c>
      <c r="F16" t="s">
        <v>16699</v>
      </c>
      <c r="G16" t="s">
        <v>812</v>
      </c>
      <c r="H16" t="s">
        <v>16700</v>
      </c>
      <c r="I16">
        <v>4</v>
      </c>
      <c r="J16" t="s">
        <v>48</v>
      </c>
      <c r="K16" s="3">
        <v>8</v>
      </c>
      <c r="L16" s="3">
        <v>0</v>
      </c>
      <c r="M16" s="3">
        <v>0</v>
      </c>
      <c r="N16" s="3">
        <f t="shared" si="0"/>
        <v>8</v>
      </c>
      <c r="O16" t="s">
        <v>16642</v>
      </c>
      <c r="P16" t="s">
        <v>46</v>
      </c>
      <c r="Q16" t="s">
        <v>47</v>
      </c>
    </row>
    <row r="17" spans="1:17">
      <c r="A17">
        <v>2506833</v>
      </c>
      <c r="B17" t="s">
        <v>53</v>
      </c>
      <c r="C17" t="s">
        <v>37</v>
      </c>
      <c r="D17" t="s">
        <v>16701</v>
      </c>
      <c r="E17" t="s">
        <v>16702</v>
      </c>
      <c r="F17" t="s">
        <v>16703</v>
      </c>
      <c r="G17" t="s">
        <v>16704</v>
      </c>
      <c r="H17" t="s">
        <v>16705</v>
      </c>
      <c r="I17">
        <v>3</v>
      </c>
      <c r="J17" t="s">
        <v>48</v>
      </c>
      <c r="K17" s="3">
        <v>6.6</v>
      </c>
      <c r="L17" s="3">
        <v>0</v>
      </c>
      <c r="M17" s="3">
        <v>0</v>
      </c>
      <c r="N17" s="3">
        <f t="shared" si="0"/>
        <v>6.6</v>
      </c>
      <c r="O17" t="s">
        <v>16642</v>
      </c>
      <c r="P17" t="s">
        <v>46</v>
      </c>
      <c r="Q17" t="s">
        <v>47</v>
      </c>
    </row>
    <row r="18" spans="1:17">
      <c r="A18">
        <v>2506837</v>
      </c>
      <c r="B18" t="s">
        <v>53</v>
      </c>
      <c r="C18" t="s">
        <v>37</v>
      </c>
      <c r="D18" t="s">
        <v>390</v>
      </c>
      <c r="E18" t="s">
        <v>393</v>
      </c>
      <c r="F18" t="s">
        <v>16706</v>
      </c>
      <c r="G18" t="s">
        <v>394</v>
      </c>
      <c r="H18" t="s">
        <v>16707</v>
      </c>
      <c r="I18">
        <v>2</v>
      </c>
      <c r="J18" t="s">
        <v>48</v>
      </c>
      <c r="K18" s="3">
        <v>5.2</v>
      </c>
      <c r="L18" s="3">
        <v>0</v>
      </c>
      <c r="M18" s="3">
        <v>0</v>
      </c>
      <c r="N18" s="3">
        <f t="shared" si="0"/>
        <v>5.2</v>
      </c>
      <c r="O18" t="s">
        <v>16642</v>
      </c>
      <c r="P18" t="s">
        <v>46</v>
      </c>
      <c r="Q18" t="s">
        <v>47</v>
      </c>
    </row>
    <row r="19" spans="1:17">
      <c r="A19">
        <v>2506846</v>
      </c>
      <c r="B19" t="s">
        <v>53</v>
      </c>
      <c r="C19" t="s">
        <v>37</v>
      </c>
      <c r="D19" t="s">
        <v>546</v>
      </c>
      <c r="E19" t="s">
        <v>549</v>
      </c>
      <c r="F19" t="s">
        <v>16708</v>
      </c>
      <c r="G19" t="s">
        <v>550</v>
      </c>
      <c r="H19" t="s">
        <v>16709</v>
      </c>
      <c r="I19">
        <v>2</v>
      </c>
      <c r="J19" t="s">
        <v>48</v>
      </c>
      <c r="K19" s="3">
        <v>5.2</v>
      </c>
      <c r="L19" s="3">
        <v>0</v>
      </c>
      <c r="M19" s="3">
        <v>0</v>
      </c>
      <c r="N19" s="3">
        <f t="shared" si="0"/>
        <v>5.2</v>
      </c>
      <c r="O19" t="s">
        <v>16642</v>
      </c>
      <c r="P19" t="s">
        <v>46</v>
      </c>
      <c r="Q19" t="s">
        <v>47</v>
      </c>
    </row>
    <row r="20" spans="1:17">
      <c r="A20">
        <v>2506848</v>
      </c>
      <c r="B20" t="s">
        <v>53</v>
      </c>
      <c r="C20" t="s">
        <v>37</v>
      </c>
      <c r="D20" t="s">
        <v>207</v>
      </c>
      <c r="E20" t="s">
        <v>210</v>
      </c>
      <c r="F20" t="s">
        <v>16710</v>
      </c>
      <c r="G20" t="s">
        <v>211</v>
      </c>
      <c r="H20" t="s">
        <v>16711</v>
      </c>
      <c r="I20">
        <v>1</v>
      </c>
      <c r="J20" t="s">
        <v>48</v>
      </c>
      <c r="K20" s="3">
        <v>3.8</v>
      </c>
      <c r="L20" s="3">
        <v>0</v>
      </c>
      <c r="M20" s="3">
        <v>0</v>
      </c>
      <c r="N20" s="3">
        <f t="shared" si="0"/>
        <v>3.8</v>
      </c>
      <c r="O20" t="s">
        <v>16642</v>
      </c>
      <c r="P20" t="s">
        <v>46</v>
      </c>
      <c r="Q20" t="s">
        <v>47</v>
      </c>
    </row>
    <row r="21" spans="1:17">
      <c r="A21">
        <v>2506899</v>
      </c>
      <c r="B21" t="s">
        <v>53</v>
      </c>
      <c r="C21" t="s">
        <v>37</v>
      </c>
      <c r="D21" t="s">
        <v>179</v>
      </c>
      <c r="E21" t="s">
        <v>181</v>
      </c>
      <c r="F21" t="s">
        <v>16712</v>
      </c>
      <c r="G21" t="s">
        <v>182</v>
      </c>
      <c r="H21" t="s">
        <v>16713</v>
      </c>
      <c r="I21">
        <v>1</v>
      </c>
      <c r="J21" t="s">
        <v>48</v>
      </c>
      <c r="K21" s="3">
        <v>3.8</v>
      </c>
      <c r="L21" s="3">
        <v>0</v>
      </c>
      <c r="M21" s="3">
        <v>0</v>
      </c>
      <c r="N21" s="3">
        <f t="shared" si="0"/>
        <v>3.8</v>
      </c>
      <c r="O21" t="s">
        <v>16642</v>
      </c>
      <c r="P21" t="s">
        <v>46</v>
      </c>
      <c r="Q21" t="s">
        <v>47</v>
      </c>
    </row>
    <row r="22" spans="1:17">
      <c r="A22">
        <v>2506991</v>
      </c>
      <c r="B22" t="s">
        <v>53</v>
      </c>
      <c r="C22" t="s">
        <v>37</v>
      </c>
      <c r="D22" t="s">
        <v>405</v>
      </c>
      <c r="E22" t="s">
        <v>409</v>
      </c>
      <c r="F22" t="s">
        <v>16714</v>
      </c>
      <c r="G22" t="s">
        <v>410</v>
      </c>
      <c r="H22" t="s">
        <v>16715</v>
      </c>
      <c r="I22">
        <v>2</v>
      </c>
      <c r="J22" t="s">
        <v>48</v>
      </c>
      <c r="K22" s="3">
        <v>5.21</v>
      </c>
      <c r="L22" s="3">
        <v>0</v>
      </c>
      <c r="M22" s="3">
        <v>0</v>
      </c>
      <c r="N22" s="3">
        <f t="shared" si="0"/>
        <v>5.21</v>
      </c>
      <c r="O22" t="s">
        <v>16716</v>
      </c>
      <c r="P22" t="s">
        <v>46</v>
      </c>
      <c r="Q22" t="s">
        <v>47</v>
      </c>
    </row>
    <row r="23" spans="1:17">
      <c r="A23">
        <v>2508422</v>
      </c>
      <c r="B23" t="s">
        <v>53</v>
      </c>
      <c r="C23" t="s">
        <v>37</v>
      </c>
      <c r="D23" t="s">
        <v>1273</v>
      </c>
      <c r="E23" t="s">
        <v>1276</v>
      </c>
      <c r="F23" t="s">
        <v>16717</v>
      </c>
      <c r="G23" t="s">
        <v>1277</v>
      </c>
      <c r="H23" t="s">
        <v>16718</v>
      </c>
      <c r="I23">
        <v>1</v>
      </c>
      <c r="J23" t="s">
        <v>48</v>
      </c>
      <c r="K23" s="3">
        <v>3.8</v>
      </c>
      <c r="L23" s="3">
        <v>0</v>
      </c>
      <c r="M23" s="3">
        <v>0</v>
      </c>
      <c r="N23" s="3">
        <f t="shared" si="0"/>
        <v>3.8</v>
      </c>
      <c r="O23" t="s">
        <v>16642</v>
      </c>
      <c r="P23" t="s">
        <v>46</v>
      </c>
      <c r="Q23" t="s">
        <v>47</v>
      </c>
    </row>
    <row r="24" spans="1:17">
      <c r="A24">
        <v>2508423</v>
      </c>
      <c r="B24" t="s">
        <v>53</v>
      </c>
      <c r="C24" t="s">
        <v>37</v>
      </c>
      <c r="D24" t="s">
        <v>414</v>
      </c>
      <c r="E24" t="s">
        <v>418</v>
      </c>
      <c r="F24" t="s">
        <v>16719</v>
      </c>
      <c r="G24" t="s">
        <v>419</v>
      </c>
      <c r="H24" t="s">
        <v>16720</v>
      </c>
      <c r="I24">
        <v>3</v>
      </c>
      <c r="J24" t="s">
        <v>48</v>
      </c>
      <c r="K24" s="3">
        <v>6.6</v>
      </c>
      <c r="L24" s="3">
        <v>0</v>
      </c>
      <c r="M24" s="3">
        <v>0</v>
      </c>
      <c r="N24" s="3">
        <f t="shared" si="0"/>
        <v>6.6</v>
      </c>
      <c r="O24" t="s">
        <v>16642</v>
      </c>
      <c r="P24" t="s">
        <v>46</v>
      </c>
      <c r="Q24" t="s">
        <v>47</v>
      </c>
    </row>
    <row r="25" spans="1:17">
      <c r="A25">
        <v>2508427</v>
      </c>
      <c r="B25" t="s">
        <v>53</v>
      </c>
      <c r="C25" t="s">
        <v>37</v>
      </c>
      <c r="D25" t="s">
        <v>16721</v>
      </c>
      <c r="E25" t="s">
        <v>16722</v>
      </c>
      <c r="F25" t="s">
        <v>16723</v>
      </c>
      <c r="G25" t="s">
        <v>16724</v>
      </c>
      <c r="H25" t="s">
        <v>16725</v>
      </c>
      <c r="I25">
        <v>1</v>
      </c>
      <c r="J25" t="s">
        <v>48</v>
      </c>
      <c r="K25" s="3">
        <v>3.8</v>
      </c>
      <c r="L25" s="3">
        <v>0</v>
      </c>
      <c r="M25" s="3">
        <v>0</v>
      </c>
      <c r="N25" s="3">
        <f t="shared" si="0"/>
        <v>3.8</v>
      </c>
      <c r="O25" t="s">
        <v>16642</v>
      </c>
      <c r="P25" t="s">
        <v>46</v>
      </c>
      <c r="Q25" t="s">
        <v>47</v>
      </c>
    </row>
    <row r="26" spans="1:17">
      <c r="A26">
        <v>2508429</v>
      </c>
      <c r="B26" t="s">
        <v>53</v>
      </c>
      <c r="C26" t="s">
        <v>37</v>
      </c>
      <c r="D26" t="s">
        <v>507</v>
      </c>
      <c r="E26" t="s">
        <v>511</v>
      </c>
      <c r="F26" t="s">
        <v>16726</v>
      </c>
      <c r="G26" t="s">
        <v>512</v>
      </c>
      <c r="H26" t="s">
        <v>16727</v>
      </c>
      <c r="I26">
        <v>4</v>
      </c>
      <c r="J26" t="s">
        <v>48</v>
      </c>
      <c r="K26" s="3">
        <v>8</v>
      </c>
      <c r="L26" s="3">
        <v>0</v>
      </c>
      <c r="M26" s="3">
        <v>0</v>
      </c>
      <c r="N26" s="3">
        <f t="shared" si="0"/>
        <v>8</v>
      </c>
      <c r="O26" t="s">
        <v>16642</v>
      </c>
      <c r="P26" t="s">
        <v>46</v>
      </c>
      <c r="Q26" t="s">
        <v>47</v>
      </c>
    </row>
    <row r="27" spans="1:17">
      <c r="A27">
        <v>2508450</v>
      </c>
      <c r="B27" t="s">
        <v>53</v>
      </c>
      <c r="C27" t="s">
        <v>37</v>
      </c>
      <c r="D27" t="s">
        <v>16728</v>
      </c>
      <c r="E27" t="s">
        <v>16729</v>
      </c>
      <c r="F27" t="s">
        <v>16730</v>
      </c>
      <c r="G27" t="s">
        <v>16731</v>
      </c>
      <c r="H27" t="s">
        <v>16732</v>
      </c>
      <c r="I27">
        <v>1</v>
      </c>
      <c r="J27" t="s">
        <v>48</v>
      </c>
      <c r="K27" s="3">
        <v>3.8</v>
      </c>
      <c r="L27" s="3">
        <v>0</v>
      </c>
      <c r="M27" s="3">
        <v>0</v>
      </c>
      <c r="N27" s="3">
        <f t="shared" si="0"/>
        <v>3.8</v>
      </c>
      <c r="O27" t="s">
        <v>16642</v>
      </c>
      <c r="P27" t="s">
        <v>46</v>
      </c>
      <c r="Q27" t="s">
        <v>47</v>
      </c>
    </row>
    <row r="28" spans="1:17">
      <c r="A28">
        <v>2508465</v>
      </c>
      <c r="B28" t="s">
        <v>53</v>
      </c>
      <c r="C28" t="s">
        <v>37</v>
      </c>
      <c r="D28" t="s">
        <v>2044</v>
      </c>
      <c r="E28" t="s">
        <v>2046</v>
      </c>
      <c r="F28" t="s">
        <v>16733</v>
      </c>
      <c r="G28" t="s">
        <v>2047</v>
      </c>
      <c r="H28" t="s">
        <v>16734</v>
      </c>
      <c r="I28">
        <v>1</v>
      </c>
      <c r="J28" t="s">
        <v>48</v>
      </c>
      <c r="K28" s="3">
        <v>3.8</v>
      </c>
      <c r="L28" s="3">
        <v>0</v>
      </c>
      <c r="M28" s="3">
        <v>0</v>
      </c>
      <c r="N28" s="3">
        <f t="shared" si="0"/>
        <v>3.8</v>
      </c>
      <c r="O28" t="s">
        <v>16642</v>
      </c>
      <c r="P28" t="s">
        <v>46</v>
      </c>
      <c r="Q28" t="s">
        <v>47</v>
      </c>
    </row>
    <row r="29" spans="1:17">
      <c r="A29">
        <v>2508494</v>
      </c>
      <c r="B29" t="s">
        <v>53</v>
      </c>
      <c r="C29" t="s">
        <v>37</v>
      </c>
      <c r="D29" t="s">
        <v>3303</v>
      </c>
      <c r="E29" t="s">
        <v>3306</v>
      </c>
      <c r="F29" t="s">
        <v>16735</v>
      </c>
      <c r="G29" t="s">
        <v>3307</v>
      </c>
      <c r="H29" t="s">
        <v>16736</v>
      </c>
      <c r="I29">
        <v>1</v>
      </c>
      <c r="J29" t="s">
        <v>48</v>
      </c>
      <c r="K29" s="3">
        <v>3.8</v>
      </c>
      <c r="L29" s="3">
        <v>0</v>
      </c>
      <c r="M29" s="3">
        <v>0</v>
      </c>
      <c r="N29" s="3">
        <f t="shared" si="0"/>
        <v>3.8</v>
      </c>
      <c r="O29" t="s">
        <v>16642</v>
      </c>
      <c r="P29" t="s">
        <v>46</v>
      </c>
      <c r="Q29" t="s">
        <v>47</v>
      </c>
    </row>
    <row r="30" spans="1:17">
      <c r="A30">
        <v>2508570</v>
      </c>
      <c r="B30" t="s">
        <v>53</v>
      </c>
      <c r="C30" t="s">
        <v>37</v>
      </c>
      <c r="D30" t="s">
        <v>4150</v>
      </c>
      <c r="E30" t="s">
        <v>4152</v>
      </c>
      <c r="F30" t="s">
        <v>16737</v>
      </c>
      <c r="G30" t="s">
        <v>4153</v>
      </c>
      <c r="H30" t="s">
        <v>16738</v>
      </c>
      <c r="I30">
        <v>1</v>
      </c>
      <c r="J30" t="s">
        <v>48</v>
      </c>
      <c r="K30" s="3">
        <v>3.8</v>
      </c>
      <c r="L30" s="3">
        <v>0</v>
      </c>
      <c r="M30" s="3">
        <v>0</v>
      </c>
      <c r="N30" s="3">
        <f t="shared" si="0"/>
        <v>3.8</v>
      </c>
      <c r="O30" t="s">
        <v>16642</v>
      </c>
      <c r="P30" t="s">
        <v>46</v>
      </c>
      <c r="Q30" t="s">
        <v>47</v>
      </c>
    </row>
    <row r="31" spans="1:17">
      <c r="A31">
        <v>2508911</v>
      </c>
      <c r="B31" t="s">
        <v>53</v>
      </c>
      <c r="C31" t="s">
        <v>37</v>
      </c>
      <c r="D31" t="s">
        <v>1115</v>
      </c>
      <c r="E31" t="s">
        <v>1116</v>
      </c>
      <c r="F31" t="s">
        <v>16739</v>
      </c>
      <c r="G31" t="s">
        <v>1117</v>
      </c>
      <c r="H31" t="s">
        <v>16740</v>
      </c>
      <c r="I31">
        <v>1</v>
      </c>
      <c r="J31" t="s">
        <v>48</v>
      </c>
      <c r="K31" s="3">
        <v>3.8</v>
      </c>
      <c r="L31" s="3">
        <v>0</v>
      </c>
      <c r="M31" s="3">
        <v>0</v>
      </c>
      <c r="N31" s="3">
        <f t="shared" si="0"/>
        <v>3.8</v>
      </c>
      <c r="O31" t="s">
        <v>16642</v>
      </c>
      <c r="P31" t="s">
        <v>46</v>
      </c>
      <c r="Q31" t="s">
        <v>47</v>
      </c>
    </row>
    <row r="32" spans="1:17">
      <c r="A32">
        <v>2508936</v>
      </c>
      <c r="B32" t="s">
        <v>53</v>
      </c>
      <c r="C32" t="s">
        <v>37</v>
      </c>
      <c r="D32" t="s">
        <v>822</v>
      </c>
      <c r="E32" t="s">
        <v>825</v>
      </c>
      <c r="F32" t="s">
        <v>16741</v>
      </c>
      <c r="G32" t="s">
        <v>826</v>
      </c>
      <c r="H32" t="s">
        <v>16742</v>
      </c>
      <c r="I32">
        <v>2</v>
      </c>
      <c r="J32" t="s">
        <v>48</v>
      </c>
      <c r="K32" s="3">
        <v>5.21</v>
      </c>
      <c r="L32" s="3">
        <v>0</v>
      </c>
      <c r="M32" s="3">
        <v>0</v>
      </c>
      <c r="N32" s="3">
        <f t="shared" si="0"/>
        <v>5.21</v>
      </c>
      <c r="O32" t="s">
        <v>16642</v>
      </c>
      <c r="P32" t="s">
        <v>46</v>
      </c>
      <c r="Q32" t="s">
        <v>47</v>
      </c>
    </row>
    <row r="33" spans="1:17">
      <c r="A33">
        <v>2508942</v>
      </c>
      <c r="B33" t="s">
        <v>53</v>
      </c>
      <c r="C33" t="s">
        <v>37</v>
      </c>
      <c r="D33" t="s">
        <v>199</v>
      </c>
      <c r="E33" t="s">
        <v>202</v>
      </c>
      <c r="F33" t="s">
        <v>16743</v>
      </c>
      <c r="G33" t="s">
        <v>203</v>
      </c>
      <c r="H33" t="s">
        <v>16744</v>
      </c>
      <c r="I33">
        <v>5</v>
      </c>
      <c r="J33" t="s">
        <v>48</v>
      </c>
      <c r="K33" s="3">
        <v>9.41</v>
      </c>
      <c r="L33" s="3">
        <v>0</v>
      </c>
      <c r="M33" s="3">
        <v>0</v>
      </c>
      <c r="N33" s="3">
        <f t="shared" si="0"/>
        <v>9.41</v>
      </c>
      <c r="O33" t="s">
        <v>16642</v>
      </c>
      <c r="P33" t="s">
        <v>46</v>
      </c>
      <c r="Q33" t="s">
        <v>47</v>
      </c>
    </row>
    <row r="34" spans="1:17">
      <c r="A34">
        <v>2509034</v>
      </c>
      <c r="B34" t="s">
        <v>53</v>
      </c>
      <c r="C34" t="s">
        <v>37</v>
      </c>
      <c r="D34" t="s">
        <v>16745</v>
      </c>
      <c r="E34" t="s">
        <v>16746</v>
      </c>
      <c r="F34" t="s">
        <v>16747</v>
      </c>
      <c r="G34" t="s">
        <v>16748</v>
      </c>
      <c r="H34" t="s">
        <v>16749</v>
      </c>
      <c r="I34">
        <v>2</v>
      </c>
      <c r="J34" t="s">
        <v>48</v>
      </c>
      <c r="K34" s="3">
        <v>5.21</v>
      </c>
      <c r="L34" s="3">
        <v>0</v>
      </c>
      <c r="M34" s="3">
        <v>0</v>
      </c>
      <c r="N34" s="3">
        <f t="shared" si="0"/>
        <v>5.21</v>
      </c>
      <c r="O34" t="s">
        <v>16642</v>
      </c>
      <c r="P34" t="s">
        <v>46</v>
      </c>
      <c r="Q34" t="s">
        <v>47</v>
      </c>
    </row>
    <row r="35" spans="1:17">
      <c r="A35">
        <v>2509045</v>
      </c>
      <c r="B35" t="s">
        <v>53</v>
      </c>
      <c r="C35" t="s">
        <v>37</v>
      </c>
      <c r="D35" t="s">
        <v>16750</v>
      </c>
      <c r="E35" t="s">
        <v>16751</v>
      </c>
      <c r="F35" t="s">
        <v>16752</v>
      </c>
      <c r="G35" t="s">
        <v>16753</v>
      </c>
      <c r="H35" t="s">
        <v>16754</v>
      </c>
      <c r="I35">
        <v>3</v>
      </c>
      <c r="J35" t="s">
        <v>48</v>
      </c>
      <c r="K35" s="3">
        <v>6.61</v>
      </c>
      <c r="L35" s="3">
        <v>0</v>
      </c>
      <c r="M35" s="3">
        <v>0</v>
      </c>
      <c r="N35" s="3">
        <f t="shared" si="0"/>
        <v>6.61</v>
      </c>
      <c r="O35" t="s">
        <v>16642</v>
      </c>
      <c r="P35" t="s">
        <v>46</v>
      </c>
      <c r="Q35" t="s">
        <v>47</v>
      </c>
    </row>
    <row r="36" spans="1:17">
      <c r="A36">
        <v>2509048</v>
      </c>
      <c r="B36" t="s">
        <v>53</v>
      </c>
      <c r="C36" t="s">
        <v>37</v>
      </c>
      <c r="D36" t="s">
        <v>16755</v>
      </c>
      <c r="E36" t="s">
        <v>16756</v>
      </c>
      <c r="F36" t="s">
        <v>16757</v>
      </c>
      <c r="G36" t="s">
        <v>16758</v>
      </c>
      <c r="H36" t="s">
        <v>16759</v>
      </c>
      <c r="I36">
        <v>5</v>
      </c>
      <c r="J36" t="s">
        <v>48</v>
      </c>
      <c r="K36" s="3">
        <v>9.4</v>
      </c>
      <c r="L36" s="3">
        <v>0</v>
      </c>
      <c r="M36" s="3">
        <v>0</v>
      </c>
      <c r="N36" s="3">
        <f t="shared" si="0"/>
        <v>9.4</v>
      </c>
      <c r="O36" t="s">
        <v>16642</v>
      </c>
      <c r="P36" t="s">
        <v>46</v>
      </c>
      <c r="Q36" t="s">
        <v>47</v>
      </c>
    </row>
    <row r="37" spans="1:17">
      <c r="A37">
        <v>2509089</v>
      </c>
      <c r="B37" t="s">
        <v>53</v>
      </c>
      <c r="C37" t="s">
        <v>37</v>
      </c>
      <c r="D37" t="s">
        <v>6635</v>
      </c>
      <c r="E37" t="s">
        <v>6637</v>
      </c>
      <c r="F37" t="s">
        <v>16760</v>
      </c>
      <c r="G37" t="s">
        <v>6638</v>
      </c>
      <c r="H37" t="s">
        <v>16761</v>
      </c>
      <c r="I37">
        <v>1</v>
      </c>
      <c r="J37" t="s">
        <v>48</v>
      </c>
      <c r="K37" s="3">
        <v>3.8</v>
      </c>
      <c r="L37" s="3">
        <v>0</v>
      </c>
      <c r="M37" s="3">
        <v>0</v>
      </c>
      <c r="N37" s="3">
        <f t="shared" si="0"/>
        <v>3.8</v>
      </c>
      <c r="O37" t="s">
        <v>16642</v>
      </c>
      <c r="P37" t="s">
        <v>46</v>
      </c>
      <c r="Q37" t="s">
        <v>47</v>
      </c>
    </row>
    <row r="38" spans="1:17">
      <c r="A38">
        <v>2510506</v>
      </c>
      <c r="B38" t="s">
        <v>53</v>
      </c>
      <c r="C38" t="s">
        <v>37</v>
      </c>
      <c r="D38" t="s">
        <v>2221</v>
      </c>
      <c r="E38" t="s">
        <v>2223</v>
      </c>
      <c r="F38" t="s">
        <v>16762</v>
      </c>
      <c r="G38" t="s">
        <v>2224</v>
      </c>
      <c r="H38" t="s">
        <v>16763</v>
      </c>
      <c r="I38">
        <v>2</v>
      </c>
      <c r="J38" t="s">
        <v>48</v>
      </c>
      <c r="K38" s="3">
        <v>5.2</v>
      </c>
      <c r="L38" s="3">
        <v>0</v>
      </c>
      <c r="M38" s="3">
        <v>0</v>
      </c>
      <c r="N38" s="3">
        <f t="shared" si="0"/>
        <v>5.2</v>
      </c>
      <c r="O38" t="s">
        <v>16642</v>
      </c>
      <c r="P38" t="s">
        <v>46</v>
      </c>
      <c r="Q38" t="s">
        <v>47</v>
      </c>
    </row>
    <row r="39" spans="1:17">
      <c r="A39">
        <v>2510590</v>
      </c>
      <c r="B39" t="s">
        <v>53</v>
      </c>
      <c r="C39" t="s">
        <v>37</v>
      </c>
      <c r="D39" t="s">
        <v>2767</v>
      </c>
      <c r="E39" t="s">
        <v>2770</v>
      </c>
      <c r="F39" t="s">
        <v>16764</v>
      </c>
      <c r="G39" t="s">
        <v>2771</v>
      </c>
      <c r="H39" t="s">
        <v>16765</v>
      </c>
      <c r="I39">
        <v>1</v>
      </c>
      <c r="J39" t="s">
        <v>48</v>
      </c>
      <c r="K39" s="3">
        <v>3.8</v>
      </c>
      <c r="L39" s="3">
        <v>0</v>
      </c>
      <c r="M39" s="3">
        <v>0</v>
      </c>
      <c r="N39" s="3">
        <f t="shared" si="0"/>
        <v>3.8</v>
      </c>
      <c r="O39" t="s">
        <v>16642</v>
      </c>
      <c r="P39" t="s">
        <v>46</v>
      </c>
      <c r="Q39" t="s">
        <v>47</v>
      </c>
    </row>
    <row r="40" spans="1:17">
      <c r="A40">
        <v>2510597</v>
      </c>
      <c r="B40" t="s">
        <v>53</v>
      </c>
      <c r="C40" t="s">
        <v>37</v>
      </c>
      <c r="D40" t="s">
        <v>2024</v>
      </c>
      <c r="E40" t="s">
        <v>2027</v>
      </c>
      <c r="F40" t="s">
        <v>16766</v>
      </c>
      <c r="G40" t="s">
        <v>2028</v>
      </c>
      <c r="H40" t="s">
        <v>16767</v>
      </c>
      <c r="I40">
        <v>4</v>
      </c>
      <c r="J40" t="s">
        <v>48</v>
      </c>
      <c r="K40" s="3">
        <v>8</v>
      </c>
      <c r="L40" s="3">
        <v>0</v>
      </c>
      <c r="M40" s="3">
        <v>0</v>
      </c>
      <c r="N40" s="3">
        <f t="shared" si="0"/>
        <v>8</v>
      </c>
      <c r="O40" t="s">
        <v>16642</v>
      </c>
      <c r="P40" t="s">
        <v>46</v>
      </c>
      <c r="Q40" t="s">
        <v>47</v>
      </c>
    </row>
    <row r="41" spans="1:17">
      <c r="A41">
        <v>2511015</v>
      </c>
      <c r="B41" t="s">
        <v>53</v>
      </c>
      <c r="C41" t="s">
        <v>37</v>
      </c>
      <c r="D41" t="s">
        <v>16768</v>
      </c>
      <c r="E41" t="s">
        <v>16769</v>
      </c>
      <c r="F41" t="s">
        <v>16770</v>
      </c>
      <c r="G41" t="s">
        <v>16771</v>
      </c>
      <c r="H41" t="s">
        <v>16772</v>
      </c>
      <c r="I41">
        <v>2</v>
      </c>
      <c r="J41" t="s">
        <v>48</v>
      </c>
      <c r="K41" s="3">
        <v>5.2</v>
      </c>
      <c r="L41" s="3">
        <v>0</v>
      </c>
      <c r="M41" s="3">
        <v>0</v>
      </c>
      <c r="N41" s="3">
        <f t="shared" si="0"/>
        <v>5.2</v>
      </c>
      <c r="O41" t="s">
        <v>16642</v>
      </c>
      <c r="P41" t="s">
        <v>46</v>
      </c>
      <c r="Q41" t="s">
        <v>47</v>
      </c>
    </row>
    <row r="42" spans="1:17">
      <c r="A42">
        <v>2511709</v>
      </c>
      <c r="B42" t="s">
        <v>53</v>
      </c>
      <c r="C42" t="s">
        <v>111</v>
      </c>
      <c r="D42" t="s">
        <v>3052</v>
      </c>
      <c r="E42" t="s">
        <v>3054</v>
      </c>
      <c r="F42" t="s">
        <v>16773</v>
      </c>
      <c r="G42" t="s">
        <v>3055</v>
      </c>
      <c r="H42" t="s">
        <v>16774</v>
      </c>
      <c r="I42">
        <v>189</v>
      </c>
      <c r="J42" t="s">
        <v>48</v>
      </c>
      <c r="K42" s="3">
        <v>19.2</v>
      </c>
      <c r="L42" s="3">
        <v>0</v>
      </c>
      <c r="M42" s="3">
        <v>0</v>
      </c>
      <c r="N42" s="3">
        <f t="shared" si="0"/>
        <v>19.2</v>
      </c>
      <c r="O42" t="s">
        <v>16642</v>
      </c>
      <c r="P42" t="s">
        <v>46</v>
      </c>
      <c r="Q42" t="s">
        <v>47</v>
      </c>
    </row>
    <row r="43" spans="1:17">
      <c r="A43">
        <v>2513246</v>
      </c>
      <c r="B43" t="s">
        <v>53</v>
      </c>
      <c r="C43" t="s">
        <v>37</v>
      </c>
      <c r="D43" s="2" t="s">
        <v>4051</v>
      </c>
      <c r="E43" t="s">
        <v>4053</v>
      </c>
      <c r="F43" t="s">
        <v>16775</v>
      </c>
      <c r="G43" t="s">
        <v>4054</v>
      </c>
      <c r="H43" t="s">
        <v>16776</v>
      </c>
      <c r="I43">
        <v>1</v>
      </c>
      <c r="J43" t="s">
        <v>48</v>
      </c>
      <c r="K43" s="3">
        <v>3.8</v>
      </c>
      <c r="L43" s="3">
        <v>0</v>
      </c>
      <c r="M43" s="3">
        <v>0</v>
      </c>
      <c r="N43" s="3">
        <f t="shared" si="0"/>
        <v>3.8</v>
      </c>
      <c r="O43" t="s">
        <v>16716</v>
      </c>
      <c r="P43" t="s">
        <v>46</v>
      </c>
      <c r="Q43" t="s">
        <v>47</v>
      </c>
    </row>
    <row r="44" spans="1:17">
      <c r="A44">
        <v>2514134</v>
      </c>
      <c r="B44" t="s">
        <v>53</v>
      </c>
      <c r="C44" t="s">
        <v>37</v>
      </c>
      <c r="D44" t="s">
        <v>5121</v>
      </c>
      <c r="E44" t="s">
        <v>5123</v>
      </c>
      <c r="F44" t="s">
        <v>16777</v>
      </c>
      <c r="G44" t="s">
        <v>5124</v>
      </c>
      <c r="H44" t="s">
        <v>16778</v>
      </c>
      <c r="I44">
        <v>1</v>
      </c>
      <c r="J44" t="s">
        <v>48</v>
      </c>
      <c r="K44" s="3">
        <v>3.8</v>
      </c>
      <c r="L44" s="3">
        <v>0</v>
      </c>
      <c r="M44" s="3">
        <v>0</v>
      </c>
      <c r="N44" s="3">
        <f t="shared" si="0"/>
        <v>3.8</v>
      </c>
      <c r="O44" t="s">
        <v>16642</v>
      </c>
      <c r="P44" t="s">
        <v>46</v>
      </c>
      <c r="Q44" t="s">
        <v>47</v>
      </c>
    </row>
    <row r="45" spans="1:17">
      <c r="A45">
        <v>2514135</v>
      </c>
      <c r="B45" t="s">
        <v>53</v>
      </c>
      <c r="C45" t="s">
        <v>37</v>
      </c>
      <c r="D45" t="s">
        <v>3217</v>
      </c>
      <c r="E45" t="s">
        <v>3220</v>
      </c>
      <c r="F45" t="s">
        <v>16779</v>
      </c>
      <c r="G45" t="s">
        <v>3221</v>
      </c>
      <c r="H45" t="s">
        <v>16780</v>
      </c>
      <c r="I45">
        <v>1</v>
      </c>
      <c r="J45" t="s">
        <v>48</v>
      </c>
      <c r="K45" s="3">
        <v>3.81</v>
      </c>
      <c r="L45" s="3">
        <v>0</v>
      </c>
      <c r="M45" s="3">
        <v>0</v>
      </c>
      <c r="N45" s="3">
        <f t="shared" si="0"/>
        <v>3.81</v>
      </c>
      <c r="O45" t="s">
        <v>16642</v>
      </c>
      <c r="P45" t="s">
        <v>46</v>
      </c>
      <c r="Q45" t="s">
        <v>47</v>
      </c>
    </row>
    <row r="46" spans="1:17">
      <c r="A46">
        <v>2514161</v>
      </c>
      <c r="B46" t="s">
        <v>53</v>
      </c>
      <c r="C46" t="s">
        <v>37</v>
      </c>
      <c r="D46" t="s">
        <v>4505</v>
      </c>
      <c r="E46" t="s">
        <v>4508</v>
      </c>
      <c r="F46" t="s">
        <v>16781</v>
      </c>
      <c r="G46" t="s">
        <v>4509</v>
      </c>
      <c r="H46" t="s">
        <v>16782</v>
      </c>
      <c r="I46">
        <v>2</v>
      </c>
      <c r="J46" t="s">
        <v>48</v>
      </c>
      <c r="K46" s="3">
        <v>5.2</v>
      </c>
      <c r="L46" s="3">
        <v>0</v>
      </c>
      <c r="M46" s="3">
        <v>0</v>
      </c>
      <c r="N46" s="3">
        <f t="shared" si="0"/>
        <v>5.2</v>
      </c>
      <c r="O46" t="s">
        <v>16642</v>
      </c>
      <c r="P46" t="s">
        <v>46</v>
      </c>
      <c r="Q46" t="s">
        <v>47</v>
      </c>
    </row>
    <row r="47" spans="1:17">
      <c r="A47">
        <v>2514221</v>
      </c>
      <c r="B47" t="s">
        <v>53</v>
      </c>
      <c r="C47" t="s">
        <v>37</v>
      </c>
      <c r="D47" t="s">
        <v>246</v>
      </c>
      <c r="E47" t="s">
        <v>249</v>
      </c>
      <c r="F47" t="s">
        <v>16783</v>
      </c>
      <c r="G47" t="s">
        <v>250</v>
      </c>
      <c r="H47" t="s">
        <v>16784</v>
      </c>
      <c r="I47">
        <v>7</v>
      </c>
      <c r="J47" t="s">
        <v>48</v>
      </c>
      <c r="K47" s="3">
        <v>12.2</v>
      </c>
      <c r="L47" s="3">
        <v>0</v>
      </c>
      <c r="M47" s="3">
        <v>0</v>
      </c>
      <c r="N47" s="3">
        <f t="shared" si="0"/>
        <v>12.2</v>
      </c>
      <c r="O47" t="s">
        <v>16642</v>
      </c>
      <c r="P47" t="s">
        <v>46</v>
      </c>
      <c r="Q47" t="s">
        <v>47</v>
      </c>
    </row>
    <row r="48" spans="1:17">
      <c r="A48">
        <v>2514224</v>
      </c>
      <c r="B48" t="s">
        <v>53</v>
      </c>
      <c r="C48" t="s">
        <v>37</v>
      </c>
      <c r="D48" t="s">
        <v>6487</v>
      </c>
      <c r="E48" t="s">
        <v>6490</v>
      </c>
      <c r="F48" t="s">
        <v>16785</v>
      </c>
      <c r="G48" t="s">
        <v>6491</v>
      </c>
      <c r="H48" t="s">
        <v>16786</v>
      </c>
      <c r="I48">
        <v>2</v>
      </c>
      <c r="J48" t="s">
        <v>48</v>
      </c>
      <c r="K48" s="3">
        <v>5.2</v>
      </c>
      <c r="L48" s="3">
        <v>0</v>
      </c>
      <c r="M48" s="3">
        <v>0</v>
      </c>
      <c r="N48" s="3">
        <f t="shared" si="0"/>
        <v>5.2</v>
      </c>
      <c r="O48" t="s">
        <v>16642</v>
      </c>
      <c r="P48" t="s">
        <v>46</v>
      </c>
      <c r="Q48" t="s">
        <v>47</v>
      </c>
    </row>
    <row r="49" spans="1:17">
      <c r="A49">
        <v>2514230</v>
      </c>
      <c r="B49" t="s">
        <v>53</v>
      </c>
      <c r="C49" t="s">
        <v>37</v>
      </c>
      <c r="D49" t="s">
        <v>16787</v>
      </c>
      <c r="E49" t="s">
        <v>16788</v>
      </c>
      <c r="F49" t="s">
        <v>16789</v>
      </c>
      <c r="G49" t="s">
        <v>16790</v>
      </c>
      <c r="H49" t="s">
        <v>16791</v>
      </c>
      <c r="I49">
        <v>5</v>
      </c>
      <c r="J49" t="s">
        <v>48</v>
      </c>
      <c r="K49" s="3">
        <v>9.41</v>
      </c>
      <c r="L49" s="3">
        <v>0</v>
      </c>
      <c r="M49" s="3">
        <v>0</v>
      </c>
      <c r="N49" s="3">
        <f t="shared" si="0"/>
        <v>9.41</v>
      </c>
      <c r="O49" t="s">
        <v>16642</v>
      </c>
      <c r="P49" t="s">
        <v>46</v>
      </c>
      <c r="Q49" t="s">
        <v>47</v>
      </c>
    </row>
    <row r="50" spans="1:17">
      <c r="A50">
        <v>2514235</v>
      </c>
      <c r="B50" t="s">
        <v>53</v>
      </c>
      <c r="C50" t="s">
        <v>37</v>
      </c>
      <c r="D50" t="s">
        <v>4532</v>
      </c>
      <c r="E50" t="s">
        <v>4535</v>
      </c>
      <c r="F50" t="s">
        <v>16792</v>
      </c>
      <c r="G50" t="s">
        <v>4536</v>
      </c>
      <c r="H50" t="s">
        <v>16793</v>
      </c>
      <c r="I50">
        <v>2</v>
      </c>
      <c r="J50" t="s">
        <v>48</v>
      </c>
      <c r="K50" s="3">
        <v>5.21</v>
      </c>
      <c r="L50" s="3">
        <v>0</v>
      </c>
      <c r="M50" s="3">
        <v>0</v>
      </c>
      <c r="N50" s="3">
        <f t="shared" si="0"/>
        <v>5.21</v>
      </c>
      <c r="O50" t="s">
        <v>16642</v>
      </c>
      <c r="P50" t="s">
        <v>46</v>
      </c>
      <c r="Q50" t="s">
        <v>47</v>
      </c>
    </row>
    <row r="51" spans="1:17">
      <c r="A51">
        <v>2514236</v>
      </c>
      <c r="B51" t="s">
        <v>53</v>
      </c>
      <c r="C51" t="s">
        <v>37</v>
      </c>
      <c r="D51" t="s">
        <v>2458</v>
      </c>
      <c r="E51" t="s">
        <v>2460</v>
      </c>
      <c r="F51" t="s">
        <v>16794</v>
      </c>
      <c r="G51" t="s">
        <v>2461</v>
      </c>
      <c r="H51" t="s">
        <v>16795</v>
      </c>
      <c r="I51">
        <v>4</v>
      </c>
      <c r="J51" t="s">
        <v>48</v>
      </c>
      <c r="K51" s="3">
        <v>8</v>
      </c>
      <c r="L51" s="3">
        <v>0</v>
      </c>
      <c r="M51" s="3">
        <v>0</v>
      </c>
      <c r="N51" s="3">
        <f t="shared" si="0"/>
        <v>8</v>
      </c>
      <c r="O51" t="s">
        <v>16642</v>
      </c>
      <c r="P51" t="s">
        <v>46</v>
      </c>
      <c r="Q51" t="s">
        <v>47</v>
      </c>
    </row>
    <row r="52" spans="1:17">
      <c r="A52">
        <v>2514249</v>
      </c>
      <c r="B52" t="s">
        <v>53</v>
      </c>
      <c r="C52" t="s">
        <v>37</v>
      </c>
      <c r="D52" t="s">
        <v>16796</v>
      </c>
      <c r="E52" t="s">
        <v>16797</v>
      </c>
      <c r="F52" t="s">
        <v>16798</v>
      </c>
      <c r="G52" t="s">
        <v>16799</v>
      </c>
      <c r="H52" t="s">
        <v>16800</v>
      </c>
      <c r="I52">
        <v>1</v>
      </c>
      <c r="J52" t="s">
        <v>48</v>
      </c>
      <c r="K52" s="3">
        <v>3.81</v>
      </c>
      <c r="L52" s="3">
        <v>0</v>
      </c>
      <c r="M52" s="3">
        <v>0</v>
      </c>
      <c r="N52" s="3">
        <f t="shared" si="0"/>
        <v>3.81</v>
      </c>
      <c r="O52" t="s">
        <v>16642</v>
      </c>
      <c r="P52" t="s">
        <v>46</v>
      </c>
      <c r="Q52" t="s">
        <v>47</v>
      </c>
    </row>
    <row r="53" spans="1:17">
      <c r="A53">
        <v>2514748</v>
      </c>
      <c r="B53" t="s">
        <v>53</v>
      </c>
      <c r="C53" t="s">
        <v>37</v>
      </c>
      <c r="D53" t="s">
        <v>5872</v>
      </c>
      <c r="E53" t="s">
        <v>5874</v>
      </c>
      <c r="F53" t="s">
        <v>16801</v>
      </c>
      <c r="G53" t="s">
        <v>5875</v>
      </c>
      <c r="H53" t="s">
        <v>16802</v>
      </c>
      <c r="I53">
        <v>4</v>
      </c>
      <c r="J53" t="s">
        <v>48</v>
      </c>
      <c r="K53" s="3">
        <v>8</v>
      </c>
      <c r="L53" s="3">
        <v>0</v>
      </c>
      <c r="M53" s="3">
        <v>0</v>
      </c>
      <c r="N53" s="3">
        <f t="shared" si="0"/>
        <v>8</v>
      </c>
      <c r="O53" t="s">
        <v>16642</v>
      </c>
      <c r="P53" t="s">
        <v>46</v>
      </c>
      <c r="Q53" t="s">
        <v>47</v>
      </c>
    </row>
    <row r="54" spans="1:17">
      <c r="A54">
        <v>2514757</v>
      </c>
      <c r="B54" t="s">
        <v>53</v>
      </c>
      <c r="C54" t="s">
        <v>37</v>
      </c>
      <c r="D54" t="s">
        <v>3545</v>
      </c>
      <c r="E54" t="s">
        <v>3547</v>
      </c>
      <c r="F54" t="s">
        <v>16803</v>
      </c>
      <c r="G54" t="s">
        <v>3548</v>
      </c>
      <c r="H54" t="s">
        <v>16804</v>
      </c>
      <c r="I54">
        <v>4</v>
      </c>
      <c r="J54" t="s">
        <v>48</v>
      </c>
      <c r="K54" s="3">
        <v>8</v>
      </c>
      <c r="L54" s="3">
        <v>0</v>
      </c>
      <c r="M54" s="3">
        <v>0</v>
      </c>
      <c r="N54" s="3">
        <f t="shared" si="0"/>
        <v>8</v>
      </c>
      <c r="O54" t="s">
        <v>16642</v>
      </c>
      <c r="P54" t="s">
        <v>46</v>
      </c>
      <c r="Q54" t="s">
        <v>47</v>
      </c>
    </row>
    <row r="55" spans="1:17">
      <c r="A55">
        <v>2514761</v>
      </c>
      <c r="B55" t="s">
        <v>53</v>
      </c>
      <c r="C55" t="s">
        <v>37</v>
      </c>
      <c r="D55" t="s">
        <v>3368</v>
      </c>
      <c r="E55" t="s">
        <v>3370</v>
      </c>
      <c r="F55" t="s">
        <v>16805</v>
      </c>
      <c r="G55" t="s">
        <v>3371</v>
      </c>
      <c r="H55" t="s">
        <v>16806</v>
      </c>
      <c r="I55">
        <v>3</v>
      </c>
      <c r="J55" t="s">
        <v>48</v>
      </c>
      <c r="K55" s="3">
        <v>6.6</v>
      </c>
      <c r="L55" s="3">
        <v>0</v>
      </c>
      <c r="M55" s="3">
        <v>0</v>
      </c>
      <c r="N55" s="3">
        <f t="shared" si="0"/>
        <v>6.6</v>
      </c>
      <c r="O55" t="s">
        <v>16642</v>
      </c>
      <c r="P55" t="s">
        <v>46</v>
      </c>
      <c r="Q55" t="s">
        <v>47</v>
      </c>
    </row>
    <row r="56" spans="1:17">
      <c r="A56">
        <v>2514766</v>
      </c>
      <c r="B56" t="s">
        <v>53</v>
      </c>
      <c r="C56" t="s">
        <v>37</v>
      </c>
      <c r="D56" t="s">
        <v>2153</v>
      </c>
      <c r="E56" t="s">
        <v>2156</v>
      </c>
      <c r="F56" t="s">
        <v>16807</v>
      </c>
      <c r="G56" t="s">
        <v>2157</v>
      </c>
      <c r="H56" t="s">
        <v>16808</v>
      </c>
      <c r="I56">
        <v>6</v>
      </c>
      <c r="J56" t="s">
        <v>48</v>
      </c>
      <c r="K56" s="3">
        <v>10.8</v>
      </c>
      <c r="L56" s="3">
        <v>0</v>
      </c>
      <c r="M56" s="3">
        <v>0</v>
      </c>
      <c r="N56" s="3">
        <f t="shared" si="0"/>
        <v>10.8</v>
      </c>
      <c r="O56" t="s">
        <v>16642</v>
      </c>
      <c r="P56" t="s">
        <v>46</v>
      </c>
      <c r="Q56" t="s">
        <v>47</v>
      </c>
    </row>
    <row r="57" spans="1:17">
      <c r="A57">
        <v>2515048</v>
      </c>
      <c r="B57" t="s">
        <v>53</v>
      </c>
      <c r="C57" t="s">
        <v>37</v>
      </c>
      <c r="D57" t="s">
        <v>3745</v>
      </c>
      <c r="E57" t="s">
        <v>3748</v>
      </c>
      <c r="F57" t="s">
        <v>16809</v>
      </c>
      <c r="G57" t="s">
        <v>3749</v>
      </c>
      <c r="H57" t="s">
        <v>16810</v>
      </c>
      <c r="I57">
        <v>6</v>
      </c>
      <c r="J57" t="s">
        <v>48</v>
      </c>
      <c r="K57" s="3">
        <v>10.8</v>
      </c>
      <c r="L57" s="3">
        <v>0</v>
      </c>
      <c r="M57" s="3">
        <v>0</v>
      </c>
      <c r="N57" s="3">
        <f t="shared" si="0"/>
        <v>10.8</v>
      </c>
      <c r="O57" t="s">
        <v>16642</v>
      </c>
      <c r="P57" t="s">
        <v>46</v>
      </c>
      <c r="Q57" t="s">
        <v>47</v>
      </c>
    </row>
    <row r="58" spans="1:17">
      <c r="A58">
        <v>2515483</v>
      </c>
      <c r="B58" t="s">
        <v>53</v>
      </c>
      <c r="C58" t="s">
        <v>37</v>
      </c>
      <c r="D58" t="s">
        <v>7949</v>
      </c>
      <c r="E58" t="s">
        <v>7952</v>
      </c>
      <c r="F58" t="s">
        <v>16811</v>
      </c>
      <c r="G58" t="s">
        <v>7953</v>
      </c>
      <c r="H58" t="s">
        <v>16812</v>
      </c>
      <c r="I58">
        <v>4</v>
      </c>
      <c r="J58" t="s">
        <v>48</v>
      </c>
      <c r="K58" s="3">
        <v>8.01</v>
      </c>
      <c r="L58" s="3">
        <v>0</v>
      </c>
      <c r="M58" s="3">
        <v>0</v>
      </c>
      <c r="N58" s="3">
        <f t="shared" si="0"/>
        <v>8.01</v>
      </c>
      <c r="O58" t="s">
        <v>16642</v>
      </c>
      <c r="P58" t="s">
        <v>46</v>
      </c>
      <c r="Q58" t="s">
        <v>47</v>
      </c>
    </row>
    <row r="59" spans="1:17">
      <c r="A59">
        <v>2515490</v>
      </c>
      <c r="B59" t="s">
        <v>53</v>
      </c>
      <c r="C59" t="s">
        <v>37</v>
      </c>
      <c r="D59" t="s">
        <v>7026</v>
      </c>
      <c r="E59" t="s">
        <v>7028</v>
      </c>
      <c r="F59" t="s">
        <v>16813</v>
      </c>
      <c r="G59" t="s">
        <v>7029</v>
      </c>
      <c r="H59" t="s">
        <v>16814</v>
      </c>
      <c r="I59">
        <v>1</v>
      </c>
      <c r="J59" t="s">
        <v>48</v>
      </c>
      <c r="K59" s="3">
        <v>3.8</v>
      </c>
      <c r="L59" s="3">
        <v>0</v>
      </c>
      <c r="M59" s="3">
        <v>0</v>
      </c>
      <c r="N59" s="3">
        <f t="shared" si="0"/>
        <v>3.8</v>
      </c>
      <c r="O59" t="s">
        <v>16642</v>
      </c>
      <c r="P59" t="s">
        <v>46</v>
      </c>
      <c r="Q59" t="s">
        <v>47</v>
      </c>
    </row>
    <row r="60" spans="1:17">
      <c r="A60">
        <v>2515491</v>
      </c>
      <c r="B60" t="s">
        <v>53</v>
      </c>
      <c r="C60" t="s">
        <v>37</v>
      </c>
      <c r="D60" t="s">
        <v>8241</v>
      </c>
      <c r="E60" t="s">
        <v>8243</v>
      </c>
      <c r="F60" t="s">
        <v>16815</v>
      </c>
      <c r="G60" t="s">
        <v>8244</v>
      </c>
      <c r="H60" t="s">
        <v>16816</v>
      </c>
      <c r="I60">
        <v>6</v>
      </c>
      <c r="J60" t="s">
        <v>48</v>
      </c>
      <c r="K60" s="3">
        <v>10.8</v>
      </c>
      <c r="L60" s="3">
        <v>0</v>
      </c>
      <c r="M60" s="3">
        <v>0</v>
      </c>
      <c r="N60" s="3">
        <f t="shared" si="0"/>
        <v>10.8</v>
      </c>
      <c r="O60" t="s">
        <v>16642</v>
      </c>
      <c r="P60" t="s">
        <v>46</v>
      </c>
      <c r="Q60" t="s">
        <v>47</v>
      </c>
    </row>
    <row r="61" spans="1:17">
      <c r="A61">
        <v>2515545</v>
      </c>
      <c r="B61" t="s">
        <v>53</v>
      </c>
      <c r="C61" t="s">
        <v>111</v>
      </c>
      <c r="D61" t="s">
        <v>8839</v>
      </c>
      <c r="E61" t="s">
        <v>8840</v>
      </c>
      <c r="F61" t="s">
        <v>16773</v>
      </c>
      <c r="G61" t="s">
        <v>8841</v>
      </c>
      <c r="H61" t="s">
        <v>16817</v>
      </c>
      <c r="I61">
        <v>24</v>
      </c>
      <c r="J61" t="s">
        <v>48</v>
      </c>
      <c r="K61" s="3">
        <v>19.2</v>
      </c>
      <c r="L61" s="3">
        <v>0</v>
      </c>
      <c r="M61" s="3">
        <v>0</v>
      </c>
      <c r="N61" s="3">
        <f t="shared" si="0"/>
        <v>19.2</v>
      </c>
      <c r="O61" t="s">
        <v>16642</v>
      </c>
      <c r="P61" t="s">
        <v>46</v>
      </c>
      <c r="Q61" t="s">
        <v>47</v>
      </c>
    </row>
    <row r="62" spans="1:17">
      <c r="A62">
        <v>2515558</v>
      </c>
      <c r="B62" t="s">
        <v>53</v>
      </c>
      <c r="C62" t="s">
        <v>111</v>
      </c>
      <c r="D62" t="s">
        <v>8962</v>
      </c>
      <c r="E62" t="s">
        <v>8963</v>
      </c>
      <c r="F62" t="s">
        <v>16773</v>
      </c>
      <c r="G62" t="s">
        <v>8964</v>
      </c>
      <c r="H62" t="s">
        <v>16818</v>
      </c>
      <c r="I62">
        <v>140</v>
      </c>
      <c r="J62" t="s">
        <v>48</v>
      </c>
      <c r="K62" s="3">
        <v>19.2</v>
      </c>
      <c r="L62" s="3">
        <v>0</v>
      </c>
      <c r="M62" s="3">
        <v>0</v>
      </c>
      <c r="N62" s="3">
        <f t="shared" si="0"/>
        <v>19.2</v>
      </c>
      <c r="O62" t="s">
        <v>16642</v>
      </c>
      <c r="P62" t="s">
        <v>46</v>
      </c>
      <c r="Q62" t="s">
        <v>47</v>
      </c>
    </row>
    <row r="63" spans="1:17">
      <c r="A63">
        <v>2515570</v>
      </c>
      <c r="B63" t="s">
        <v>53</v>
      </c>
      <c r="C63" t="s">
        <v>111</v>
      </c>
      <c r="D63" t="s">
        <v>16819</v>
      </c>
      <c r="E63" t="s">
        <v>16820</v>
      </c>
      <c r="F63" t="s">
        <v>16821</v>
      </c>
      <c r="G63" t="s">
        <v>16822</v>
      </c>
      <c r="H63" t="s">
        <v>16823</v>
      </c>
      <c r="I63">
        <v>92</v>
      </c>
      <c r="J63" t="s">
        <v>48</v>
      </c>
      <c r="K63" s="3">
        <v>19.21</v>
      </c>
      <c r="L63" s="3">
        <v>0</v>
      </c>
      <c r="M63" s="3">
        <v>0</v>
      </c>
      <c r="N63" s="3">
        <f t="shared" si="0"/>
        <v>19.21</v>
      </c>
      <c r="O63" t="s">
        <v>16642</v>
      </c>
      <c r="P63" t="s">
        <v>46</v>
      </c>
      <c r="Q63" t="s">
        <v>47</v>
      </c>
    </row>
    <row r="64" spans="1:17">
      <c r="A64">
        <v>2517739</v>
      </c>
      <c r="B64" t="s">
        <v>53</v>
      </c>
      <c r="C64" t="s">
        <v>37</v>
      </c>
      <c r="D64" t="s">
        <v>6898</v>
      </c>
      <c r="E64" t="s">
        <v>6899</v>
      </c>
      <c r="F64" t="s">
        <v>16719</v>
      </c>
      <c r="G64" t="s">
        <v>6900</v>
      </c>
      <c r="H64" t="s">
        <v>16824</v>
      </c>
      <c r="I64">
        <v>3</v>
      </c>
      <c r="J64" t="s">
        <v>48</v>
      </c>
      <c r="K64" s="3">
        <v>6.6</v>
      </c>
      <c r="L64" s="3">
        <v>0</v>
      </c>
      <c r="M64" s="3">
        <v>0</v>
      </c>
      <c r="N64" s="3">
        <f t="shared" si="0"/>
        <v>6.6</v>
      </c>
      <c r="O64" t="s">
        <v>16642</v>
      </c>
      <c r="P64" t="s">
        <v>46</v>
      </c>
      <c r="Q64" t="s">
        <v>47</v>
      </c>
    </row>
    <row r="65" spans="1:17">
      <c r="A65">
        <v>2517741</v>
      </c>
      <c r="B65" t="s">
        <v>53</v>
      </c>
      <c r="C65" t="s">
        <v>37</v>
      </c>
      <c r="D65" t="s">
        <v>16825</v>
      </c>
      <c r="E65" t="s">
        <v>16826</v>
      </c>
      <c r="F65" t="s">
        <v>16827</v>
      </c>
      <c r="G65" t="s">
        <v>16828</v>
      </c>
      <c r="H65" t="s">
        <v>16829</v>
      </c>
      <c r="I65">
        <v>2</v>
      </c>
      <c r="J65" t="s">
        <v>48</v>
      </c>
      <c r="K65" s="3">
        <v>5.2</v>
      </c>
      <c r="L65" s="3">
        <v>0</v>
      </c>
      <c r="M65" s="3">
        <v>0</v>
      </c>
      <c r="N65" s="3">
        <f t="shared" si="0"/>
        <v>5.2</v>
      </c>
      <c r="O65" t="s">
        <v>16642</v>
      </c>
      <c r="P65" t="s">
        <v>46</v>
      </c>
      <c r="Q65" t="s">
        <v>47</v>
      </c>
    </row>
    <row r="66" spans="1:17">
      <c r="A66">
        <v>2517743</v>
      </c>
      <c r="B66" t="s">
        <v>53</v>
      </c>
      <c r="C66" t="s">
        <v>37</v>
      </c>
      <c r="D66" t="s">
        <v>8705</v>
      </c>
      <c r="E66" t="s">
        <v>8707</v>
      </c>
      <c r="F66" t="s">
        <v>16830</v>
      </c>
      <c r="G66" t="s">
        <v>8708</v>
      </c>
      <c r="H66" t="s">
        <v>16831</v>
      </c>
      <c r="I66">
        <v>1</v>
      </c>
      <c r="J66" t="s">
        <v>48</v>
      </c>
      <c r="K66" s="3">
        <v>3.8</v>
      </c>
      <c r="L66" s="3">
        <v>0</v>
      </c>
      <c r="M66" s="3">
        <v>0</v>
      </c>
      <c r="N66" s="3">
        <f t="shared" si="0"/>
        <v>3.8</v>
      </c>
      <c r="O66" t="s">
        <v>16642</v>
      </c>
      <c r="P66" t="s">
        <v>46</v>
      </c>
      <c r="Q66" t="s">
        <v>47</v>
      </c>
    </row>
    <row r="67" spans="1:17">
      <c r="A67">
        <v>2517746</v>
      </c>
      <c r="B67" t="s">
        <v>53</v>
      </c>
      <c r="C67" t="s">
        <v>37</v>
      </c>
      <c r="D67" t="s">
        <v>10895</v>
      </c>
      <c r="E67" t="s">
        <v>10898</v>
      </c>
      <c r="F67" t="s">
        <v>16832</v>
      </c>
      <c r="G67" t="s">
        <v>10899</v>
      </c>
      <c r="H67" t="s">
        <v>16833</v>
      </c>
      <c r="I67">
        <v>2</v>
      </c>
      <c r="J67" t="s">
        <v>48</v>
      </c>
      <c r="K67" s="3">
        <v>5.21</v>
      </c>
      <c r="L67" s="3">
        <v>0</v>
      </c>
      <c r="M67" s="3">
        <v>0</v>
      </c>
      <c r="N67" s="3">
        <f t="shared" ref="N67:N85" si="1">K67+L67+M67</f>
        <v>5.21</v>
      </c>
      <c r="O67" t="s">
        <v>16642</v>
      </c>
      <c r="P67" t="s">
        <v>46</v>
      </c>
      <c r="Q67" t="s">
        <v>47</v>
      </c>
    </row>
    <row r="68" spans="1:17">
      <c r="A68">
        <v>2517749</v>
      </c>
      <c r="B68" t="s">
        <v>53</v>
      </c>
      <c r="C68" t="s">
        <v>37</v>
      </c>
      <c r="D68" t="s">
        <v>9942</v>
      </c>
      <c r="E68" t="s">
        <v>9945</v>
      </c>
      <c r="F68" t="s">
        <v>16834</v>
      </c>
      <c r="G68" t="s">
        <v>9946</v>
      </c>
      <c r="H68" t="s">
        <v>16835</v>
      </c>
      <c r="I68">
        <v>4</v>
      </c>
      <c r="J68" t="s">
        <v>48</v>
      </c>
      <c r="K68" s="3">
        <v>8</v>
      </c>
      <c r="L68" s="3">
        <v>0</v>
      </c>
      <c r="M68" s="3">
        <v>0</v>
      </c>
      <c r="N68" s="3">
        <f t="shared" si="1"/>
        <v>8</v>
      </c>
      <c r="O68" t="s">
        <v>16642</v>
      </c>
      <c r="P68" t="s">
        <v>46</v>
      </c>
      <c r="Q68" t="s">
        <v>47</v>
      </c>
    </row>
    <row r="69" spans="1:17">
      <c r="A69">
        <v>2517757</v>
      </c>
      <c r="B69" t="s">
        <v>53</v>
      </c>
      <c r="C69" t="s">
        <v>37</v>
      </c>
      <c r="D69" s="2" t="s">
        <v>7797</v>
      </c>
      <c r="E69" t="s">
        <v>7799</v>
      </c>
      <c r="F69" t="s">
        <v>16836</v>
      </c>
      <c r="G69" t="s">
        <v>7800</v>
      </c>
      <c r="H69" t="s">
        <v>16837</v>
      </c>
      <c r="I69">
        <v>3</v>
      </c>
      <c r="J69" t="s">
        <v>48</v>
      </c>
      <c r="K69" s="3">
        <v>6.6</v>
      </c>
      <c r="L69" s="3">
        <v>0</v>
      </c>
      <c r="M69" s="3">
        <v>0</v>
      </c>
      <c r="N69" s="3">
        <f t="shared" si="1"/>
        <v>6.6</v>
      </c>
      <c r="O69" t="s">
        <v>16642</v>
      </c>
      <c r="P69" t="s">
        <v>46</v>
      </c>
      <c r="Q69" t="s">
        <v>47</v>
      </c>
    </row>
    <row r="70" spans="1:17">
      <c r="A70">
        <v>2517768</v>
      </c>
      <c r="B70" t="s">
        <v>53</v>
      </c>
      <c r="C70" t="s">
        <v>37</v>
      </c>
      <c r="D70" t="s">
        <v>4896</v>
      </c>
      <c r="E70" t="s">
        <v>4899</v>
      </c>
      <c r="F70" t="s">
        <v>16838</v>
      </c>
      <c r="G70" t="s">
        <v>4900</v>
      </c>
      <c r="H70" t="s">
        <v>16839</v>
      </c>
      <c r="I70">
        <v>2</v>
      </c>
      <c r="J70" t="s">
        <v>48</v>
      </c>
      <c r="K70" s="3">
        <v>5.2</v>
      </c>
      <c r="L70" s="3">
        <v>0</v>
      </c>
      <c r="M70" s="3">
        <v>0</v>
      </c>
      <c r="N70" s="3">
        <f t="shared" si="1"/>
        <v>5.2</v>
      </c>
      <c r="O70" t="s">
        <v>16642</v>
      </c>
      <c r="P70" t="s">
        <v>46</v>
      </c>
      <c r="Q70" t="s">
        <v>47</v>
      </c>
    </row>
    <row r="71" spans="1:17">
      <c r="A71">
        <v>2517772</v>
      </c>
      <c r="B71" t="s">
        <v>53</v>
      </c>
      <c r="C71" t="s">
        <v>37</v>
      </c>
      <c r="D71" t="s">
        <v>7019</v>
      </c>
      <c r="E71" t="s">
        <v>7022</v>
      </c>
      <c r="F71" t="s">
        <v>16840</v>
      </c>
      <c r="G71" t="s">
        <v>7023</v>
      </c>
      <c r="H71" t="s">
        <v>16841</v>
      </c>
      <c r="I71">
        <v>4</v>
      </c>
      <c r="J71" t="s">
        <v>48</v>
      </c>
      <c r="K71" s="3">
        <v>8.01</v>
      </c>
      <c r="L71" s="3">
        <v>0</v>
      </c>
      <c r="M71" s="3">
        <v>0</v>
      </c>
      <c r="N71" s="3">
        <f t="shared" si="1"/>
        <v>8.01</v>
      </c>
      <c r="O71" t="s">
        <v>16642</v>
      </c>
      <c r="P71" t="s">
        <v>46</v>
      </c>
      <c r="Q71" t="s">
        <v>47</v>
      </c>
    </row>
    <row r="72" spans="1:17">
      <c r="A72">
        <v>2517781</v>
      </c>
      <c r="B72" t="s">
        <v>53</v>
      </c>
      <c r="C72" t="s">
        <v>37</v>
      </c>
      <c r="D72" t="s">
        <v>6044</v>
      </c>
      <c r="E72" t="s">
        <v>6046</v>
      </c>
      <c r="F72" t="s">
        <v>16842</v>
      </c>
      <c r="G72" t="s">
        <v>6047</v>
      </c>
      <c r="H72" t="s">
        <v>16843</v>
      </c>
      <c r="I72">
        <v>3</v>
      </c>
      <c r="J72" t="s">
        <v>48</v>
      </c>
      <c r="K72" s="3">
        <v>6.61</v>
      </c>
      <c r="L72" s="3">
        <v>0</v>
      </c>
      <c r="M72" s="3">
        <v>0</v>
      </c>
      <c r="N72" s="3">
        <f t="shared" si="1"/>
        <v>6.61</v>
      </c>
      <c r="O72" t="s">
        <v>16642</v>
      </c>
      <c r="P72" t="s">
        <v>46</v>
      </c>
      <c r="Q72" t="s">
        <v>47</v>
      </c>
    </row>
    <row r="73" spans="1:17">
      <c r="A73">
        <v>2517783</v>
      </c>
      <c r="B73" t="s">
        <v>53</v>
      </c>
      <c r="C73" t="s">
        <v>37</v>
      </c>
      <c r="D73" t="s">
        <v>9654</v>
      </c>
      <c r="E73" t="s">
        <v>9657</v>
      </c>
      <c r="F73" t="s">
        <v>16844</v>
      </c>
      <c r="G73" t="s">
        <v>9658</v>
      </c>
      <c r="H73" t="s">
        <v>16845</v>
      </c>
      <c r="I73">
        <v>1</v>
      </c>
      <c r="J73" t="s">
        <v>48</v>
      </c>
      <c r="K73" s="3">
        <v>3.81</v>
      </c>
      <c r="L73" s="3">
        <v>0</v>
      </c>
      <c r="M73" s="3">
        <v>0</v>
      </c>
      <c r="N73" s="3">
        <f t="shared" si="1"/>
        <v>3.81</v>
      </c>
      <c r="O73" t="s">
        <v>16642</v>
      </c>
      <c r="P73" t="s">
        <v>46</v>
      </c>
      <c r="Q73" t="s">
        <v>47</v>
      </c>
    </row>
    <row r="74" spans="1:17">
      <c r="A74">
        <v>2517791</v>
      </c>
      <c r="B74" t="s">
        <v>53</v>
      </c>
      <c r="C74" t="s">
        <v>37</v>
      </c>
      <c r="D74" t="s">
        <v>7365</v>
      </c>
      <c r="E74" t="s">
        <v>7366</v>
      </c>
      <c r="F74" t="s">
        <v>16766</v>
      </c>
      <c r="G74" t="s">
        <v>7367</v>
      </c>
      <c r="H74" t="s">
        <v>16846</v>
      </c>
      <c r="I74">
        <v>4</v>
      </c>
      <c r="J74" t="s">
        <v>48</v>
      </c>
      <c r="K74" s="3">
        <v>8</v>
      </c>
      <c r="L74" s="3">
        <v>0</v>
      </c>
      <c r="M74" s="3">
        <v>0</v>
      </c>
      <c r="N74" s="3">
        <f t="shared" si="1"/>
        <v>8</v>
      </c>
      <c r="O74" t="s">
        <v>16642</v>
      </c>
      <c r="P74" t="s">
        <v>46</v>
      </c>
      <c r="Q74" t="s">
        <v>47</v>
      </c>
    </row>
    <row r="75" spans="1:17">
      <c r="A75">
        <v>2517792</v>
      </c>
      <c r="B75" t="s">
        <v>53</v>
      </c>
      <c r="C75" t="s">
        <v>37</v>
      </c>
      <c r="D75" s="2" t="s">
        <v>8858</v>
      </c>
      <c r="E75" t="s">
        <v>8859</v>
      </c>
      <c r="F75" t="s">
        <v>16847</v>
      </c>
      <c r="G75" t="s">
        <v>8860</v>
      </c>
      <c r="H75" t="s">
        <v>16848</v>
      </c>
      <c r="I75">
        <v>7</v>
      </c>
      <c r="J75" t="s">
        <v>48</v>
      </c>
      <c r="K75" s="3">
        <v>12.2</v>
      </c>
      <c r="L75" s="3">
        <v>0</v>
      </c>
      <c r="M75" s="3">
        <v>0</v>
      </c>
      <c r="N75" s="3">
        <f t="shared" si="1"/>
        <v>12.2</v>
      </c>
      <c r="O75" t="s">
        <v>16642</v>
      </c>
      <c r="P75" t="s">
        <v>46</v>
      </c>
      <c r="Q75" t="s">
        <v>47</v>
      </c>
    </row>
    <row r="76" spans="1:17">
      <c r="A76">
        <v>2517799</v>
      </c>
      <c r="B76" t="s">
        <v>53</v>
      </c>
      <c r="C76" t="s">
        <v>37</v>
      </c>
      <c r="D76" s="2" t="s">
        <v>8604</v>
      </c>
      <c r="E76" t="s">
        <v>8606</v>
      </c>
      <c r="F76" t="s">
        <v>16849</v>
      </c>
      <c r="G76" t="s">
        <v>8607</v>
      </c>
      <c r="H76" t="s">
        <v>16850</v>
      </c>
      <c r="I76">
        <v>3</v>
      </c>
      <c r="J76" t="s">
        <v>48</v>
      </c>
      <c r="K76" s="3">
        <v>6.6</v>
      </c>
      <c r="L76" s="3">
        <v>0</v>
      </c>
      <c r="M76" s="3">
        <v>0</v>
      </c>
      <c r="N76" s="3">
        <f t="shared" si="1"/>
        <v>6.6</v>
      </c>
      <c r="O76" t="s">
        <v>16642</v>
      </c>
      <c r="P76" t="s">
        <v>46</v>
      </c>
      <c r="Q76" t="s">
        <v>47</v>
      </c>
    </row>
    <row r="77" spans="1:17">
      <c r="A77">
        <v>2517888</v>
      </c>
      <c r="B77" t="s">
        <v>53</v>
      </c>
      <c r="C77" t="s">
        <v>111</v>
      </c>
      <c r="D77" t="s">
        <v>11688</v>
      </c>
      <c r="E77" t="s">
        <v>11689</v>
      </c>
      <c r="F77" t="s">
        <v>16773</v>
      </c>
      <c r="G77" t="s">
        <v>11690</v>
      </c>
      <c r="H77" t="s">
        <v>16851</v>
      </c>
      <c r="I77">
        <v>60</v>
      </c>
      <c r="J77" t="s">
        <v>48</v>
      </c>
      <c r="K77" s="3">
        <v>19.2</v>
      </c>
      <c r="L77" s="3">
        <v>0</v>
      </c>
      <c r="M77" s="3">
        <v>0</v>
      </c>
      <c r="N77" s="3">
        <f t="shared" si="1"/>
        <v>19.2</v>
      </c>
      <c r="O77" t="s">
        <v>16642</v>
      </c>
      <c r="P77" t="s">
        <v>46</v>
      </c>
      <c r="Q77" t="s">
        <v>47</v>
      </c>
    </row>
    <row r="78" spans="1:17">
      <c r="A78">
        <v>2518207</v>
      </c>
      <c r="B78" t="s">
        <v>53</v>
      </c>
      <c r="C78" t="s">
        <v>37</v>
      </c>
      <c r="D78" t="s">
        <v>11030</v>
      </c>
      <c r="E78" t="s">
        <v>11032</v>
      </c>
      <c r="F78" t="s">
        <v>16852</v>
      </c>
      <c r="G78" t="s">
        <v>11033</v>
      </c>
      <c r="H78" t="s">
        <v>16853</v>
      </c>
      <c r="I78">
        <v>1</v>
      </c>
      <c r="J78" t="s">
        <v>48</v>
      </c>
      <c r="K78" s="3">
        <v>3.8</v>
      </c>
      <c r="L78" s="3">
        <v>0</v>
      </c>
      <c r="M78" s="3">
        <v>0</v>
      </c>
      <c r="N78" s="3">
        <f t="shared" si="1"/>
        <v>3.8</v>
      </c>
      <c r="O78" t="s">
        <v>16642</v>
      </c>
      <c r="P78" t="s">
        <v>46</v>
      </c>
      <c r="Q78" t="s">
        <v>47</v>
      </c>
    </row>
    <row r="79" spans="1:17">
      <c r="A79">
        <v>2518256</v>
      </c>
      <c r="B79" t="s">
        <v>53</v>
      </c>
      <c r="C79" t="s">
        <v>111</v>
      </c>
      <c r="D79" t="s">
        <v>16854</v>
      </c>
      <c r="E79" t="s">
        <v>16855</v>
      </c>
      <c r="F79" t="s">
        <v>16773</v>
      </c>
      <c r="G79" t="s">
        <v>16856</v>
      </c>
      <c r="H79" t="s">
        <v>16857</v>
      </c>
      <c r="I79">
        <v>168</v>
      </c>
      <c r="J79" t="s">
        <v>48</v>
      </c>
      <c r="K79" s="3">
        <v>19.2</v>
      </c>
      <c r="L79" s="3">
        <v>0</v>
      </c>
      <c r="M79" s="3">
        <v>0</v>
      </c>
      <c r="N79" s="3">
        <f t="shared" si="1"/>
        <v>19.2</v>
      </c>
      <c r="O79" t="s">
        <v>16642</v>
      </c>
      <c r="P79" t="s">
        <v>46</v>
      </c>
      <c r="Q79" t="s">
        <v>47</v>
      </c>
    </row>
    <row r="80" spans="1:17">
      <c r="A80">
        <v>2518303</v>
      </c>
      <c r="B80" t="s">
        <v>53</v>
      </c>
      <c r="C80" t="s">
        <v>111</v>
      </c>
      <c r="D80" t="s">
        <v>16858</v>
      </c>
      <c r="E80" t="s">
        <v>16859</v>
      </c>
      <c r="F80" t="s">
        <v>16860</v>
      </c>
      <c r="G80" t="s">
        <v>16861</v>
      </c>
      <c r="H80" t="s">
        <v>16862</v>
      </c>
      <c r="I80">
        <v>430</v>
      </c>
      <c r="J80" t="s">
        <v>48</v>
      </c>
      <c r="K80" s="3">
        <v>19.2</v>
      </c>
      <c r="L80" s="3">
        <v>0</v>
      </c>
      <c r="M80" s="3">
        <v>0</v>
      </c>
      <c r="N80" s="3">
        <f t="shared" si="1"/>
        <v>19.2</v>
      </c>
      <c r="O80" t="s">
        <v>16642</v>
      </c>
      <c r="P80" t="s">
        <v>46</v>
      </c>
      <c r="Q80" t="s">
        <v>47</v>
      </c>
    </row>
    <row r="81" spans="1:17">
      <c r="A81">
        <v>2518331</v>
      </c>
      <c r="B81" t="s">
        <v>53</v>
      </c>
      <c r="C81" t="s">
        <v>111</v>
      </c>
      <c r="D81" t="s">
        <v>16863</v>
      </c>
      <c r="E81" t="s">
        <v>16864</v>
      </c>
      <c r="F81" t="s">
        <v>16773</v>
      </c>
      <c r="G81" t="s">
        <v>16865</v>
      </c>
      <c r="H81" t="s">
        <v>16866</v>
      </c>
      <c r="I81">
        <v>460</v>
      </c>
      <c r="J81" t="s">
        <v>48</v>
      </c>
      <c r="K81" s="3">
        <v>19.2</v>
      </c>
      <c r="L81" s="3">
        <v>0</v>
      </c>
      <c r="M81" s="3">
        <v>0</v>
      </c>
      <c r="N81" s="3">
        <f t="shared" si="1"/>
        <v>19.2</v>
      </c>
      <c r="O81" t="s">
        <v>16642</v>
      </c>
      <c r="P81" t="s">
        <v>46</v>
      </c>
      <c r="Q81" t="s">
        <v>47</v>
      </c>
    </row>
    <row r="82" spans="1:17">
      <c r="A82">
        <v>2518359</v>
      </c>
      <c r="B82" t="s">
        <v>53</v>
      </c>
      <c r="C82" t="s">
        <v>111</v>
      </c>
      <c r="D82" t="s">
        <v>16867</v>
      </c>
      <c r="E82" t="s">
        <v>16868</v>
      </c>
      <c r="F82" t="s">
        <v>16869</v>
      </c>
      <c r="G82" t="s">
        <v>16870</v>
      </c>
      <c r="H82" t="s">
        <v>16871</v>
      </c>
      <c r="I82">
        <v>372</v>
      </c>
      <c r="J82" t="s">
        <v>48</v>
      </c>
      <c r="K82" s="3">
        <v>19.2</v>
      </c>
      <c r="L82" s="3">
        <v>0</v>
      </c>
      <c r="M82" s="3">
        <v>0</v>
      </c>
      <c r="N82" s="3">
        <f t="shared" si="1"/>
        <v>19.2</v>
      </c>
      <c r="O82" t="s">
        <v>16642</v>
      </c>
      <c r="P82" t="s">
        <v>46</v>
      </c>
      <c r="Q82" t="s">
        <v>47</v>
      </c>
    </row>
    <row r="83" spans="1:17">
      <c r="A83">
        <v>2518384</v>
      </c>
      <c r="B83" t="s">
        <v>53</v>
      </c>
      <c r="C83" t="s">
        <v>111</v>
      </c>
      <c r="D83" t="s">
        <v>11688</v>
      </c>
      <c r="E83" t="s">
        <v>11689</v>
      </c>
      <c r="F83" t="s">
        <v>16773</v>
      </c>
      <c r="G83" t="s">
        <v>11690</v>
      </c>
      <c r="H83" t="s">
        <v>16872</v>
      </c>
      <c r="I83">
        <v>90</v>
      </c>
      <c r="J83" t="s">
        <v>48</v>
      </c>
      <c r="K83" s="3">
        <v>19.2</v>
      </c>
      <c r="L83" s="3">
        <v>0</v>
      </c>
      <c r="M83" s="3">
        <v>0</v>
      </c>
      <c r="N83" s="3">
        <f t="shared" si="1"/>
        <v>19.2</v>
      </c>
      <c r="O83" t="s">
        <v>16642</v>
      </c>
      <c r="P83" t="s">
        <v>46</v>
      </c>
      <c r="Q83" t="s">
        <v>47</v>
      </c>
    </row>
    <row r="84" spans="1:17">
      <c r="A84">
        <v>2518430</v>
      </c>
      <c r="B84" t="s">
        <v>53</v>
      </c>
      <c r="C84" t="s">
        <v>111</v>
      </c>
      <c r="D84" s="2" t="s">
        <v>16873</v>
      </c>
      <c r="E84" t="s">
        <v>16874</v>
      </c>
      <c r="F84" t="s">
        <v>16869</v>
      </c>
      <c r="G84" t="s">
        <v>16875</v>
      </c>
      <c r="H84" t="s">
        <v>16876</v>
      </c>
      <c r="I84">
        <v>77</v>
      </c>
      <c r="J84" t="s">
        <v>48</v>
      </c>
      <c r="K84" s="3">
        <v>19.2</v>
      </c>
      <c r="L84" s="3">
        <v>0</v>
      </c>
      <c r="M84" s="3">
        <v>0</v>
      </c>
      <c r="N84" s="3">
        <f t="shared" si="1"/>
        <v>19.2</v>
      </c>
      <c r="O84" t="s">
        <v>16642</v>
      </c>
      <c r="P84" t="s">
        <v>46</v>
      </c>
      <c r="Q84" t="s">
        <v>47</v>
      </c>
    </row>
    <row r="85" spans="1:17">
      <c r="A85">
        <v>2518499</v>
      </c>
      <c r="B85" t="s">
        <v>53</v>
      </c>
      <c r="C85" t="s">
        <v>37</v>
      </c>
      <c r="D85" t="s">
        <v>7456</v>
      </c>
      <c r="E85" t="s">
        <v>7459</v>
      </c>
      <c r="F85" t="s">
        <v>16877</v>
      </c>
      <c r="G85" t="s">
        <v>7460</v>
      </c>
      <c r="H85" t="s">
        <v>16878</v>
      </c>
      <c r="I85">
        <v>2</v>
      </c>
      <c r="J85" t="s">
        <v>48</v>
      </c>
      <c r="K85" s="3">
        <v>5.2</v>
      </c>
      <c r="L85" s="3">
        <v>0</v>
      </c>
      <c r="M85" s="3">
        <v>0</v>
      </c>
      <c r="N85" s="3">
        <f t="shared" si="1"/>
        <v>5.2</v>
      </c>
      <c r="O85" t="s">
        <v>16642</v>
      </c>
      <c r="P85" t="s">
        <v>46</v>
      </c>
      <c r="Q85" t="s">
        <v>47</v>
      </c>
    </row>
    <row r="87" spans="1:17" ht="15.75" thickBot="1">
      <c r="K87" s="9">
        <f>SUM(K2:K85)</f>
        <v>642.78000000000043</v>
      </c>
      <c r="L87" s="9">
        <f t="shared" ref="L87:N87" si="2">SUM(L2:L85)</f>
        <v>0</v>
      </c>
      <c r="M87" s="9">
        <f t="shared" si="2"/>
        <v>0</v>
      </c>
      <c r="N87" s="9">
        <f t="shared" si="2"/>
        <v>642.78000000000043</v>
      </c>
    </row>
  </sheetData>
  <sheetProtection formatCells="0" formatColumns="0" formatRows="0" insertColumns="0" insertRows="0" insertHyperlinks="0" deleteColumns="0" deleteRows="0" sort="0" autoFilter="0" pivotTables="0"/>
  <autoFilter ref="A1:Q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5"/>
  <cols>
    <col min="14" max="14" width="12.5703125" style="3" customWidth="1"/>
  </cols>
  <sheetData>
    <row r="1" spans="1:17">
      <c r="A1" s="1" t="s">
        <v>1</v>
      </c>
      <c r="B1" s="1" t="s">
        <v>16879</v>
      </c>
      <c r="C1" s="1" t="s">
        <v>12</v>
      </c>
      <c r="D1" s="1" t="s">
        <v>13</v>
      </c>
      <c r="E1" s="1" t="s">
        <v>16880</v>
      </c>
      <c r="F1" s="1" t="s">
        <v>16881</v>
      </c>
      <c r="G1" s="1" t="s">
        <v>16882</v>
      </c>
      <c r="H1" s="1" t="s">
        <v>16883</v>
      </c>
      <c r="I1" s="1" t="s">
        <v>16884</v>
      </c>
      <c r="J1" s="1" t="s">
        <v>16885</v>
      </c>
      <c r="K1" s="1" t="s">
        <v>16886</v>
      </c>
      <c r="L1" s="1" t="s">
        <v>16887</v>
      </c>
      <c r="M1" s="1" t="s">
        <v>17</v>
      </c>
      <c r="N1" s="4" t="s">
        <v>16624</v>
      </c>
    </row>
    <row r="2" spans="1:17">
      <c r="A2" t="s">
        <v>53</v>
      </c>
      <c r="B2" t="s">
        <v>16888</v>
      </c>
      <c r="C2" t="s">
        <v>46</v>
      </c>
      <c r="D2" t="s">
        <v>47</v>
      </c>
      <c r="E2" t="s">
        <v>16889</v>
      </c>
      <c r="F2">
        <v>320</v>
      </c>
      <c r="G2">
        <v>11</v>
      </c>
      <c r="H2">
        <v>0</v>
      </c>
      <c r="I2">
        <v>0</v>
      </c>
      <c r="J2">
        <v>0</v>
      </c>
      <c r="K2">
        <v>1</v>
      </c>
      <c r="L2">
        <v>0</v>
      </c>
      <c r="M2" t="s">
        <v>48</v>
      </c>
      <c r="N2" s="3">
        <v>175.48570000000001</v>
      </c>
      <c r="Q2" s="5"/>
    </row>
    <row r="3" spans="1:17">
      <c r="A3" t="s">
        <v>53</v>
      </c>
      <c r="B3" t="s">
        <v>16888</v>
      </c>
      <c r="C3" t="s">
        <v>46</v>
      </c>
      <c r="D3" t="s">
        <v>47</v>
      </c>
      <c r="E3" t="s">
        <v>16890</v>
      </c>
      <c r="F3">
        <v>317</v>
      </c>
      <c r="G3">
        <v>12</v>
      </c>
      <c r="H3">
        <v>0</v>
      </c>
      <c r="I3">
        <v>0</v>
      </c>
      <c r="J3">
        <v>0</v>
      </c>
      <c r="K3">
        <v>1</v>
      </c>
      <c r="L3">
        <v>0</v>
      </c>
      <c r="M3" t="s">
        <v>48</v>
      </c>
      <c r="N3" s="3">
        <v>174.42859999999999</v>
      </c>
      <c r="Q3" s="5"/>
    </row>
    <row r="4" spans="1:17">
      <c r="A4" t="s">
        <v>53</v>
      </c>
      <c r="B4" t="s">
        <v>16888</v>
      </c>
      <c r="C4" t="s">
        <v>46</v>
      </c>
      <c r="D4" t="s">
        <v>47</v>
      </c>
      <c r="E4" t="s">
        <v>16891</v>
      </c>
      <c r="F4">
        <v>318</v>
      </c>
      <c r="G4">
        <v>12</v>
      </c>
      <c r="H4">
        <v>0</v>
      </c>
      <c r="I4">
        <v>0</v>
      </c>
      <c r="J4">
        <v>0</v>
      </c>
      <c r="K4">
        <v>1</v>
      </c>
      <c r="L4">
        <v>0</v>
      </c>
      <c r="M4" t="s">
        <v>48</v>
      </c>
      <c r="N4" s="3">
        <v>174.9571</v>
      </c>
      <c r="Q4" s="5"/>
    </row>
    <row r="5" spans="1:17">
      <c r="A5" t="s">
        <v>53</v>
      </c>
      <c r="B5" t="s">
        <v>16888</v>
      </c>
      <c r="C5" t="s">
        <v>46</v>
      </c>
      <c r="D5" t="s">
        <v>47</v>
      </c>
      <c r="E5" t="s">
        <v>16892</v>
      </c>
      <c r="F5">
        <v>318</v>
      </c>
      <c r="G5">
        <v>12</v>
      </c>
      <c r="H5">
        <v>0</v>
      </c>
      <c r="I5">
        <v>0</v>
      </c>
      <c r="J5">
        <v>0</v>
      </c>
      <c r="K5">
        <v>1</v>
      </c>
      <c r="L5">
        <v>0</v>
      </c>
      <c r="M5" t="s">
        <v>48</v>
      </c>
      <c r="N5" s="3">
        <v>174.9571</v>
      </c>
      <c r="Q5" s="5"/>
    </row>
    <row r="6" spans="1:17">
      <c r="A6" t="s">
        <v>53</v>
      </c>
      <c r="B6" t="s">
        <v>16888</v>
      </c>
      <c r="C6" t="s">
        <v>46</v>
      </c>
      <c r="D6" t="s">
        <v>47</v>
      </c>
      <c r="E6" t="s">
        <v>16893</v>
      </c>
      <c r="F6">
        <v>315</v>
      </c>
      <c r="G6">
        <v>11</v>
      </c>
      <c r="H6">
        <v>0</v>
      </c>
      <c r="I6">
        <v>0</v>
      </c>
      <c r="J6">
        <v>0</v>
      </c>
      <c r="K6">
        <v>1</v>
      </c>
      <c r="L6">
        <v>0</v>
      </c>
      <c r="M6" t="s">
        <v>48</v>
      </c>
      <c r="N6" s="3">
        <v>172.84289999999999</v>
      </c>
      <c r="Q6" s="5"/>
    </row>
    <row r="7" spans="1:17">
      <c r="A7" t="s">
        <v>53</v>
      </c>
      <c r="B7" t="s">
        <v>16888</v>
      </c>
      <c r="C7" t="s">
        <v>46</v>
      </c>
      <c r="D7" t="s">
        <v>47</v>
      </c>
      <c r="E7" t="s">
        <v>16894</v>
      </c>
      <c r="F7">
        <v>315</v>
      </c>
      <c r="G7">
        <v>11</v>
      </c>
      <c r="H7">
        <v>0</v>
      </c>
      <c r="I7">
        <v>0</v>
      </c>
      <c r="J7">
        <v>0</v>
      </c>
      <c r="K7">
        <v>1</v>
      </c>
      <c r="L7">
        <v>0</v>
      </c>
      <c r="M7" t="s">
        <v>48</v>
      </c>
      <c r="N7" s="3">
        <v>172.84289999999999</v>
      </c>
      <c r="Q7" s="5"/>
    </row>
    <row r="8" spans="1:17">
      <c r="A8" t="s">
        <v>53</v>
      </c>
      <c r="B8" t="s">
        <v>16888</v>
      </c>
      <c r="C8" t="s">
        <v>46</v>
      </c>
      <c r="D8" t="s">
        <v>47</v>
      </c>
      <c r="E8" t="s">
        <v>16895</v>
      </c>
      <c r="F8">
        <v>315</v>
      </c>
      <c r="G8">
        <v>11</v>
      </c>
      <c r="H8">
        <v>0</v>
      </c>
      <c r="I8">
        <v>0</v>
      </c>
      <c r="J8">
        <v>0</v>
      </c>
      <c r="K8">
        <v>1</v>
      </c>
      <c r="L8">
        <v>0</v>
      </c>
      <c r="M8" t="s">
        <v>48</v>
      </c>
      <c r="N8" s="3">
        <v>172.84289999999999</v>
      </c>
      <c r="Q8" s="5"/>
    </row>
    <row r="9" spans="1:17">
      <c r="A9" t="s">
        <v>53</v>
      </c>
      <c r="B9" t="s">
        <v>16888</v>
      </c>
      <c r="C9" t="s">
        <v>46</v>
      </c>
      <c r="D9" t="s">
        <v>47</v>
      </c>
      <c r="E9" t="s">
        <v>16896</v>
      </c>
      <c r="F9">
        <v>309</v>
      </c>
      <c r="G9">
        <v>12</v>
      </c>
      <c r="H9">
        <v>0</v>
      </c>
      <c r="I9">
        <v>0</v>
      </c>
      <c r="J9">
        <v>0</v>
      </c>
      <c r="K9">
        <v>1</v>
      </c>
      <c r="L9">
        <v>0</v>
      </c>
      <c r="M9" t="s">
        <v>48</v>
      </c>
      <c r="N9" s="3">
        <v>170.2</v>
      </c>
      <c r="Q9" s="5"/>
    </row>
    <row r="10" spans="1:17">
      <c r="A10" t="s">
        <v>53</v>
      </c>
      <c r="B10" t="s">
        <v>16888</v>
      </c>
      <c r="C10" t="s">
        <v>46</v>
      </c>
      <c r="D10" t="s">
        <v>47</v>
      </c>
      <c r="E10" t="s">
        <v>16897</v>
      </c>
      <c r="F10">
        <v>305</v>
      </c>
      <c r="G10">
        <v>11</v>
      </c>
      <c r="H10">
        <v>0</v>
      </c>
      <c r="I10">
        <v>0</v>
      </c>
      <c r="J10">
        <v>0</v>
      </c>
      <c r="K10">
        <v>1</v>
      </c>
      <c r="L10">
        <v>0</v>
      </c>
      <c r="M10" t="s">
        <v>48</v>
      </c>
      <c r="N10" s="3">
        <v>167.55709999999999</v>
      </c>
      <c r="Q10" s="5"/>
    </row>
    <row r="11" spans="1:17">
      <c r="A11" t="s">
        <v>53</v>
      </c>
      <c r="B11" t="s">
        <v>16888</v>
      </c>
      <c r="C11" t="s">
        <v>46</v>
      </c>
      <c r="D11" t="s">
        <v>47</v>
      </c>
      <c r="E11" t="s">
        <v>16898</v>
      </c>
      <c r="F11">
        <v>305</v>
      </c>
      <c r="G11">
        <v>12</v>
      </c>
      <c r="H11">
        <v>0</v>
      </c>
      <c r="I11">
        <v>0</v>
      </c>
      <c r="J11">
        <v>0</v>
      </c>
      <c r="K11">
        <v>1</v>
      </c>
      <c r="L11">
        <v>0</v>
      </c>
      <c r="M11" t="s">
        <v>48</v>
      </c>
      <c r="N11" s="3">
        <v>168.0857</v>
      </c>
      <c r="Q11" s="5"/>
    </row>
    <row r="12" spans="1:17">
      <c r="A12" t="s">
        <v>53</v>
      </c>
      <c r="B12" t="s">
        <v>16888</v>
      </c>
      <c r="C12" t="s">
        <v>46</v>
      </c>
      <c r="D12" t="s">
        <v>47</v>
      </c>
      <c r="E12" t="s">
        <v>16899</v>
      </c>
      <c r="F12">
        <v>304</v>
      </c>
      <c r="G12">
        <v>11</v>
      </c>
      <c r="H12">
        <v>0</v>
      </c>
      <c r="I12">
        <v>0</v>
      </c>
      <c r="J12">
        <v>0</v>
      </c>
      <c r="K12">
        <v>1</v>
      </c>
      <c r="L12">
        <v>0</v>
      </c>
      <c r="M12" t="s">
        <v>48</v>
      </c>
      <c r="N12" s="3">
        <v>167.02860000000001</v>
      </c>
      <c r="Q12" s="5"/>
    </row>
    <row r="13" spans="1:17">
      <c r="A13" t="s">
        <v>53</v>
      </c>
      <c r="B13" t="s">
        <v>16888</v>
      </c>
      <c r="C13" t="s">
        <v>46</v>
      </c>
      <c r="D13" t="s">
        <v>47</v>
      </c>
      <c r="E13" t="s">
        <v>16900</v>
      </c>
      <c r="F13">
        <v>303</v>
      </c>
      <c r="G13">
        <v>11</v>
      </c>
      <c r="H13">
        <v>0</v>
      </c>
      <c r="I13">
        <v>0</v>
      </c>
      <c r="J13">
        <v>0</v>
      </c>
      <c r="K13">
        <v>1</v>
      </c>
      <c r="L13">
        <v>0</v>
      </c>
      <c r="M13" t="s">
        <v>48</v>
      </c>
      <c r="N13" s="3">
        <v>166.5</v>
      </c>
      <c r="Q13" s="5"/>
    </row>
    <row r="14" spans="1:17">
      <c r="A14" t="s">
        <v>53</v>
      </c>
      <c r="B14" t="s">
        <v>16888</v>
      </c>
      <c r="C14" t="s">
        <v>46</v>
      </c>
      <c r="D14" t="s">
        <v>47</v>
      </c>
      <c r="E14" t="s">
        <v>16901</v>
      </c>
      <c r="F14">
        <v>303</v>
      </c>
      <c r="G14">
        <v>11</v>
      </c>
      <c r="H14">
        <v>0</v>
      </c>
      <c r="I14">
        <v>0</v>
      </c>
      <c r="J14">
        <v>0</v>
      </c>
      <c r="K14">
        <v>1</v>
      </c>
      <c r="L14">
        <v>0</v>
      </c>
      <c r="M14" t="s">
        <v>48</v>
      </c>
      <c r="N14" s="3">
        <v>166.5</v>
      </c>
      <c r="Q14" s="5"/>
    </row>
    <row r="15" spans="1:17">
      <c r="A15" t="s">
        <v>53</v>
      </c>
      <c r="B15" t="s">
        <v>16888</v>
      </c>
      <c r="C15" t="s">
        <v>46</v>
      </c>
      <c r="D15" t="s">
        <v>47</v>
      </c>
      <c r="E15" t="s">
        <v>16902</v>
      </c>
      <c r="F15">
        <v>303</v>
      </c>
      <c r="G15">
        <v>11</v>
      </c>
      <c r="H15">
        <v>0</v>
      </c>
      <c r="I15">
        <v>0</v>
      </c>
      <c r="J15">
        <v>0</v>
      </c>
      <c r="K15">
        <v>1</v>
      </c>
      <c r="L15">
        <v>0</v>
      </c>
      <c r="M15" t="s">
        <v>48</v>
      </c>
      <c r="N15" s="3">
        <v>166.5</v>
      </c>
      <c r="Q15" s="5"/>
    </row>
    <row r="16" spans="1:17">
      <c r="A16" t="s">
        <v>53</v>
      </c>
      <c r="B16" t="s">
        <v>16888</v>
      </c>
      <c r="C16" t="s">
        <v>46</v>
      </c>
      <c r="D16" t="s">
        <v>47</v>
      </c>
      <c r="E16" t="s">
        <v>16903</v>
      </c>
      <c r="F16">
        <v>299</v>
      </c>
      <c r="G16">
        <v>11</v>
      </c>
      <c r="H16">
        <v>0</v>
      </c>
      <c r="I16">
        <v>0</v>
      </c>
      <c r="J16">
        <v>0</v>
      </c>
      <c r="K16">
        <v>1</v>
      </c>
      <c r="L16">
        <v>0</v>
      </c>
      <c r="M16" t="s">
        <v>48</v>
      </c>
      <c r="N16" s="3">
        <v>164.38570000000001</v>
      </c>
      <c r="Q16" s="5"/>
    </row>
    <row r="17" spans="1:17">
      <c r="A17" t="s">
        <v>53</v>
      </c>
      <c r="B17" t="s">
        <v>16888</v>
      </c>
      <c r="C17" t="s">
        <v>46</v>
      </c>
      <c r="D17" t="s">
        <v>47</v>
      </c>
      <c r="E17" t="s">
        <v>16904</v>
      </c>
      <c r="F17">
        <v>297</v>
      </c>
      <c r="G17">
        <v>11</v>
      </c>
      <c r="H17">
        <v>0</v>
      </c>
      <c r="I17">
        <v>0</v>
      </c>
      <c r="J17">
        <v>0</v>
      </c>
      <c r="K17">
        <v>1</v>
      </c>
      <c r="L17">
        <v>0</v>
      </c>
      <c r="M17" t="s">
        <v>48</v>
      </c>
      <c r="N17" s="3">
        <v>163.32859999999999</v>
      </c>
      <c r="Q17" s="5"/>
    </row>
    <row r="18" spans="1:17">
      <c r="A18" t="s">
        <v>53</v>
      </c>
      <c r="B18" t="s">
        <v>16888</v>
      </c>
      <c r="C18" t="s">
        <v>46</v>
      </c>
      <c r="D18" t="s">
        <v>47</v>
      </c>
      <c r="E18" t="s">
        <v>16905</v>
      </c>
      <c r="F18">
        <v>305</v>
      </c>
      <c r="G18">
        <v>11</v>
      </c>
      <c r="H18">
        <v>1</v>
      </c>
      <c r="I18">
        <v>0</v>
      </c>
      <c r="J18">
        <v>0</v>
      </c>
      <c r="K18">
        <v>1</v>
      </c>
      <c r="L18">
        <v>0</v>
      </c>
      <c r="M18" t="s">
        <v>48</v>
      </c>
      <c r="N18" s="3">
        <v>168.0857</v>
      </c>
      <c r="Q18" s="5"/>
    </row>
    <row r="19" spans="1:17">
      <c r="A19" t="s">
        <v>53</v>
      </c>
      <c r="B19" t="s">
        <v>16888</v>
      </c>
      <c r="C19" t="s">
        <v>46</v>
      </c>
      <c r="D19" t="s">
        <v>47</v>
      </c>
      <c r="E19" t="s">
        <v>16906</v>
      </c>
      <c r="F19">
        <v>305</v>
      </c>
      <c r="G19">
        <v>11</v>
      </c>
      <c r="H19">
        <v>1</v>
      </c>
      <c r="I19">
        <v>0</v>
      </c>
      <c r="J19">
        <v>0</v>
      </c>
      <c r="K19">
        <v>1</v>
      </c>
      <c r="L19">
        <v>0</v>
      </c>
      <c r="M19" t="s">
        <v>48</v>
      </c>
      <c r="N19" s="3">
        <v>168.0857</v>
      </c>
      <c r="Q19" s="5"/>
    </row>
    <row r="20" spans="1:17">
      <c r="A20" t="s">
        <v>53</v>
      </c>
      <c r="B20" t="s">
        <v>16888</v>
      </c>
      <c r="C20" t="s">
        <v>46</v>
      </c>
      <c r="D20" t="s">
        <v>47</v>
      </c>
      <c r="E20" t="s">
        <v>16907</v>
      </c>
      <c r="F20">
        <v>304</v>
      </c>
      <c r="G20">
        <v>11</v>
      </c>
      <c r="H20">
        <v>1</v>
      </c>
      <c r="I20">
        <v>0</v>
      </c>
      <c r="J20">
        <v>0</v>
      </c>
      <c r="K20">
        <v>1</v>
      </c>
      <c r="L20">
        <v>0</v>
      </c>
      <c r="M20" t="s">
        <v>48</v>
      </c>
      <c r="N20" s="3">
        <v>167.55709999999999</v>
      </c>
      <c r="Q20" s="5"/>
    </row>
    <row r="21" spans="1:17">
      <c r="A21" t="s">
        <v>53</v>
      </c>
      <c r="B21" t="s">
        <v>16888</v>
      </c>
      <c r="C21" t="s">
        <v>46</v>
      </c>
      <c r="D21" t="s">
        <v>47</v>
      </c>
      <c r="E21" t="s">
        <v>16908</v>
      </c>
      <c r="F21">
        <v>304</v>
      </c>
      <c r="G21">
        <v>11</v>
      </c>
      <c r="H21">
        <v>1</v>
      </c>
      <c r="I21">
        <v>0</v>
      </c>
      <c r="J21">
        <v>0</v>
      </c>
      <c r="K21">
        <v>1</v>
      </c>
      <c r="L21">
        <v>0</v>
      </c>
      <c r="M21" t="s">
        <v>48</v>
      </c>
      <c r="N21" s="3">
        <v>167.55709999999999</v>
      </c>
      <c r="Q21" s="5"/>
    </row>
    <row r="22" spans="1:17">
      <c r="A22" t="s">
        <v>53</v>
      </c>
      <c r="B22" t="s">
        <v>16888</v>
      </c>
      <c r="C22" t="s">
        <v>46</v>
      </c>
      <c r="D22" t="s">
        <v>47</v>
      </c>
      <c r="E22" t="s">
        <v>16909</v>
      </c>
      <c r="F22">
        <v>304</v>
      </c>
      <c r="G22">
        <v>11</v>
      </c>
      <c r="H22">
        <v>1</v>
      </c>
      <c r="I22">
        <v>0</v>
      </c>
      <c r="J22">
        <v>0</v>
      </c>
      <c r="K22">
        <v>1</v>
      </c>
      <c r="L22">
        <v>0</v>
      </c>
      <c r="M22" t="s">
        <v>48</v>
      </c>
      <c r="N22" s="3">
        <v>167.55709999999999</v>
      </c>
      <c r="Q22" s="5"/>
    </row>
    <row r="23" spans="1:17">
      <c r="A23" t="s">
        <v>53</v>
      </c>
      <c r="B23" t="s">
        <v>16888</v>
      </c>
      <c r="C23" t="s">
        <v>46</v>
      </c>
      <c r="D23" t="s">
        <v>47</v>
      </c>
      <c r="E23" t="s">
        <v>16910</v>
      </c>
      <c r="F23">
        <v>299</v>
      </c>
      <c r="G23">
        <v>11</v>
      </c>
      <c r="H23">
        <v>1</v>
      </c>
      <c r="I23">
        <v>0</v>
      </c>
      <c r="J23">
        <v>0</v>
      </c>
      <c r="K23">
        <v>1</v>
      </c>
      <c r="L23">
        <v>0</v>
      </c>
      <c r="M23" t="s">
        <v>48</v>
      </c>
      <c r="N23" s="3">
        <v>164.9143</v>
      </c>
      <c r="Q23" s="5"/>
    </row>
    <row r="24" spans="1:17">
      <c r="A24" t="s">
        <v>53</v>
      </c>
      <c r="B24" t="s">
        <v>16888</v>
      </c>
      <c r="C24" t="s">
        <v>46</v>
      </c>
      <c r="D24" t="s">
        <v>47</v>
      </c>
      <c r="E24" t="s">
        <v>16911</v>
      </c>
      <c r="F24">
        <v>295</v>
      </c>
      <c r="G24">
        <v>11</v>
      </c>
      <c r="H24">
        <v>1</v>
      </c>
      <c r="I24">
        <v>0</v>
      </c>
      <c r="J24">
        <v>0</v>
      </c>
      <c r="K24">
        <v>1</v>
      </c>
      <c r="L24">
        <v>0</v>
      </c>
      <c r="M24" t="s">
        <v>48</v>
      </c>
      <c r="N24" s="3">
        <v>162.80000000000001</v>
      </c>
      <c r="Q24" s="5"/>
    </row>
    <row r="25" spans="1:17">
      <c r="A25" t="s">
        <v>53</v>
      </c>
      <c r="B25" t="s">
        <v>16888</v>
      </c>
      <c r="C25" t="s">
        <v>46</v>
      </c>
      <c r="D25" t="s">
        <v>47</v>
      </c>
      <c r="E25" t="s">
        <v>16912</v>
      </c>
      <c r="F25">
        <v>293</v>
      </c>
      <c r="G25">
        <v>11</v>
      </c>
      <c r="H25">
        <v>1</v>
      </c>
      <c r="I25">
        <v>0</v>
      </c>
      <c r="J25">
        <v>0</v>
      </c>
      <c r="K25">
        <v>1</v>
      </c>
      <c r="L25">
        <v>0</v>
      </c>
      <c r="M25" t="s">
        <v>48</v>
      </c>
      <c r="N25" s="3">
        <v>161.74289999999999</v>
      </c>
      <c r="Q25" s="5"/>
    </row>
    <row r="26" spans="1:17">
      <c r="A26" t="s">
        <v>53</v>
      </c>
      <c r="B26" t="s">
        <v>16888</v>
      </c>
      <c r="C26" t="s">
        <v>46</v>
      </c>
      <c r="D26" t="s">
        <v>47</v>
      </c>
      <c r="E26" t="s">
        <v>16913</v>
      </c>
      <c r="F26">
        <v>286</v>
      </c>
      <c r="G26">
        <v>11</v>
      </c>
      <c r="H26">
        <v>1</v>
      </c>
      <c r="I26">
        <v>0</v>
      </c>
      <c r="J26">
        <v>0</v>
      </c>
      <c r="K26">
        <v>1</v>
      </c>
      <c r="L26">
        <v>0</v>
      </c>
      <c r="M26" t="s">
        <v>48</v>
      </c>
      <c r="N26" s="3">
        <v>158.0429</v>
      </c>
      <c r="Q26" s="5"/>
    </row>
    <row r="27" spans="1:17">
      <c r="A27" t="s">
        <v>53</v>
      </c>
      <c r="B27" t="s">
        <v>16888</v>
      </c>
      <c r="C27" t="s">
        <v>46</v>
      </c>
      <c r="D27" t="s">
        <v>47</v>
      </c>
      <c r="E27" t="s">
        <v>16914</v>
      </c>
      <c r="F27">
        <v>284</v>
      </c>
      <c r="G27">
        <v>11</v>
      </c>
      <c r="H27">
        <v>1</v>
      </c>
      <c r="I27">
        <v>0</v>
      </c>
      <c r="J27">
        <v>0</v>
      </c>
      <c r="K27">
        <v>1</v>
      </c>
      <c r="L27">
        <v>0</v>
      </c>
      <c r="M27" t="s">
        <v>48</v>
      </c>
      <c r="N27" s="3">
        <v>156.98570000000001</v>
      </c>
      <c r="Q27" s="5"/>
    </row>
    <row r="28" spans="1:17">
      <c r="A28" t="s">
        <v>53</v>
      </c>
      <c r="B28" t="s">
        <v>16888</v>
      </c>
      <c r="C28" t="s">
        <v>46</v>
      </c>
      <c r="D28" t="s">
        <v>47</v>
      </c>
      <c r="E28" t="s">
        <v>16915</v>
      </c>
      <c r="F28">
        <v>284</v>
      </c>
      <c r="G28">
        <v>11</v>
      </c>
      <c r="H28">
        <v>1</v>
      </c>
      <c r="I28">
        <v>0</v>
      </c>
      <c r="J28">
        <v>0</v>
      </c>
      <c r="K28">
        <v>1</v>
      </c>
      <c r="L28">
        <v>0</v>
      </c>
      <c r="M28" t="s">
        <v>48</v>
      </c>
      <c r="N28" s="3">
        <v>156.98570000000001</v>
      </c>
      <c r="Q28" s="5"/>
    </row>
    <row r="29" spans="1:17">
      <c r="A29" t="s">
        <v>53</v>
      </c>
      <c r="B29" t="s">
        <v>16888</v>
      </c>
      <c r="C29" t="s">
        <v>46</v>
      </c>
      <c r="D29" t="s">
        <v>47</v>
      </c>
      <c r="E29" t="s">
        <v>16916</v>
      </c>
      <c r="F29">
        <v>284</v>
      </c>
      <c r="G29">
        <v>11</v>
      </c>
      <c r="H29">
        <v>1</v>
      </c>
      <c r="I29">
        <v>0</v>
      </c>
      <c r="J29">
        <v>0</v>
      </c>
      <c r="K29">
        <v>1</v>
      </c>
      <c r="L29">
        <v>0</v>
      </c>
      <c r="M29" t="s">
        <v>48</v>
      </c>
      <c r="N29" s="3">
        <v>156.98570000000001</v>
      </c>
      <c r="Q29" s="5"/>
    </row>
    <row r="30" spans="1:17">
      <c r="A30" t="s">
        <v>53</v>
      </c>
      <c r="B30" t="s">
        <v>16888</v>
      </c>
      <c r="C30" t="s">
        <v>46</v>
      </c>
      <c r="D30" t="s">
        <v>47</v>
      </c>
      <c r="E30" t="s">
        <v>16917</v>
      </c>
      <c r="F30">
        <v>278</v>
      </c>
      <c r="G30">
        <v>11</v>
      </c>
      <c r="H30">
        <v>1</v>
      </c>
      <c r="I30">
        <v>0</v>
      </c>
      <c r="J30">
        <v>0</v>
      </c>
      <c r="K30">
        <v>1</v>
      </c>
      <c r="L30">
        <v>0</v>
      </c>
      <c r="M30" t="s">
        <v>48</v>
      </c>
      <c r="N30" s="3">
        <v>153.8143</v>
      </c>
      <c r="Q30" s="5"/>
    </row>
    <row r="31" spans="1:17">
      <c r="A31" t="s">
        <v>53</v>
      </c>
      <c r="B31" t="s">
        <v>16888</v>
      </c>
      <c r="C31" t="s">
        <v>46</v>
      </c>
      <c r="D31" t="s">
        <v>47</v>
      </c>
      <c r="E31" t="s">
        <v>16918</v>
      </c>
      <c r="F31">
        <v>286</v>
      </c>
      <c r="G31">
        <v>11</v>
      </c>
      <c r="H31">
        <v>1</v>
      </c>
      <c r="I31">
        <v>0</v>
      </c>
      <c r="J31">
        <v>0</v>
      </c>
      <c r="K31">
        <v>1</v>
      </c>
      <c r="L31">
        <v>0</v>
      </c>
      <c r="M31" t="s">
        <v>48</v>
      </c>
      <c r="N31" s="3">
        <v>158.0429</v>
      </c>
      <c r="Q31" s="5"/>
    </row>
    <row r="32" spans="1:17">
      <c r="Q32" s="5"/>
    </row>
    <row r="33" spans="14:17" ht="15.75" thickBot="1">
      <c r="N33" s="9">
        <f>SUM(N2:N31)</f>
        <v>4987.6000000000013</v>
      </c>
      <c r="Q33" s="5"/>
    </row>
  </sheetData>
  <sheetProtection formatCells="0" formatColumns="0" formatRows="0" insertColumns="0" insertRows="0" insertHyperlinks="0" deleteColumns="0" deleteRows="0" sort="0" autoFilter="0" pivotTables="0"/>
  <autoFilter ref="A1:N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EDB2-947A-4C67-B3F6-3CA8D69049A3}">
  <dimension ref="A1:K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8.85546875" defaultRowHeight="15"/>
  <cols>
    <col min="1" max="4" width="8.85546875" style="7"/>
    <col min="5" max="5" width="38.28515625" style="7" customWidth="1"/>
    <col min="6" max="6" width="10" style="7" customWidth="1"/>
    <col min="7" max="16384" width="8.85546875" style="7"/>
  </cols>
  <sheetData>
    <row r="1" spans="1:11">
      <c r="A1" s="6" t="s">
        <v>1</v>
      </c>
      <c r="B1" s="6" t="s">
        <v>16919</v>
      </c>
      <c r="C1" s="6" t="s">
        <v>16920</v>
      </c>
      <c r="D1" s="6" t="s">
        <v>6</v>
      </c>
      <c r="E1" s="6" t="s">
        <v>16879</v>
      </c>
      <c r="F1" s="6" t="s">
        <v>16921</v>
      </c>
      <c r="G1" s="6" t="s">
        <v>16632</v>
      </c>
      <c r="H1" s="6" t="s">
        <v>16922</v>
      </c>
      <c r="I1" s="6" t="s">
        <v>16923</v>
      </c>
      <c r="J1" s="6" t="s">
        <v>12</v>
      </c>
      <c r="K1" s="6" t="s">
        <v>13</v>
      </c>
    </row>
    <row r="2" spans="1:11">
      <c r="A2" s="7" t="s">
        <v>53</v>
      </c>
      <c r="B2" s="7" t="s">
        <v>16924</v>
      </c>
      <c r="C2" s="7" t="s">
        <v>16925</v>
      </c>
      <c r="D2" s="7" t="s">
        <v>53</v>
      </c>
      <c r="E2" s="7" t="s">
        <v>16926</v>
      </c>
      <c r="F2" s="8">
        <v>75</v>
      </c>
      <c r="G2" s="7" t="s">
        <v>53</v>
      </c>
      <c r="H2" s="7" t="s">
        <v>16927</v>
      </c>
      <c r="I2" s="7" t="s">
        <v>16928</v>
      </c>
      <c r="J2" s="7" t="s">
        <v>16929</v>
      </c>
      <c r="K2" s="7" t="s">
        <v>16930</v>
      </c>
    </row>
    <row r="3" spans="1:11">
      <c r="A3" s="7" t="s">
        <v>53</v>
      </c>
      <c r="B3" s="7" t="s">
        <v>16924</v>
      </c>
      <c r="C3" s="7" t="s">
        <v>16925</v>
      </c>
      <c r="D3" s="7" t="s">
        <v>53</v>
      </c>
      <c r="E3" s="7" t="s">
        <v>16931</v>
      </c>
      <c r="F3" s="8">
        <v>75</v>
      </c>
      <c r="G3" s="7" t="s">
        <v>53</v>
      </c>
      <c r="H3" s="7" t="s">
        <v>16927</v>
      </c>
      <c r="I3" s="7" t="s">
        <v>16928</v>
      </c>
      <c r="J3" s="7" t="s">
        <v>16929</v>
      </c>
      <c r="K3" s="7" t="s">
        <v>16930</v>
      </c>
    </row>
    <row r="4" spans="1:11">
      <c r="F4" s="8"/>
    </row>
    <row r="5" spans="1:11" ht="15.75" thickBot="1">
      <c r="F5" s="12">
        <f>SUM(F2:F4)</f>
        <v>150</v>
      </c>
    </row>
    <row r="6" spans="1:11">
      <c r="F6" s="1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AC031AF92AAF4193CFF2F390587840" ma:contentTypeVersion="16" ma:contentTypeDescription="Create a new document." ma:contentTypeScope="" ma:versionID="a82b12cf2fc4cd1d565c576e4b829600">
  <xsd:schema xmlns:xsd="http://www.w3.org/2001/XMLSchema" xmlns:xs="http://www.w3.org/2001/XMLSchema" xmlns:p="http://schemas.microsoft.com/office/2006/metadata/properties" xmlns:ns1="http://schemas.microsoft.com/sharepoint/v3" xmlns:ns2="0ff6faef-b0ac-4859-a1a3-b3e9b0574ada" xmlns:ns3="3470ab75-78dc-4065-a8d8-88d3ee996b7f" targetNamespace="http://schemas.microsoft.com/office/2006/metadata/properties" ma:root="true" ma:fieldsID="4e371f46784065bdcb4a69a375988f82" ns1:_="" ns2:_="" ns3:_="">
    <xsd:import namespace="http://schemas.microsoft.com/sharepoint/v3"/>
    <xsd:import namespace="0ff6faef-b0ac-4859-a1a3-b3e9b0574ada"/>
    <xsd:import namespace="3470ab75-78dc-4065-a8d8-88d3ee996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6faef-b0ac-4859-a1a3-b3e9b0574a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d6bc49-0918-464a-9632-ae27f1b53f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ab75-78dc-4065-a8d8-88d3ee996b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b47ad55-90fe-40c9-b156-c715e34a86bf}" ma:internalName="TaxCatchAll" ma:showField="CatchAllData" ma:web="3470ab75-78dc-4065-a8d8-88d3ee996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ff6faef-b0ac-4859-a1a3-b3e9b0574ada">
      <Terms xmlns="http://schemas.microsoft.com/office/infopath/2007/PartnerControls"/>
    </lcf76f155ced4ddcb4097134ff3c332f>
    <TaxCatchAll xmlns="3470ab75-78dc-4065-a8d8-88d3ee996b7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EAF4EDF-FF95-4CD9-8D73-93089A8BD36E}"/>
</file>

<file path=customXml/itemProps2.xml><?xml version="1.0" encoding="utf-8"?>
<ds:datastoreItem xmlns:ds="http://schemas.openxmlformats.org/officeDocument/2006/customXml" ds:itemID="{95D907A0-01F4-4C3F-8456-2CF26EAAEBBB}"/>
</file>

<file path=customXml/itemProps3.xml><?xml version="1.0" encoding="utf-8"?>
<ds:datastoreItem xmlns:ds="http://schemas.openxmlformats.org/officeDocument/2006/customXml" ds:itemID="{B3D5ABD6-DEB5-443C-BE84-17EA0B86E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2026-07-16T09:29:51Z</dcterms:created>
  <dcterms:modified xsi:type="dcterms:W3CDTF">2026-07-17T10:45:17Z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0x010100F7AC031AF92AAF4193CFF2F390587840</vt:lpwstr>
  </property>
  <property fmtid="{D5CDD505-2E9C-101B-9397-08002B2CF9AE}" pid="3" name="MediaServiceImageTags">
    <vt:lpwstr/>
  </property>
</Properties>
</file>