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5" fillId="3" borderId="1" pivotButton="0" quotePrefix="0" xfId="0"/>
    <xf numFmtId="3" fontId="4" fillId="3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15" customWidth="1" min="3" max="3"/>
    <col width="26" customWidth="1" min="4" max="4"/>
    <col width="9" customWidth="1" min="5" max="5"/>
    <col width="11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Order allocation: existing production vs AU warehouse</t>
        </is>
      </c>
    </row>
    <row r="2">
      <c r="A2" s="2" t="inlineStr">
        <is>
          <t>Data: live planner DB 25-Sep-26. Forecast = AU 3PL + FBA. Inbound = PO-57AULX1 / PO-57AUXR1 / PO-57AUXR2 / FBA transfer, ETA 2 to 12-Oct-26. DTC POs excluded.</t>
        </is>
      </c>
    </row>
    <row r="4" ht="32" customHeight="1">
      <c r="A4" s="3" t="inlineStr">
        <is>
          <t>SKU</t>
        </is>
      </c>
      <c r="B4" s="3" t="inlineStr">
        <is>
          <t>Need</t>
        </is>
      </c>
      <c r="C4" s="3" t="inlineStr">
        <is>
          <t>From production</t>
        </is>
      </c>
      <c r="D4" s="3" t="inlineStr">
        <is>
          <t>Source PO</t>
        </is>
      </c>
      <c r="E4" s="3" t="inlineStr">
        <is>
          <t>From AU</t>
        </is>
      </c>
      <c r="F4" s="3" t="inlineStr">
        <is>
          <t>AU on hand</t>
        </is>
      </c>
      <c r="G4" s="3" t="inlineStr">
        <is>
          <t>AU inbound (Oct)</t>
        </is>
      </c>
      <c r="H4" s="3" t="inlineStr">
        <is>
          <t>Oct-26 fcst</t>
        </is>
      </c>
      <c r="I4" s="3" t="inlineStr">
        <is>
          <t>Nov-26 fcst</t>
        </is>
      </c>
      <c r="J4" s="3" t="inlineStr">
        <is>
          <t>Dec-26 fcst</t>
        </is>
      </c>
      <c r="K4" s="3" t="inlineStr">
        <is>
          <t>Jan-27 fcst</t>
        </is>
      </c>
      <c r="L4" s="3" t="inlineStr">
        <is>
          <t>Oct-Jan fcst</t>
        </is>
      </c>
      <c r="M4" s="3" t="inlineStr">
        <is>
          <t>Short</t>
        </is>
      </c>
      <c r="N4" s="3" t="inlineStr">
        <is>
          <t>AU end Jan after draw</t>
        </is>
      </c>
    </row>
    <row r="5">
      <c r="A5" s="4" t="inlineStr">
        <is>
          <t>TOWLB-CAB-LG-NAVY-R</t>
        </is>
      </c>
      <c r="B5" s="5" t="n">
        <v>240</v>
      </c>
      <c r="C5" s="5" t="n">
        <v>240</v>
      </c>
      <c r="D5" s="4" t="inlineStr">
        <is>
          <t>PO-58UKXR1 (UK ILG)</t>
        </is>
      </c>
      <c r="E5" s="5" t="n">
        <v>0</v>
      </c>
      <c r="F5" s="5" t="n">
        <v>1617</v>
      </c>
      <c r="G5" s="5" t="n">
        <v>160</v>
      </c>
      <c r="H5" s="5" t="n">
        <v>139</v>
      </c>
      <c r="I5" s="5" t="n">
        <v>246</v>
      </c>
      <c r="J5" s="5" t="n">
        <v>476</v>
      </c>
      <c r="K5" s="5" t="n">
        <v>204</v>
      </c>
      <c r="L5" s="6">
        <f>SUM(H5:K5)</f>
        <v/>
      </c>
      <c r="M5" s="6">
        <f>B5-C5-E5</f>
        <v/>
      </c>
      <c r="N5" s="6">
        <f>F5+G5-L5-E5</f>
        <v/>
      </c>
    </row>
    <row r="6">
      <c r="A6" s="4" t="inlineStr">
        <is>
          <t>TOWLB-SUM-LG-CSTCANDY</t>
        </is>
      </c>
      <c r="B6" s="5" t="n">
        <v>240</v>
      </c>
      <c r="C6" s="5" t="n">
        <v>240</v>
      </c>
      <c r="D6" s="4" t="inlineStr">
        <is>
          <t>PO-58EUXR1 (EU)</t>
        </is>
      </c>
      <c r="E6" s="5" t="n">
        <v>0</v>
      </c>
      <c r="F6" s="5" t="n">
        <v>882</v>
      </c>
      <c r="G6" s="5" t="n">
        <v>320</v>
      </c>
      <c r="H6" s="5" t="n">
        <v>47</v>
      </c>
      <c r="I6" s="5" t="n">
        <v>218</v>
      </c>
      <c r="J6" s="5" t="n">
        <v>316</v>
      </c>
      <c r="K6" s="5" t="n">
        <v>87</v>
      </c>
      <c r="L6" s="6">
        <f>SUM(H6:K6)</f>
        <v/>
      </c>
      <c r="M6" s="6">
        <f>B6-C6-E6</f>
        <v/>
      </c>
      <c r="N6" s="6">
        <f>F6+G6-L6-E6</f>
        <v/>
      </c>
    </row>
    <row r="7">
      <c r="A7" s="4" t="inlineStr">
        <is>
          <t>TOWLB-SUM-LG-MIAMI</t>
        </is>
      </c>
      <c r="B7" s="5" t="n">
        <v>120</v>
      </c>
      <c r="C7" s="5" t="n">
        <v>120</v>
      </c>
      <c r="D7" s="4" t="inlineStr">
        <is>
          <t>PO-58UKXR1 (UK ILG)</t>
        </is>
      </c>
      <c r="E7" s="5" t="n">
        <v>0</v>
      </c>
      <c r="F7" s="5" t="n">
        <v>737</v>
      </c>
      <c r="G7" s="5" t="n">
        <v>1840</v>
      </c>
      <c r="H7" s="5" t="n">
        <v>169</v>
      </c>
      <c r="I7" s="5" t="n">
        <v>301</v>
      </c>
      <c r="J7" s="5" t="n">
        <v>390</v>
      </c>
      <c r="K7" s="5" t="n">
        <v>146</v>
      </c>
      <c r="L7" s="6">
        <f>SUM(H7:K7)</f>
        <v/>
      </c>
      <c r="M7" s="6">
        <f>B7-C7-E7</f>
        <v/>
      </c>
      <c r="N7" s="6">
        <f>F7+G7-L7-E7</f>
        <v/>
      </c>
    </row>
    <row r="8">
      <c r="A8" s="4" t="inlineStr">
        <is>
          <t>TOWLB-SUM-LG-OCEAN</t>
        </is>
      </c>
      <c r="B8" s="5" t="n">
        <v>120</v>
      </c>
      <c r="C8" s="5" t="n">
        <v>120</v>
      </c>
      <c r="D8" s="4" t="inlineStr">
        <is>
          <t>PO-58UKLX3 (UK ILG)</t>
        </is>
      </c>
      <c r="E8" s="5" t="n">
        <v>0</v>
      </c>
      <c r="F8" s="5" t="n">
        <v>249</v>
      </c>
      <c r="G8" s="5" t="n">
        <v>0</v>
      </c>
      <c r="H8" s="5" t="n">
        <v>11</v>
      </c>
      <c r="I8" s="5" t="n">
        <v>50</v>
      </c>
      <c r="J8" s="5" t="n">
        <v>70</v>
      </c>
      <c r="K8" s="5" t="n">
        <v>17</v>
      </c>
      <c r="L8" s="6">
        <f>SUM(H8:K8)</f>
        <v/>
      </c>
      <c r="M8" s="6">
        <f>B8-C8-E8</f>
        <v/>
      </c>
      <c r="N8" s="6">
        <f>F8+G8-L8-E8</f>
        <v/>
      </c>
    </row>
    <row r="9">
      <c r="A9" s="4" t="inlineStr">
        <is>
          <t>TOWLB-SUM-LG-TUTFRU</t>
        </is>
      </c>
      <c r="B9" s="5" t="n">
        <v>120</v>
      </c>
      <c r="C9" s="5" t="n">
        <v>120</v>
      </c>
      <c r="D9" s="4" t="inlineStr">
        <is>
          <t>PO-58UKLX4 (UK ILG)</t>
        </is>
      </c>
      <c r="E9" s="5" t="n">
        <v>0</v>
      </c>
      <c r="F9" s="5" t="n">
        <v>162</v>
      </c>
      <c r="G9" s="5" t="n">
        <v>40</v>
      </c>
      <c r="H9" s="5" t="n">
        <v>11</v>
      </c>
      <c r="I9" s="5" t="n">
        <v>50</v>
      </c>
      <c r="J9" s="5" t="n">
        <v>60</v>
      </c>
      <c r="K9" s="5" t="n">
        <v>17</v>
      </c>
      <c r="L9" s="6">
        <f>SUM(H9:K9)</f>
        <v/>
      </c>
      <c r="M9" s="6">
        <f>B9-C9-E9</f>
        <v/>
      </c>
      <c r="N9" s="6">
        <f>F9+G9-L9-E9</f>
        <v/>
      </c>
    </row>
    <row r="10">
      <c r="A10" s="4" t="inlineStr">
        <is>
          <t>TOWLB-CAB-XL-BLUE-R</t>
        </is>
      </c>
      <c r="B10" s="5" t="n">
        <v>120</v>
      </c>
      <c r="C10" s="5" t="n">
        <v>120</v>
      </c>
      <c r="D10" s="4" t="inlineStr">
        <is>
          <t>PO-58AUXR1 (AU Coghlans)</t>
        </is>
      </c>
      <c r="E10" s="5" t="n">
        <v>0</v>
      </c>
      <c r="F10" s="5" t="n">
        <v>487</v>
      </c>
      <c r="G10" s="5" t="n">
        <v>330</v>
      </c>
      <c r="H10" s="5" t="n">
        <v>28</v>
      </c>
      <c r="I10" s="5" t="n">
        <v>83</v>
      </c>
      <c r="J10" s="5" t="n">
        <v>172</v>
      </c>
      <c r="K10" s="5" t="n">
        <v>47</v>
      </c>
      <c r="L10" s="6">
        <f>SUM(H10:K10)</f>
        <v/>
      </c>
      <c r="M10" s="6">
        <f>B10-C10-E10</f>
        <v/>
      </c>
      <c r="N10" s="6">
        <f>F10+G10-L10-E10</f>
        <v/>
      </c>
    </row>
    <row r="11">
      <c r="A11" s="4" t="inlineStr">
        <is>
          <t>TOWLB-CAB-LG-BLUE-R</t>
        </is>
      </c>
      <c r="B11" s="5" t="n">
        <v>240</v>
      </c>
      <c r="C11" s="5" t="n">
        <v>0</v>
      </c>
      <c r="D11" s="4" t="inlineStr">
        <is>
          <t>none</t>
        </is>
      </c>
      <c r="E11" s="5" t="n">
        <v>240</v>
      </c>
      <c r="F11" s="5" t="n">
        <v>690</v>
      </c>
      <c r="G11" s="5" t="n">
        <v>440</v>
      </c>
      <c r="H11" s="5" t="n">
        <v>38</v>
      </c>
      <c r="I11" s="5" t="n">
        <v>131</v>
      </c>
      <c r="J11" s="5" t="n">
        <v>263</v>
      </c>
      <c r="K11" s="5" t="n">
        <v>118</v>
      </c>
      <c r="L11" s="6">
        <f>SUM(H11:K11)</f>
        <v/>
      </c>
      <c r="M11" s="6">
        <f>B11-C11-E11</f>
        <v/>
      </c>
      <c r="N11" s="6">
        <f>F11+G11-L11-E11</f>
        <v/>
      </c>
    </row>
    <row r="12">
      <c r="A12" s="4" t="inlineStr">
        <is>
          <t>TOWLB-CAB-LG-YELL-R</t>
        </is>
      </c>
      <c r="B12" s="5" t="n">
        <v>120</v>
      </c>
      <c r="C12" s="5" t="n">
        <v>0</v>
      </c>
      <c r="D12" s="4" t="inlineStr">
        <is>
          <t>none</t>
        </is>
      </c>
      <c r="E12" s="5" t="n">
        <v>120</v>
      </c>
      <c r="F12" s="5" t="n">
        <v>295</v>
      </c>
      <c r="G12" s="5" t="n">
        <v>280</v>
      </c>
      <c r="H12" s="5" t="n">
        <v>22</v>
      </c>
      <c r="I12" s="5" t="n">
        <v>63</v>
      </c>
      <c r="J12" s="5" t="n">
        <v>107</v>
      </c>
      <c r="K12" s="5" t="n">
        <v>26</v>
      </c>
      <c r="L12" s="6">
        <f>SUM(H12:K12)</f>
        <v/>
      </c>
      <c r="M12" s="6">
        <f>B12-C12-E12</f>
        <v/>
      </c>
      <c r="N12" s="6">
        <f>F12+G12-L12-E12</f>
        <v/>
      </c>
    </row>
    <row r="13">
      <c r="A13" s="4" t="inlineStr">
        <is>
          <t>TOWLB-CAB-LG-GREEN-R</t>
        </is>
      </c>
      <c r="B13" s="5" t="n">
        <v>120</v>
      </c>
      <c r="C13" s="5" t="n">
        <v>0</v>
      </c>
      <c r="D13" s="4" t="inlineStr">
        <is>
          <t>none</t>
        </is>
      </c>
      <c r="E13" s="5" t="n">
        <v>120</v>
      </c>
      <c r="F13" s="5" t="n">
        <v>603</v>
      </c>
      <c r="G13" s="5" t="n">
        <v>80</v>
      </c>
      <c r="H13" s="5" t="n">
        <v>36</v>
      </c>
      <c r="I13" s="5" t="n">
        <v>77</v>
      </c>
      <c r="J13" s="5" t="n">
        <v>181</v>
      </c>
      <c r="K13" s="5" t="n">
        <v>90</v>
      </c>
      <c r="L13" s="6">
        <f>SUM(H13:K13)</f>
        <v/>
      </c>
      <c r="M13" s="6">
        <f>B13-C13-E13</f>
        <v/>
      </c>
      <c r="N13" s="6">
        <f>F13+G13-L13-E13</f>
        <v/>
      </c>
    </row>
    <row r="14">
      <c r="A14" s="4" t="inlineStr">
        <is>
          <t>TOWLB-CAB-LG-PINK-R</t>
        </is>
      </c>
      <c r="B14" s="5" t="n">
        <v>120</v>
      </c>
      <c r="C14" s="5" t="n">
        <v>0</v>
      </c>
      <c r="D14" s="4" t="inlineStr">
        <is>
          <t>none</t>
        </is>
      </c>
      <c r="E14" s="5" t="n">
        <v>120</v>
      </c>
      <c r="F14" s="5" t="n">
        <v>587</v>
      </c>
      <c r="G14" s="5" t="n">
        <v>720</v>
      </c>
      <c r="H14" s="5" t="n">
        <v>42</v>
      </c>
      <c r="I14" s="5" t="n">
        <v>101</v>
      </c>
      <c r="J14" s="5" t="n">
        <v>234</v>
      </c>
      <c r="K14" s="5" t="n">
        <v>127</v>
      </c>
      <c r="L14" s="6">
        <f>SUM(H14:K14)</f>
        <v/>
      </c>
      <c r="M14" s="6">
        <f>B14-C14-E14</f>
        <v/>
      </c>
      <c r="N14" s="6">
        <f>F14+G14-L14-E14</f>
        <v/>
      </c>
    </row>
    <row r="15">
      <c r="A15" s="4" t="inlineStr">
        <is>
          <t>TOWLB-CAB-LG-LTBLU-R</t>
        </is>
      </c>
      <c r="B15" s="5" t="n">
        <v>120</v>
      </c>
      <c r="C15" s="5" t="n">
        <v>0</v>
      </c>
      <c r="D15" s="4" t="inlineStr">
        <is>
          <t>none</t>
        </is>
      </c>
      <c r="E15" s="5" t="n">
        <v>120</v>
      </c>
      <c r="F15" s="5" t="n">
        <v>477</v>
      </c>
      <c r="G15" s="5" t="n">
        <v>360</v>
      </c>
      <c r="H15" s="5" t="n">
        <v>27</v>
      </c>
      <c r="I15" s="5" t="n">
        <v>77</v>
      </c>
      <c r="J15" s="5" t="n">
        <v>156</v>
      </c>
      <c r="K15" s="5" t="n">
        <v>46</v>
      </c>
      <c r="L15" s="6">
        <f>SUM(H15:K15)</f>
        <v/>
      </c>
      <c r="M15" s="6">
        <f>B15-C15-E15</f>
        <v/>
      </c>
      <c r="N15" s="6">
        <f>F15+G15-L15-E15</f>
        <v/>
      </c>
    </row>
    <row r="16">
      <c r="A16" s="7" t="inlineStr">
        <is>
          <t>TOWLB-CAB-LG-KHAKI-R</t>
        </is>
      </c>
      <c r="B16" s="8" t="n">
        <v>240</v>
      </c>
      <c r="C16" s="8" t="n">
        <v>0</v>
      </c>
      <c r="D16" s="7" t="inlineStr">
        <is>
          <t>none (phase out)</t>
        </is>
      </c>
      <c r="E16" s="8" t="n">
        <v>240</v>
      </c>
      <c r="F16" s="8" t="n">
        <v>448</v>
      </c>
      <c r="G16" s="8" t="n">
        <v>80</v>
      </c>
      <c r="H16" s="8" t="n">
        <v>32</v>
      </c>
      <c r="I16" s="8" t="n">
        <v>96</v>
      </c>
      <c r="J16" s="8" t="n">
        <v>93</v>
      </c>
      <c r="K16" s="8" t="n">
        <v>31</v>
      </c>
      <c r="L16" s="9">
        <f>SUM(H16:K16)</f>
        <v/>
      </c>
      <c r="M16" s="9">
        <f>B16-C16-E16</f>
        <v/>
      </c>
      <c r="N16" s="9">
        <f>F16+G16-L16-E16</f>
        <v/>
      </c>
    </row>
    <row r="17">
      <c r="A17" s="7" t="inlineStr">
        <is>
          <t>TOWLB-CAB-LG-BLACK-R</t>
        </is>
      </c>
      <c r="B17" s="8" t="n">
        <v>120</v>
      </c>
      <c r="C17" s="8" t="n">
        <v>0</v>
      </c>
      <c r="D17" s="7" t="inlineStr">
        <is>
          <t>none (phase out)</t>
        </is>
      </c>
      <c r="E17" s="8" t="n">
        <v>120</v>
      </c>
      <c r="F17" s="8" t="n">
        <v>212</v>
      </c>
      <c r="G17" s="8" t="n">
        <v>80</v>
      </c>
      <c r="H17" s="8" t="n">
        <v>24</v>
      </c>
      <c r="I17" s="8" t="n">
        <v>35</v>
      </c>
      <c r="J17" s="8" t="n">
        <v>34</v>
      </c>
      <c r="K17" s="8" t="n">
        <v>8</v>
      </c>
      <c r="L17" s="9">
        <f>SUM(H17:K17)</f>
        <v/>
      </c>
      <c r="M17" s="9">
        <f>B17-C17-E17</f>
        <v/>
      </c>
      <c r="N17" s="9">
        <f>F17+G17-L17-E17</f>
        <v/>
      </c>
    </row>
    <row r="18">
      <c r="A18" s="7" t="inlineStr">
        <is>
          <t>TOWLB-CAB-XL-BLACK-R</t>
        </is>
      </c>
      <c r="B18" s="8" t="n">
        <v>120</v>
      </c>
      <c r="C18" s="8" t="n">
        <v>0</v>
      </c>
      <c r="D18" s="7" t="inlineStr">
        <is>
          <t>none (phase out)</t>
        </is>
      </c>
      <c r="E18" s="8" t="n">
        <v>120</v>
      </c>
      <c r="F18" s="8" t="n">
        <v>314</v>
      </c>
      <c r="G18" s="8" t="n">
        <v>0</v>
      </c>
      <c r="H18" s="8" t="n">
        <v>28</v>
      </c>
      <c r="I18" s="8" t="n">
        <v>58</v>
      </c>
      <c r="J18" s="8" t="n">
        <v>32</v>
      </c>
      <c r="K18" s="8" t="n">
        <v>9</v>
      </c>
      <c r="L18" s="9">
        <f>SUM(H18:K18)</f>
        <v/>
      </c>
      <c r="M18" s="9">
        <f>B18-C18-E18</f>
        <v/>
      </c>
      <c r="N18" s="9">
        <f>F18+G18-L18-E18</f>
        <v/>
      </c>
    </row>
    <row r="19">
      <c r="A19" s="7" t="inlineStr">
        <is>
          <t>TOWLB-CAB-LG-LTPNK-R</t>
        </is>
      </c>
      <c r="B19" s="8" t="n">
        <v>120</v>
      </c>
      <c r="C19" s="8" t="n">
        <v>0</v>
      </c>
      <c r="D19" s="7" t="inlineStr">
        <is>
          <t>none (phase out)</t>
        </is>
      </c>
      <c r="E19" s="8" t="n">
        <v>120</v>
      </c>
      <c r="F19" s="8" t="n">
        <v>515</v>
      </c>
      <c r="G19" s="8" t="n">
        <v>160</v>
      </c>
      <c r="H19" s="8" t="n">
        <v>44</v>
      </c>
      <c r="I19" s="8" t="n">
        <v>117</v>
      </c>
      <c r="J19" s="8" t="n">
        <v>205</v>
      </c>
      <c r="K19" s="8" t="n">
        <v>31</v>
      </c>
      <c r="L19" s="9">
        <f>SUM(H19:K19)</f>
        <v/>
      </c>
      <c r="M19" s="9">
        <f>B19-C19-E19</f>
        <v/>
      </c>
      <c r="N19" s="9">
        <f>F19+G19-L19-E19</f>
        <v/>
      </c>
    </row>
    <row r="20">
      <c r="A20" s="7" t="inlineStr">
        <is>
          <t>TOWLB-CAB-XL-KHAKI-R</t>
        </is>
      </c>
      <c r="B20" s="8" t="n">
        <v>120</v>
      </c>
      <c r="C20" s="8" t="n">
        <v>0</v>
      </c>
      <c r="D20" s="7" t="inlineStr">
        <is>
          <t>none (phase out)</t>
        </is>
      </c>
      <c r="E20" s="8" t="n">
        <v>74</v>
      </c>
      <c r="F20" s="8" t="n">
        <v>245</v>
      </c>
      <c r="G20" s="8" t="n">
        <v>30</v>
      </c>
      <c r="H20" s="8" t="n">
        <v>46</v>
      </c>
      <c r="I20" s="8" t="n">
        <v>67</v>
      </c>
      <c r="J20" s="8" t="n">
        <v>53</v>
      </c>
      <c r="K20" s="8" t="n">
        <v>18</v>
      </c>
      <c r="L20" s="9">
        <f>SUM(H20:K20)</f>
        <v/>
      </c>
      <c r="M20" s="9">
        <f>B20-C20-E20</f>
        <v/>
      </c>
      <c r="N20" s="9">
        <f>F20+G20-L20-E20</f>
        <v/>
      </c>
    </row>
    <row r="21">
      <c r="A21" s="4" t="inlineStr">
        <is>
          <t>TOWLB-SUM-LG-UNICN-R</t>
        </is>
      </c>
      <c r="B21" s="5" t="n">
        <v>240</v>
      </c>
      <c r="C21" s="5" t="n">
        <v>0</v>
      </c>
      <c r="D21" s="4" t="inlineStr">
        <is>
          <t>none</t>
        </is>
      </c>
      <c r="E21" s="5" t="n">
        <v>213</v>
      </c>
      <c r="F21" s="5" t="n">
        <v>563</v>
      </c>
      <c r="G21" s="5" t="n">
        <v>40</v>
      </c>
      <c r="H21" s="5" t="n">
        <v>23</v>
      </c>
      <c r="I21" s="5" t="n">
        <v>150</v>
      </c>
      <c r="J21" s="5" t="n">
        <v>161</v>
      </c>
      <c r="K21" s="5" t="n">
        <v>28</v>
      </c>
      <c r="L21" s="6">
        <f>SUM(H21:K21)</f>
        <v/>
      </c>
      <c r="M21" s="6">
        <f>B21-C21-E21</f>
        <v/>
      </c>
      <c r="N21" s="6">
        <f>F21+G21-L21-E21</f>
        <v/>
      </c>
    </row>
    <row r="22">
      <c r="A22" s="10" t="inlineStr">
        <is>
          <t>Total</t>
        </is>
      </c>
      <c r="B22" s="11">
        <f>SUM(B5:B21)</f>
        <v/>
      </c>
      <c r="C22" s="11">
        <f>SUM(C5:C21)</f>
        <v/>
      </c>
      <c r="E22" s="11">
        <f>SUM(E5:E21)</f>
        <v/>
      </c>
      <c r="F22" s="11">
        <f>SUM(F5:F21)</f>
        <v/>
      </c>
      <c r="G22" s="11">
        <f>SUM(G5:G21)</f>
        <v/>
      </c>
      <c r="H22" s="11">
        <f>SUM(H5:H21)</f>
        <v/>
      </c>
      <c r="I22" s="11">
        <f>SUM(I5:I21)</f>
        <v/>
      </c>
      <c r="J22" s="11">
        <f>SUM(J5:J21)</f>
        <v/>
      </c>
      <c r="K22" s="11">
        <f>SUM(K5:K21)</f>
        <v/>
      </c>
      <c r="L22" s="11">
        <f>SUM(L5:L21)</f>
        <v/>
      </c>
      <c r="M22" s="11">
        <f>SUM(M5:M21)</f>
        <v/>
      </c>
    </row>
    <row r="24">
      <c r="A24" s="12" t="inlineStr">
        <is>
          <t>Notes</t>
        </is>
      </c>
    </row>
    <row r="25">
      <c r="A25" s="13" t="inlineStr">
        <is>
          <t>From production = reduce that PO line by this qty (non-DTC, still in production, PO-58 batch).</t>
        </is>
      </c>
    </row>
    <row r="26">
      <c r="A26" s="13" t="inlineStr">
        <is>
          <t>From AU = ship from AU 3PL stock. Draw limited so AU end-Jan stock stays &gt;= Feb+Mar forecast (8-week target).</t>
        </is>
      </c>
    </row>
    <row r="27">
      <c r="A27" s="13" t="inlineStr">
        <is>
          <t>Short = need not covered by either source (XL Khaki 46, Unicorn Waves 27). Close by under-shipping or running AU to zero in Jan.</t>
        </is>
      </c>
    </row>
    <row r="28">
      <c r="A28" s="13" t="inlineStr">
        <is>
          <t>Yellow rows = phase-out colours (discontinue 30-Nov-26); AU draw clears run-off stock.</t>
        </is>
      </c>
    </row>
    <row r="29">
      <c r="A29" s="13" t="inlineStr">
        <is>
          <t>Miami inbound 1,840 = 840 on PO-57AUXR1 + 840 on PO-57AUXR2 + 160 on PO-57AULX4; confirm not a duplicate feed.</t>
        </is>
      </c>
    </row>
    <row r="30">
      <c r="A30" s="13" t="inlineStr">
        <is>
          <t>PO-58 AU lines (Ocean 80, Tutti Frutti 120, XL Blue 150, Coastal Candy 80) excluded from inbound; they land after the Nov-Dec peak.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2026-09-25T12:03:53Z</dcterms:created>
  <dcterms:modified xsi:type="dcterms:W3CDTF">2026-09-25T12:04:19Z</dcterms:modified>
</cp:coreProperties>
</file>