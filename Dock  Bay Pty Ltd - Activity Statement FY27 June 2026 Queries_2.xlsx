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filterPrivacy="1"/>
  <xr:revisionPtr revIDLastSave="0" documentId="13_ncr:1_{755E6982-0F57-0D4D-9039-3BBBE76FEFB9}" xr6:coauthVersionLast="47" xr6:coauthVersionMax="47" xr10:uidLastSave="{00000000-0000-0000-0000-000000000000}"/>
  <bookViews>
    <workbookView xWindow="0" yWindow="660" windowWidth="25180" windowHeight="16140" activeTab="1" xr2:uid="{00000000-000D-0000-FFFF-FFFF00000000}"/>
  </bookViews>
  <sheets>
    <sheet name="Activity Statement" sheetId="1" r:id="rId1"/>
    <sheet name="Transactions by Tax Rate" sheetId="2" r:id="rId2"/>
    <sheet name="Transactions by BAS Field" sheetId="3" r:id="rId3"/>
  </sheets>
  <definedNames>
    <definedName name="_xlnm._FilterDatabase" localSheetId="1" hidden="1">'Transactions by Tax Rate'!$H$1:$H$442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 l="1"/>
  <c r="E37" i="1" s="1"/>
  <c r="D37" i="1"/>
  <c r="D32" i="1"/>
  <c r="E32" i="1" s="1"/>
  <c r="E41" i="1" s="1"/>
  <c r="E31" i="1"/>
  <c r="E29" i="1"/>
  <c r="E28" i="1"/>
  <c r="E15" i="1"/>
  <c r="E18" i="1" s="1"/>
  <c r="E14" i="1"/>
  <c r="E10" i="1"/>
  <c r="W21" i="1" l="1"/>
</calcChain>
</file>

<file path=xl/sharedStrings.xml><?xml version="1.0" encoding="utf-8"?>
<sst xmlns="http://schemas.openxmlformats.org/spreadsheetml/2006/main" count="3930" uniqueCount="432">
  <si>
    <t>Activity Statement</t>
  </si>
  <si>
    <t>Dock &amp; Bay Pty Ltd</t>
  </si>
  <si>
    <t>For the period ending 30 June 2026</t>
  </si>
  <si>
    <t>ABN</t>
  </si>
  <si>
    <t>13608596229</t>
  </si>
  <si>
    <t>GST Accounting Method</t>
  </si>
  <si>
    <t>Cash Basis</t>
  </si>
  <si>
    <t>Goods and Services Tax (Jun)</t>
  </si>
  <si>
    <t>Total sales</t>
  </si>
  <si>
    <t>G1</t>
  </si>
  <si>
    <t>Does the amount shown at G1 include GST</t>
  </si>
  <si>
    <t/>
  </si>
  <si>
    <t>Yes</t>
  </si>
  <si>
    <t>PAYG Tax Withheld (Jun)</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</si>
  <si>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</si>
  <si>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</si>
  <si>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</si>
  <si>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</si>
  <si>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</si>
  <si>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</si>
  <si>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</si>
  <si>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</si>
  <si>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</si>
  <si>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</si>
  <si>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Fringe Benefits Tax (FBT) Instalment (Apr - Jun)</t>
  </si>
  <si>
    <t>Amount (copy from BAS)</t>
  </si>
  <si>
    <t>F1</t>
  </si>
  <si>
    <t>If varying this amount, complete F2, F3 and F4</t>
  </si>
  <si>
    <t>Estimated FBT for the year</t>
  </si>
  <si>
    <t>F2</t>
  </si>
  <si>
    <t>Varied amount for the quarter</t>
  </si>
  <si>
    <t>F3</t>
  </si>
  <si>
    <t>Reason code for variation</t>
  </si>
  <si>
    <t>F4</t>
  </si>
  <si>
    <t>Amounts you owe the Tax Office</t>
  </si>
  <si>
    <t>GST on sales</t>
  </si>
  <si>
    <t>1A</t>
  </si>
  <si>
    <t>PAYG tax withheld</t>
  </si>
  <si>
    <t>4</t>
  </si>
  <si>
    <t>FBT instalment</t>
  </si>
  <si>
    <t>6A</t>
  </si>
  <si>
    <t>Deferred GST</t>
  </si>
  <si>
    <t>7A</t>
  </si>
  <si>
    <t>Total owed to the ATO</t>
  </si>
  <si>
    <t>8A</t>
  </si>
  <si>
    <t>Amounts the Tax Office owes you</t>
  </si>
  <si>
    <t>GST on purchases</t>
  </si>
  <si>
    <t>1B</t>
  </si>
  <si>
    <t>Credit from FBT instalment</t>
  </si>
  <si>
    <t>6B</t>
  </si>
  <si>
    <t>Total owed by the ATO</t>
  </si>
  <si>
    <t>8B</t>
  </si>
  <si>
    <t>Payment or Refund</t>
  </si>
  <si>
    <t>Is 8A more than 8B?</t>
  </si>
  <si>
    <t>Your payment</t>
  </si>
  <si>
    <t>9</t>
  </si>
  <si>
    <t>Transactions by Tax Rate</t>
  </si>
  <si>
    <t>For the period 1 June 2026 to 30 June 2026</t>
  </si>
  <si>
    <t>Date</t>
  </si>
  <si>
    <t>Account</t>
  </si>
  <si>
    <t>Reference</t>
  </si>
  <si>
    <t>Details</t>
  </si>
  <si>
    <t>Gross</t>
  </si>
  <si>
    <t>GST</t>
  </si>
  <si>
    <t>Net</t>
  </si>
  <si>
    <t>GST on Income</t>
  </si>
  <si>
    <t>01/06/2026</t>
  </si>
  <si>
    <t>Sales - Shopify - AU (200e)</t>
  </si>
  <si>
    <t>SHOP-AU-2026-06-01</t>
  </si>
  <si>
    <t>Payment: Shopify AU</t>
  </si>
  <si>
    <t>1F388200M66048449</t>
  </si>
  <si>
    <t>Website Sale - Website Sale</t>
  </si>
  <si>
    <t>83R40607SV415245G</t>
  </si>
  <si>
    <t>Sales - Amazon - AU (201e)</t>
  </si>
  <si>
    <t>INV-1144</t>
  </si>
  <si>
    <t>Payment: Amazon AU</t>
  </si>
  <si>
    <t>02/06/2026</t>
  </si>
  <si>
    <t>63N08444D19495515</t>
  </si>
  <si>
    <t>2CC620591L385254H</t>
  </si>
  <si>
    <t>6A232911CJ172612M</t>
  </si>
  <si>
    <t>09P124298D646814V</t>
  </si>
  <si>
    <t>03/06/2026</t>
  </si>
  <si>
    <t>57A52962W7208625L</t>
  </si>
  <si>
    <t>1E3075818U064134X</t>
  </si>
  <si>
    <t>9SM638363S976645J</t>
  </si>
  <si>
    <t>10393237FU821003T</t>
  </si>
  <si>
    <t>04/06/2026</t>
  </si>
  <si>
    <t>4HE20176Y2864944P</t>
  </si>
  <si>
    <t>5LB18109UG844574X</t>
  </si>
  <si>
    <t>4S057461HT672460V</t>
  </si>
  <si>
    <t>8KA07063TJ808090U</t>
  </si>
  <si>
    <t>05/06/2026</t>
  </si>
  <si>
    <t>7V309342HM4466055</t>
  </si>
  <si>
    <t>256278233B208513M</t>
  </si>
  <si>
    <t>0UH56700VA939782X</t>
  </si>
  <si>
    <t>2EB240633J832334J</t>
  </si>
  <si>
    <t>52F76241LF102510C</t>
  </si>
  <si>
    <t>06/06/2026</t>
  </si>
  <si>
    <t>6HF25143798893805</t>
  </si>
  <si>
    <t>07/06/2026</t>
  </si>
  <si>
    <t>62767352SK618330R</t>
  </si>
  <si>
    <t>7WR33339HR656522A</t>
  </si>
  <si>
    <t>2LN41362BN322431L</t>
  </si>
  <si>
    <t>08/06/2026</t>
  </si>
  <si>
    <t>64P383953G128862A</t>
  </si>
  <si>
    <t>0YH06852N4322421C</t>
  </si>
  <si>
    <t>09/06/2026</t>
  </si>
  <si>
    <t>70T45351FJ416323D</t>
  </si>
  <si>
    <t>9K1803307H421410H</t>
  </si>
  <si>
    <t>SHOP-AU-2026-06-09</t>
  </si>
  <si>
    <t>2U455564M8344023R</t>
  </si>
  <si>
    <t>7U131594DJ9551427</t>
  </si>
  <si>
    <t>4KP50051M1359191J</t>
  </si>
  <si>
    <t>10/06/2026</t>
  </si>
  <si>
    <t>83228206F6101052N</t>
  </si>
  <si>
    <t>3LY625680Y2713142</t>
  </si>
  <si>
    <t>8EM454313T978700U</t>
  </si>
  <si>
    <t>7C5276927N386601U</t>
  </si>
  <si>
    <t>68710608UC2376250</t>
  </si>
  <si>
    <t>11/06/2026</t>
  </si>
  <si>
    <t>4EU052220P894620N</t>
  </si>
  <si>
    <t>12/06/2026</t>
  </si>
  <si>
    <t>5G460943M92064835</t>
  </si>
  <si>
    <t>13/06/2026</t>
  </si>
  <si>
    <t>43M00317PC6302053</t>
  </si>
  <si>
    <t>1K326600C7955630T</t>
  </si>
  <si>
    <t>7NT468036H718943W</t>
  </si>
  <si>
    <t>9WE191215H408101Y</t>
  </si>
  <si>
    <t>3RS34259VJ377800H</t>
  </si>
  <si>
    <t>14/06/2026</t>
  </si>
  <si>
    <t>1PM33432GN092884D</t>
  </si>
  <si>
    <t>5SC09800MR828981D</t>
  </si>
  <si>
    <t>6YH26235F7374194A</t>
  </si>
  <si>
    <t>1JE60610FM706345K</t>
  </si>
  <si>
    <t>56G70996TK214340L</t>
  </si>
  <si>
    <t>0E632797B3658913Y</t>
  </si>
  <si>
    <t>3H104636M9077624X</t>
  </si>
  <si>
    <t>15/06/2026</t>
  </si>
  <si>
    <t>INV-1148</t>
  </si>
  <si>
    <t>83364162U5480000S</t>
  </si>
  <si>
    <t>1C335288DY254610K</t>
  </si>
  <si>
    <t>SHOP-AU-2026-06-15</t>
  </si>
  <si>
    <t>16/06/2026</t>
  </si>
  <si>
    <t>2893602582956344K</t>
  </si>
  <si>
    <t>0V420878US460824L</t>
  </si>
  <si>
    <t>8NR73080KP6378214</t>
  </si>
  <si>
    <t>63U91079C9280593R</t>
  </si>
  <si>
    <t>1TL82382X76956101</t>
  </si>
  <si>
    <t>9RU477321N200261M</t>
  </si>
  <si>
    <t>17/06/2026</t>
  </si>
  <si>
    <t>93447873VU0964130</t>
  </si>
  <si>
    <t>3T2053097W805992B</t>
  </si>
  <si>
    <t>22T59218AX751780S</t>
  </si>
  <si>
    <t>18/06/2026</t>
  </si>
  <si>
    <t>0V919578P6609222Y</t>
  </si>
  <si>
    <t>64B37539UL783352W</t>
  </si>
  <si>
    <t>9HC09192MV569230P</t>
  </si>
  <si>
    <t>3Y770536YU648342M</t>
  </si>
  <si>
    <t>7F214722L17337212</t>
  </si>
  <si>
    <t>1LR906015W571554J</t>
  </si>
  <si>
    <t xml:space="preserve">153682447         </t>
  </si>
  <si>
    <t>Website Sale - Shopify website sales - Klarna</t>
  </si>
  <si>
    <t>19/06/2026</t>
  </si>
  <si>
    <t>60P12890628813007</t>
  </si>
  <si>
    <t>0SJ86399TY3996703</t>
  </si>
  <si>
    <t>7UD3980193751774J</t>
  </si>
  <si>
    <t>20/06/2026</t>
  </si>
  <si>
    <t>09273075NN788472U</t>
  </si>
  <si>
    <t>4NP281480V447354K</t>
  </si>
  <si>
    <t>21/06/2026</t>
  </si>
  <si>
    <t>4GM44572PJ184730K</t>
  </si>
  <si>
    <t>14521151SM8304847</t>
  </si>
  <si>
    <t>44E19674MV704980V</t>
  </si>
  <si>
    <t>0HG73460JY7932513</t>
  </si>
  <si>
    <t>02G82426GY044020Y</t>
  </si>
  <si>
    <t>56888126D3676163E</t>
  </si>
  <si>
    <t>22/06/2026</t>
  </si>
  <si>
    <t>9WE39300C27355944</t>
  </si>
  <si>
    <t>15S92122C76113458</t>
  </si>
  <si>
    <t>8NU25893N3442240U</t>
  </si>
  <si>
    <t>57C59287295220537</t>
  </si>
  <si>
    <t>7BB51037TG7090202</t>
  </si>
  <si>
    <t>0ET00744187056456</t>
  </si>
  <si>
    <t>Website Sale - Website sale - Refunded</t>
  </si>
  <si>
    <t>6GM68855DS2299632</t>
  </si>
  <si>
    <t>8MK70812FU835413W</t>
  </si>
  <si>
    <t>7XJ38160CG724651U</t>
  </si>
  <si>
    <t>SHOP-AU-2026-06-22</t>
  </si>
  <si>
    <t>23/06/2026</t>
  </si>
  <si>
    <t>59S885624F7632321</t>
  </si>
  <si>
    <t>9HN820961X904474X</t>
  </si>
  <si>
    <t>9SJ22568U5040733L</t>
  </si>
  <si>
    <t>19R53444G54860306</t>
  </si>
  <si>
    <t>02V21653BR841861Y</t>
  </si>
  <si>
    <t>97C16872YA469511A</t>
  </si>
  <si>
    <t>0AD939836C9305625</t>
  </si>
  <si>
    <t xml:space="preserve">154050627         </t>
  </si>
  <si>
    <t>24/06/2026</t>
  </si>
  <si>
    <t>8DW93386SY692993D</t>
  </si>
  <si>
    <t>Sales - Wholesale - AU (210e)</t>
  </si>
  <si>
    <t>UDIS17187-32A</t>
  </si>
  <si>
    <t>Payment: UNTIL Pty Ltd</t>
  </si>
  <si>
    <t>5RX9094361907294G</t>
  </si>
  <si>
    <t>47337126EV539361E</t>
  </si>
  <si>
    <t>3H500758GG653114F</t>
  </si>
  <si>
    <t>23A20609KL5530120</t>
  </si>
  <si>
    <t>25/06/2026</t>
  </si>
  <si>
    <t>2XN21454G39238610</t>
  </si>
  <si>
    <t>693397522T131250A</t>
  </si>
  <si>
    <t>2CK11019UL126962R</t>
  </si>
  <si>
    <t>6CE991440R256535T</t>
  </si>
  <si>
    <t xml:space="preserve">154212959         </t>
  </si>
  <si>
    <t>26/06/2026</t>
  </si>
  <si>
    <t>4FK90949CY830705X</t>
  </si>
  <si>
    <t>7A05541965127293L</t>
  </si>
  <si>
    <t>76140277HW5392347</t>
  </si>
  <si>
    <t>8RR40219HM942525M</t>
  </si>
  <si>
    <t>27/06/2026</t>
  </si>
  <si>
    <t>70L19499MA122382L</t>
  </si>
  <si>
    <t>6DC029263T9340448</t>
  </si>
  <si>
    <t>4A749304E5881810M</t>
  </si>
  <si>
    <t>64453939MT2538623</t>
  </si>
  <si>
    <t>08D71848SF8394843</t>
  </si>
  <si>
    <t>7L933954UU106992V</t>
  </si>
  <si>
    <t>28/06/2026</t>
  </si>
  <si>
    <t>87942357GS4152241</t>
  </si>
  <si>
    <t>08164849GE071162C</t>
  </si>
  <si>
    <t>0ST708060T200720D</t>
  </si>
  <si>
    <t>3EN29506613755320</t>
  </si>
  <si>
    <t>8HX92870BX876550M</t>
  </si>
  <si>
    <t>29/06/2026</t>
  </si>
  <si>
    <t>INV-1149</t>
  </si>
  <si>
    <t>6TS68315XA778390D</t>
  </si>
  <si>
    <t>6W5462073J731545B</t>
  </si>
  <si>
    <t>6WA38965UF867004A</t>
  </si>
  <si>
    <t>9WM84443UX973502W</t>
  </si>
  <si>
    <t>35X65090PU163254R</t>
  </si>
  <si>
    <t>7LC08904FL2498637</t>
  </si>
  <si>
    <t xml:space="preserve">154465115         </t>
  </si>
  <si>
    <t>SHOP-AU-2026-06-29</t>
  </si>
  <si>
    <t>30/06/2026</t>
  </si>
  <si>
    <t xml:space="preserve">154592719         </t>
  </si>
  <si>
    <t>0X921907YF3657351</t>
  </si>
  <si>
    <t>85S118783F066603M</t>
  </si>
  <si>
    <t>0B643001JD689971E</t>
  </si>
  <si>
    <t>2CS432819R9144331</t>
  </si>
  <si>
    <t>5W547373NE504872C</t>
  </si>
  <si>
    <t>#149036</t>
  </si>
  <si>
    <t>GST adjustment June 2026 - 1. GST adjustment - Online Sales (gst free)</t>
  </si>
  <si>
    <t>GST adjustment June 2026 - Klarna - Sales Adjustment - debit</t>
  </si>
  <si>
    <t>Total GST on Income</t>
  </si>
  <si>
    <t>GST Free Income</t>
  </si>
  <si>
    <t>UDIS17187-31</t>
  </si>
  <si>
    <t>Recharge Income (D&amp;B UK) (260)</t>
  </si>
  <si>
    <t>INV-1147</t>
  </si>
  <si>
    <t>Payment: Dock &amp; Bay - UK</t>
  </si>
  <si>
    <t>Sales - Website - NZ (200n)</t>
  </si>
  <si>
    <t>GST adjustment June 2026 - 2. GST adjustment - Online Sales (NZ)</t>
  </si>
  <si>
    <t>Sales - Shopify - ROW (200z)</t>
  </si>
  <si>
    <t>GST adjustment June 2026 - 3. GST adjustment - Online Sales (international)</t>
  </si>
  <si>
    <t>Total GST Free Income</t>
  </si>
  <si>
    <t>GST on Expenses</t>
  </si>
  <si>
    <t>SPEND - PHOTO, VIDEO &amp; MEDIA CREATION (SHOOTS) (1000.22)</t>
  </si>
  <si>
    <t>Quest Cronulla Beach - Accomodation parking (AW26 Campaign)</t>
  </si>
  <si>
    <t>Shopify Fees - AU (405.1)</t>
  </si>
  <si>
    <t>Marketing - Amazon PPC (AU) (496)</t>
  </si>
  <si>
    <t>Seller's Fees - Amazon (AU) (311)</t>
  </si>
  <si>
    <t>Novated Lease Clearing Account (852)</t>
  </si>
  <si>
    <t>Payment: Lease Lab</t>
  </si>
  <si>
    <t>I Love Littles - Photoshoot catering (AW26 Campaign)</t>
  </si>
  <si>
    <t>Wink Models - Model (AW26 Campaign)</t>
  </si>
  <si>
    <t>Wink Models - Agency service fee</t>
  </si>
  <si>
    <t>SPEND - PHOTO, VIDEO &amp; MEDIA CREATION (OTHER COSTS) (1000.24)</t>
  </si>
  <si>
    <t>Spotlight - Props for photoshoot</t>
  </si>
  <si>
    <t>Sharon Leigh Hair and Makeup - Hair &amp; Makeup (AW26 Campaign)</t>
  </si>
  <si>
    <t>MARKETING - GOOGLE - AU (1000.18)</t>
  </si>
  <si>
    <t>Google Adwords - Google Adwords advertising</t>
  </si>
  <si>
    <t>Local Postage (1000.08)</t>
  </si>
  <si>
    <t>Interparcel - Postage for photoshoot props</t>
  </si>
  <si>
    <t>SPEND - PHOTO, VIDEO &amp; MEDIA CREATION (Set Up Costs) (1000.23)</t>
  </si>
  <si>
    <t xml:space="preserve">THE ICONIC (customer@theiconic.com.au) - Styling for shoots </t>
  </si>
  <si>
    <t>Zappy - Postage (credit on account) (sending product to models)</t>
  </si>
  <si>
    <t>Fulfilment - AU - Amazon (427.1)</t>
  </si>
  <si>
    <t>FULFILLMENT-AU-2026-05-29</t>
  </si>
  <si>
    <t>Payment: Coghlan Sydney Pty Ltd</t>
  </si>
  <si>
    <t>Fulfilment - AU - Shopify (427)</t>
  </si>
  <si>
    <t>Cleaning (428)</t>
  </si>
  <si>
    <t>Warehousing &amp; Fulfilment - AU (401.12e)</t>
  </si>
  <si>
    <t>Billies Toowoon Bay - Photography team meeting</t>
  </si>
  <si>
    <t>Bonds - Photoshoot styling (return)</t>
  </si>
  <si>
    <t>Mister Minit - Keys cut for photography studio</t>
  </si>
  <si>
    <t>Telephone &amp; Internet (489)</t>
  </si>
  <si>
    <t>Optus - Telephone</t>
  </si>
  <si>
    <t>Aldi Mobile - Phone subscription (no receipt)</t>
  </si>
  <si>
    <t>Alfa Embroidery - Embroidery service</t>
  </si>
  <si>
    <t>Subscriptions (485)</t>
  </si>
  <si>
    <t>Uber - Subscription</t>
  </si>
  <si>
    <t>FULFILLMENT-AU-2026-06-05</t>
  </si>
  <si>
    <t>Storage Fees - Website (AU) (430.1)</t>
  </si>
  <si>
    <t>Optus - Phone + internet</t>
  </si>
  <si>
    <t>FULFILLMENT-AU-2026-06-12</t>
  </si>
  <si>
    <t>Fulfilment - AU - Wholesale (427.2)</t>
  </si>
  <si>
    <t>Capture One - Software (ABN 25 186 882 095)</t>
  </si>
  <si>
    <t>GST adjustment June 2026 - Klarna - Fees Adjustment - credit</t>
  </si>
  <si>
    <t>Total GST on Expenses</t>
  </si>
  <si>
    <t>GST on Capital</t>
  </si>
  <si>
    <t>Office Equipment (710)</t>
  </si>
  <si>
    <t>Spotlight - Sewing machine for fixing props &amp; samples</t>
  </si>
  <si>
    <t>Spotlight - Item refund</t>
  </si>
  <si>
    <t>Total GST on Capital</t>
  </si>
  <si>
    <t>GST Free Expenses</t>
  </si>
  <si>
    <t>Coral Lee Conley - assistant - photoshoot</t>
  </si>
  <si>
    <t>Bank Fees - Paypal (305)</t>
  </si>
  <si>
    <t>Paypal - Paypal Fee</t>
  </si>
  <si>
    <t>Bank Fees (404)</t>
  </si>
  <si>
    <t>Quest Cronulla Beach - Bank fee</t>
  </si>
  <si>
    <t>AM Ridge N Shchegoleva - photo assistant for AW26 UGC</t>
  </si>
  <si>
    <t>Katherine Tierney - AW26 Campaign -Custom logo stickers, permanent
vinyl including transfer backing</t>
  </si>
  <si>
    <t>Wink Models - Superannuation</t>
  </si>
  <si>
    <t xml:space="preserve">Naomi Sequeira - Model - AW26 shoot </t>
  </si>
  <si>
    <t>Juliette Martin - Photography assistant AW26 shoot</t>
  </si>
  <si>
    <t>ANZ Bank - Bank fee</t>
  </si>
  <si>
    <t>Jessica Higgins - retouching 02/06/26</t>
  </si>
  <si>
    <t xml:space="preserve">AM Ridge N Shchegoleva - UGC post production AW26 campaign </t>
  </si>
  <si>
    <t>Amazon AU - Phone tripod</t>
  </si>
  <si>
    <t>Office Costs - Other (1000.07)</t>
  </si>
  <si>
    <t>Amazon AU - Coffee machine accessories</t>
  </si>
  <si>
    <t>Jessica Higgins - Retouching</t>
  </si>
  <si>
    <t>Repairs and Maintenance (473)</t>
  </si>
  <si>
    <t>Tech Centa Central Coast - iPhone repair</t>
  </si>
  <si>
    <t>Payment: Upwork</t>
  </si>
  <si>
    <t>Travel - International (494)</t>
  </si>
  <si>
    <t>Amazon AU - Tracker cards for UK travel</t>
  </si>
  <si>
    <t>Amazon AU - Hooks for studio shoot (AW26)</t>
  </si>
  <si>
    <t>Woolworths - Studio photoshoot subsistence (gst excluded component)</t>
  </si>
  <si>
    <t>Amazon AU - no receipt - to be determined</t>
  </si>
  <si>
    <t xml:space="preserve">Jessica Higgins - retouching </t>
  </si>
  <si>
    <t>MARKETING - FACEBOOK - AU (1000.19)</t>
  </si>
  <si>
    <t>Payment: Facebook Marketing</t>
  </si>
  <si>
    <t>24 Mini Cab Services - Transport, AW26 Supper Club Campaign</t>
  </si>
  <si>
    <t>24 Mini Cab Services - Transport, AW26 Xmas Campaign</t>
  </si>
  <si>
    <t>INSURANCE - BUSINESS (490.1)</t>
  </si>
  <si>
    <t>INV-1146</t>
  </si>
  <si>
    <t>Payment: Caspian Insurance</t>
  </si>
  <si>
    <t>Flyne AI - AI software (USD $19.99)</t>
  </si>
  <si>
    <t>Management Fees - D&amp;B (350)</t>
  </si>
  <si>
    <t>Total GST Free Expenses</t>
  </si>
  <si>
    <t>BAS Excluded</t>
  </si>
  <si>
    <t>Payroll Expense Journal - PD-305</t>
  </si>
  <si>
    <t>Payroll Expense Journal - PD-305 - Earnings</t>
  </si>
  <si>
    <t>Wages Payable - Payroll (814)</t>
  </si>
  <si>
    <t>Payroll Expense Journal - PD-305 - Wages Payable</t>
  </si>
  <si>
    <t>Wages Payable</t>
  </si>
  <si>
    <t>Wages Payable - Salaries</t>
  </si>
  <si>
    <t>Payroll Expense Journal - PD-307</t>
  </si>
  <si>
    <t>Payroll Expense Journal - PD-307 - Earnings</t>
  </si>
  <si>
    <t>Payroll Expense Journal - PD-307 - Wages Payable</t>
  </si>
  <si>
    <t>Salaries (477)</t>
  </si>
  <si>
    <t>Payroll Expense Journal - PD-340</t>
  </si>
  <si>
    <t>Payroll Expense Journal - PD-340 - Earnings</t>
  </si>
  <si>
    <t>PAYG Withholdings Payable (825)</t>
  </si>
  <si>
    <t>Payroll Expense Journal - PD-340 - Tax</t>
  </si>
  <si>
    <t>Pension Costs (Superannuation) (478)</t>
  </si>
  <si>
    <t>Payroll Expense Journal - PD-340 - Superannuation Expense</t>
  </si>
  <si>
    <t>Superannuation Payable (826)</t>
  </si>
  <si>
    <t>Payroll Expense Journal - PD-340 - Superannuation Liability</t>
  </si>
  <si>
    <t>Payroll Expense Journal - PD-340 - Wages Payable</t>
  </si>
  <si>
    <t>Payroll Expense Journal - PD-341</t>
  </si>
  <si>
    <t>Payroll Expense Journal - PD-341 - Earnings</t>
  </si>
  <si>
    <t>General (Other) (479)</t>
  </si>
  <si>
    <t>Payroll Expense Journal - PD-341 - Tax</t>
  </si>
  <si>
    <t>Payroll Expense Journal - PD-341 - Deductions</t>
  </si>
  <si>
    <t>Payroll Expense Journal - PD-341 - Superannuation Expense</t>
  </si>
  <si>
    <t>Payroll Expense Journal - PD-341 - Superannuation Liability</t>
  </si>
  <si>
    <t>Payroll Expense Journal - PD-341 - Wages Payable</t>
  </si>
  <si>
    <t>Payroll Expense Journal - PD-343</t>
  </si>
  <si>
    <t>Payroll Expense Journal - PD-343 - Earnings</t>
  </si>
  <si>
    <t>Payroll Expense Journal - PD-343 - Wages Payable</t>
  </si>
  <si>
    <t>Superannuation - Superannuartion payment</t>
  </si>
  <si>
    <t>Directors Current Account - Ben (972)</t>
  </si>
  <si>
    <t>Expense</t>
  </si>
  <si>
    <t>Ben Muller - Expenses</t>
  </si>
  <si>
    <t>Payroll Expense Journal - PD-342</t>
  </si>
  <si>
    <t>Payroll Expense Journal - PD-342 - Earnings</t>
  </si>
  <si>
    <t>Payroll Expense Journal - PD-342 - Tax</t>
  </si>
  <si>
    <t>Payroll Expense Journal - PD-342 - Superannuation Expense</t>
  </si>
  <si>
    <t>Payroll Expense Journal - PD-342 - Superannuation Liability</t>
  </si>
  <si>
    <t>Payroll Expense Journal - PD-342 - Wages Payable</t>
  </si>
  <si>
    <t>Woolworths - Persaonal items</t>
  </si>
  <si>
    <t>Borough Markets - personl</t>
  </si>
  <si>
    <t>Payroll Expense Journal - PD-344</t>
  </si>
  <si>
    <t>Payroll Expense Journal - PD-344 - Earnings</t>
  </si>
  <si>
    <t>Payroll Expense Journal - PD-344 - Tax</t>
  </si>
  <si>
    <t>Suspense (850)</t>
  </si>
  <si>
    <t>Payroll Expense Journal - PD-344 - Reimbursements</t>
  </si>
  <si>
    <t>Payroll Expense Journal - PD-344 - Superannuation Expense</t>
  </si>
  <si>
    <t>Payroll Expense Journal - PD-344 - Superannuation Liability</t>
  </si>
  <si>
    <t>Payroll Expense Journal - PD-344 - Wages Payable</t>
  </si>
  <si>
    <t>ATO ICA (250)</t>
  </si>
  <si>
    <t>ATO Australian Tax Office</t>
  </si>
  <si>
    <t>Loan - Dock &amp; Bay Ltd (UK) (901)</t>
  </si>
  <si>
    <t xml:space="preserve">DHL - Global freight. Paid for UK account </t>
  </si>
  <si>
    <t>Waitrose - loan purchase</t>
  </si>
  <si>
    <t>Total BAS Excluded</t>
  </si>
  <si>
    <t>Transactions by BAS Field</t>
  </si>
  <si>
    <t>G1 - Total sales</t>
  </si>
  <si>
    <t>1A - GST on sales</t>
  </si>
  <si>
    <t>1B - GST on purchases</t>
  </si>
  <si>
    <t>Pillar Query</t>
  </si>
  <si>
    <t>Client Response</t>
  </si>
  <si>
    <t>Confirm if with GST or not?</t>
  </si>
  <si>
    <t>Move to 	Storage Fees - Website (AU)?</t>
  </si>
  <si>
    <t>Ok - ABN 89 651 841 191</t>
  </si>
  <si>
    <r>
      <t xml:space="preserve">Move to GST Free </t>
    </r>
    <r>
      <rPr>
        <b/>
        <sz val="9"/>
        <color rgb="FFFF0000"/>
        <rFont val="Calibri"/>
        <family val="2"/>
        <scheme val="minor"/>
      </rPr>
      <t>&gt;&gt;&gt;</t>
    </r>
  </si>
  <si>
    <t>Ok - receipt checked</t>
  </si>
  <si>
    <t>Ok - invoice checked</t>
  </si>
  <si>
    <t>Ok</t>
  </si>
  <si>
    <t>Ok - based in UK</t>
  </si>
  <si>
    <t>Ok - ABN 13 832 894 361</t>
  </si>
  <si>
    <t>Ok - ABN 24 837 595 283</t>
  </si>
  <si>
    <t>Move to Wages Payable - Payroll?</t>
  </si>
  <si>
    <t>&lt;matched&gt;</t>
  </si>
  <si>
    <t>D- GST</t>
  </si>
  <si>
    <t>Total</t>
  </si>
  <si>
    <t>This should go an account such as "Other Income", or "Proceeds from Insurance Claim" GST Free income</t>
  </si>
  <si>
    <t xml:space="preserve">Suppliers is registered so Move to GST on Expenses (ABN 93 608 530 061)? </t>
  </si>
  <si>
    <t>Move to GST Free (ABN 14 733 239 034 is not currently registered for GST)? Her invoice mentions GST so would be good to raise with her (she hasn't been registered since 2013)</t>
  </si>
  <si>
    <t>confirmed yes gst (shpped from australia)</t>
  </si>
  <si>
    <t>confirmed no gst (shipped from china)</t>
  </si>
  <si>
    <t>can you please action as this was created from payroll process automatically, not from me creating a transaction</t>
  </si>
  <si>
    <t>changed</t>
  </si>
  <si>
    <t>this is the payment they reimbursed . It should allign to net to 0 https://go.xero.com/Bank/ViewTransaction.aspx?bankTransactionID=8bb867ff-5e02-4f16-9624-7d3ecd65da1a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</si>
</sst>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2" x14ac:knownFonts="1">
    <font>
      <sz val="11"/>
      <color theme="1"/>
      <name val="Calibri"/>
      <family val="2"/>
      <scheme val="minor"/>
    </font>
    <font>
      <b/>
      <sz val="12"/>
      <name val="Arial"/>
      <family val="2"/>
    </font>
    <font>
      <b/>
      <sz val="10"/>
      <name val="Arial"/>
      <family val="2"/>
    </font>
    <font>
      <sz val="9"/>
      <name val="Arial"/>
      <family val="2"/>
    </font>
    <font>
      <b/>
      <sz val="9"/>
      <name val="Arial"/>
      <family val="2"/>
    </font>
    <font>
      <sz val="11"/>
      <color theme="1"/>
      <name val="Calibri"/>
      <family val="2"/>
      <scheme val="minor"/>
    </font>
    <font>
      <b/>
      <sz val="11"/>
      <color theme="1"/>
      <name val="Calibri"/>
      <family val="2"/>
      <scheme val="minor"/>
    </font>
    <font>
      <sz val="9"/>
      <color theme="1"/>
      <name val="Calibri"/>
      <family val="2"/>
      <scheme val="minor"/>
    </font>
    <font>
      <b/>
      <sz val="9"/>
      <name val="Arial"/>
      <family val="2"/>
    </font>
    <font>
      <sz val="9"/>
      <name val="Arial"/>
      <family val="2"/>
    </font>
    <font>
      <b/>
      <sz val="9"/>
      <color rgb="FFFF0000"/>
      <name val="Calibri"/>
      <family val="2"/>
      <scheme val="minor"/>
    </font>
    <font>
      <b/>
      <sz val="11"/>
      <color rgb="FFFF0000"/>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59999389629810485"/>
        <bgColor indexed="64"/>
      </patternFill>
    </fill>
  </fills>
  <borders count="6">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164" fontId="5" fillId="0" borderId="0" applyFont="0" applyFill="0" applyBorder="0" applyAlignment="0" applyProtection="0"/>
  </cellStyleXfs>
  <cellXfs count="35">
    <xf numFmtId="0" fontId="0" fillId="0" borderId="0" xfId="0"/>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37" fontId="3" fillId="0" borderId="0" xfId="0" applyNumberFormat="1" applyFont="1" applyAlignment="1">
      <alignment horizontal="right"/>
    </xf>
    <xf numFmtId="0" fontId="4" fillId="0" borderId="1" xfId="0" applyFont="1" applyBorder="1" applyAlignment="1">
      <alignment horizontal="left"/>
    </xf>
    <xf numFmtId="37" fontId="4" fillId="0" borderId="1" xfId="0" applyNumberFormat="1" applyFont="1" applyBorder="1" applyAlignment="1">
      <alignment horizontal="right"/>
    </xf>
    <xf numFmtId="0" fontId="2" fillId="0" borderId="0" xfId="0" applyFont="1" applyAlignment="1">
      <alignment horizontal="left"/>
    </xf>
    <xf numFmtId="39" fontId="3" fillId="0" borderId="0" xfId="0" applyNumberFormat="1" applyFont="1" applyAlignment="1">
      <alignment horizontal="right"/>
    </xf>
    <xf numFmtId="0" fontId="0" fillId="0" borderId="1" xfId="0" applyBorder="1"/>
    <xf numFmtId="39"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39" fontId="3" fillId="0" borderId="1" xfId="0" applyNumberFormat="1" applyFont="1" applyBorder="1" applyAlignment="1">
      <alignment horizontal="right"/>
    </xf>
    <xf numFmtId="0" fontId="3" fillId="3" borderId="0" xfId="0" applyFont="1" applyFill="1" applyAlignment="1">
      <alignment horizontal="left"/>
    </xf>
    <xf numFmtId="39" fontId="3" fillId="3" borderId="0" xfId="0" applyNumberFormat="1" applyFont="1" applyFill="1" applyAlignment="1">
      <alignment horizontal="right"/>
    </xf>
    <xf numFmtId="0" fontId="7" fillId="4" borderId="2" xfId="0" applyFont="1" applyFill="1" applyBorder="1" applyAlignment="1">
      <alignment wrapText="1"/>
    </xf>
    <xf numFmtId="0" fontId="7" fillId="5" borderId="2" xfId="0" applyFont="1" applyFill="1" applyBorder="1" applyAlignment="1">
      <alignment wrapText="1"/>
    </xf>
    <xf numFmtId="0" fontId="9" fillId="0" borderId="0" xfId="0" applyFont="1" applyAlignment="1">
      <alignment horizontal="left"/>
    </xf>
    <xf numFmtId="39" fontId="8" fillId="2" borderId="0" xfId="0" applyNumberFormat="1" applyFont="1" applyFill="1" applyAlignment="1">
      <alignment horizontal="right"/>
    </xf>
    <xf numFmtId="39" fontId="9" fillId="0" borderId="0" xfId="0" applyNumberFormat="1" applyFont="1" applyAlignment="1">
      <alignment horizontal="right"/>
    </xf>
    <xf numFmtId="0" fontId="11" fillId="0" borderId="0" xfId="0" applyFont="1"/>
    <xf numFmtId="165" fontId="6" fillId="3" borderId="0" xfId="1" applyNumberFormat="1" applyFont="1" applyFill="1"/>
    <xf numFmtId="37" fontId="0" fillId="0" borderId="0" xfId="0" applyNumberFormat="1"/>
    <xf numFmtId="165" fontId="0" fillId="0" borderId="0" xfId="1" applyNumberFormat="1" applyFont="1"/>
    <xf numFmtId="165" fontId="0" fillId="0" borderId="0" xfId="0" applyNumberFormat="1"/>
    <xf numFmtId="0" fontId="0" fillId="0" borderId="5" xfId="0" applyBorder="1"/>
    <xf numFmtId="37" fontId="6" fillId="0" borderId="5" xfId="0" applyNumberFormat="1" applyFont="1" applyBorder="1"/>
    <xf numFmtId="0" fontId="0" fillId="0" borderId="0" xfId="0" applyAlignment="1">
      <alignment horizontal="center"/>
    </xf>
    <xf numFmtId="37" fontId="6" fillId="0" borderId="0" xfId="0" applyNumberFormat="1" applyFont="1"/>
    <xf numFmtId="0" fontId="1" fillId="0" borderId="0" xfId="0" applyFont="1" applyAlignment="1">
      <alignment horizontal="center"/>
    </xf>
    <xf numFmtId="0" fontId="2" fillId="0" borderId="0" xfId="0" applyFont="1" applyAlignment="1">
      <alignment horizontal="center"/>
    </xf>
    <xf numFmtId="0" fontId="7" fillId="4" borderId="3" xfId="0" applyFont="1" applyFill="1" applyBorder="1" applyAlignment="1">
      <alignment horizontal="left" vertical="center" wrapText="1"/>
    </xf>
    <xf numFmtId="0" fontId="7" fillId="4" borderId="4" xfId="0" applyFont="1" applyFill="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304799</xdr:colOff>
      <xdr:row>6</xdr:row>
      <xdr:rowOff>58497</xdr:rowOff>
    </xdr:from>
    <xdr:to>
      <xdr:col>21</xdr:col>
      <xdr:colOff>495300</xdr:colOff>
      <xdr:row>28</xdr:row>
      <xdr:rowOff>131531</xdr:rowOff>
    </xdr:to>
    <xdr:pic>
      <xdr:nvPicPr>
        <xdr:cNvPr id="3" name="Picture 2">
          <a:extLst>
            <a:ext uri="{FF2B5EF4-FFF2-40B4-BE49-F238E27FC236}">
              <a16:creationId xmlns:a16="http://schemas.microsoft.com/office/drawing/2014/main" id="{AE2F3CDD-87EB-50E9-4EC2-0D0BC404F0F4}"/>
            </a:ext>
          </a:extLst>
        </xdr:cNvPr>
        <xdr:cNvPicPr>
          <a:picLocks noChangeAspect="1"/>
        </xdr:cNvPicPr>
      </xdr:nvPicPr>
      <xdr:blipFill>
        <a:blip xmlns:r="http://schemas.openxmlformats.org/officeDocument/2006/relationships" r:embed="rId1"/>
        <a:stretch>
          <a:fillRect/>
        </a:stretch>
      </xdr:blipFill>
      <xdr:spPr>
        <a:xfrm>
          <a:off x="6715124" y="1163397"/>
          <a:ext cx="9334501" cy="405829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6</xdr:col>
      <xdr:colOff>302897</xdr:colOff>
      <xdr:row>29</xdr:row>
      <xdr:rowOff>62867</xdr:rowOff>
    </xdr:from>
    <xdr:to>
      <xdr:col>21</xdr:col>
      <xdr:colOff>472441</xdr:colOff>
      <xdr:row>44</xdr:row>
      <xdr:rowOff>20859</xdr:rowOff>
    </xdr:to>
    <xdr:pic>
      <xdr:nvPicPr>
        <xdr:cNvPr id="4" name="Picture 3">
          <a:extLst>
            <a:ext uri="{FF2B5EF4-FFF2-40B4-BE49-F238E27FC236}">
              <a16:creationId xmlns:a16="http://schemas.microsoft.com/office/drawing/2014/main" id="{5D4DBCEC-1B14-142F-0DAE-308787AA36D4}"/>
            </a:ext>
          </a:extLst>
        </xdr:cNvPr>
        <xdr:cNvPicPr>
          <a:picLocks noChangeAspect="1"/>
        </xdr:cNvPicPr>
      </xdr:nvPicPr>
      <xdr:blipFill>
        <a:blip xmlns:r="http://schemas.openxmlformats.org/officeDocument/2006/relationships" r:embed="rId2"/>
        <a:stretch>
          <a:fillRect/>
        </a:stretch>
      </xdr:blipFill>
      <xdr:spPr>
        <a:xfrm>
          <a:off x="6713222" y="5330192"/>
          <a:ext cx="9313544" cy="266499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6</xdr:col>
      <xdr:colOff>295275</xdr:colOff>
      <xdr:row>44</xdr:row>
      <xdr:rowOff>114300</xdr:rowOff>
    </xdr:from>
    <xdr:to>
      <xdr:col>15</xdr:col>
      <xdr:colOff>116945</xdr:colOff>
      <xdr:row>52</xdr:row>
      <xdr:rowOff>74492</xdr:rowOff>
    </xdr:to>
    <xdr:pic>
      <xdr:nvPicPr>
        <xdr:cNvPr id="2" name="Picture 1">
          <a:extLst>
            <a:ext uri="{FF2B5EF4-FFF2-40B4-BE49-F238E27FC236}">
              <a16:creationId xmlns:a16="http://schemas.microsoft.com/office/drawing/2014/main" id="{C09412D6-8C60-A844-14D2-473C6D60C20E}"/>
            </a:ext>
          </a:extLst>
        </xdr:cNvPr>
        <xdr:cNvPicPr>
          <a:picLocks noChangeAspect="1"/>
        </xdr:cNvPicPr>
      </xdr:nvPicPr>
      <xdr:blipFill>
        <a:blip xmlns:r="http://schemas.openxmlformats.org/officeDocument/2006/relationships" r:embed="rId3"/>
        <a:stretch>
          <a:fillRect/>
        </a:stretch>
      </xdr:blipFill>
      <xdr:spPr>
        <a:xfrm>
          <a:off x="8134350" y="8096250"/>
          <a:ext cx="5308070" cy="140799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236220</xdr:colOff>
      <xdr:row>182</xdr:row>
      <xdr:rowOff>150495</xdr:rowOff>
    </xdr:from>
    <xdr:to>
      <xdr:col>15</xdr:col>
      <xdr:colOff>78593</xdr:colOff>
      <xdr:row>451</xdr:row>
      <xdr:rowOff>171974</xdr:rowOff>
    </xdr:to>
    <xdr:pic>
      <xdr:nvPicPr>
        <xdr:cNvPr id="2" name="Picture 1">
          <a:extLst>
            <a:ext uri="{FF2B5EF4-FFF2-40B4-BE49-F238E27FC236}">
              <a16:creationId xmlns:a16="http://schemas.microsoft.com/office/drawing/2014/main" id="{D19C254E-E2DA-14BE-5CA3-1877DDCA2A76}"/>
            </a:ext>
          </a:extLst>
        </xdr:cNvPr>
        <xdr:cNvPicPr>
          <a:picLocks noChangeAspect="1"/>
        </xdr:cNvPicPr>
      </xdr:nvPicPr>
      <xdr:blipFill>
        <a:blip xmlns:r="http://schemas.openxmlformats.org/officeDocument/2006/relationships" r:embed="rId1"/>
        <a:stretch>
          <a:fillRect/>
        </a:stretch>
      </xdr:blipFill>
      <xdr:spPr>
        <a:xfrm>
          <a:off x="16847820" y="33106995"/>
          <a:ext cx="3499973" cy="375718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1B397A-AC07-4761-ACB6-01EDC5A5758F}">
  <we:reference id="wa104381841" version="1.0.2.2" store="en-GB" storeType="OMEX"/>
  <we:alternateReferences>
    <we:reference id="WA104381841" version="1.0.2.2"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1"/>
  <sheetViews>
    <sheetView topLeftCell="A9" workbookViewId="0">
      <selection activeCell="F22" sqref="F22"/>
    </sheetView>
  </sheetViews>
  <sheetFormatPr baseColWidth="10" defaultColWidth="8.83203125" defaultRowHeight="15" x14ac:dyDescent="0.2"/>
  <cols>
    <col min="1" max="1" width="64" customWidth="1"/>
    <col min="2" max="2" width="4" customWidth="1"/>
    <col min="3" max="3" width="15" customWidth="1"/>
    <col min="4" max="6" width="10.5" customWidth="1"/>
    <col min="23" max="23" width="12.33203125" bestFit="1" customWidth="1"/>
  </cols>
  <sheetData>
    <row r="1" spans="1:7" ht="16" x14ac:dyDescent="0.2">
      <c r="A1" s="31" t="s">
        <v>0</v>
      </c>
      <c r="B1" s="31"/>
      <c r="C1" s="31"/>
    </row>
    <row r="2" spans="1:7" x14ac:dyDescent="0.2">
      <c r="A2" s="32" t="s">
        <v>1</v>
      </c>
      <c r="B2" s="32"/>
      <c r="C2" s="32"/>
    </row>
    <row r="3" spans="1:7" x14ac:dyDescent="0.2">
      <c r="A3" s="32" t="s">
        <v>2</v>
      </c>
      <c r="B3" s="32"/>
      <c r="C3" s="32"/>
    </row>
    <row r="6" spans="1:7" x14ac:dyDescent="0.2">
      <c r="A6" s="2" t="s">
        <v>3</v>
      </c>
      <c r="C6" s="3" t="s">
        <v>4</v>
      </c>
    </row>
    <row r="7" spans="1:7" x14ac:dyDescent="0.2">
      <c r="A7" s="2" t="s">
        <v>5</v>
      </c>
      <c r="C7" s="3" t="s">
        <v>6</v>
      </c>
      <c r="D7" s="29" t="s">
        <v>422</v>
      </c>
      <c r="E7" s="29" t="s">
        <v>423</v>
      </c>
      <c r="F7" s="29"/>
    </row>
    <row r="9" spans="1:7" x14ac:dyDescent="0.2">
      <c r="A9" s="4" t="s">
        <v>7</v>
      </c>
    </row>
    <row r="10" spans="1:7" x14ac:dyDescent="0.2">
      <c r="A10" s="2" t="s">
        <v>8</v>
      </c>
      <c r="B10" s="2" t="s">
        <v>9</v>
      </c>
      <c r="C10" s="5">
        <v>333017</v>
      </c>
      <c r="E10" s="24">
        <f>C10+D10</f>
        <v>333017</v>
      </c>
      <c r="F10" s="24"/>
    </row>
    <row r="11" spans="1:7" x14ac:dyDescent="0.2">
      <c r="A11" s="2" t="s">
        <v>10</v>
      </c>
      <c r="B11" s="2" t="s">
        <v>11</v>
      </c>
      <c r="C11" s="3" t="s">
        <v>12</v>
      </c>
    </row>
    <row r="13" spans="1:7" x14ac:dyDescent="0.2">
      <c r="A13" s="4" t="s">
        <v>13</v>
      </c>
    </row>
    <row r="14" spans="1:7" x14ac:dyDescent="0.2">
      <c r="A14" s="2" t="s">
        <v>14</v>
      </c>
      <c r="B14" s="2" t="s">
        <v>15</v>
      </c>
      <c r="C14" s="5">
        <v>67801</v>
      </c>
      <c r="D14" s="22"/>
      <c r="E14" s="24">
        <f>C14+D14</f>
        <v>67801</v>
      </c>
      <c r="F14" s="22" t="s">
        <v>421</v>
      </c>
      <c r="G14" s="22"/>
    </row>
    <row r="15" spans="1:7" x14ac:dyDescent="0.2">
      <c r="A15" s="2" t="s">
        <v>16</v>
      </c>
      <c r="B15" s="2" t="s">
        <v>17</v>
      </c>
      <c r="C15" s="5">
        <v>16380</v>
      </c>
      <c r="D15" s="22"/>
      <c r="E15" s="24">
        <f>C15+D15</f>
        <v>16380</v>
      </c>
      <c r="F15" s="22" t="s">
        <v>421</v>
      </c>
    </row>
    <row r="16" spans="1:7" x14ac:dyDescent="0.2">
      <c r="A16" s="2" t="s">
        <v>18</v>
      </c>
      <c r="B16" s="2" t="s">
        <v>19</v>
      </c>
      <c r="C16" s="5"/>
    </row>
    <row r="17" spans="1:23" x14ac:dyDescent="0.2">
      <c r="A17" s="2" t="s">
        <v>20</v>
      </c>
      <c r="B17" s="2" t="s">
        <v>21</v>
      </c>
      <c r="C17" s="5"/>
    </row>
    <row r="18" spans="1:23" x14ac:dyDescent="0.2">
      <c r="A18" s="2" t="s">
        <v>22</v>
      </c>
      <c r="B18" s="2" t="s">
        <v>23</v>
      </c>
      <c r="C18" s="5">
        <v>16380</v>
      </c>
      <c r="E18" s="24">
        <f>SUM(E15:E17)</f>
        <v>16380</v>
      </c>
      <c r="F18" s="24"/>
    </row>
    <row r="20" spans="1:23" x14ac:dyDescent="0.2">
      <c r="A20" s="4" t="s">
        <v>24</v>
      </c>
    </row>
    <row r="21" spans="1:23" x14ac:dyDescent="0.2">
      <c r="A21" s="2" t="s">
        <v>25</v>
      </c>
      <c r="B21" s="2" t="s">
        <v>26</v>
      </c>
      <c r="C21" s="5"/>
      <c r="W21" s="23">
        <f>ROUNDDOWN(69935-2133.27,0)</f>
        <v>67801</v>
      </c>
    </row>
    <row r="22" spans="1:23" x14ac:dyDescent="0.2">
      <c r="A22" s="2" t="s">
        <v>27</v>
      </c>
      <c r="B22" s="2" t="s">
        <v>11</v>
      </c>
      <c r="C22" s="3" t="s">
        <v>11</v>
      </c>
    </row>
    <row r="23" spans="1:23" x14ac:dyDescent="0.2">
      <c r="A23" s="2" t="s">
        <v>28</v>
      </c>
      <c r="B23" s="2" t="s">
        <v>29</v>
      </c>
      <c r="C23" s="5"/>
    </row>
    <row r="24" spans="1:23" x14ac:dyDescent="0.2">
      <c r="A24" s="2" t="s">
        <v>30</v>
      </c>
      <c r="B24" s="2" t="s">
        <v>31</v>
      </c>
      <c r="C24" s="5"/>
    </row>
    <row r="25" spans="1:23" x14ac:dyDescent="0.2">
      <c r="A25" s="2" t="s">
        <v>32</v>
      </c>
      <c r="B25" s="2" t="s">
        <v>33</v>
      </c>
      <c r="C25" s="5"/>
    </row>
    <row r="27" spans="1:23" x14ac:dyDescent="0.2">
      <c r="A27" s="4" t="s">
        <v>34</v>
      </c>
    </row>
    <row r="28" spans="1:23" x14ac:dyDescent="0.2">
      <c r="A28" s="2" t="s">
        <v>35</v>
      </c>
      <c r="B28" s="2" t="s">
        <v>36</v>
      </c>
      <c r="C28" s="5">
        <v>14514</v>
      </c>
      <c r="E28" s="24">
        <f>C28+D28</f>
        <v>14514</v>
      </c>
      <c r="F28" s="24"/>
    </row>
    <row r="29" spans="1:23" x14ac:dyDescent="0.2">
      <c r="A29" s="2" t="s">
        <v>37</v>
      </c>
      <c r="B29" s="2" t="s">
        <v>38</v>
      </c>
      <c r="C29" s="5">
        <v>16380</v>
      </c>
      <c r="E29" s="24">
        <f>C29+D29</f>
        <v>16380</v>
      </c>
      <c r="F29" s="24"/>
    </row>
    <row r="30" spans="1:23" x14ac:dyDescent="0.2">
      <c r="A30" s="2" t="s">
        <v>39</v>
      </c>
      <c r="B30" s="2" t="s">
        <v>40</v>
      </c>
      <c r="C30" s="5"/>
    </row>
    <row r="31" spans="1:23" x14ac:dyDescent="0.2">
      <c r="A31" s="2" t="s">
        <v>41</v>
      </c>
      <c r="B31" s="2" t="s">
        <v>42</v>
      </c>
      <c r="C31" s="5"/>
      <c r="D31" s="25">
        <v>6400.96</v>
      </c>
      <c r="E31" s="24">
        <f>C31+D31</f>
        <v>6400.96</v>
      </c>
      <c r="F31" s="24"/>
    </row>
    <row r="32" spans="1:23" x14ac:dyDescent="0.2">
      <c r="A32" s="2" t="s">
        <v>43</v>
      </c>
      <c r="B32" s="2" t="s">
        <v>44</v>
      </c>
      <c r="C32" s="5">
        <v>30894</v>
      </c>
      <c r="D32" s="25">
        <f>SUM(D28:D31)</f>
        <v>6400.96</v>
      </c>
      <c r="E32" s="24">
        <f>C32+D32</f>
        <v>37294.959999999999</v>
      </c>
      <c r="F32" s="24"/>
    </row>
    <row r="34" spans="1:6" x14ac:dyDescent="0.2">
      <c r="A34" s="4" t="s">
        <v>45</v>
      </c>
    </row>
    <row r="35" spans="1:6" x14ac:dyDescent="0.2">
      <c r="A35" s="2" t="s">
        <v>46</v>
      </c>
      <c r="B35" s="2" t="s">
        <v>47</v>
      </c>
      <c r="C35" s="5">
        <v>5285</v>
      </c>
      <c r="D35" s="25">
        <v>6400.96</v>
      </c>
      <c r="E35" s="24">
        <f>C35+D35</f>
        <v>11685.96</v>
      </c>
      <c r="F35" s="24"/>
    </row>
    <row r="36" spans="1:6" x14ac:dyDescent="0.2">
      <c r="A36" s="2" t="s">
        <v>48</v>
      </c>
      <c r="B36" s="2" t="s">
        <v>49</v>
      </c>
      <c r="C36" s="5"/>
    </row>
    <row r="37" spans="1:6" x14ac:dyDescent="0.2">
      <c r="A37" s="2" t="s">
        <v>50</v>
      </c>
      <c r="B37" s="2" t="s">
        <v>51</v>
      </c>
      <c r="C37" s="5">
        <v>5285</v>
      </c>
      <c r="D37" s="26">
        <f>SUM(D35:D36)</f>
        <v>6400.96</v>
      </c>
      <c r="E37" s="24">
        <f>SUM(E35:E36)</f>
        <v>11685.96</v>
      </c>
      <c r="F37" s="24"/>
    </row>
    <row r="39" spans="1:6" x14ac:dyDescent="0.2">
      <c r="A39" s="4" t="s">
        <v>52</v>
      </c>
    </row>
    <row r="40" spans="1:6" x14ac:dyDescent="0.2">
      <c r="A40" s="2" t="s">
        <v>53</v>
      </c>
      <c r="B40" s="2" t="s">
        <v>11</v>
      </c>
      <c r="C40" s="3" t="s">
        <v>12</v>
      </c>
    </row>
    <row r="41" spans="1:6" x14ac:dyDescent="0.2">
      <c r="A41" s="6" t="s">
        <v>54</v>
      </c>
      <c r="B41" s="6" t="s">
        <v>55</v>
      </c>
      <c r="C41" s="7">
        <v>25609</v>
      </c>
      <c r="D41" s="27"/>
      <c r="E41" s="28">
        <f>E32-E37</f>
        <v>25609</v>
      </c>
      <c r="F41" s="30"/>
    </row>
  </sheetData>
  <mergeCells count="3">
    <mergeCell ref="A1:C1"/>
    <mergeCell ref="A2:C2"/>
    <mergeCell ref="A3:C3"/>
  </mergeCells>
  <pageMargins left="0.7" right="0.7" top="0.75" bottom="0.75" header="0.3" footer="0.3"/>
  <pageSetup orientation="portrait" horizontalDpi="4294967295" verticalDpi="4294967295"/>
  <ignoredErrors>
    <ignoredError sqref="C6 B29 B41" numberStoredAsText="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442"/>
  <sheetViews>
    <sheetView tabSelected="1" topLeftCell="D1" workbookViewId="0">
      <selection activeCell="H446" sqref="H446"/>
    </sheetView>
  </sheetViews>
  <sheetFormatPr baseColWidth="10" defaultColWidth="8.83203125" defaultRowHeight="15" x14ac:dyDescent="0.2"/>
  <cols>
    <col min="1" max="1" width="15" customWidth="1"/>
    <col min="2" max="3" width="25" customWidth="1"/>
    <col min="4" max="4" width="64.5" customWidth="1"/>
    <col min="5" max="7" width="15" customWidth="1"/>
    <col min="8" max="9" width="40.1640625" customWidth="1"/>
  </cols>
  <sheetData>
    <row r="1" spans="1:9" ht="16" x14ac:dyDescent="0.2">
      <c r="A1" s="31" t="s">
        <v>56</v>
      </c>
      <c r="B1" s="31"/>
      <c r="C1" s="31"/>
      <c r="D1" s="31"/>
      <c r="E1" s="31"/>
      <c r="F1" s="31"/>
      <c r="G1" s="31"/>
    </row>
    <row r="2" spans="1:9" hidden="1" x14ac:dyDescent="0.2">
      <c r="A2" s="32" t="s">
        <v>1</v>
      </c>
      <c r="B2" s="32"/>
      <c r="C2" s="32"/>
      <c r="D2" s="32"/>
      <c r="E2" s="32"/>
      <c r="F2" s="32"/>
      <c r="G2" s="32"/>
    </row>
    <row r="3" spans="1:9" hidden="1" x14ac:dyDescent="0.2">
      <c r="A3" s="32" t="s">
        <v>57</v>
      </c>
      <c r="B3" s="32"/>
      <c r="C3" s="32"/>
      <c r="D3" s="32"/>
      <c r="E3" s="32"/>
      <c r="F3" s="32"/>
      <c r="G3" s="32"/>
    </row>
    <row r="4" spans="1:9" hidden="1" x14ac:dyDescent="0.2"/>
    <row r="5" spans="1:9" x14ac:dyDescent="0.2">
      <c r="A5" s="8" t="s">
        <v>58</v>
      </c>
      <c r="B5" s="8" t="s">
        <v>59</v>
      </c>
      <c r="C5" s="8" t="s">
        <v>60</v>
      </c>
      <c r="D5" s="8" t="s">
        <v>61</v>
      </c>
      <c r="E5" s="8" t="s">
        <v>62</v>
      </c>
      <c r="F5" s="8" t="s">
        <v>63</v>
      </c>
      <c r="G5" s="8" t="s">
        <v>64</v>
      </c>
      <c r="H5" s="1" t="s">
        <v>408</v>
      </c>
      <c r="I5" s="1" t="s">
        <v>409</v>
      </c>
    </row>
    <row r="6" spans="1:9" hidden="1" x14ac:dyDescent="0.2"/>
    <row r="7" spans="1:9" hidden="1" x14ac:dyDescent="0.2">
      <c r="A7" s="4" t="s">
        <v>65</v>
      </c>
    </row>
    <row r="8" spans="1:9" hidden="1" x14ac:dyDescent="0.2">
      <c r="A8" s="2" t="s">
        <v>66</v>
      </c>
      <c r="B8" s="2" t="s">
        <v>73</v>
      </c>
      <c r="C8" s="2" t="s">
        <v>74</v>
      </c>
      <c r="D8" s="2" t="s">
        <v>75</v>
      </c>
      <c r="E8" s="9">
        <v>8568.8799999999992</v>
      </c>
      <c r="F8" s="9">
        <v>778.99</v>
      </c>
      <c r="G8" s="9">
        <v>7789.89</v>
      </c>
      <c r="H8" s="17"/>
      <c r="I8" s="18"/>
    </row>
    <row r="9" spans="1:9" hidden="1" x14ac:dyDescent="0.2">
      <c r="A9" s="2" t="s">
        <v>66</v>
      </c>
      <c r="B9" s="2" t="s">
        <v>73</v>
      </c>
      <c r="C9" s="2" t="s">
        <v>74</v>
      </c>
      <c r="D9" s="2" t="s">
        <v>75</v>
      </c>
      <c r="E9" s="9">
        <v>-253.5</v>
      </c>
      <c r="F9" s="9">
        <v>-23.05</v>
      </c>
      <c r="G9" s="9">
        <v>-230.45</v>
      </c>
      <c r="H9" s="17"/>
      <c r="I9" s="18"/>
    </row>
    <row r="10" spans="1:9" hidden="1" x14ac:dyDescent="0.2">
      <c r="A10" s="2" t="s">
        <v>137</v>
      </c>
      <c r="B10" s="2" t="s">
        <v>73</v>
      </c>
      <c r="C10" s="2" t="s">
        <v>138</v>
      </c>
      <c r="D10" s="2" t="s">
        <v>75</v>
      </c>
      <c r="E10" s="9">
        <v>11900.69</v>
      </c>
      <c r="F10" s="9">
        <v>1081.8800000000001</v>
      </c>
      <c r="G10" s="9">
        <v>10818.81</v>
      </c>
      <c r="H10" s="17"/>
      <c r="I10" s="18"/>
    </row>
    <row r="11" spans="1:9" hidden="1" x14ac:dyDescent="0.2">
      <c r="A11" s="2" t="s">
        <v>137</v>
      </c>
      <c r="B11" s="2" t="s">
        <v>73</v>
      </c>
      <c r="C11" s="2" t="s">
        <v>138</v>
      </c>
      <c r="D11" s="2" t="s">
        <v>75</v>
      </c>
      <c r="E11" s="9">
        <v>-295.52</v>
      </c>
      <c r="F11" s="9">
        <v>-26.87</v>
      </c>
      <c r="G11" s="9">
        <v>-268.64999999999998</v>
      </c>
      <c r="H11" s="17"/>
      <c r="I11" s="18"/>
    </row>
    <row r="12" spans="1:9" hidden="1" x14ac:dyDescent="0.2">
      <c r="A12" s="2" t="s">
        <v>230</v>
      </c>
      <c r="B12" s="2" t="s">
        <v>73</v>
      </c>
      <c r="C12" s="2" t="s">
        <v>231</v>
      </c>
      <c r="D12" s="2" t="s">
        <v>75</v>
      </c>
      <c r="E12" s="9">
        <v>14867.59</v>
      </c>
      <c r="F12" s="9">
        <v>1351.6</v>
      </c>
      <c r="G12" s="9">
        <v>13515.99</v>
      </c>
      <c r="H12" s="17"/>
      <c r="I12" s="18"/>
    </row>
    <row r="13" spans="1:9" hidden="1" x14ac:dyDescent="0.2">
      <c r="A13" s="2" t="s">
        <v>230</v>
      </c>
      <c r="B13" s="2" t="s">
        <v>73</v>
      </c>
      <c r="C13" s="2" t="s">
        <v>231</v>
      </c>
      <c r="D13" s="2" t="s">
        <v>75</v>
      </c>
      <c r="E13" s="9">
        <v>-377.3</v>
      </c>
      <c r="F13" s="9">
        <v>-34.299999999999997</v>
      </c>
      <c r="G13" s="9">
        <v>-343</v>
      </c>
      <c r="H13" s="17"/>
      <c r="I13" s="18"/>
    </row>
    <row r="14" spans="1:9" hidden="1" x14ac:dyDescent="0.2">
      <c r="A14" s="2" t="s">
        <v>240</v>
      </c>
      <c r="B14" s="2" t="s">
        <v>67</v>
      </c>
      <c r="C14" s="2" t="s">
        <v>247</v>
      </c>
      <c r="D14" s="2" t="s">
        <v>248</v>
      </c>
      <c r="E14" s="9">
        <v>-386.16</v>
      </c>
      <c r="F14" s="9">
        <v>-35.11</v>
      </c>
      <c r="G14" s="9">
        <v>-351.05</v>
      </c>
      <c r="H14" s="17"/>
      <c r="I14" s="18"/>
    </row>
    <row r="15" spans="1:9" hidden="1" x14ac:dyDescent="0.2">
      <c r="A15" s="2" t="s">
        <v>240</v>
      </c>
      <c r="B15" s="2" t="s">
        <v>67</v>
      </c>
      <c r="C15" s="2" t="s">
        <v>247</v>
      </c>
      <c r="D15" s="2" t="s">
        <v>249</v>
      </c>
      <c r="E15" s="9">
        <v>-38.43</v>
      </c>
      <c r="F15" s="9">
        <v>-3.49</v>
      </c>
      <c r="G15" s="9">
        <v>-34.94</v>
      </c>
      <c r="H15" s="17"/>
      <c r="I15" s="18"/>
    </row>
    <row r="16" spans="1:9" hidden="1" x14ac:dyDescent="0.2">
      <c r="A16" s="2" t="s">
        <v>66</v>
      </c>
      <c r="B16" s="2" t="s">
        <v>67</v>
      </c>
      <c r="C16" s="2" t="s">
        <v>68</v>
      </c>
      <c r="D16" s="2" t="s">
        <v>69</v>
      </c>
      <c r="E16" s="9">
        <v>23326.639999999999</v>
      </c>
      <c r="F16" s="9">
        <v>2120.6</v>
      </c>
      <c r="G16" s="9">
        <v>21206.04</v>
      </c>
      <c r="H16" s="17"/>
      <c r="I16" s="18"/>
    </row>
    <row r="17" spans="1:9" hidden="1" x14ac:dyDescent="0.2">
      <c r="A17" s="2" t="s">
        <v>106</v>
      </c>
      <c r="B17" s="2" t="s">
        <v>67</v>
      </c>
      <c r="C17" s="2" t="s">
        <v>109</v>
      </c>
      <c r="D17" s="2" t="s">
        <v>69</v>
      </c>
      <c r="E17" s="9">
        <v>19984.61</v>
      </c>
      <c r="F17" s="9">
        <v>1816.78</v>
      </c>
      <c r="G17" s="9">
        <v>18167.830000000002</v>
      </c>
      <c r="H17" s="17"/>
      <c r="I17" s="18"/>
    </row>
    <row r="18" spans="1:9" hidden="1" x14ac:dyDescent="0.2">
      <c r="A18" s="2" t="s">
        <v>137</v>
      </c>
      <c r="B18" s="2" t="s">
        <v>67</v>
      </c>
      <c r="C18" s="2" t="s">
        <v>141</v>
      </c>
      <c r="D18" s="2" t="s">
        <v>69</v>
      </c>
      <c r="E18" s="9">
        <v>20819.009999999998</v>
      </c>
      <c r="F18" s="9">
        <v>1892.64</v>
      </c>
      <c r="G18" s="9">
        <v>18926.37</v>
      </c>
      <c r="H18" s="17"/>
      <c r="I18" s="18"/>
    </row>
    <row r="19" spans="1:9" hidden="1" x14ac:dyDescent="0.2">
      <c r="A19" s="2" t="s">
        <v>176</v>
      </c>
      <c r="B19" s="2" t="s">
        <v>67</v>
      </c>
      <c r="C19" s="2" t="s">
        <v>187</v>
      </c>
      <c r="D19" s="2" t="s">
        <v>69</v>
      </c>
      <c r="E19" s="9">
        <v>20211.48</v>
      </c>
      <c r="F19" s="9">
        <v>1837.41</v>
      </c>
      <c r="G19" s="9">
        <v>18374.07</v>
      </c>
      <c r="H19" s="17"/>
      <c r="I19" s="18"/>
    </row>
    <row r="20" spans="1:9" hidden="1" x14ac:dyDescent="0.2">
      <c r="A20" s="2" t="s">
        <v>230</v>
      </c>
      <c r="B20" s="2" t="s">
        <v>67</v>
      </c>
      <c r="C20" s="2" t="s">
        <v>239</v>
      </c>
      <c r="D20" s="2" t="s">
        <v>69</v>
      </c>
      <c r="E20" s="9">
        <v>24789.83</v>
      </c>
      <c r="F20" s="9">
        <v>2253.62</v>
      </c>
      <c r="G20" s="9">
        <v>22536.21</v>
      </c>
      <c r="H20" s="17"/>
      <c r="I20" s="18"/>
    </row>
    <row r="21" spans="1:9" hidden="1" x14ac:dyDescent="0.2">
      <c r="A21" s="2" t="s">
        <v>153</v>
      </c>
      <c r="B21" s="2" t="s">
        <v>67</v>
      </c>
      <c r="C21" s="2" t="s">
        <v>160</v>
      </c>
      <c r="D21" s="2" t="s">
        <v>161</v>
      </c>
      <c r="E21" s="9">
        <v>112.91</v>
      </c>
      <c r="F21" s="9">
        <v>10.26</v>
      </c>
      <c r="G21" s="9">
        <v>102.65</v>
      </c>
      <c r="H21" s="17"/>
      <c r="I21" s="18"/>
    </row>
    <row r="22" spans="1:9" hidden="1" x14ac:dyDescent="0.2">
      <c r="A22" s="2" t="s">
        <v>188</v>
      </c>
      <c r="B22" s="2" t="s">
        <v>67</v>
      </c>
      <c r="C22" s="2" t="s">
        <v>196</v>
      </c>
      <c r="D22" s="2" t="s">
        <v>161</v>
      </c>
      <c r="E22" s="9">
        <v>165.82</v>
      </c>
      <c r="F22" s="9">
        <v>15.07</v>
      </c>
      <c r="G22" s="9">
        <v>150.75</v>
      </c>
      <c r="H22" s="17"/>
      <c r="I22" s="18"/>
    </row>
    <row r="23" spans="1:9" hidden="1" x14ac:dyDescent="0.2">
      <c r="A23" s="2" t="s">
        <v>206</v>
      </c>
      <c r="B23" s="2" t="s">
        <v>67</v>
      </c>
      <c r="C23" s="2" t="s">
        <v>211</v>
      </c>
      <c r="D23" s="2" t="s">
        <v>161</v>
      </c>
      <c r="E23" s="9">
        <v>169.62</v>
      </c>
      <c r="F23" s="9">
        <v>15.42</v>
      </c>
      <c r="G23" s="9">
        <v>154.19999999999999</v>
      </c>
      <c r="H23" s="17"/>
      <c r="I23" s="18"/>
    </row>
    <row r="24" spans="1:9" hidden="1" x14ac:dyDescent="0.2">
      <c r="A24" s="2" t="s">
        <v>230</v>
      </c>
      <c r="B24" s="2" t="s">
        <v>67</v>
      </c>
      <c r="C24" s="2" t="s">
        <v>238</v>
      </c>
      <c r="D24" s="2" t="s">
        <v>161</v>
      </c>
      <c r="E24" s="9">
        <v>175.39</v>
      </c>
      <c r="F24" s="9">
        <v>15.94</v>
      </c>
      <c r="G24" s="9">
        <v>159.44999999999999</v>
      </c>
      <c r="H24" s="17"/>
      <c r="I24" s="18"/>
    </row>
    <row r="25" spans="1:9" hidden="1" x14ac:dyDescent="0.2">
      <c r="A25" s="2" t="s">
        <v>240</v>
      </c>
      <c r="B25" s="2" t="s">
        <v>67</v>
      </c>
      <c r="C25" s="2" t="s">
        <v>241</v>
      </c>
      <c r="D25" s="2" t="s">
        <v>161</v>
      </c>
      <c r="E25" s="9">
        <v>50.06</v>
      </c>
      <c r="F25" s="9">
        <v>4.55</v>
      </c>
      <c r="G25" s="9">
        <v>45.51</v>
      </c>
      <c r="H25" s="17"/>
      <c r="I25" s="18"/>
    </row>
    <row r="26" spans="1:9" hidden="1" x14ac:dyDescent="0.2">
      <c r="A26" s="2" t="s">
        <v>66</v>
      </c>
      <c r="B26" s="2" t="s">
        <v>67</v>
      </c>
      <c r="C26" s="2" t="s">
        <v>70</v>
      </c>
      <c r="D26" s="2" t="s">
        <v>71</v>
      </c>
      <c r="E26" s="9">
        <v>59</v>
      </c>
      <c r="F26" s="9">
        <v>5.36</v>
      </c>
      <c r="G26" s="9">
        <v>53.64</v>
      </c>
      <c r="H26" s="17"/>
      <c r="I26" s="18"/>
    </row>
    <row r="27" spans="1:9" hidden="1" x14ac:dyDescent="0.2">
      <c r="A27" s="2" t="s">
        <v>66</v>
      </c>
      <c r="B27" s="2" t="s">
        <v>67</v>
      </c>
      <c r="C27" s="2" t="s">
        <v>72</v>
      </c>
      <c r="D27" s="2" t="s">
        <v>71</v>
      </c>
      <c r="E27" s="9">
        <v>33.5</v>
      </c>
      <c r="F27" s="9">
        <v>3.05</v>
      </c>
      <c r="G27" s="9">
        <v>30.45</v>
      </c>
      <c r="H27" s="17"/>
      <c r="I27" s="18"/>
    </row>
    <row r="28" spans="1:9" hidden="1" x14ac:dyDescent="0.2">
      <c r="A28" s="2" t="s">
        <v>76</v>
      </c>
      <c r="B28" s="2" t="s">
        <v>67</v>
      </c>
      <c r="C28" s="2" t="s">
        <v>77</v>
      </c>
      <c r="D28" s="2" t="s">
        <v>71</v>
      </c>
      <c r="E28" s="9">
        <v>130</v>
      </c>
      <c r="F28" s="9">
        <v>11.82</v>
      </c>
      <c r="G28" s="9">
        <v>118.18</v>
      </c>
      <c r="H28" s="17"/>
      <c r="I28" s="18"/>
    </row>
    <row r="29" spans="1:9" hidden="1" x14ac:dyDescent="0.2">
      <c r="A29" s="2" t="s">
        <v>76</v>
      </c>
      <c r="B29" s="2" t="s">
        <v>67</v>
      </c>
      <c r="C29" s="2" t="s">
        <v>78</v>
      </c>
      <c r="D29" s="2" t="s">
        <v>71</v>
      </c>
      <c r="E29" s="9">
        <v>86.2</v>
      </c>
      <c r="F29" s="9">
        <v>7.84</v>
      </c>
      <c r="G29" s="9">
        <v>78.36</v>
      </c>
      <c r="H29" s="17"/>
      <c r="I29" s="18"/>
    </row>
    <row r="30" spans="1:9" hidden="1" x14ac:dyDescent="0.2">
      <c r="A30" s="2" t="s">
        <v>76</v>
      </c>
      <c r="B30" s="2" t="s">
        <v>67</v>
      </c>
      <c r="C30" s="2" t="s">
        <v>79</v>
      </c>
      <c r="D30" s="2" t="s">
        <v>71</v>
      </c>
      <c r="E30" s="9">
        <v>33.6</v>
      </c>
      <c r="F30" s="9">
        <v>3.05</v>
      </c>
      <c r="G30" s="9">
        <v>30.55</v>
      </c>
      <c r="H30" s="17"/>
      <c r="I30" s="18"/>
    </row>
    <row r="31" spans="1:9" hidden="1" x14ac:dyDescent="0.2">
      <c r="A31" s="2" t="s">
        <v>76</v>
      </c>
      <c r="B31" s="2" t="s">
        <v>67</v>
      </c>
      <c r="C31" s="2" t="s">
        <v>80</v>
      </c>
      <c r="D31" s="2" t="s">
        <v>71</v>
      </c>
      <c r="E31" s="9">
        <v>56.2</v>
      </c>
      <c r="F31" s="9">
        <v>5.1100000000000003</v>
      </c>
      <c r="G31" s="9">
        <v>51.09</v>
      </c>
      <c r="H31" s="17"/>
      <c r="I31" s="18"/>
    </row>
    <row r="32" spans="1:9" hidden="1" x14ac:dyDescent="0.2">
      <c r="A32" s="2" t="s">
        <v>81</v>
      </c>
      <c r="B32" s="2" t="s">
        <v>67</v>
      </c>
      <c r="C32" s="2" t="s">
        <v>82</v>
      </c>
      <c r="D32" s="2" t="s">
        <v>71</v>
      </c>
      <c r="E32" s="9">
        <v>179.01</v>
      </c>
      <c r="F32" s="9">
        <v>16.27</v>
      </c>
      <c r="G32" s="9">
        <v>162.74</v>
      </c>
      <c r="H32" s="17"/>
      <c r="I32" s="18"/>
    </row>
    <row r="33" spans="1:9" hidden="1" x14ac:dyDescent="0.2">
      <c r="A33" s="2" t="s">
        <v>81</v>
      </c>
      <c r="B33" s="2" t="s">
        <v>67</v>
      </c>
      <c r="C33" s="2" t="s">
        <v>83</v>
      </c>
      <c r="D33" s="2" t="s">
        <v>71</v>
      </c>
      <c r="E33" s="9">
        <v>64.099999999999994</v>
      </c>
      <c r="F33" s="9">
        <v>5.83</v>
      </c>
      <c r="G33" s="9">
        <v>58.27</v>
      </c>
      <c r="H33" s="17"/>
      <c r="I33" s="18"/>
    </row>
    <row r="34" spans="1:9" hidden="1" x14ac:dyDescent="0.2">
      <c r="A34" s="2" t="s">
        <v>81</v>
      </c>
      <c r="B34" s="2" t="s">
        <v>67</v>
      </c>
      <c r="C34" s="2" t="s">
        <v>84</v>
      </c>
      <c r="D34" s="2" t="s">
        <v>71</v>
      </c>
      <c r="E34" s="9">
        <v>33.5</v>
      </c>
      <c r="F34" s="9">
        <v>3.05</v>
      </c>
      <c r="G34" s="9">
        <v>30.45</v>
      </c>
      <c r="H34" s="17"/>
      <c r="I34" s="18"/>
    </row>
    <row r="35" spans="1:9" hidden="1" x14ac:dyDescent="0.2">
      <c r="A35" s="2" t="s">
        <v>81</v>
      </c>
      <c r="B35" s="2" t="s">
        <v>67</v>
      </c>
      <c r="C35" s="2" t="s">
        <v>85</v>
      </c>
      <c r="D35" s="2" t="s">
        <v>71</v>
      </c>
      <c r="E35" s="9">
        <v>73</v>
      </c>
      <c r="F35" s="9">
        <v>6.64</v>
      </c>
      <c r="G35" s="9">
        <v>66.36</v>
      </c>
      <c r="H35" s="17"/>
      <c r="I35" s="18"/>
    </row>
    <row r="36" spans="1:9" hidden="1" x14ac:dyDescent="0.2">
      <c r="A36" s="2" t="s">
        <v>86</v>
      </c>
      <c r="B36" s="2" t="s">
        <v>67</v>
      </c>
      <c r="C36" s="2" t="s">
        <v>87</v>
      </c>
      <c r="D36" s="2" t="s">
        <v>71</v>
      </c>
      <c r="E36" s="9">
        <v>240</v>
      </c>
      <c r="F36" s="9">
        <v>21.82</v>
      </c>
      <c r="G36" s="9">
        <v>218.18</v>
      </c>
      <c r="H36" s="17"/>
      <c r="I36" s="18"/>
    </row>
    <row r="37" spans="1:9" hidden="1" x14ac:dyDescent="0.2">
      <c r="A37" s="2" t="s">
        <v>86</v>
      </c>
      <c r="B37" s="2" t="s">
        <v>67</v>
      </c>
      <c r="C37" s="2" t="s">
        <v>88</v>
      </c>
      <c r="D37" s="2" t="s">
        <v>71</v>
      </c>
      <c r="E37" s="9">
        <v>101.5</v>
      </c>
      <c r="F37" s="9">
        <v>9.23</v>
      </c>
      <c r="G37" s="9">
        <v>92.27</v>
      </c>
      <c r="H37" s="17"/>
      <c r="I37" s="18"/>
    </row>
    <row r="38" spans="1:9" hidden="1" x14ac:dyDescent="0.2">
      <c r="A38" s="2" t="s">
        <v>86</v>
      </c>
      <c r="B38" s="2" t="s">
        <v>67</v>
      </c>
      <c r="C38" s="2" t="s">
        <v>89</v>
      </c>
      <c r="D38" s="2" t="s">
        <v>71</v>
      </c>
      <c r="E38" s="9">
        <v>130</v>
      </c>
      <c r="F38" s="9">
        <v>11.82</v>
      </c>
      <c r="G38" s="9">
        <v>118.18</v>
      </c>
      <c r="H38" s="17"/>
      <c r="I38" s="18"/>
    </row>
    <row r="39" spans="1:9" hidden="1" x14ac:dyDescent="0.2">
      <c r="A39" s="2" t="s">
        <v>86</v>
      </c>
      <c r="B39" s="2" t="s">
        <v>67</v>
      </c>
      <c r="C39" s="2" t="s">
        <v>90</v>
      </c>
      <c r="D39" s="2" t="s">
        <v>71</v>
      </c>
      <c r="E39" s="9">
        <v>168.7</v>
      </c>
      <c r="F39" s="9">
        <v>15.34</v>
      </c>
      <c r="G39" s="9">
        <v>153.36000000000001</v>
      </c>
      <c r="H39" s="17"/>
      <c r="I39" s="18"/>
    </row>
    <row r="40" spans="1:9" hidden="1" x14ac:dyDescent="0.2">
      <c r="A40" s="2" t="s">
        <v>91</v>
      </c>
      <c r="B40" s="2" t="s">
        <v>67</v>
      </c>
      <c r="C40" s="2" t="s">
        <v>92</v>
      </c>
      <c r="D40" s="2" t="s">
        <v>71</v>
      </c>
      <c r="E40" s="9">
        <v>154.97999999999999</v>
      </c>
      <c r="F40" s="9">
        <v>14.09</v>
      </c>
      <c r="G40" s="9">
        <v>140.88999999999999</v>
      </c>
      <c r="H40" s="17"/>
      <c r="I40" s="18"/>
    </row>
    <row r="41" spans="1:9" hidden="1" x14ac:dyDescent="0.2">
      <c r="A41" s="2" t="s">
        <v>91</v>
      </c>
      <c r="B41" s="2" t="s">
        <v>67</v>
      </c>
      <c r="C41" s="2" t="s">
        <v>93</v>
      </c>
      <c r="D41" s="2" t="s">
        <v>71</v>
      </c>
      <c r="E41" s="9">
        <v>80</v>
      </c>
      <c r="F41" s="9">
        <v>7.27</v>
      </c>
      <c r="G41" s="9">
        <v>72.73</v>
      </c>
      <c r="H41" s="17"/>
      <c r="I41" s="18"/>
    </row>
    <row r="42" spans="1:9" hidden="1" x14ac:dyDescent="0.2">
      <c r="A42" s="2" t="s">
        <v>91</v>
      </c>
      <c r="B42" s="2" t="s">
        <v>67</v>
      </c>
      <c r="C42" s="2" t="s">
        <v>94</v>
      </c>
      <c r="D42" s="2" t="s">
        <v>71</v>
      </c>
      <c r="E42" s="9">
        <v>60</v>
      </c>
      <c r="F42" s="9">
        <v>5.45</v>
      </c>
      <c r="G42" s="9">
        <v>54.55</v>
      </c>
      <c r="H42" s="17"/>
      <c r="I42" s="18"/>
    </row>
    <row r="43" spans="1:9" hidden="1" x14ac:dyDescent="0.2">
      <c r="A43" s="2" t="s">
        <v>91</v>
      </c>
      <c r="B43" s="2" t="s">
        <v>67</v>
      </c>
      <c r="C43" s="2" t="s">
        <v>95</v>
      </c>
      <c r="D43" s="2" t="s">
        <v>71</v>
      </c>
      <c r="E43" s="9">
        <v>69</v>
      </c>
      <c r="F43" s="9">
        <v>6.27</v>
      </c>
      <c r="G43" s="9">
        <v>62.73</v>
      </c>
      <c r="H43" s="17"/>
      <c r="I43" s="18"/>
    </row>
    <row r="44" spans="1:9" hidden="1" x14ac:dyDescent="0.2">
      <c r="A44" s="2" t="s">
        <v>91</v>
      </c>
      <c r="B44" s="2" t="s">
        <v>67</v>
      </c>
      <c r="C44" s="2" t="s">
        <v>96</v>
      </c>
      <c r="D44" s="2" t="s">
        <v>71</v>
      </c>
      <c r="E44" s="9">
        <v>132.26</v>
      </c>
      <c r="F44" s="9">
        <v>12.02</v>
      </c>
      <c r="G44" s="9">
        <v>120.24</v>
      </c>
      <c r="H44" s="17"/>
      <c r="I44" s="18"/>
    </row>
    <row r="45" spans="1:9" hidden="1" x14ac:dyDescent="0.2">
      <c r="A45" s="2" t="s">
        <v>97</v>
      </c>
      <c r="B45" s="2" t="s">
        <v>67</v>
      </c>
      <c r="C45" s="2" t="s">
        <v>98</v>
      </c>
      <c r="D45" s="2" t="s">
        <v>71</v>
      </c>
      <c r="E45" s="9">
        <v>54.75</v>
      </c>
      <c r="F45" s="9">
        <v>4.9800000000000004</v>
      </c>
      <c r="G45" s="9">
        <v>49.77</v>
      </c>
      <c r="H45" s="17"/>
      <c r="I45" s="18"/>
    </row>
    <row r="46" spans="1:9" hidden="1" x14ac:dyDescent="0.2">
      <c r="A46" s="2" t="s">
        <v>99</v>
      </c>
      <c r="B46" s="2" t="s">
        <v>67</v>
      </c>
      <c r="C46" s="2" t="s">
        <v>100</v>
      </c>
      <c r="D46" s="2" t="s">
        <v>71</v>
      </c>
      <c r="E46" s="9">
        <v>165</v>
      </c>
      <c r="F46" s="9">
        <v>15</v>
      </c>
      <c r="G46" s="9">
        <v>150</v>
      </c>
      <c r="H46" s="17"/>
      <c r="I46" s="18"/>
    </row>
    <row r="47" spans="1:9" hidden="1" x14ac:dyDescent="0.2">
      <c r="A47" s="2" t="s">
        <v>99</v>
      </c>
      <c r="B47" s="2" t="s">
        <v>67</v>
      </c>
      <c r="C47" s="2" t="s">
        <v>101</v>
      </c>
      <c r="D47" s="2" t="s">
        <v>71</v>
      </c>
      <c r="E47" s="9">
        <v>70.98</v>
      </c>
      <c r="F47" s="9">
        <v>6.45</v>
      </c>
      <c r="G47" s="9">
        <v>64.53</v>
      </c>
      <c r="H47" s="17"/>
      <c r="I47" s="18"/>
    </row>
    <row r="48" spans="1:9" hidden="1" x14ac:dyDescent="0.2">
      <c r="A48" s="2" t="s">
        <v>99</v>
      </c>
      <c r="B48" s="2" t="s">
        <v>67</v>
      </c>
      <c r="C48" s="2" t="s">
        <v>102</v>
      </c>
      <c r="D48" s="2" t="s">
        <v>71</v>
      </c>
      <c r="E48" s="9">
        <v>68</v>
      </c>
      <c r="F48" s="9">
        <v>6.18</v>
      </c>
      <c r="G48" s="9">
        <v>61.82</v>
      </c>
      <c r="H48" s="17"/>
      <c r="I48" s="18"/>
    </row>
    <row r="49" spans="1:9" hidden="1" x14ac:dyDescent="0.2">
      <c r="A49" s="2" t="s">
        <v>103</v>
      </c>
      <c r="B49" s="2" t="s">
        <v>67</v>
      </c>
      <c r="C49" s="2" t="s">
        <v>104</v>
      </c>
      <c r="D49" s="2" t="s">
        <v>71</v>
      </c>
      <c r="E49" s="9">
        <v>38</v>
      </c>
      <c r="F49" s="9">
        <v>3.45</v>
      </c>
      <c r="G49" s="9">
        <v>34.549999999999997</v>
      </c>
      <c r="H49" s="17"/>
      <c r="I49" s="18"/>
    </row>
    <row r="50" spans="1:9" hidden="1" x14ac:dyDescent="0.2">
      <c r="A50" s="2" t="s">
        <v>103</v>
      </c>
      <c r="B50" s="2" t="s">
        <v>67</v>
      </c>
      <c r="C50" s="2" t="s">
        <v>105</v>
      </c>
      <c r="D50" s="2" t="s">
        <v>71</v>
      </c>
      <c r="E50" s="9">
        <v>144.5</v>
      </c>
      <c r="F50" s="9">
        <v>13.14</v>
      </c>
      <c r="G50" s="9">
        <v>131.36000000000001</v>
      </c>
      <c r="H50" s="17"/>
      <c r="I50" s="18"/>
    </row>
    <row r="51" spans="1:9" hidden="1" x14ac:dyDescent="0.2">
      <c r="A51" s="2" t="s">
        <v>106</v>
      </c>
      <c r="B51" s="2" t="s">
        <v>67</v>
      </c>
      <c r="C51" s="2" t="s">
        <v>107</v>
      </c>
      <c r="D51" s="2" t="s">
        <v>71</v>
      </c>
      <c r="E51" s="9">
        <v>68</v>
      </c>
      <c r="F51" s="9">
        <v>6.18</v>
      </c>
      <c r="G51" s="9">
        <v>61.82</v>
      </c>
      <c r="H51" s="17"/>
      <c r="I51" s="18"/>
    </row>
    <row r="52" spans="1:9" hidden="1" x14ac:dyDescent="0.2">
      <c r="A52" s="2" t="s">
        <v>106</v>
      </c>
      <c r="B52" s="2" t="s">
        <v>67</v>
      </c>
      <c r="C52" s="2" t="s">
        <v>108</v>
      </c>
      <c r="D52" s="2" t="s">
        <v>71</v>
      </c>
      <c r="E52" s="9">
        <v>136</v>
      </c>
      <c r="F52" s="9">
        <v>12.36</v>
      </c>
      <c r="G52" s="9">
        <v>123.64</v>
      </c>
      <c r="H52" s="17"/>
      <c r="I52" s="18"/>
    </row>
    <row r="53" spans="1:9" hidden="1" x14ac:dyDescent="0.2">
      <c r="A53" s="2" t="s">
        <v>106</v>
      </c>
      <c r="B53" s="2" t="s">
        <v>67</v>
      </c>
      <c r="C53" s="2" t="s">
        <v>110</v>
      </c>
      <c r="D53" s="2" t="s">
        <v>71</v>
      </c>
      <c r="E53" s="9">
        <v>130.51</v>
      </c>
      <c r="F53" s="9">
        <v>11.86</v>
      </c>
      <c r="G53" s="9">
        <v>118.65</v>
      </c>
      <c r="H53" s="17"/>
      <c r="I53" s="18"/>
    </row>
    <row r="54" spans="1:9" hidden="1" x14ac:dyDescent="0.2">
      <c r="A54" s="2" t="s">
        <v>106</v>
      </c>
      <c r="B54" s="2" t="s">
        <v>67</v>
      </c>
      <c r="C54" s="2" t="s">
        <v>111</v>
      </c>
      <c r="D54" s="2" t="s">
        <v>71</v>
      </c>
      <c r="E54" s="9">
        <v>110</v>
      </c>
      <c r="F54" s="9">
        <v>10</v>
      </c>
      <c r="G54" s="9">
        <v>100</v>
      </c>
      <c r="H54" s="17"/>
      <c r="I54" s="18"/>
    </row>
    <row r="55" spans="1:9" hidden="1" x14ac:dyDescent="0.2">
      <c r="A55" s="2" t="s">
        <v>106</v>
      </c>
      <c r="B55" s="2" t="s">
        <v>67</v>
      </c>
      <c r="C55" s="2" t="s">
        <v>112</v>
      </c>
      <c r="D55" s="2" t="s">
        <v>71</v>
      </c>
      <c r="E55" s="9">
        <v>98</v>
      </c>
      <c r="F55" s="9">
        <v>8.91</v>
      </c>
      <c r="G55" s="9">
        <v>89.09</v>
      </c>
      <c r="H55" s="17"/>
      <c r="I55" s="18"/>
    </row>
    <row r="56" spans="1:9" hidden="1" x14ac:dyDescent="0.2">
      <c r="A56" s="2" t="s">
        <v>113</v>
      </c>
      <c r="B56" s="2" t="s">
        <v>67</v>
      </c>
      <c r="C56" s="2" t="s">
        <v>114</v>
      </c>
      <c r="D56" s="2" t="s">
        <v>71</v>
      </c>
      <c r="E56" s="9">
        <v>110</v>
      </c>
      <c r="F56" s="9">
        <v>10</v>
      </c>
      <c r="G56" s="9">
        <v>100</v>
      </c>
      <c r="H56" s="17"/>
      <c r="I56" s="18"/>
    </row>
    <row r="57" spans="1:9" hidden="1" x14ac:dyDescent="0.2">
      <c r="A57" s="2" t="s">
        <v>113</v>
      </c>
      <c r="B57" s="2" t="s">
        <v>67</v>
      </c>
      <c r="C57" s="2" t="s">
        <v>115</v>
      </c>
      <c r="D57" s="2" t="s">
        <v>71</v>
      </c>
      <c r="E57" s="9">
        <v>140.25</v>
      </c>
      <c r="F57" s="9">
        <v>12.75</v>
      </c>
      <c r="G57" s="9">
        <v>127.5</v>
      </c>
      <c r="H57" s="17"/>
      <c r="I57" s="18"/>
    </row>
    <row r="58" spans="1:9" hidden="1" x14ac:dyDescent="0.2">
      <c r="A58" s="2" t="s">
        <v>113</v>
      </c>
      <c r="B58" s="2" t="s">
        <v>67</v>
      </c>
      <c r="C58" s="2" t="s">
        <v>116</v>
      </c>
      <c r="D58" s="2" t="s">
        <v>71</v>
      </c>
      <c r="E58" s="9">
        <v>180</v>
      </c>
      <c r="F58" s="9">
        <v>16.36</v>
      </c>
      <c r="G58" s="9">
        <v>163.63999999999999</v>
      </c>
      <c r="H58" s="17"/>
      <c r="I58" s="18"/>
    </row>
    <row r="59" spans="1:9" hidden="1" x14ac:dyDescent="0.2">
      <c r="A59" s="2" t="s">
        <v>113</v>
      </c>
      <c r="B59" s="2" t="s">
        <v>67</v>
      </c>
      <c r="C59" s="2" t="s">
        <v>117</v>
      </c>
      <c r="D59" s="2" t="s">
        <v>71</v>
      </c>
      <c r="E59" s="9">
        <v>101.8</v>
      </c>
      <c r="F59" s="9">
        <v>9.25</v>
      </c>
      <c r="G59" s="9">
        <v>92.55</v>
      </c>
      <c r="H59" s="17"/>
      <c r="I59" s="18"/>
    </row>
    <row r="60" spans="1:9" hidden="1" x14ac:dyDescent="0.2">
      <c r="A60" s="2" t="s">
        <v>113</v>
      </c>
      <c r="B60" s="2" t="s">
        <v>67</v>
      </c>
      <c r="C60" s="2" t="s">
        <v>118</v>
      </c>
      <c r="D60" s="2" t="s">
        <v>71</v>
      </c>
      <c r="E60" s="9">
        <v>157.5</v>
      </c>
      <c r="F60" s="9">
        <v>14.32</v>
      </c>
      <c r="G60" s="9">
        <v>143.18</v>
      </c>
      <c r="H60" s="17"/>
      <c r="I60" s="18"/>
    </row>
    <row r="61" spans="1:9" hidden="1" x14ac:dyDescent="0.2">
      <c r="A61" s="2" t="s">
        <v>119</v>
      </c>
      <c r="B61" s="2" t="s">
        <v>67</v>
      </c>
      <c r="C61" s="2" t="s">
        <v>120</v>
      </c>
      <c r="D61" s="2" t="s">
        <v>71</v>
      </c>
      <c r="E61" s="9">
        <v>74.3</v>
      </c>
      <c r="F61" s="9">
        <v>6.75</v>
      </c>
      <c r="G61" s="9">
        <v>67.55</v>
      </c>
      <c r="H61" s="17"/>
      <c r="I61" s="18"/>
    </row>
    <row r="62" spans="1:9" hidden="1" x14ac:dyDescent="0.2">
      <c r="A62" s="2" t="s">
        <v>121</v>
      </c>
      <c r="B62" s="2" t="s">
        <v>67</v>
      </c>
      <c r="C62" s="2" t="s">
        <v>122</v>
      </c>
      <c r="D62" s="2" t="s">
        <v>71</v>
      </c>
      <c r="E62" s="9">
        <v>81.95</v>
      </c>
      <c r="F62" s="9">
        <v>7.45</v>
      </c>
      <c r="G62" s="9">
        <v>74.5</v>
      </c>
      <c r="H62" s="17"/>
      <c r="I62" s="18"/>
    </row>
    <row r="63" spans="1:9" hidden="1" x14ac:dyDescent="0.2">
      <c r="A63" s="2" t="s">
        <v>123</v>
      </c>
      <c r="B63" s="2" t="s">
        <v>67</v>
      </c>
      <c r="C63" s="2" t="s">
        <v>124</v>
      </c>
      <c r="D63" s="2" t="s">
        <v>71</v>
      </c>
      <c r="E63" s="9">
        <v>40</v>
      </c>
      <c r="F63" s="9">
        <v>3.64</v>
      </c>
      <c r="G63" s="9">
        <v>36.36</v>
      </c>
      <c r="H63" s="17"/>
      <c r="I63" s="18"/>
    </row>
    <row r="64" spans="1:9" hidden="1" x14ac:dyDescent="0.2">
      <c r="A64" s="2" t="s">
        <v>123</v>
      </c>
      <c r="B64" s="2" t="s">
        <v>67</v>
      </c>
      <c r="C64" s="2" t="s">
        <v>125</v>
      </c>
      <c r="D64" s="2" t="s">
        <v>71</v>
      </c>
      <c r="E64" s="9">
        <v>132</v>
      </c>
      <c r="F64" s="9">
        <v>12</v>
      </c>
      <c r="G64" s="9">
        <v>120</v>
      </c>
      <c r="H64" s="17"/>
      <c r="I64" s="18"/>
    </row>
    <row r="65" spans="1:9" hidden="1" x14ac:dyDescent="0.2">
      <c r="A65" s="2" t="s">
        <v>123</v>
      </c>
      <c r="B65" s="2" t="s">
        <v>67</v>
      </c>
      <c r="C65" s="2" t="s">
        <v>126</v>
      </c>
      <c r="D65" s="2" t="s">
        <v>71</v>
      </c>
      <c r="E65" s="9">
        <v>180</v>
      </c>
      <c r="F65" s="9">
        <v>16.36</v>
      </c>
      <c r="G65" s="9">
        <v>163.63999999999999</v>
      </c>
      <c r="H65" s="17"/>
      <c r="I65" s="18"/>
    </row>
    <row r="66" spans="1:9" hidden="1" x14ac:dyDescent="0.2">
      <c r="A66" s="2" t="s">
        <v>123</v>
      </c>
      <c r="B66" s="2" t="s">
        <v>67</v>
      </c>
      <c r="C66" s="2" t="s">
        <v>127</v>
      </c>
      <c r="D66" s="2" t="s">
        <v>71</v>
      </c>
      <c r="E66" s="9">
        <v>334.9</v>
      </c>
      <c r="F66" s="9">
        <v>30.45</v>
      </c>
      <c r="G66" s="9">
        <v>304.45</v>
      </c>
      <c r="H66" s="17"/>
      <c r="I66" s="18"/>
    </row>
    <row r="67" spans="1:9" hidden="1" x14ac:dyDescent="0.2">
      <c r="A67" s="2" t="s">
        <v>123</v>
      </c>
      <c r="B67" s="2" t="s">
        <v>67</v>
      </c>
      <c r="C67" s="2" t="s">
        <v>128</v>
      </c>
      <c r="D67" s="2" t="s">
        <v>71</v>
      </c>
      <c r="E67" s="9">
        <v>112.51</v>
      </c>
      <c r="F67" s="9">
        <v>10.23</v>
      </c>
      <c r="G67" s="9">
        <v>102.28</v>
      </c>
      <c r="H67" s="17"/>
      <c r="I67" s="18"/>
    </row>
    <row r="68" spans="1:9" hidden="1" x14ac:dyDescent="0.2">
      <c r="A68" s="2" t="s">
        <v>129</v>
      </c>
      <c r="B68" s="2" t="s">
        <v>67</v>
      </c>
      <c r="C68" s="2" t="s">
        <v>130</v>
      </c>
      <c r="D68" s="2" t="s">
        <v>71</v>
      </c>
      <c r="E68" s="9">
        <v>35.200000000000003</v>
      </c>
      <c r="F68" s="9">
        <v>3.2</v>
      </c>
      <c r="G68" s="9">
        <v>32</v>
      </c>
      <c r="H68" s="17"/>
      <c r="I68" s="18"/>
    </row>
    <row r="69" spans="1:9" hidden="1" x14ac:dyDescent="0.2">
      <c r="A69" s="2" t="s">
        <v>129</v>
      </c>
      <c r="B69" s="2" t="s">
        <v>67</v>
      </c>
      <c r="C69" s="2" t="s">
        <v>131</v>
      </c>
      <c r="D69" s="2" t="s">
        <v>71</v>
      </c>
      <c r="E69" s="9">
        <v>68</v>
      </c>
      <c r="F69" s="9">
        <v>6.18</v>
      </c>
      <c r="G69" s="9">
        <v>61.82</v>
      </c>
      <c r="H69" s="17"/>
      <c r="I69" s="18"/>
    </row>
    <row r="70" spans="1:9" hidden="1" x14ac:dyDescent="0.2">
      <c r="A70" s="2" t="s">
        <v>129</v>
      </c>
      <c r="B70" s="2" t="s">
        <v>67</v>
      </c>
      <c r="C70" s="2" t="s">
        <v>132</v>
      </c>
      <c r="D70" s="2" t="s">
        <v>71</v>
      </c>
      <c r="E70" s="9">
        <v>84.5</v>
      </c>
      <c r="F70" s="9">
        <v>7.68</v>
      </c>
      <c r="G70" s="9">
        <v>76.819999999999993</v>
      </c>
      <c r="H70" s="17"/>
      <c r="I70" s="18"/>
    </row>
    <row r="71" spans="1:9" hidden="1" x14ac:dyDescent="0.2">
      <c r="A71" s="2" t="s">
        <v>129</v>
      </c>
      <c r="B71" s="2" t="s">
        <v>67</v>
      </c>
      <c r="C71" s="2" t="s">
        <v>133</v>
      </c>
      <c r="D71" s="2" t="s">
        <v>71</v>
      </c>
      <c r="E71" s="9">
        <v>194</v>
      </c>
      <c r="F71" s="9">
        <v>17.64</v>
      </c>
      <c r="G71" s="9">
        <v>176.36</v>
      </c>
      <c r="H71" s="17"/>
      <c r="I71" s="18"/>
    </row>
    <row r="72" spans="1:9" hidden="1" x14ac:dyDescent="0.2">
      <c r="A72" s="2" t="s">
        <v>129</v>
      </c>
      <c r="B72" s="2" t="s">
        <v>67</v>
      </c>
      <c r="C72" s="2" t="s">
        <v>134</v>
      </c>
      <c r="D72" s="2" t="s">
        <v>71</v>
      </c>
      <c r="E72" s="9">
        <v>165</v>
      </c>
      <c r="F72" s="9">
        <v>15</v>
      </c>
      <c r="G72" s="9">
        <v>150</v>
      </c>
      <c r="H72" s="17"/>
      <c r="I72" s="18"/>
    </row>
    <row r="73" spans="1:9" hidden="1" x14ac:dyDescent="0.2">
      <c r="A73" s="2" t="s">
        <v>129</v>
      </c>
      <c r="B73" s="2" t="s">
        <v>67</v>
      </c>
      <c r="C73" s="2" t="s">
        <v>135</v>
      </c>
      <c r="D73" s="2" t="s">
        <v>71</v>
      </c>
      <c r="E73" s="9">
        <v>122.4</v>
      </c>
      <c r="F73" s="9">
        <v>11.13</v>
      </c>
      <c r="G73" s="9">
        <v>111.27</v>
      </c>
      <c r="H73" s="17"/>
      <c r="I73" s="18"/>
    </row>
    <row r="74" spans="1:9" hidden="1" x14ac:dyDescent="0.2">
      <c r="A74" s="2" t="s">
        <v>129</v>
      </c>
      <c r="B74" s="2" t="s">
        <v>67</v>
      </c>
      <c r="C74" s="2" t="s">
        <v>136</v>
      </c>
      <c r="D74" s="2" t="s">
        <v>71</v>
      </c>
      <c r="E74" s="9">
        <v>180</v>
      </c>
      <c r="F74" s="9">
        <v>16.36</v>
      </c>
      <c r="G74" s="9">
        <v>163.63999999999999</v>
      </c>
      <c r="H74" s="17"/>
      <c r="I74" s="18"/>
    </row>
    <row r="75" spans="1:9" hidden="1" x14ac:dyDescent="0.2">
      <c r="A75" s="2" t="s">
        <v>137</v>
      </c>
      <c r="B75" s="2" t="s">
        <v>67</v>
      </c>
      <c r="C75" s="2" t="s">
        <v>139</v>
      </c>
      <c r="D75" s="2" t="s">
        <v>71</v>
      </c>
      <c r="E75" s="9">
        <v>89.6</v>
      </c>
      <c r="F75" s="9">
        <v>8.15</v>
      </c>
      <c r="G75" s="9">
        <v>81.45</v>
      </c>
      <c r="H75" s="17"/>
      <c r="I75" s="18"/>
    </row>
    <row r="76" spans="1:9" hidden="1" x14ac:dyDescent="0.2">
      <c r="A76" s="2" t="s">
        <v>137</v>
      </c>
      <c r="B76" s="2" t="s">
        <v>67</v>
      </c>
      <c r="C76" s="2" t="s">
        <v>140</v>
      </c>
      <c r="D76" s="2" t="s">
        <v>71</v>
      </c>
      <c r="E76" s="9">
        <v>101.5</v>
      </c>
      <c r="F76" s="9">
        <v>9.23</v>
      </c>
      <c r="G76" s="9">
        <v>92.27</v>
      </c>
      <c r="H76" s="17"/>
      <c r="I76" s="18"/>
    </row>
    <row r="77" spans="1:9" hidden="1" x14ac:dyDescent="0.2">
      <c r="A77" s="2" t="s">
        <v>142</v>
      </c>
      <c r="B77" s="2" t="s">
        <v>67</v>
      </c>
      <c r="C77" s="2" t="s">
        <v>143</v>
      </c>
      <c r="D77" s="2" t="s">
        <v>71</v>
      </c>
      <c r="E77" s="9">
        <v>81.099999999999994</v>
      </c>
      <c r="F77" s="9">
        <v>7.37</v>
      </c>
      <c r="G77" s="9">
        <v>73.73</v>
      </c>
      <c r="H77" s="17"/>
      <c r="I77" s="18"/>
    </row>
    <row r="78" spans="1:9" hidden="1" x14ac:dyDescent="0.2">
      <c r="A78" s="2" t="s">
        <v>142</v>
      </c>
      <c r="B78" s="2" t="s">
        <v>67</v>
      </c>
      <c r="C78" s="2" t="s">
        <v>144</v>
      </c>
      <c r="D78" s="2" t="s">
        <v>71</v>
      </c>
      <c r="E78" s="9">
        <v>111</v>
      </c>
      <c r="F78" s="9">
        <v>10.09</v>
      </c>
      <c r="G78" s="9">
        <v>100.91</v>
      </c>
      <c r="H78" s="17"/>
      <c r="I78" s="18"/>
    </row>
    <row r="79" spans="1:9" hidden="1" x14ac:dyDescent="0.2">
      <c r="A79" s="2" t="s">
        <v>142</v>
      </c>
      <c r="B79" s="2" t="s">
        <v>67</v>
      </c>
      <c r="C79" s="2" t="s">
        <v>145</v>
      </c>
      <c r="D79" s="2" t="s">
        <v>71</v>
      </c>
      <c r="E79" s="9">
        <v>121.4</v>
      </c>
      <c r="F79" s="9">
        <v>11.04</v>
      </c>
      <c r="G79" s="9">
        <v>110.36</v>
      </c>
      <c r="H79" s="17"/>
      <c r="I79" s="18"/>
    </row>
    <row r="80" spans="1:9" hidden="1" x14ac:dyDescent="0.2">
      <c r="A80" s="2" t="s">
        <v>142</v>
      </c>
      <c r="B80" s="2" t="s">
        <v>67</v>
      </c>
      <c r="C80" s="2" t="s">
        <v>146</v>
      </c>
      <c r="D80" s="2" t="s">
        <v>71</v>
      </c>
      <c r="E80" s="9">
        <v>110</v>
      </c>
      <c r="F80" s="9">
        <v>10</v>
      </c>
      <c r="G80" s="9">
        <v>100</v>
      </c>
      <c r="H80" s="17"/>
      <c r="I80" s="18"/>
    </row>
    <row r="81" spans="1:9" hidden="1" x14ac:dyDescent="0.2">
      <c r="A81" s="2" t="s">
        <v>142</v>
      </c>
      <c r="B81" s="2" t="s">
        <v>67</v>
      </c>
      <c r="C81" s="2" t="s">
        <v>147</v>
      </c>
      <c r="D81" s="2" t="s">
        <v>71</v>
      </c>
      <c r="E81" s="9">
        <v>130</v>
      </c>
      <c r="F81" s="9">
        <v>11.82</v>
      </c>
      <c r="G81" s="9">
        <v>118.18</v>
      </c>
      <c r="H81" s="17"/>
      <c r="I81" s="18"/>
    </row>
    <row r="82" spans="1:9" hidden="1" x14ac:dyDescent="0.2">
      <c r="A82" s="2" t="s">
        <v>142</v>
      </c>
      <c r="B82" s="2" t="s">
        <v>67</v>
      </c>
      <c r="C82" s="2" t="s">
        <v>148</v>
      </c>
      <c r="D82" s="2" t="s">
        <v>71</v>
      </c>
      <c r="E82" s="9">
        <v>221.09</v>
      </c>
      <c r="F82" s="9">
        <v>20.100000000000001</v>
      </c>
      <c r="G82" s="9">
        <v>200.99</v>
      </c>
      <c r="H82" s="17"/>
      <c r="I82" s="18"/>
    </row>
    <row r="83" spans="1:9" hidden="1" x14ac:dyDescent="0.2">
      <c r="A83" s="2" t="s">
        <v>149</v>
      </c>
      <c r="B83" s="2" t="s">
        <v>67</v>
      </c>
      <c r="C83" s="2" t="s">
        <v>150</v>
      </c>
      <c r="D83" s="2" t="s">
        <v>71</v>
      </c>
      <c r="E83" s="9">
        <v>89.6</v>
      </c>
      <c r="F83" s="9">
        <v>8.15</v>
      </c>
      <c r="G83" s="9">
        <v>81.45</v>
      </c>
      <c r="H83" s="17"/>
      <c r="I83" s="18"/>
    </row>
    <row r="84" spans="1:9" hidden="1" x14ac:dyDescent="0.2">
      <c r="A84" s="2" t="s">
        <v>149</v>
      </c>
      <c r="B84" s="2" t="s">
        <v>67</v>
      </c>
      <c r="C84" s="2" t="s">
        <v>151</v>
      </c>
      <c r="D84" s="2" t="s">
        <v>71</v>
      </c>
      <c r="E84" s="9">
        <v>59</v>
      </c>
      <c r="F84" s="9">
        <v>5.36</v>
      </c>
      <c r="G84" s="9">
        <v>53.64</v>
      </c>
      <c r="H84" s="17"/>
      <c r="I84" s="18"/>
    </row>
    <row r="85" spans="1:9" hidden="1" x14ac:dyDescent="0.2">
      <c r="A85" s="2" t="s">
        <v>149</v>
      </c>
      <c r="B85" s="2" t="s">
        <v>67</v>
      </c>
      <c r="C85" s="2" t="s">
        <v>152</v>
      </c>
      <c r="D85" s="2" t="s">
        <v>71</v>
      </c>
      <c r="E85" s="9">
        <v>128.35</v>
      </c>
      <c r="F85" s="9">
        <v>11.67</v>
      </c>
      <c r="G85" s="9">
        <v>116.68</v>
      </c>
      <c r="H85" s="17"/>
      <c r="I85" s="18"/>
    </row>
    <row r="86" spans="1:9" hidden="1" x14ac:dyDescent="0.2">
      <c r="A86" s="2" t="s">
        <v>153</v>
      </c>
      <c r="B86" s="2" t="s">
        <v>67</v>
      </c>
      <c r="C86" s="2" t="s">
        <v>154</v>
      </c>
      <c r="D86" s="2" t="s">
        <v>71</v>
      </c>
      <c r="E86" s="9">
        <v>120.38</v>
      </c>
      <c r="F86" s="9">
        <v>10.94</v>
      </c>
      <c r="G86" s="9">
        <v>109.44</v>
      </c>
      <c r="H86" s="17"/>
      <c r="I86" s="18"/>
    </row>
    <row r="87" spans="1:9" hidden="1" x14ac:dyDescent="0.2">
      <c r="A87" s="2" t="s">
        <v>153</v>
      </c>
      <c r="B87" s="2" t="s">
        <v>67</v>
      </c>
      <c r="C87" s="2" t="s">
        <v>155</v>
      </c>
      <c r="D87" s="2" t="s">
        <v>71</v>
      </c>
      <c r="E87" s="9">
        <v>74</v>
      </c>
      <c r="F87" s="9">
        <v>6.73</v>
      </c>
      <c r="G87" s="9">
        <v>67.27</v>
      </c>
      <c r="H87" s="17"/>
      <c r="I87" s="18"/>
    </row>
    <row r="88" spans="1:9" hidden="1" x14ac:dyDescent="0.2">
      <c r="A88" s="2" t="s">
        <v>153</v>
      </c>
      <c r="B88" s="2" t="s">
        <v>67</v>
      </c>
      <c r="C88" s="2" t="s">
        <v>156</v>
      </c>
      <c r="D88" s="2" t="s">
        <v>71</v>
      </c>
      <c r="E88" s="9">
        <v>52.2</v>
      </c>
      <c r="F88" s="9">
        <v>4.75</v>
      </c>
      <c r="G88" s="9">
        <v>47.45</v>
      </c>
      <c r="H88" s="17"/>
      <c r="I88" s="18"/>
    </row>
    <row r="89" spans="1:9" hidden="1" x14ac:dyDescent="0.2">
      <c r="A89" s="2" t="s">
        <v>153</v>
      </c>
      <c r="B89" s="2" t="s">
        <v>67</v>
      </c>
      <c r="C89" s="2" t="s">
        <v>157</v>
      </c>
      <c r="D89" s="2" t="s">
        <v>71</v>
      </c>
      <c r="E89" s="9">
        <v>125</v>
      </c>
      <c r="F89" s="9">
        <v>11.36</v>
      </c>
      <c r="G89" s="9">
        <v>113.64</v>
      </c>
      <c r="H89" s="17"/>
      <c r="I89" s="18"/>
    </row>
    <row r="90" spans="1:9" hidden="1" x14ac:dyDescent="0.2">
      <c r="A90" s="2" t="s">
        <v>153</v>
      </c>
      <c r="B90" s="2" t="s">
        <v>67</v>
      </c>
      <c r="C90" s="2" t="s">
        <v>158</v>
      </c>
      <c r="D90" s="2" t="s">
        <v>71</v>
      </c>
      <c r="E90" s="9">
        <v>124.8</v>
      </c>
      <c r="F90" s="9">
        <v>11.35</v>
      </c>
      <c r="G90" s="9">
        <v>113.45</v>
      </c>
      <c r="H90" s="17"/>
      <c r="I90" s="18"/>
    </row>
    <row r="91" spans="1:9" hidden="1" x14ac:dyDescent="0.2">
      <c r="A91" s="2" t="s">
        <v>153</v>
      </c>
      <c r="B91" s="2" t="s">
        <v>67</v>
      </c>
      <c r="C91" s="2" t="s">
        <v>159</v>
      </c>
      <c r="D91" s="2" t="s">
        <v>71</v>
      </c>
      <c r="E91" s="9">
        <v>148.75</v>
      </c>
      <c r="F91" s="9">
        <v>13.52</v>
      </c>
      <c r="G91" s="9">
        <v>135.22999999999999</v>
      </c>
      <c r="H91" s="17"/>
      <c r="I91" s="18"/>
    </row>
    <row r="92" spans="1:9" hidden="1" x14ac:dyDescent="0.2">
      <c r="A92" s="2" t="s">
        <v>162</v>
      </c>
      <c r="B92" s="2" t="s">
        <v>67</v>
      </c>
      <c r="C92" s="2" t="s">
        <v>163</v>
      </c>
      <c r="D92" s="2" t="s">
        <v>71</v>
      </c>
      <c r="E92" s="9">
        <v>79.400000000000006</v>
      </c>
      <c r="F92" s="9">
        <v>7.22</v>
      </c>
      <c r="G92" s="9">
        <v>72.180000000000007</v>
      </c>
      <c r="H92" s="17"/>
      <c r="I92" s="18"/>
    </row>
    <row r="93" spans="1:9" hidden="1" x14ac:dyDescent="0.2">
      <c r="A93" s="2" t="s">
        <v>162</v>
      </c>
      <c r="B93" s="2" t="s">
        <v>67</v>
      </c>
      <c r="C93" s="2" t="s">
        <v>164</v>
      </c>
      <c r="D93" s="2" t="s">
        <v>71</v>
      </c>
      <c r="E93" s="9">
        <v>194</v>
      </c>
      <c r="F93" s="9">
        <v>17.64</v>
      </c>
      <c r="G93" s="9">
        <v>176.36</v>
      </c>
      <c r="H93" s="17"/>
      <c r="I93" s="18"/>
    </row>
    <row r="94" spans="1:9" hidden="1" x14ac:dyDescent="0.2">
      <c r="A94" s="2" t="s">
        <v>162</v>
      </c>
      <c r="B94" s="2" t="s">
        <v>67</v>
      </c>
      <c r="C94" s="2" t="s">
        <v>165</v>
      </c>
      <c r="D94" s="2" t="s">
        <v>71</v>
      </c>
      <c r="E94" s="9">
        <v>144</v>
      </c>
      <c r="F94" s="9">
        <v>13.09</v>
      </c>
      <c r="G94" s="9">
        <v>130.91</v>
      </c>
      <c r="H94" s="17"/>
      <c r="I94" s="18"/>
    </row>
    <row r="95" spans="1:9" hidden="1" x14ac:dyDescent="0.2">
      <c r="A95" s="2" t="s">
        <v>166</v>
      </c>
      <c r="B95" s="2" t="s">
        <v>67</v>
      </c>
      <c r="C95" s="2" t="s">
        <v>167</v>
      </c>
      <c r="D95" s="2" t="s">
        <v>71</v>
      </c>
      <c r="E95" s="9">
        <v>59</v>
      </c>
      <c r="F95" s="9">
        <v>5.36</v>
      </c>
      <c r="G95" s="9">
        <v>53.64</v>
      </c>
      <c r="H95" s="17"/>
      <c r="I95" s="18"/>
    </row>
    <row r="96" spans="1:9" hidden="1" x14ac:dyDescent="0.2">
      <c r="A96" s="2" t="s">
        <v>166</v>
      </c>
      <c r="B96" s="2" t="s">
        <v>67</v>
      </c>
      <c r="C96" s="2" t="s">
        <v>168</v>
      </c>
      <c r="D96" s="2" t="s">
        <v>71</v>
      </c>
      <c r="E96" s="9">
        <v>63</v>
      </c>
      <c r="F96" s="9">
        <v>5.73</v>
      </c>
      <c r="G96" s="9">
        <v>57.27</v>
      </c>
      <c r="H96" s="17"/>
      <c r="I96" s="18"/>
    </row>
    <row r="97" spans="1:9" hidden="1" x14ac:dyDescent="0.2">
      <c r="A97" s="2" t="s">
        <v>169</v>
      </c>
      <c r="B97" s="2" t="s">
        <v>67</v>
      </c>
      <c r="C97" s="2" t="s">
        <v>170</v>
      </c>
      <c r="D97" s="2" t="s">
        <v>71</v>
      </c>
      <c r="E97" s="9">
        <v>68</v>
      </c>
      <c r="F97" s="9">
        <v>6.18</v>
      </c>
      <c r="G97" s="9">
        <v>61.82</v>
      </c>
      <c r="H97" s="17"/>
      <c r="I97" s="18"/>
    </row>
    <row r="98" spans="1:9" hidden="1" x14ac:dyDescent="0.2">
      <c r="A98" s="2" t="s">
        <v>169</v>
      </c>
      <c r="B98" s="2" t="s">
        <v>67</v>
      </c>
      <c r="C98" s="2" t="s">
        <v>171</v>
      </c>
      <c r="D98" s="2" t="s">
        <v>71</v>
      </c>
      <c r="E98" s="9">
        <v>44</v>
      </c>
      <c r="F98" s="9">
        <v>4</v>
      </c>
      <c r="G98" s="9">
        <v>40</v>
      </c>
      <c r="H98" s="17"/>
      <c r="I98" s="18"/>
    </row>
    <row r="99" spans="1:9" hidden="1" x14ac:dyDescent="0.2">
      <c r="A99" s="2" t="s">
        <v>169</v>
      </c>
      <c r="B99" s="2" t="s">
        <v>67</v>
      </c>
      <c r="C99" s="2" t="s">
        <v>172</v>
      </c>
      <c r="D99" s="2" t="s">
        <v>71</v>
      </c>
      <c r="E99" s="9">
        <v>81</v>
      </c>
      <c r="F99" s="9">
        <v>7.36</v>
      </c>
      <c r="G99" s="9">
        <v>73.64</v>
      </c>
      <c r="H99" s="17"/>
      <c r="I99" s="18"/>
    </row>
    <row r="100" spans="1:9" hidden="1" x14ac:dyDescent="0.2">
      <c r="A100" s="2" t="s">
        <v>169</v>
      </c>
      <c r="B100" s="2" t="s">
        <v>67</v>
      </c>
      <c r="C100" s="2" t="s">
        <v>173</v>
      </c>
      <c r="D100" s="2" t="s">
        <v>71</v>
      </c>
      <c r="E100" s="9">
        <v>101.93</v>
      </c>
      <c r="F100" s="9">
        <v>9.27</v>
      </c>
      <c r="G100" s="9">
        <v>92.66</v>
      </c>
      <c r="H100" s="17"/>
      <c r="I100" s="18"/>
    </row>
    <row r="101" spans="1:9" hidden="1" x14ac:dyDescent="0.2">
      <c r="A101" s="2" t="s">
        <v>169</v>
      </c>
      <c r="B101" s="2" t="s">
        <v>67</v>
      </c>
      <c r="C101" s="2" t="s">
        <v>174</v>
      </c>
      <c r="D101" s="2" t="s">
        <v>71</v>
      </c>
      <c r="E101" s="9">
        <v>92</v>
      </c>
      <c r="F101" s="9">
        <v>8.36</v>
      </c>
      <c r="G101" s="9">
        <v>83.64</v>
      </c>
      <c r="H101" s="17"/>
      <c r="I101" s="18"/>
    </row>
    <row r="102" spans="1:9" hidden="1" x14ac:dyDescent="0.2">
      <c r="A102" s="2" t="s">
        <v>169</v>
      </c>
      <c r="B102" s="2" t="s">
        <v>67</v>
      </c>
      <c r="C102" s="2" t="s">
        <v>175</v>
      </c>
      <c r="D102" s="2" t="s">
        <v>71</v>
      </c>
      <c r="E102" s="9">
        <v>136</v>
      </c>
      <c r="F102" s="9">
        <v>12.36</v>
      </c>
      <c r="G102" s="9">
        <v>123.64</v>
      </c>
      <c r="H102" s="17"/>
      <c r="I102" s="18"/>
    </row>
    <row r="103" spans="1:9" hidden="1" x14ac:dyDescent="0.2">
      <c r="A103" s="2" t="s">
        <v>176</v>
      </c>
      <c r="B103" s="2" t="s">
        <v>67</v>
      </c>
      <c r="C103" s="2" t="s">
        <v>177</v>
      </c>
      <c r="D103" s="2" t="s">
        <v>71</v>
      </c>
      <c r="E103" s="9">
        <v>79</v>
      </c>
      <c r="F103" s="9">
        <v>7.18</v>
      </c>
      <c r="G103" s="9">
        <v>71.819999999999993</v>
      </c>
      <c r="H103" s="17"/>
      <c r="I103" s="18"/>
    </row>
    <row r="104" spans="1:9" hidden="1" x14ac:dyDescent="0.2">
      <c r="A104" s="2" t="s">
        <v>176</v>
      </c>
      <c r="B104" s="2" t="s">
        <v>67</v>
      </c>
      <c r="C104" s="2" t="s">
        <v>178</v>
      </c>
      <c r="D104" s="2" t="s">
        <v>71</v>
      </c>
      <c r="E104" s="9">
        <v>137.69999999999999</v>
      </c>
      <c r="F104" s="9">
        <v>12.52</v>
      </c>
      <c r="G104" s="9">
        <v>125.18</v>
      </c>
      <c r="H104" s="17"/>
      <c r="I104" s="18"/>
    </row>
    <row r="105" spans="1:9" hidden="1" x14ac:dyDescent="0.2">
      <c r="A105" s="2" t="s">
        <v>176</v>
      </c>
      <c r="B105" s="2" t="s">
        <v>67</v>
      </c>
      <c r="C105" s="2" t="s">
        <v>179</v>
      </c>
      <c r="D105" s="2" t="s">
        <v>71</v>
      </c>
      <c r="E105" s="9">
        <v>53.5</v>
      </c>
      <c r="F105" s="9">
        <v>4.8600000000000003</v>
      </c>
      <c r="G105" s="9">
        <v>48.64</v>
      </c>
      <c r="H105" s="17"/>
      <c r="I105" s="18"/>
    </row>
    <row r="106" spans="1:9" hidden="1" x14ac:dyDescent="0.2">
      <c r="A106" s="2" t="s">
        <v>176</v>
      </c>
      <c r="B106" s="2" t="s">
        <v>67</v>
      </c>
      <c r="C106" s="2" t="s">
        <v>180</v>
      </c>
      <c r="D106" s="2" t="s">
        <v>71</v>
      </c>
      <c r="E106" s="9">
        <v>56</v>
      </c>
      <c r="F106" s="9">
        <v>5.09</v>
      </c>
      <c r="G106" s="9">
        <v>50.91</v>
      </c>
      <c r="H106" s="17"/>
      <c r="I106" s="18"/>
    </row>
    <row r="107" spans="1:9" hidden="1" x14ac:dyDescent="0.2">
      <c r="A107" s="2" t="s">
        <v>176</v>
      </c>
      <c r="B107" s="2" t="s">
        <v>67</v>
      </c>
      <c r="C107" s="2" t="s">
        <v>181</v>
      </c>
      <c r="D107" s="2" t="s">
        <v>71</v>
      </c>
      <c r="E107" s="9">
        <v>141.44</v>
      </c>
      <c r="F107" s="9">
        <v>12.86</v>
      </c>
      <c r="G107" s="9">
        <v>128.58000000000001</v>
      </c>
      <c r="H107" s="17"/>
      <c r="I107" s="18"/>
    </row>
    <row r="108" spans="1:9" hidden="1" x14ac:dyDescent="0.2">
      <c r="A108" s="2" t="s">
        <v>176</v>
      </c>
      <c r="B108" s="2" t="s">
        <v>67</v>
      </c>
      <c r="C108" s="2" t="s">
        <v>184</v>
      </c>
      <c r="D108" s="2" t="s">
        <v>71</v>
      </c>
      <c r="E108" s="9">
        <v>183.18</v>
      </c>
      <c r="F108" s="9">
        <v>16.649999999999999</v>
      </c>
      <c r="G108" s="9">
        <v>166.53</v>
      </c>
      <c r="H108" s="17"/>
      <c r="I108" s="18"/>
    </row>
    <row r="109" spans="1:9" hidden="1" x14ac:dyDescent="0.2">
      <c r="A109" s="2" t="s">
        <v>176</v>
      </c>
      <c r="B109" s="2" t="s">
        <v>67</v>
      </c>
      <c r="C109" s="2" t="s">
        <v>185</v>
      </c>
      <c r="D109" s="2" t="s">
        <v>71</v>
      </c>
      <c r="E109" s="9">
        <v>63</v>
      </c>
      <c r="F109" s="9">
        <v>5.73</v>
      </c>
      <c r="G109" s="9">
        <v>57.27</v>
      </c>
      <c r="H109" s="17"/>
      <c r="I109" s="18"/>
    </row>
    <row r="110" spans="1:9" hidden="1" x14ac:dyDescent="0.2">
      <c r="A110" s="2" t="s">
        <v>176</v>
      </c>
      <c r="B110" s="2" t="s">
        <v>67</v>
      </c>
      <c r="C110" s="2" t="s">
        <v>186</v>
      </c>
      <c r="D110" s="2" t="s">
        <v>71</v>
      </c>
      <c r="E110" s="9">
        <v>105.5</v>
      </c>
      <c r="F110" s="9">
        <v>9.59</v>
      </c>
      <c r="G110" s="9">
        <v>95.91</v>
      </c>
      <c r="H110" s="17"/>
      <c r="I110" s="18"/>
    </row>
    <row r="111" spans="1:9" hidden="1" x14ac:dyDescent="0.2">
      <c r="A111" s="2" t="s">
        <v>188</v>
      </c>
      <c r="B111" s="2" t="s">
        <v>67</v>
      </c>
      <c r="C111" s="2" t="s">
        <v>189</v>
      </c>
      <c r="D111" s="2" t="s">
        <v>71</v>
      </c>
      <c r="E111" s="9">
        <v>52.2</v>
      </c>
      <c r="F111" s="9">
        <v>4.75</v>
      </c>
      <c r="G111" s="9">
        <v>47.45</v>
      </c>
      <c r="H111" s="17"/>
      <c r="I111" s="18"/>
    </row>
    <row r="112" spans="1:9" hidden="1" x14ac:dyDescent="0.2">
      <c r="A112" s="2" t="s">
        <v>188</v>
      </c>
      <c r="B112" s="2" t="s">
        <v>67</v>
      </c>
      <c r="C112" s="2" t="s">
        <v>190</v>
      </c>
      <c r="D112" s="2" t="s">
        <v>71</v>
      </c>
      <c r="E112" s="9">
        <v>63</v>
      </c>
      <c r="F112" s="9">
        <v>5.73</v>
      </c>
      <c r="G112" s="9">
        <v>57.27</v>
      </c>
      <c r="H112" s="17"/>
      <c r="I112" s="18"/>
    </row>
    <row r="113" spans="1:9" hidden="1" x14ac:dyDescent="0.2">
      <c r="A113" s="2" t="s">
        <v>188</v>
      </c>
      <c r="B113" s="2" t="s">
        <v>67</v>
      </c>
      <c r="C113" s="2" t="s">
        <v>191</v>
      </c>
      <c r="D113" s="2" t="s">
        <v>71</v>
      </c>
      <c r="E113" s="9">
        <v>180</v>
      </c>
      <c r="F113" s="9">
        <v>16.36</v>
      </c>
      <c r="G113" s="9">
        <v>163.63999999999999</v>
      </c>
      <c r="H113" s="17"/>
      <c r="I113" s="18"/>
    </row>
    <row r="114" spans="1:9" hidden="1" x14ac:dyDescent="0.2">
      <c r="A114" s="2" t="s">
        <v>188</v>
      </c>
      <c r="B114" s="2" t="s">
        <v>67</v>
      </c>
      <c r="C114" s="2" t="s">
        <v>192</v>
      </c>
      <c r="D114" s="2" t="s">
        <v>71</v>
      </c>
      <c r="E114" s="9">
        <v>140.26</v>
      </c>
      <c r="F114" s="9">
        <v>12.75</v>
      </c>
      <c r="G114" s="9">
        <v>127.51</v>
      </c>
      <c r="H114" s="17"/>
      <c r="I114" s="18"/>
    </row>
    <row r="115" spans="1:9" hidden="1" x14ac:dyDescent="0.2">
      <c r="A115" s="2" t="s">
        <v>188</v>
      </c>
      <c r="B115" s="2" t="s">
        <v>67</v>
      </c>
      <c r="C115" s="2" t="s">
        <v>193</v>
      </c>
      <c r="D115" s="2" t="s">
        <v>71</v>
      </c>
      <c r="E115" s="9">
        <v>63.25</v>
      </c>
      <c r="F115" s="9">
        <v>5.75</v>
      </c>
      <c r="G115" s="9">
        <v>57.5</v>
      </c>
      <c r="H115" s="17"/>
      <c r="I115" s="18"/>
    </row>
    <row r="116" spans="1:9" hidden="1" x14ac:dyDescent="0.2">
      <c r="A116" s="2" t="s">
        <v>188</v>
      </c>
      <c r="B116" s="2" t="s">
        <v>67</v>
      </c>
      <c r="C116" s="2" t="s">
        <v>194</v>
      </c>
      <c r="D116" s="2" t="s">
        <v>71</v>
      </c>
      <c r="E116" s="9">
        <v>35.5</v>
      </c>
      <c r="F116" s="9">
        <v>3.23</v>
      </c>
      <c r="G116" s="9">
        <v>32.270000000000003</v>
      </c>
      <c r="H116" s="17"/>
      <c r="I116" s="18"/>
    </row>
    <row r="117" spans="1:9" hidden="1" x14ac:dyDescent="0.2">
      <c r="A117" s="2" t="s">
        <v>188</v>
      </c>
      <c r="B117" s="2" t="s">
        <v>67</v>
      </c>
      <c r="C117" s="2" t="s">
        <v>195</v>
      </c>
      <c r="D117" s="2" t="s">
        <v>71</v>
      </c>
      <c r="E117" s="9">
        <v>201</v>
      </c>
      <c r="F117" s="9">
        <v>18.27</v>
      </c>
      <c r="G117" s="9">
        <v>182.73</v>
      </c>
      <c r="H117" s="17"/>
      <c r="I117" s="18"/>
    </row>
    <row r="118" spans="1:9" hidden="1" x14ac:dyDescent="0.2">
      <c r="A118" s="2" t="s">
        <v>197</v>
      </c>
      <c r="B118" s="2" t="s">
        <v>67</v>
      </c>
      <c r="C118" s="2" t="s">
        <v>198</v>
      </c>
      <c r="D118" s="2" t="s">
        <v>71</v>
      </c>
      <c r="E118" s="9">
        <v>147.9</v>
      </c>
      <c r="F118" s="9">
        <v>13.45</v>
      </c>
      <c r="G118" s="9">
        <v>134.44999999999999</v>
      </c>
      <c r="H118" s="17"/>
      <c r="I118" s="18"/>
    </row>
    <row r="119" spans="1:9" hidden="1" x14ac:dyDescent="0.2">
      <c r="A119" s="2" t="s">
        <v>197</v>
      </c>
      <c r="B119" s="2" t="s">
        <v>67</v>
      </c>
      <c r="C119" s="2" t="s">
        <v>202</v>
      </c>
      <c r="D119" s="2" t="s">
        <v>71</v>
      </c>
      <c r="E119" s="9">
        <v>59</v>
      </c>
      <c r="F119" s="9">
        <v>5.36</v>
      </c>
      <c r="G119" s="9">
        <v>53.64</v>
      </c>
      <c r="H119" s="17"/>
      <c r="I119" s="18"/>
    </row>
    <row r="120" spans="1:9" hidden="1" x14ac:dyDescent="0.2">
      <c r="A120" s="2" t="s">
        <v>197</v>
      </c>
      <c r="B120" s="2" t="s">
        <v>67</v>
      </c>
      <c r="C120" s="2" t="s">
        <v>203</v>
      </c>
      <c r="D120" s="2" t="s">
        <v>71</v>
      </c>
      <c r="E120" s="9">
        <v>33.5</v>
      </c>
      <c r="F120" s="9">
        <v>3.05</v>
      </c>
      <c r="G120" s="9">
        <v>30.45</v>
      </c>
      <c r="H120" s="17"/>
      <c r="I120" s="18"/>
    </row>
    <row r="121" spans="1:9" hidden="1" x14ac:dyDescent="0.2">
      <c r="A121" s="2" t="s">
        <v>197</v>
      </c>
      <c r="B121" s="2" t="s">
        <v>67</v>
      </c>
      <c r="C121" s="2" t="s">
        <v>204</v>
      </c>
      <c r="D121" s="2" t="s">
        <v>71</v>
      </c>
      <c r="E121" s="9">
        <v>71</v>
      </c>
      <c r="F121" s="9">
        <v>6.45</v>
      </c>
      <c r="G121" s="9">
        <v>64.55</v>
      </c>
      <c r="H121" s="17"/>
      <c r="I121" s="18"/>
    </row>
    <row r="122" spans="1:9" hidden="1" x14ac:dyDescent="0.2">
      <c r="A122" s="2" t="s">
        <v>197</v>
      </c>
      <c r="B122" s="2" t="s">
        <v>67</v>
      </c>
      <c r="C122" s="2" t="s">
        <v>205</v>
      </c>
      <c r="D122" s="2" t="s">
        <v>71</v>
      </c>
      <c r="E122" s="9">
        <v>110</v>
      </c>
      <c r="F122" s="9">
        <v>10</v>
      </c>
      <c r="G122" s="9">
        <v>100</v>
      </c>
      <c r="H122" s="17"/>
      <c r="I122" s="18"/>
    </row>
    <row r="123" spans="1:9" hidden="1" x14ac:dyDescent="0.2">
      <c r="A123" s="2" t="s">
        <v>206</v>
      </c>
      <c r="B123" s="2" t="s">
        <v>67</v>
      </c>
      <c r="C123" s="2" t="s">
        <v>207</v>
      </c>
      <c r="D123" s="2" t="s">
        <v>71</v>
      </c>
      <c r="E123" s="9">
        <v>43.36</v>
      </c>
      <c r="F123" s="9">
        <v>3.94</v>
      </c>
      <c r="G123" s="9">
        <v>39.42</v>
      </c>
      <c r="H123" s="17"/>
      <c r="I123" s="18"/>
    </row>
    <row r="124" spans="1:9" hidden="1" x14ac:dyDescent="0.2">
      <c r="A124" s="2" t="s">
        <v>206</v>
      </c>
      <c r="B124" s="2" t="s">
        <v>67</v>
      </c>
      <c r="C124" s="2" t="s">
        <v>208</v>
      </c>
      <c r="D124" s="2" t="s">
        <v>71</v>
      </c>
      <c r="E124" s="9">
        <v>132.99</v>
      </c>
      <c r="F124" s="9">
        <v>12.09</v>
      </c>
      <c r="G124" s="9">
        <v>120.9</v>
      </c>
      <c r="H124" s="17"/>
      <c r="I124" s="18"/>
    </row>
    <row r="125" spans="1:9" hidden="1" x14ac:dyDescent="0.2">
      <c r="A125" s="2" t="s">
        <v>206</v>
      </c>
      <c r="B125" s="2" t="s">
        <v>67</v>
      </c>
      <c r="C125" s="2" t="s">
        <v>209</v>
      </c>
      <c r="D125" s="2" t="s">
        <v>71</v>
      </c>
      <c r="E125" s="9">
        <v>50</v>
      </c>
      <c r="F125" s="9">
        <v>4.55</v>
      </c>
      <c r="G125" s="9">
        <v>45.45</v>
      </c>
      <c r="H125" s="17"/>
      <c r="I125" s="18"/>
    </row>
    <row r="126" spans="1:9" hidden="1" x14ac:dyDescent="0.2">
      <c r="A126" s="2" t="s">
        <v>206</v>
      </c>
      <c r="B126" s="2" t="s">
        <v>67</v>
      </c>
      <c r="C126" s="2" t="s">
        <v>210</v>
      </c>
      <c r="D126" s="2" t="s">
        <v>71</v>
      </c>
      <c r="E126" s="9">
        <v>43.7</v>
      </c>
      <c r="F126" s="9">
        <v>3.97</v>
      </c>
      <c r="G126" s="9">
        <v>39.729999999999997</v>
      </c>
      <c r="H126" s="17"/>
      <c r="I126" s="18"/>
    </row>
    <row r="127" spans="1:9" hidden="1" x14ac:dyDescent="0.2">
      <c r="A127" s="2" t="s">
        <v>212</v>
      </c>
      <c r="B127" s="2" t="s">
        <v>67</v>
      </c>
      <c r="C127" s="2" t="s">
        <v>213</v>
      </c>
      <c r="D127" s="2" t="s">
        <v>71</v>
      </c>
      <c r="E127" s="9">
        <v>56</v>
      </c>
      <c r="F127" s="9">
        <v>5.09</v>
      </c>
      <c r="G127" s="9">
        <v>50.91</v>
      </c>
      <c r="H127" s="17"/>
      <c r="I127" s="18"/>
    </row>
    <row r="128" spans="1:9" hidden="1" x14ac:dyDescent="0.2">
      <c r="A128" s="2" t="s">
        <v>212</v>
      </c>
      <c r="B128" s="2" t="s">
        <v>67</v>
      </c>
      <c r="C128" s="2" t="s">
        <v>214</v>
      </c>
      <c r="D128" s="2" t="s">
        <v>71</v>
      </c>
      <c r="E128" s="9">
        <v>63</v>
      </c>
      <c r="F128" s="9">
        <v>5.73</v>
      </c>
      <c r="G128" s="9">
        <v>57.27</v>
      </c>
      <c r="H128" s="17"/>
      <c r="I128" s="18"/>
    </row>
    <row r="129" spans="1:9" hidden="1" x14ac:dyDescent="0.2">
      <c r="A129" s="2" t="s">
        <v>212</v>
      </c>
      <c r="B129" s="2" t="s">
        <v>67</v>
      </c>
      <c r="C129" s="2" t="s">
        <v>215</v>
      </c>
      <c r="D129" s="2" t="s">
        <v>71</v>
      </c>
      <c r="E129" s="9">
        <v>256.5</v>
      </c>
      <c r="F129" s="9">
        <v>23.32</v>
      </c>
      <c r="G129" s="9">
        <v>233.18</v>
      </c>
      <c r="H129" s="17"/>
      <c r="I129" s="18"/>
    </row>
    <row r="130" spans="1:9" hidden="1" x14ac:dyDescent="0.2">
      <c r="A130" s="2" t="s">
        <v>212</v>
      </c>
      <c r="B130" s="2" t="s">
        <v>67</v>
      </c>
      <c r="C130" s="2" t="s">
        <v>216</v>
      </c>
      <c r="D130" s="2" t="s">
        <v>71</v>
      </c>
      <c r="E130" s="9">
        <v>118</v>
      </c>
      <c r="F130" s="9">
        <v>10.73</v>
      </c>
      <c r="G130" s="9">
        <v>107.27</v>
      </c>
      <c r="H130" s="17"/>
      <c r="I130" s="18"/>
    </row>
    <row r="131" spans="1:9" hidden="1" x14ac:dyDescent="0.2">
      <c r="A131" s="2" t="s">
        <v>217</v>
      </c>
      <c r="B131" s="2" t="s">
        <v>67</v>
      </c>
      <c r="C131" s="2" t="s">
        <v>218</v>
      </c>
      <c r="D131" s="2" t="s">
        <v>71</v>
      </c>
      <c r="E131" s="9">
        <v>210</v>
      </c>
      <c r="F131" s="9">
        <v>19.09</v>
      </c>
      <c r="G131" s="9">
        <v>190.91</v>
      </c>
      <c r="H131" s="17"/>
      <c r="I131" s="18"/>
    </row>
    <row r="132" spans="1:9" hidden="1" x14ac:dyDescent="0.2">
      <c r="A132" s="2" t="s">
        <v>217</v>
      </c>
      <c r="B132" s="2" t="s">
        <v>67</v>
      </c>
      <c r="C132" s="2" t="s">
        <v>219</v>
      </c>
      <c r="D132" s="2" t="s">
        <v>71</v>
      </c>
      <c r="E132" s="9">
        <v>137</v>
      </c>
      <c r="F132" s="9">
        <v>12.45</v>
      </c>
      <c r="G132" s="9">
        <v>124.55</v>
      </c>
      <c r="H132" s="17"/>
      <c r="I132" s="18"/>
    </row>
    <row r="133" spans="1:9" hidden="1" x14ac:dyDescent="0.2">
      <c r="A133" s="2" t="s">
        <v>217</v>
      </c>
      <c r="B133" s="2" t="s">
        <v>67</v>
      </c>
      <c r="C133" s="2" t="s">
        <v>220</v>
      </c>
      <c r="D133" s="2" t="s">
        <v>71</v>
      </c>
      <c r="E133" s="9">
        <v>44</v>
      </c>
      <c r="F133" s="9">
        <v>4</v>
      </c>
      <c r="G133" s="9">
        <v>40</v>
      </c>
      <c r="H133" s="17"/>
      <c r="I133" s="18"/>
    </row>
    <row r="134" spans="1:9" hidden="1" x14ac:dyDescent="0.2">
      <c r="A134" s="2" t="s">
        <v>217</v>
      </c>
      <c r="B134" s="2" t="s">
        <v>67</v>
      </c>
      <c r="C134" s="2" t="s">
        <v>221</v>
      </c>
      <c r="D134" s="2" t="s">
        <v>71</v>
      </c>
      <c r="E134" s="9">
        <v>131.6</v>
      </c>
      <c r="F134" s="9">
        <v>11.96</v>
      </c>
      <c r="G134" s="9">
        <v>119.64</v>
      </c>
      <c r="H134" s="17"/>
      <c r="I134" s="18"/>
    </row>
    <row r="135" spans="1:9" hidden="1" x14ac:dyDescent="0.2">
      <c r="A135" s="2" t="s">
        <v>217</v>
      </c>
      <c r="B135" s="2" t="s">
        <v>67</v>
      </c>
      <c r="C135" s="2" t="s">
        <v>222</v>
      </c>
      <c r="D135" s="2" t="s">
        <v>71</v>
      </c>
      <c r="E135" s="9">
        <v>132</v>
      </c>
      <c r="F135" s="9">
        <v>12</v>
      </c>
      <c r="G135" s="9">
        <v>120</v>
      </c>
      <c r="H135" s="17"/>
      <c r="I135" s="18"/>
    </row>
    <row r="136" spans="1:9" hidden="1" x14ac:dyDescent="0.2">
      <c r="A136" s="2" t="s">
        <v>217</v>
      </c>
      <c r="B136" s="2" t="s">
        <v>67</v>
      </c>
      <c r="C136" s="2" t="s">
        <v>223</v>
      </c>
      <c r="D136" s="2" t="s">
        <v>71</v>
      </c>
      <c r="E136" s="9">
        <v>122.4</v>
      </c>
      <c r="F136" s="9">
        <v>11.13</v>
      </c>
      <c r="G136" s="9">
        <v>111.27</v>
      </c>
      <c r="H136" s="17"/>
      <c r="I136" s="18"/>
    </row>
    <row r="137" spans="1:9" hidden="1" x14ac:dyDescent="0.2">
      <c r="A137" s="2" t="s">
        <v>224</v>
      </c>
      <c r="B137" s="2" t="s">
        <v>67</v>
      </c>
      <c r="C137" s="2" t="s">
        <v>225</v>
      </c>
      <c r="D137" s="2" t="s">
        <v>71</v>
      </c>
      <c r="E137" s="9">
        <v>247.89</v>
      </c>
      <c r="F137" s="9">
        <v>22.54</v>
      </c>
      <c r="G137" s="9">
        <v>225.35</v>
      </c>
      <c r="H137" s="17"/>
      <c r="I137" s="18"/>
    </row>
    <row r="138" spans="1:9" hidden="1" x14ac:dyDescent="0.2">
      <c r="A138" s="2" t="s">
        <v>224</v>
      </c>
      <c r="B138" s="2" t="s">
        <v>67</v>
      </c>
      <c r="C138" s="2" t="s">
        <v>226</v>
      </c>
      <c r="D138" s="2" t="s">
        <v>71</v>
      </c>
      <c r="E138" s="9">
        <v>231</v>
      </c>
      <c r="F138" s="9">
        <v>21</v>
      </c>
      <c r="G138" s="9">
        <v>210</v>
      </c>
      <c r="H138" s="17"/>
      <c r="I138" s="18"/>
    </row>
    <row r="139" spans="1:9" hidden="1" x14ac:dyDescent="0.2">
      <c r="A139" s="2" t="s">
        <v>224</v>
      </c>
      <c r="B139" s="2" t="s">
        <v>67</v>
      </c>
      <c r="C139" s="2" t="s">
        <v>227</v>
      </c>
      <c r="D139" s="2" t="s">
        <v>71</v>
      </c>
      <c r="E139" s="9">
        <v>63.25</v>
      </c>
      <c r="F139" s="9">
        <v>5.75</v>
      </c>
      <c r="G139" s="9">
        <v>57.5</v>
      </c>
      <c r="H139" s="17"/>
      <c r="I139" s="18"/>
    </row>
    <row r="140" spans="1:9" hidden="1" x14ac:dyDescent="0.2">
      <c r="A140" s="2" t="s">
        <v>224</v>
      </c>
      <c r="B140" s="2" t="s">
        <v>67</v>
      </c>
      <c r="C140" s="2" t="s">
        <v>228</v>
      </c>
      <c r="D140" s="2" t="s">
        <v>71</v>
      </c>
      <c r="E140" s="9">
        <v>90.88</v>
      </c>
      <c r="F140" s="9">
        <v>8.26</v>
      </c>
      <c r="G140" s="9">
        <v>82.62</v>
      </c>
      <c r="H140" s="17"/>
      <c r="I140" s="18"/>
    </row>
    <row r="141" spans="1:9" hidden="1" x14ac:dyDescent="0.2">
      <c r="A141" s="2" t="s">
        <v>224</v>
      </c>
      <c r="B141" s="2" t="s">
        <v>67</v>
      </c>
      <c r="C141" s="2" t="s">
        <v>229</v>
      </c>
      <c r="D141" s="2" t="s">
        <v>71</v>
      </c>
      <c r="E141" s="9">
        <v>59.2</v>
      </c>
      <c r="F141" s="9">
        <v>5.38</v>
      </c>
      <c r="G141" s="9">
        <v>53.82</v>
      </c>
      <c r="H141" s="17"/>
      <c r="I141" s="18"/>
    </row>
    <row r="142" spans="1:9" hidden="1" x14ac:dyDescent="0.2">
      <c r="A142" s="2" t="s">
        <v>230</v>
      </c>
      <c r="B142" s="2" t="s">
        <v>67</v>
      </c>
      <c r="C142" s="2" t="s">
        <v>232</v>
      </c>
      <c r="D142" s="2" t="s">
        <v>71</v>
      </c>
      <c r="E142" s="9">
        <v>59</v>
      </c>
      <c r="F142" s="9">
        <v>5.36</v>
      </c>
      <c r="G142" s="9">
        <v>53.64</v>
      </c>
      <c r="H142" s="17"/>
      <c r="I142" s="18"/>
    </row>
    <row r="143" spans="1:9" hidden="1" x14ac:dyDescent="0.2">
      <c r="A143" s="2" t="s">
        <v>230</v>
      </c>
      <c r="B143" s="2" t="s">
        <v>67</v>
      </c>
      <c r="C143" s="2" t="s">
        <v>233</v>
      </c>
      <c r="D143" s="2" t="s">
        <v>71</v>
      </c>
      <c r="E143" s="9">
        <v>74</v>
      </c>
      <c r="F143" s="9">
        <v>6.73</v>
      </c>
      <c r="G143" s="9">
        <v>67.27</v>
      </c>
      <c r="H143" s="17"/>
      <c r="I143" s="18"/>
    </row>
    <row r="144" spans="1:9" hidden="1" x14ac:dyDescent="0.2">
      <c r="A144" s="2" t="s">
        <v>230</v>
      </c>
      <c r="B144" s="2" t="s">
        <v>67</v>
      </c>
      <c r="C144" s="2" t="s">
        <v>234</v>
      </c>
      <c r="D144" s="2" t="s">
        <v>71</v>
      </c>
      <c r="E144" s="9">
        <v>165</v>
      </c>
      <c r="F144" s="9">
        <v>15</v>
      </c>
      <c r="G144" s="9">
        <v>150</v>
      </c>
      <c r="H144" s="17"/>
      <c r="I144" s="18"/>
    </row>
    <row r="145" spans="1:9" hidden="1" x14ac:dyDescent="0.2">
      <c r="A145" s="2" t="s">
        <v>230</v>
      </c>
      <c r="B145" s="2" t="s">
        <v>67</v>
      </c>
      <c r="C145" s="2" t="s">
        <v>235</v>
      </c>
      <c r="D145" s="2" t="s">
        <v>71</v>
      </c>
      <c r="E145" s="9">
        <v>68</v>
      </c>
      <c r="F145" s="9">
        <v>6.18</v>
      </c>
      <c r="G145" s="9">
        <v>61.82</v>
      </c>
      <c r="H145" s="17"/>
      <c r="I145" s="18"/>
    </row>
    <row r="146" spans="1:9" hidden="1" x14ac:dyDescent="0.2">
      <c r="A146" s="2" t="s">
        <v>230</v>
      </c>
      <c r="B146" s="2" t="s">
        <v>67</v>
      </c>
      <c r="C146" s="2" t="s">
        <v>236</v>
      </c>
      <c r="D146" s="2" t="s">
        <v>71</v>
      </c>
      <c r="E146" s="9">
        <v>135.1</v>
      </c>
      <c r="F146" s="9">
        <v>12.28</v>
      </c>
      <c r="G146" s="9">
        <v>122.82</v>
      </c>
      <c r="H146" s="17"/>
      <c r="I146" s="18"/>
    </row>
    <row r="147" spans="1:9" hidden="1" x14ac:dyDescent="0.2">
      <c r="A147" s="2" t="s">
        <v>230</v>
      </c>
      <c r="B147" s="2" t="s">
        <v>67</v>
      </c>
      <c r="C147" s="2" t="s">
        <v>237</v>
      </c>
      <c r="D147" s="2" t="s">
        <v>71</v>
      </c>
      <c r="E147" s="9">
        <v>79.400000000000006</v>
      </c>
      <c r="F147" s="9">
        <v>7.22</v>
      </c>
      <c r="G147" s="9">
        <v>72.180000000000007</v>
      </c>
      <c r="H147" s="17"/>
      <c r="I147" s="18"/>
    </row>
    <row r="148" spans="1:9" hidden="1" x14ac:dyDescent="0.2">
      <c r="A148" s="2" t="s">
        <v>240</v>
      </c>
      <c r="B148" s="2" t="s">
        <v>67</v>
      </c>
      <c r="C148" s="2" t="s">
        <v>242</v>
      </c>
      <c r="D148" s="2" t="s">
        <v>71</v>
      </c>
      <c r="E148" s="9">
        <v>38</v>
      </c>
      <c r="F148" s="9">
        <v>3.45</v>
      </c>
      <c r="G148" s="9">
        <v>34.549999999999997</v>
      </c>
      <c r="H148" s="17"/>
      <c r="I148" s="18"/>
    </row>
    <row r="149" spans="1:9" hidden="1" x14ac:dyDescent="0.2">
      <c r="A149" s="2" t="s">
        <v>240</v>
      </c>
      <c r="B149" s="2" t="s">
        <v>67</v>
      </c>
      <c r="C149" s="2" t="s">
        <v>243</v>
      </c>
      <c r="D149" s="2" t="s">
        <v>71</v>
      </c>
      <c r="E149" s="9">
        <v>63</v>
      </c>
      <c r="F149" s="9">
        <v>5.73</v>
      </c>
      <c r="G149" s="9">
        <v>57.27</v>
      </c>
      <c r="H149" s="17"/>
      <c r="I149" s="18"/>
    </row>
    <row r="150" spans="1:9" hidden="1" x14ac:dyDescent="0.2">
      <c r="A150" s="2" t="s">
        <v>240</v>
      </c>
      <c r="B150" s="2" t="s">
        <v>67</v>
      </c>
      <c r="C150" s="2" t="s">
        <v>244</v>
      </c>
      <c r="D150" s="2" t="s">
        <v>71</v>
      </c>
      <c r="E150" s="9">
        <v>52.2</v>
      </c>
      <c r="F150" s="9">
        <v>4.75</v>
      </c>
      <c r="G150" s="9">
        <v>47.45</v>
      </c>
      <c r="H150" s="17"/>
      <c r="I150" s="18"/>
    </row>
    <row r="151" spans="1:9" hidden="1" x14ac:dyDescent="0.2">
      <c r="A151" s="2" t="s">
        <v>240</v>
      </c>
      <c r="B151" s="2" t="s">
        <v>67</v>
      </c>
      <c r="C151" s="2" t="s">
        <v>245</v>
      </c>
      <c r="D151" s="2" t="s">
        <v>71</v>
      </c>
      <c r="E151" s="9">
        <v>67.5</v>
      </c>
      <c r="F151" s="9">
        <v>6.14</v>
      </c>
      <c r="G151" s="9">
        <v>61.36</v>
      </c>
      <c r="H151" s="17"/>
      <c r="I151" s="18"/>
    </row>
    <row r="152" spans="1:9" hidden="1" x14ac:dyDescent="0.2">
      <c r="A152" s="2" t="s">
        <v>240</v>
      </c>
      <c r="B152" s="2" t="s">
        <v>67</v>
      </c>
      <c r="C152" s="2" t="s">
        <v>246</v>
      </c>
      <c r="D152" s="2" t="s">
        <v>71</v>
      </c>
      <c r="E152" s="9">
        <v>73</v>
      </c>
      <c r="F152" s="9">
        <v>6.64</v>
      </c>
      <c r="G152" s="9">
        <v>66.36</v>
      </c>
      <c r="H152" s="17"/>
      <c r="I152" s="18"/>
    </row>
    <row r="153" spans="1:9" hidden="1" x14ac:dyDescent="0.2">
      <c r="A153" s="2" t="s">
        <v>176</v>
      </c>
      <c r="B153" s="2" t="s">
        <v>67</v>
      </c>
      <c r="C153" s="2" t="s">
        <v>182</v>
      </c>
      <c r="D153" s="2" t="s">
        <v>183</v>
      </c>
      <c r="E153" s="9">
        <v>-183.18</v>
      </c>
      <c r="F153" s="9">
        <v>-16.649999999999999</v>
      </c>
      <c r="G153" s="9">
        <v>-166.53</v>
      </c>
      <c r="H153" s="17"/>
      <c r="I153" s="18"/>
    </row>
    <row r="154" spans="1:9" x14ac:dyDescent="0.2">
      <c r="A154" s="15" t="s">
        <v>197</v>
      </c>
      <c r="B154" s="15" t="s">
        <v>199</v>
      </c>
      <c r="C154" s="15" t="s">
        <v>200</v>
      </c>
      <c r="D154" s="15" t="s">
        <v>201</v>
      </c>
      <c r="E154" s="16">
        <v>2552.88</v>
      </c>
      <c r="F154" s="16">
        <v>232.08</v>
      </c>
      <c r="G154" s="16">
        <v>2320.8000000000002</v>
      </c>
      <c r="H154" s="17" t="s">
        <v>410</v>
      </c>
      <c r="I154" s="18" t="s">
        <v>427</v>
      </c>
    </row>
    <row r="155" spans="1:9" hidden="1" x14ac:dyDescent="0.2">
      <c r="A155" s="6" t="s">
        <v>250</v>
      </c>
      <c r="B155" s="10"/>
      <c r="C155" s="10"/>
      <c r="D155" s="10"/>
      <c r="E155" s="11">
        <v>159656.92000000001</v>
      </c>
      <c r="F155" s="11">
        <v>14514.25</v>
      </c>
      <c r="G155" s="11">
        <v>145142.67000000001</v>
      </c>
      <c r="H155" s="17"/>
      <c r="I155" s="18"/>
    </row>
    <row r="156" spans="1:9" hidden="1" x14ac:dyDescent="0.2">
      <c r="H156" s="17"/>
      <c r="I156" s="18"/>
    </row>
    <row r="157" spans="1:9" hidden="1" x14ac:dyDescent="0.2">
      <c r="A157" s="4" t="s">
        <v>251</v>
      </c>
      <c r="H157" s="17"/>
      <c r="I157" s="18"/>
    </row>
    <row r="158" spans="1:9" hidden="1" x14ac:dyDescent="0.2">
      <c r="A158" s="2" t="s">
        <v>240</v>
      </c>
      <c r="B158" s="2" t="s">
        <v>253</v>
      </c>
      <c r="C158" s="2" t="s">
        <v>254</v>
      </c>
      <c r="D158" s="2" t="s">
        <v>255</v>
      </c>
      <c r="E158" s="9">
        <v>86689.54</v>
      </c>
      <c r="F158" s="9">
        <v>0</v>
      </c>
      <c r="G158" s="9">
        <v>86689.54</v>
      </c>
      <c r="H158" s="17"/>
      <c r="I158" s="18"/>
    </row>
    <row r="159" spans="1:9" hidden="1" x14ac:dyDescent="0.2">
      <c r="A159" s="2" t="s">
        <v>240</v>
      </c>
      <c r="B159" s="2" t="s">
        <v>258</v>
      </c>
      <c r="C159" s="2" t="s">
        <v>247</v>
      </c>
      <c r="D159" s="2" t="s">
        <v>259</v>
      </c>
      <c r="E159" s="9">
        <v>185</v>
      </c>
      <c r="F159" s="9">
        <v>0</v>
      </c>
      <c r="G159" s="9">
        <v>185</v>
      </c>
      <c r="H159" s="17"/>
      <c r="I159" s="18"/>
    </row>
    <row r="160" spans="1:9" hidden="1" x14ac:dyDescent="0.2">
      <c r="A160" s="2" t="s">
        <v>240</v>
      </c>
      <c r="B160" s="2" t="s">
        <v>256</v>
      </c>
      <c r="C160" s="2" t="s">
        <v>247</v>
      </c>
      <c r="D160" s="2" t="s">
        <v>257</v>
      </c>
      <c r="E160" s="9">
        <v>201.16</v>
      </c>
      <c r="F160" s="9">
        <v>0</v>
      </c>
      <c r="G160" s="9">
        <v>201.16</v>
      </c>
      <c r="H160" s="17"/>
      <c r="I160" s="18"/>
    </row>
    <row r="161" spans="1:9" x14ac:dyDescent="0.2">
      <c r="A161" s="15" t="s">
        <v>197</v>
      </c>
      <c r="B161" s="15" t="s">
        <v>199</v>
      </c>
      <c r="C161" s="15" t="s">
        <v>252</v>
      </c>
      <c r="D161" s="15" t="s">
        <v>201</v>
      </c>
      <c r="E161" s="16">
        <v>86284.800000000003</v>
      </c>
      <c r="F161" s="16">
        <v>0</v>
      </c>
      <c r="G161" s="16">
        <v>86284.800000000003</v>
      </c>
      <c r="H161" s="17" t="s">
        <v>410</v>
      </c>
      <c r="I161" s="18" t="s">
        <v>428</v>
      </c>
    </row>
    <row r="162" spans="1:9" hidden="1" x14ac:dyDescent="0.2">
      <c r="A162" s="6" t="s">
        <v>260</v>
      </c>
      <c r="B162" s="10"/>
      <c r="C162" s="10"/>
      <c r="D162" s="10"/>
      <c r="E162" s="11">
        <v>173360.5</v>
      </c>
      <c r="F162" s="11">
        <v>0</v>
      </c>
      <c r="G162" s="11">
        <v>173360.5</v>
      </c>
      <c r="H162" s="17"/>
      <c r="I162" s="18"/>
    </row>
    <row r="163" spans="1:9" hidden="1" x14ac:dyDescent="0.2">
      <c r="H163" s="17"/>
      <c r="I163" s="18"/>
    </row>
    <row r="164" spans="1:9" hidden="1" x14ac:dyDescent="0.2">
      <c r="A164" s="4" t="s">
        <v>261</v>
      </c>
      <c r="H164" s="17"/>
      <c r="I164" s="18"/>
    </row>
    <row r="165" spans="1:9" x14ac:dyDescent="0.2">
      <c r="A165" s="15" t="s">
        <v>86</v>
      </c>
      <c r="B165" s="15" t="s">
        <v>286</v>
      </c>
      <c r="C165" s="15" t="s">
        <v>283</v>
      </c>
      <c r="D165" s="15" t="s">
        <v>284</v>
      </c>
      <c r="E165" s="16">
        <v>1144.6199999999999</v>
      </c>
      <c r="F165" s="16">
        <v>104.06</v>
      </c>
      <c r="G165" s="16">
        <v>1040.56</v>
      </c>
      <c r="H165" s="17" t="s">
        <v>411</v>
      </c>
      <c r="I165" s="18" t="s">
        <v>430</v>
      </c>
    </row>
    <row r="166" spans="1:9" hidden="1" x14ac:dyDescent="0.2">
      <c r="A166" s="2" t="s">
        <v>86</v>
      </c>
      <c r="B166" s="2" t="s">
        <v>282</v>
      </c>
      <c r="C166" s="2" t="s">
        <v>283</v>
      </c>
      <c r="D166" s="2" t="s">
        <v>284</v>
      </c>
      <c r="E166" s="9">
        <v>10.6</v>
      </c>
      <c r="F166" s="9">
        <v>0.96</v>
      </c>
      <c r="G166" s="9">
        <v>9.64</v>
      </c>
      <c r="H166" s="17"/>
      <c r="I166" s="18"/>
    </row>
    <row r="167" spans="1:9" hidden="1" x14ac:dyDescent="0.2">
      <c r="A167" s="2" t="s">
        <v>86</v>
      </c>
      <c r="B167" s="2" t="s">
        <v>282</v>
      </c>
      <c r="C167" s="2" t="s">
        <v>283</v>
      </c>
      <c r="D167" s="2" t="s">
        <v>284</v>
      </c>
      <c r="E167" s="9">
        <v>61.39</v>
      </c>
      <c r="F167" s="9">
        <v>5.58</v>
      </c>
      <c r="G167" s="9">
        <v>55.81</v>
      </c>
      <c r="H167" s="17"/>
      <c r="I167" s="18"/>
    </row>
    <row r="168" spans="1:9" hidden="1" x14ac:dyDescent="0.2">
      <c r="A168" s="2" t="s">
        <v>86</v>
      </c>
      <c r="B168" s="2" t="s">
        <v>282</v>
      </c>
      <c r="C168" s="2" t="s">
        <v>283</v>
      </c>
      <c r="D168" s="2" t="s">
        <v>284</v>
      </c>
      <c r="E168" s="9">
        <v>14.93</v>
      </c>
      <c r="F168" s="9">
        <v>1.36</v>
      </c>
      <c r="G168" s="9">
        <v>13.57</v>
      </c>
      <c r="H168" s="17"/>
      <c r="I168" s="18"/>
    </row>
    <row r="169" spans="1:9" hidden="1" x14ac:dyDescent="0.2">
      <c r="A169" s="2" t="s">
        <v>86</v>
      </c>
      <c r="B169" s="2" t="s">
        <v>282</v>
      </c>
      <c r="C169" s="2" t="s">
        <v>283</v>
      </c>
      <c r="D169" s="2" t="s">
        <v>284</v>
      </c>
      <c r="E169" s="9">
        <v>35.86</v>
      </c>
      <c r="F169" s="9">
        <v>3.26</v>
      </c>
      <c r="G169" s="9">
        <v>32.6</v>
      </c>
      <c r="H169" s="17"/>
      <c r="I169" s="18"/>
    </row>
    <row r="170" spans="1:9" hidden="1" x14ac:dyDescent="0.2">
      <c r="A170" s="2" t="s">
        <v>142</v>
      </c>
      <c r="B170" s="2" t="s">
        <v>282</v>
      </c>
      <c r="C170" s="2" t="s">
        <v>297</v>
      </c>
      <c r="D170" s="2" t="s">
        <v>284</v>
      </c>
      <c r="E170" s="9">
        <v>101.17</v>
      </c>
      <c r="F170" s="9">
        <v>9.1999999999999993</v>
      </c>
      <c r="G170" s="9">
        <v>91.97</v>
      </c>
      <c r="H170" s="17"/>
      <c r="I170" s="18"/>
    </row>
    <row r="171" spans="1:9" hidden="1" x14ac:dyDescent="0.2">
      <c r="A171" s="2" t="s">
        <v>142</v>
      </c>
      <c r="B171" s="2" t="s">
        <v>282</v>
      </c>
      <c r="C171" s="2" t="s">
        <v>297</v>
      </c>
      <c r="D171" s="2" t="s">
        <v>284</v>
      </c>
      <c r="E171" s="9">
        <v>56.08</v>
      </c>
      <c r="F171" s="9">
        <v>5.0999999999999996</v>
      </c>
      <c r="G171" s="9">
        <v>50.98</v>
      </c>
      <c r="H171" s="17"/>
      <c r="I171" s="18"/>
    </row>
    <row r="172" spans="1:9" hidden="1" x14ac:dyDescent="0.2">
      <c r="A172" s="2" t="s">
        <v>188</v>
      </c>
      <c r="B172" s="2" t="s">
        <v>282</v>
      </c>
      <c r="C172" s="2" t="s">
        <v>300</v>
      </c>
      <c r="D172" s="2" t="s">
        <v>284</v>
      </c>
      <c r="E172" s="9">
        <v>23.25</v>
      </c>
      <c r="F172" s="9">
        <v>2.11</v>
      </c>
      <c r="G172" s="9">
        <v>21.14</v>
      </c>
      <c r="H172" s="17"/>
      <c r="I172" s="18"/>
    </row>
    <row r="173" spans="1:9" hidden="1" x14ac:dyDescent="0.2">
      <c r="A173" s="2" t="s">
        <v>188</v>
      </c>
      <c r="B173" s="2" t="s">
        <v>282</v>
      </c>
      <c r="C173" s="2" t="s">
        <v>300</v>
      </c>
      <c r="D173" s="2" t="s">
        <v>284</v>
      </c>
      <c r="E173" s="9">
        <v>163.81</v>
      </c>
      <c r="F173" s="9">
        <v>14.89</v>
      </c>
      <c r="G173" s="9">
        <v>148.91999999999999</v>
      </c>
      <c r="H173" s="17"/>
      <c r="I173" s="18"/>
    </row>
    <row r="174" spans="1:9" hidden="1" x14ac:dyDescent="0.2">
      <c r="A174" s="2" t="s">
        <v>188</v>
      </c>
      <c r="B174" s="2" t="s">
        <v>282</v>
      </c>
      <c r="C174" s="2" t="s">
        <v>300</v>
      </c>
      <c r="D174" s="2" t="s">
        <v>284</v>
      </c>
      <c r="E174" s="9">
        <v>44.73</v>
      </c>
      <c r="F174" s="9">
        <v>4.07</v>
      </c>
      <c r="G174" s="9">
        <v>40.659999999999997</v>
      </c>
      <c r="H174" s="17"/>
      <c r="I174" s="18"/>
    </row>
    <row r="175" spans="1:9" hidden="1" x14ac:dyDescent="0.2">
      <c r="A175" s="2" t="s">
        <v>188</v>
      </c>
      <c r="B175" s="2" t="s">
        <v>282</v>
      </c>
      <c r="C175" s="2" t="s">
        <v>300</v>
      </c>
      <c r="D175" s="2" t="s">
        <v>284</v>
      </c>
      <c r="E175" s="9">
        <v>61.19</v>
      </c>
      <c r="F175" s="9">
        <v>5.56</v>
      </c>
      <c r="G175" s="9">
        <v>55.63</v>
      </c>
      <c r="H175" s="17"/>
      <c r="I175" s="18"/>
    </row>
    <row r="176" spans="1:9" hidden="1" x14ac:dyDescent="0.2">
      <c r="A176" s="2" t="s">
        <v>137</v>
      </c>
      <c r="B176" s="2" t="s">
        <v>285</v>
      </c>
      <c r="C176" s="2" t="s">
        <v>11</v>
      </c>
      <c r="D176" s="2" t="s">
        <v>294</v>
      </c>
      <c r="E176" s="9">
        <v>281.38</v>
      </c>
      <c r="F176" s="9">
        <v>25.58</v>
      </c>
      <c r="G176" s="9">
        <v>255.8</v>
      </c>
      <c r="H176" s="17"/>
      <c r="I176" s="18"/>
    </row>
    <row r="177" spans="1:9" hidden="1" x14ac:dyDescent="0.2">
      <c r="A177" s="2" t="s">
        <v>86</v>
      </c>
      <c r="B177" s="2" t="s">
        <v>285</v>
      </c>
      <c r="C177" s="2" t="s">
        <v>283</v>
      </c>
      <c r="D177" s="2" t="s">
        <v>284</v>
      </c>
      <c r="E177" s="9">
        <v>3464.57</v>
      </c>
      <c r="F177" s="9">
        <v>314.95999999999998</v>
      </c>
      <c r="G177" s="9">
        <v>3149.61</v>
      </c>
      <c r="H177" s="17"/>
      <c r="I177" s="18"/>
    </row>
    <row r="178" spans="1:9" hidden="1" x14ac:dyDescent="0.2">
      <c r="A178" s="2" t="s">
        <v>86</v>
      </c>
      <c r="B178" s="2" t="s">
        <v>285</v>
      </c>
      <c r="C178" s="2" t="s">
        <v>283</v>
      </c>
      <c r="D178" s="2" t="s">
        <v>284</v>
      </c>
      <c r="E178" s="9">
        <v>1436.63</v>
      </c>
      <c r="F178" s="9">
        <v>130.6</v>
      </c>
      <c r="G178" s="9">
        <v>1306.03</v>
      </c>
      <c r="H178" s="17"/>
      <c r="I178" s="18"/>
    </row>
    <row r="179" spans="1:9" hidden="1" x14ac:dyDescent="0.2">
      <c r="A179" s="2" t="s">
        <v>86</v>
      </c>
      <c r="B179" s="2" t="s">
        <v>285</v>
      </c>
      <c r="C179" s="2" t="s">
        <v>283</v>
      </c>
      <c r="D179" s="2" t="s">
        <v>284</v>
      </c>
      <c r="E179" s="9">
        <v>15.31</v>
      </c>
      <c r="F179" s="9">
        <v>1.39</v>
      </c>
      <c r="G179" s="9">
        <v>13.92</v>
      </c>
      <c r="H179" s="17"/>
      <c r="I179" s="18"/>
    </row>
    <row r="180" spans="1:9" hidden="1" x14ac:dyDescent="0.2">
      <c r="A180" s="2" t="s">
        <v>142</v>
      </c>
      <c r="B180" s="2" t="s">
        <v>285</v>
      </c>
      <c r="C180" s="2" t="s">
        <v>297</v>
      </c>
      <c r="D180" s="2" t="s">
        <v>284</v>
      </c>
      <c r="E180" s="9">
        <v>2834.55</v>
      </c>
      <c r="F180" s="9">
        <v>257.69</v>
      </c>
      <c r="G180" s="9">
        <v>2576.86</v>
      </c>
      <c r="H180" s="17"/>
      <c r="I180" s="18"/>
    </row>
    <row r="181" spans="1:9" hidden="1" x14ac:dyDescent="0.2">
      <c r="A181" s="2" t="s">
        <v>142</v>
      </c>
      <c r="B181" s="2" t="s">
        <v>285</v>
      </c>
      <c r="C181" s="2" t="s">
        <v>297</v>
      </c>
      <c r="D181" s="2" t="s">
        <v>284</v>
      </c>
      <c r="E181" s="9">
        <v>1156.5</v>
      </c>
      <c r="F181" s="9">
        <v>105.14</v>
      </c>
      <c r="G181" s="9">
        <v>1051.3599999999999</v>
      </c>
      <c r="H181" s="17"/>
      <c r="I181" s="18"/>
    </row>
    <row r="182" spans="1:9" hidden="1" x14ac:dyDescent="0.2">
      <c r="A182" s="2" t="s">
        <v>188</v>
      </c>
      <c r="B182" s="2" t="s">
        <v>285</v>
      </c>
      <c r="C182" s="2" t="s">
        <v>300</v>
      </c>
      <c r="D182" s="2" t="s">
        <v>284</v>
      </c>
      <c r="E182" s="9">
        <v>2616.86</v>
      </c>
      <c r="F182" s="9">
        <v>237.9</v>
      </c>
      <c r="G182" s="9">
        <v>2378.96</v>
      </c>
      <c r="H182" s="17"/>
      <c r="I182" s="18"/>
    </row>
    <row r="183" spans="1:9" hidden="1" x14ac:dyDescent="0.2">
      <c r="A183" s="2" t="s">
        <v>188</v>
      </c>
      <c r="B183" s="2" t="s">
        <v>285</v>
      </c>
      <c r="C183" s="2" t="s">
        <v>300</v>
      </c>
      <c r="D183" s="2" t="s">
        <v>284</v>
      </c>
      <c r="E183" s="9">
        <v>1114.81</v>
      </c>
      <c r="F183" s="9">
        <v>101.35</v>
      </c>
      <c r="G183" s="9">
        <v>1013.46</v>
      </c>
      <c r="H183" s="17"/>
      <c r="I183" s="18"/>
    </row>
    <row r="184" spans="1:9" hidden="1" x14ac:dyDescent="0.2">
      <c r="A184" s="2" t="s">
        <v>188</v>
      </c>
      <c r="B184" s="2" t="s">
        <v>285</v>
      </c>
      <c r="C184" s="2" t="s">
        <v>300</v>
      </c>
      <c r="D184" s="2" t="s">
        <v>284</v>
      </c>
      <c r="E184" s="9">
        <v>35.729999999999997</v>
      </c>
      <c r="F184" s="9">
        <v>3.25</v>
      </c>
      <c r="G184" s="9">
        <v>32.479999999999997</v>
      </c>
      <c r="H184" s="17"/>
      <c r="I184" s="18"/>
    </row>
    <row r="185" spans="1:9" hidden="1" x14ac:dyDescent="0.2">
      <c r="A185" s="2" t="s">
        <v>188</v>
      </c>
      <c r="B185" s="2" t="s">
        <v>301</v>
      </c>
      <c r="C185" s="2" t="s">
        <v>300</v>
      </c>
      <c r="D185" s="2" t="s">
        <v>284</v>
      </c>
      <c r="E185" s="9">
        <v>18.45</v>
      </c>
      <c r="F185" s="9">
        <v>1.68</v>
      </c>
      <c r="G185" s="9">
        <v>16.77</v>
      </c>
      <c r="H185" s="17"/>
      <c r="I185" s="18"/>
    </row>
    <row r="186" spans="1:9" hidden="1" x14ac:dyDescent="0.2">
      <c r="A186" s="2" t="s">
        <v>76</v>
      </c>
      <c r="B186" s="2" t="s">
        <v>277</v>
      </c>
      <c r="C186" s="2" t="s">
        <v>11</v>
      </c>
      <c r="D186" s="2" t="s">
        <v>278</v>
      </c>
      <c r="E186" s="9">
        <v>21.84</v>
      </c>
      <c r="F186" s="9">
        <v>1.99</v>
      </c>
      <c r="G186" s="9">
        <v>19.850000000000001</v>
      </c>
      <c r="H186" s="17"/>
      <c r="I186" s="18"/>
    </row>
    <row r="187" spans="1:9" hidden="1" x14ac:dyDescent="0.2">
      <c r="A187" s="2" t="s">
        <v>86</v>
      </c>
      <c r="B187" s="2" t="s">
        <v>277</v>
      </c>
      <c r="C187" s="2" t="s">
        <v>11</v>
      </c>
      <c r="D187" s="2" t="s">
        <v>281</v>
      </c>
      <c r="E187" s="9">
        <v>200</v>
      </c>
      <c r="F187" s="9">
        <v>18.18</v>
      </c>
      <c r="G187" s="9">
        <v>181.82</v>
      </c>
      <c r="H187" s="17" t="s">
        <v>412</v>
      </c>
      <c r="I187" s="18"/>
    </row>
    <row r="188" spans="1:9" hidden="1" x14ac:dyDescent="0.2">
      <c r="A188" s="2" t="s">
        <v>66</v>
      </c>
      <c r="B188" s="2" t="s">
        <v>265</v>
      </c>
      <c r="C188" s="2" t="s">
        <v>74</v>
      </c>
      <c r="D188" s="2" t="s">
        <v>75</v>
      </c>
      <c r="E188" s="9">
        <v>1660.51</v>
      </c>
      <c r="F188" s="9">
        <v>150.96</v>
      </c>
      <c r="G188" s="9">
        <v>1509.55</v>
      </c>
      <c r="H188" s="17"/>
      <c r="I188" s="18"/>
    </row>
    <row r="189" spans="1:9" hidden="1" x14ac:dyDescent="0.2">
      <c r="A189" s="2" t="s">
        <v>137</v>
      </c>
      <c r="B189" s="2" t="s">
        <v>265</v>
      </c>
      <c r="C189" s="2" t="s">
        <v>138</v>
      </c>
      <c r="D189" s="2" t="s">
        <v>75</v>
      </c>
      <c r="E189" s="9">
        <v>1076.6600000000001</v>
      </c>
      <c r="F189" s="9">
        <v>97.88</v>
      </c>
      <c r="G189" s="9">
        <v>978.78</v>
      </c>
      <c r="H189" s="17"/>
      <c r="I189" s="18"/>
    </row>
    <row r="190" spans="1:9" hidden="1" x14ac:dyDescent="0.2">
      <c r="A190" s="2" t="s">
        <v>230</v>
      </c>
      <c r="B190" s="2" t="s">
        <v>265</v>
      </c>
      <c r="C190" s="2" t="s">
        <v>231</v>
      </c>
      <c r="D190" s="2" t="s">
        <v>75</v>
      </c>
      <c r="E190" s="9">
        <v>2210.36</v>
      </c>
      <c r="F190" s="9">
        <v>200.94</v>
      </c>
      <c r="G190" s="9">
        <v>2009.42</v>
      </c>
      <c r="H190" s="17"/>
      <c r="I190" s="18"/>
    </row>
    <row r="191" spans="1:9" hidden="1" x14ac:dyDescent="0.2">
      <c r="A191" s="2" t="s">
        <v>76</v>
      </c>
      <c r="B191" s="2" t="s">
        <v>275</v>
      </c>
      <c r="C191" s="2" t="s">
        <v>11</v>
      </c>
      <c r="D191" s="2" t="s">
        <v>276</v>
      </c>
      <c r="E191" s="9">
        <v>5180.09</v>
      </c>
      <c r="F191" s="9">
        <v>470.92</v>
      </c>
      <c r="G191" s="9">
        <v>4709.17</v>
      </c>
      <c r="H191" s="17"/>
      <c r="I191" s="18"/>
    </row>
    <row r="192" spans="1:9" hidden="1" x14ac:dyDescent="0.2">
      <c r="A192" s="2" t="s">
        <v>123</v>
      </c>
      <c r="B192" s="2" t="s">
        <v>275</v>
      </c>
      <c r="C192" s="2" t="s">
        <v>11</v>
      </c>
      <c r="D192" s="2" t="s">
        <v>276</v>
      </c>
      <c r="E192" s="9">
        <v>5000</v>
      </c>
      <c r="F192" s="9">
        <v>454.55</v>
      </c>
      <c r="G192" s="9">
        <v>4545.45</v>
      </c>
      <c r="H192" s="17"/>
      <c r="I192" s="18"/>
    </row>
    <row r="193" spans="1:9" hidden="1" x14ac:dyDescent="0.2">
      <c r="A193" s="2" t="s">
        <v>197</v>
      </c>
      <c r="B193" s="2" t="s">
        <v>275</v>
      </c>
      <c r="C193" s="2" t="s">
        <v>11</v>
      </c>
      <c r="D193" s="2" t="s">
        <v>276</v>
      </c>
      <c r="E193" s="9">
        <v>5000</v>
      </c>
      <c r="F193" s="9">
        <v>454.55</v>
      </c>
      <c r="G193" s="9">
        <v>4545.45</v>
      </c>
      <c r="H193" s="17"/>
      <c r="I193" s="18"/>
    </row>
    <row r="194" spans="1:9" hidden="1" x14ac:dyDescent="0.2">
      <c r="A194" s="2" t="s">
        <v>66</v>
      </c>
      <c r="B194" s="2" t="s">
        <v>267</v>
      </c>
      <c r="C194" s="2" t="s">
        <v>11</v>
      </c>
      <c r="D194" s="2" t="s">
        <v>268</v>
      </c>
      <c r="E194" s="9">
        <v>2346.6</v>
      </c>
      <c r="F194" s="9">
        <v>213.33</v>
      </c>
      <c r="G194" s="9">
        <v>2133.27</v>
      </c>
      <c r="H194" s="17"/>
      <c r="I194" s="18"/>
    </row>
    <row r="195" spans="1:9" hidden="1" x14ac:dyDescent="0.2">
      <c r="A195" s="2" t="s">
        <v>66</v>
      </c>
      <c r="B195" s="2" t="s">
        <v>266</v>
      </c>
      <c r="C195" s="2" t="s">
        <v>74</v>
      </c>
      <c r="D195" s="2" t="s">
        <v>75</v>
      </c>
      <c r="E195" s="9">
        <v>2939.34</v>
      </c>
      <c r="F195" s="9">
        <v>267.20999999999998</v>
      </c>
      <c r="G195" s="9">
        <v>2672.13</v>
      </c>
      <c r="H195" s="17"/>
      <c r="I195" s="18"/>
    </row>
    <row r="196" spans="1:9" hidden="1" x14ac:dyDescent="0.2">
      <c r="A196" s="2" t="s">
        <v>137</v>
      </c>
      <c r="B196" s="2" t="s">
        <v>266</v>
      </c>
      <c r="C196" s="2" t="s">
        <v>138</v>
      </c>
      <c r="D196" s="2" t="s">
        <v>75</v>
      </c>
      <c r="E196" s="9">
        <v>3980.74</v>
      </c>
      <c r="F196" s="9">
        <v>361.89</v>
      </c>
      <c r="G196" s="9">
        <v>3618.85</v>
      </c>
      <c r="H196" s="17"/>
      <c r="I196" s="18"/>
    </row>
    <row r="197" spans="1:9" hidden="1" x14ac:dyDescent="0.2">
      <c r="A197" s="2" t="s">
        <v>230</v>
      </c>
      <c r="B197" s="2" t="s">
        <v>266</v>
      </c>
      <c r="C197" s="2" t="s">
        <v>231</v>
      </c>
      <c r="D197" s="2" t="s">
        <v>75</v>
      </c>
      <c r="E197" s="9">
        <v>4358.62</v>
      </c>
      <c r="F197" s="9">
        <v>396.24</v>
      </c>
      <c r="G197" s="9">
        <v>3962.38</v>
      </c>
      <c r="H197" s="17"/>
      <c r="I197" s="18"/>
    </row>
    <row r="198" spans="1:9" hidden="1" x14ac:dyDescent="0.2">
      <c r="A198" s="2" t="s">
        <v>240</v>
      </c>
      <c r="B198" s="2" t="s">
        <v>264</v>
      </c>
      <c r="C198" s="2" t="s">
        <v>247</v>
      </c>
      <c r="D198" s="2" t="s">
        <v>303</v>
      </c>
      <c r="E198" s="9">
        <v>-38.43</v>
      </c>
      <c r="F198" s="9">
        <v>-3.49</v>
      </c>
      <c r="G198" s="9">
        <v>-34.94</v>
      </c>
      <c r="H198" s="17"/>
      <c r="I198" s="18"/>
    </row>
    <row r="199" spans="1:9" hidden="1" x14ac:dyDescent="0.2">
      <c r="A199" s="2" t="s">
        <v>66</v>
      </c>
      <c r="B199" s="2" t="s">
        <v>264</v>
      </c>
      <c r="C199" s="2" t="s">
        <v>68</v>
      </c>
      <c r="D199" s="2" t="s">
        <v>69</v>
      </c>
      <c r="E199" s="9">
        <v>386.08</v>
      </c>
      <c r="F199" s="9">
        <v>35.1</v>
      </c>
      <c r="G199" s="9">
        <v>350.98</v>
      </c>
      <c r="H199" s="17"/>
      <c r="I199" s="18"/>
    </row>
    <row r="200" spans="1:9" hidden="1" x14ac:dyDescent="0.2">
      <c r="A200" s="2" t="s">
        <v>106</v>
      </c>
      <c r="B200" s="2" t="s">
        <v>264</v>
      </c>
      <c r="C200" s="2" t="s">
        <v>109</v>
      </c>
      <c r="D200" s="2" t="s">
        <v>69</v>
      </c>
      <c r="E200" s="9">
        <v>322.73</v>
      </c>
      <c r="F200" s="9">
        <v>29.34</v>
      </c>
      <c r="G200" s="9">
        <v>293.39</v>
      </c>
      <c r="H200" s="17"/>
      <c r="I200" s="18"/>
    </row>
    <row r="201" spans="1:9" hidden="1" x14ac:dyDescent="0.2">
      <c r="A201" s="2" t="s">
        <v>137</v>
      </c>
      <c r="B201" s="2" t="s">
        <v>264</v>
      </c>
      <c r="C201" s="2" t="s">
        <v>141</v>
      </c>
      <c r="D201" s="2" t="s">
        <v>69</v>
      </c>
      <c r="E201" s="9">
        <v>375.41</v>
      </c>
      <c r="F201" s="9">
        <v>34.130000000000003</v>
      </c>
      <c r="G201" s="9">
        <v>341.28</v>
      </c>
      <c r="H201" s="17"/>
      <c r="I201" s="18"/>
    </row>
    <row r="202" spans="1:9" hidden="1" x14ac:dyDescent="0.2">
      <c r="A202" s="2" t="s">
        <v>176</v>
      </c>
      <c r="B202" s="2" t="s">
        <v>264</v>
      </c>
      <c r="C202" s="2" t="s">
        <v>187</v>
      </c>
      <c r="D202" s="2" t="s">
        <v>69</v>
      </c>
      <c r="E202" s="9">
        <v>350.74</v>
      </c>
      <c r="F202" s="9">
        <v>31.89</v>
      </c>
      <c r="G202" s="9">
        <v>318.85000000000002</v>
      </c>
      <c r="H202" s="17"/>
      <c r="I202" s="18"/>
    </row>
    <row r="203" spans="1:9" hidden="1" x14ac:dyDescent="0.2">
      <c r="A203" s="2" t="s">
        <v>230</v>
      </c>
      <c r="B203" s="2" t="s">
        <v>264</v>
      </c>
      <c r="C203" s="2" t="s">
        <v>239</v>
      </c>
      <c r="D203" s="2" t="s">
        <v>69</v>
      </c>
      <c r="E203" s="9">
        <v>416.29</v>
      </c>
      <c r="F203" s="9">
        <v>37.840000000000003</v>
      </c>
      <c r="G203" s="9">
        <v>378.45</v>
      </c>
      <c r="H203" s="17"/>
      <c r="I203" s="18"/>
    </row>
    <row r="204" spans="1:9" x14ac:dyDescent="0.2">
      <c r="A204" s="15" t="s">
        <v>91</v>
      </c>
      <c r="B204" s="15" t="s">
        <v>272</v>
      </c>
      <c r="C204" s="15" t="s">
        <v>11</v>
      </c>
      <c r="D204" s="15" t="s">
        <v>288</v>
      </c>
      <c r="E204" s="16">
        <v>53.85</v>
      </c>
      <c r="F204" s="16">
        <v>4.9000000000000004</v>
      </c>
      <c r="G204" s="16">
        <v>48.95</v>
      </c>
      <c r="H204" s="17" t="s">
        <v>413</v>
      </c>
      <c r="I204" s="18" t="s">
        <v>430</v>
      </c>
    </row>
    <row r="205" spans="1:9" hidden="1" x14ac:dyDescent="0.2">
      <c r="A205" s="2" t="s">
        <v>76</v>
      </c>
      <c r="B205" s="2" t="s">
        <v>272</v>
      </c>
      <c r="C205" s="2" t="s">
        <v>11</v>
      </c>
      <c r="D205" s="2" t="s">
        <v>273</v>
      </c>
      <c r="E205" s="9">
        <v>90.7</v>
      </c>
      <c r="F205" s="9">
        <v>8.25</v>
      </c>
      <c r="G205" s="9">
        <v>82.45</v>
      </c>
      <c r="H205" s="17" t="s">
        <v>414</v>
      </c>
      <c r="I205" s="18"/>
    </row>
    <row r="206" spans="1:9" hidden="1" x14ac:dyDescent="0.2">
      <c r="A206" s="2" t="s">
        <v>91</v>
      </c>
      <c r="B206" s="2" t="s">
        <v>279</v>
      </c>
      <c r="C206" s="2" t="s">
        <v>11</v>
      </c>
      <c r="D206" s="2" t="s">
        <v>289</v>
      </c>
      <c r="E206" s="9">
        <v>-23.09</v>
      </c>
      <c r="F206" s="9">
        <v>-2.1</v>
      </c>
      <c r="G206" s="9">
        <v>-20.99</v>
      </c>
      <c r="H206" s="17" t="s">
        <v>414</v>
      </c>
      <c r="I206" s="18"/>
    </row>
    <row r="207" spans="1:9" hidden="1" x14ac:dyDescent="0.2">
      <c r="A207" s="2" t="s">
        <v>217</v>
      </c>
      <c r="B207" s="2" t="s">
        <v>279</v>
      </c>
      <c r="C207" s="2" t="s">
        <v>11</v>
      </c>
      <c r="D207" s="2" t="s">
        <v>302</v>
      </c>
      <c r="E207" s="9">
        <v>97</v>
      </c>
      <c r="F207" s="9">
        <v>8.82</v>
      </c>
      <c r="G207" s="9">
        <v>88.18</v>
      </c>
      <c r="H207" s="17" t="s">
        <v>414</v>
      </c>
      <c r="I207" s="18"/>
    </row>
    <row r="208" spans="1:9" hidden="1" x14ac:dyDescent="0.2">
      <c r="A208" s="2" t="s">
        <v>97</v>
      </c>
      <c r="B208" s="2" t="s">
        <v>279</v>
      </c>
      <c r="C208" s="2" t="s">
        <v>11</v>
      </c>
      <c r="D208" s="2" t="s">
        <v>290</v>
      </c>
      <c r="E208" s="9">
        <v>54.17</v>
      </c>
      <c r="F208" s="9">
        <v>4.92</v>
      </c>
      <c r="G208" s="9">
        <v>49.25</v>
      </c>
      <c r="H208" s="17" t="s">
        <v>414</v>
      </c>
      <c r="I208" s="18"/>
    </row>
    <row r="209" spans="1:9" hidden="1" x14ac:dyDescent="0.2">
      <c r="A209" s="2" t="s">
        <v>81</v>
      </c>
      <c r="B209" s="2" t="s">
        <v>279</v>
      </c>
      <c r="C209" s="2" t="s">
        <v>11</v>
      </c>
      <c r="D209" s="2" t="s">
        <v>280</v>
      </c>
      <c r="E209" s="9">
        <v>326.8</v>
      </c>
      <c r="F209" s="9">
        <v>29.71</v>
      </c>
      <c r="G209" s="9">
        <v>297.08999999999997</v>
      </c>
      <c r="H209" s="17" t="s">
        <v>415</v>
      </c>
      <c r="I209" s="18"/>
    </row>
    <row r="210" spans="1:9" hidden="1" x14ac:dyDescent="0.2">
      <c r="A210" s="2" t="s">
        <v>66</v>
      </c>
      <c r="B210" s="2" t="s">
        <v>262</v>
      </c>
      <c r="C210" s="2" t="s">
        <v>11</v>
      </c>
      <c r="D210" s="19" t="s">
        <v>269</v>
      </c>
      <c r="E210" s="9">
        <v>30.96</v>
      </c>
      <c r="F210" s="9">
        <v>2.81</v>
      </c>
      <c r="G210" s="9">
        <v>28.15</v>
      </c>
      <c r="H210" s="17" t="s">
        <v>414</v>
      </c>
      <c r="I210" s="18"/>
    </row>
    <row r="211" spans="1:9" hidden="1" x14ac:dyDescent="0.2">
      <c r="A211" s="2" t="s">
        <v>66</v>
      </c>
      <c r="B211" s="2" t="s">
        <v>262</v>
      </c>
      <c r="C211" s="2" t="s">
        <v>11</v>
      </c>
      <c r="D211" s="2" t="s">
        <v>263</v>
      </c>
      <c r="E211" s="9">
        <v>20</v>
      </c>
      <c r="F211" s="9">
        <v>1.82</v>
      </c>
      <c r="G211" s="9">
        <v>18.18</v>
      </c>
      <c r="H211" s="17" t="s">
        <v>415</v>
      </c>
      <c r="I211" s="18"/>
    </row>
    <row r="212" spans="1:9" ht="40" x14ac:dyDescent="0.2">
      <c r="A212" s="15" t="s">
        <v>76</v>
      </c>
      <c r="B212" s="15" t="s">
        <v>262</v>
      </c>
      <c r="C212" s="15" t="s">
        <v>11</v>
      </c>
      <c r="D212" s="15" t="s">
        <v>274</v>
      </c>
      <c r="E212" s="16">
        <v>1200</v>
      </c>
      <c r="F212" s="16">
        <v>109.09</v>
      </c>
      <c r="G212" s="16">
        <v>1090.9100000000001</v>
      </c>
      <c r="H212" s="17" t="s">
        <v>426</v>
      </c>
      <c r="I212" s="18" t="s">
        <v>430</v>
      </c>
    </row>
    <row r="213" spans="1:9" hidden="1" x14ac:dyDescent="0.2">
      <c r="A213" s="2" t="s">
        <v>66</v>
      </c>
      <c r="B213" s="2" t="s">
        <v>262</v>
      </c>
      <c r="C213" s="2" t="s">
        <v>11</v>
      </c>
      <c r="D213" s="2" t="s">
        <v>271</v>
      </c>
      <c r="E213" s="9">
        <v>264</v>
      </c>
      <c r="F213" s="9">
        <v>24</v>
      </c>
      <c r="G213" s="9">
        <v>240</v>
      </c>
      <c r="H213" s="17"/>
      <c r="I213" s="18"/>
    </row>
    <row r="214" spans="1:9" hidden="1" x14ac:dyDescent="0.2">
      <c r="A214" s="2" t="s">
        <v>66</v>
      </c>
      <c r="B214" s="2" t="s">
        <v>262</v>
      </c>
      <c r="C214" s="2" t="s">
        <v>11</v>
      </c>
      <c r="D214" s="2" t="s">
        <v>270</v>
      </c>
      <c r="E214" s="9">
        <v>1760</v>
      </c>
      <c r="F214" s="9">
        <v>160</v>
      </c>
      <c r="G214" s="9">
        <v>1600</v>
      </c>
      <c r="H214" s="17"/>
      <c r="I214" s="18"/>
    </row>
    <row r="215" spans="1:9" hidden="1" x14ac:dyDescent="0.2">
      <c r="A215" s="2" t="s">
        <v>142</v>
      </c>
      <c r="B215" s="2" t="s">
        <v>298</v>
      </c>
      <c r="C215" s="2" t="s">
        <v>297</v>
      </c>
      <c r="D215" s="2" t="s">
        <v>284</v>
      </c>
      <c r="E215" s="9">
        <v>1131.3499999999999</v>
      </c>
      <c r="F215" s="9">
        <v>102.85</v>
      </c>
      <c r="G215" s="9">
        <v>1028.5</v>
      </c>
      <c r="H215" s="17"/>
      <c r="I215" s="18"/>
    </row>
    <row r="216" spans="1:9" hidden="1" x14ac:dyDescent="0.2">
      <c r="A216" s="2" t="s">
        <v>188</v>
      </c>
      <c r="B216" s="2" t="s">
        <v>298</v>
      </c>
      <c r="C216" s="2" t="s">
        <v>300</v>
      </c>
      <c r="D216" s="2" t="s">
        <v>284</v>
      </c>
      <c r="E216" s="9">
        <v>1131.3499999999999</v>
      </c>
      <c r="F216" s="9">
        <v>102.85</v>
      </c>
      <c r="G216" s="9">
        <v>1028.5</v>
      </c>
      <c r="H216" s="17"/>
      <c r="I216" s="18"/>
    </row>
    <row r="217" spans="1:9" hidden="1" x14ac:dyDescent="0.2">
      <c r="A217" s="2" t="s">
        <v>137</v>
      </c>
      <c r="B217" s="2" t="s">
        <v>295</v>
      </c>
      <c r="C217" s="2" t="s">
        <v>11</v>
      </c>
      <c r="D217" s="2" t="s">
        <v>296</v>
      </c>
      <c r="E217" s="9">
        <v>9.99</v>
      </c>
      <c r="F217" s="9">
        <v>0.91</v>
      </c>
      <c r="G217" s="9">
        <v>9.08</v>
      </c>
      <c r="H217" s="17"/>
      <c r="I217" s="18"/>
    </row>
    <row r="218" spans="1:9" hidden="1" x14ac:dyDescent="0.2">
      <c r="A218" s="2" t="s">
        <v>103</v>
      </c>
      <c r="B218" s="2" t="s">
        <v>291</v>
      </c>
      <c r="C218" s="2" t="s">
        <v>11</v>
      </c>
      <c r="D218" s="2" t="s">
        <v>293</v>
      </c>
      <c r="E218" s="9">
        <v>15</v>
      </c>
      <c r="F218" s="9">
        <v>1.36</v>
      </c>
      <c r="G218" s="9">
        <v>13.64</v>
      </c>
      <c r="H218" s="17"/>
      <c r="I218" s="18"/>
    </row>
    <row r="219" spans="1:9" hidden="1" x14ac:dyDescent="0.2">
      <c r="A219" s="2" t="s">
        <v>103</v>
      </c>
      <c r="B219" s="2" t="s">
        <v>291</v>
      </c>
      <c r="C219" s="2" t="s">
        <v>11</v>
      </c>
      <c r="D219" s="2" t="s">
        <v>293</v>
      </c>
      <c r="E219" s="9">
        <v>15</v>
      </c>
      <c r="F219" s="9">
        <v>1.36</v>
      </c>
      <c r="G219" s="9">
        <v>13.64</v>
      </c>
      <c r="H219" s="17"/>
      <c r="I219" s="18"/>
    </row>
    <row r="220" spans="1:9" hidden="1" x14ac:dyDescent="0.2">
      <c r="A220" s="2" t="s">
        <v>188</v>
      </c>
      <c r="B220" s="2" t="s">
        <v>291</v>
      </c>
      <c r="C220" s="2" t="s">
        <v>11</v>
      </c>
      <c r="D220" s="2" t="s">
        <v>299</v>
      </c>
      <c r="E220" s="9">
        <v>105</v>
      </c>
      <c r="F220" s="9">
        <v>9.5500000000000007</v>
      </c>
      <c r="G220" s="9">
        <v>95.45</v>
      </c>
      <c r="H220" s="17"/>
      <c r="I220" s="18"/>
    </row>
    <row r="221" spans="1:9" hidden="1" x14ac:dyDescent="0.2">
      <c r="A221" s="2" t="s">
        <v>99</v>
      </c>
      <c r="B221" s="2" t="s">
        <v>291</v>
      </c>
      <c r="C221" s="2" t="s">
        <v>11</v>
      </c>
      <c r="D221" s="2" t="s">
        <v>292</v>
      </c>
      <c r="E221" s="9">
        <v>182.7</v>
      </c>
      <c r="F221" s="9">
        <v>16.61</v>
      </c>
      <c r="G221" s="9">
        <v>166.09</v>
      </c>
      <c r="H221" s="17"/>
      <c r="I221" s="18"/>
    </row>
    <row r="222" spans="1:9" hidden="1" x14ac:dyDescent="0.2">
      <c r="A222" s="2" t="s">
        <v>99</v>
      </c>
      <c r="B222" s="2" t="s">
        <v>291</v>
      </c>
      <c r="C222" s="2" t="s">
        <v>11</v>
      </c>
      <c r="D222" s="2" t="s">
        <v>292</v>
      </c>
      <c r="E222" s="9">
        <v>119</v>
      </c>
      <c r="F222" s="9">
        <v>10.82</v>
      </c>
      <c r="G222" s="9">
        <v>108.18</v>
      </c>
      <c r="H222" s="17"/>
      <c r="I222" s="18"/>
    </row>
    <row r="223" spans="1:9" hidden="1" x14ac:dyDescent="0.2">
      <c r="A223" s="2" t="s">
        <v>86</v>
      </c>
      <c r="B223" s="2" t="s">
        <v>287</v>
      </c>
      <c r="C223" s="2" t="s">
        <v>283</v>
      </c>
      <c r="D223" s="2" t="s">
        <v>284</v>
      </c>
      <c r="E223" s="9">
        <v>74.180000000000007</v>
      </c>
      <c r="F223" s="9">
        <v>6.74</v>
      </c>
      <c r="G223" s="9">
        <v>67.44</v>
      </c>
      <c r="H223" s="17"/>
      <c r="I223" s="18"/>
    </row>
    <row r="224" spans="1:9" hidden="1" x14ac:dyDescent="0.2">
      <c r="A224" s="2" t="s">
        <v>86</v>
      </c>
      <c r="B224" s="2" t="s">
        <v>287</v>
      </c>
      <c r="C224" s="2" t="s">
        <v>283</v>
      </c>
      <c r="D224" s="2" t="s">
        <v>284</v>
      </c>
      <c r="E224" s="9">
        <v>34.29</v>
      </c>
      <c r="F224" s="9">
        <v>3.12</v>
      </c>
      <c r="G224" s="9">
        <v>31.17</v>
      </c>
      <c r="H224" s="17"/>
      <c r="I224" s="18"/>
    </row>
    <row r="225" spans="1:9" hidden="1" x14ac:dyDescent="0.2">
      <c r="A225" s="2" t="s">
        <v>86</v>
      </c>
      <c r="B225" s="2" t="s">
        <v>287</v>
      </c>
      <c r="C225" s="2" t="s">
        <v>283</v>
      </c>
      <c r="D225" s="2" t="s">
        <v>284</v>
      </c>
      <c r="E225" s="9">
        <v>150.12</v>
      </c>
      <c r="F225" s="9">
        <v>13.65</v>
      </c>
      <c r="G225" s="9">
        <v>136.47</v>
      </c>
      <c r="H225" s="17"/>
      <c r="I225" s="18"/>
    </row>
    <row r="226" spans="1:9" hidden="1" x14ac:dyDescent="0.2">
      <c r="A226" s="2" t="s">
        <v>142</v>
      </c>
      <c r="B226" s="2" t="s">
        <v>287</v>
      </c>
      <c r="C226" s="2" t="s">
        <v>297</v>
      </c>
      <c r="D226" s="2" t="s">
        <v>284</v>
      </c>
      <c r="E226" s="9">
        <v>150.12</v>
      </c>
      <c r="F226" s="9">
        <v>13.65</v>
      </c>
      <c r="G226" s="9">
        <v>136.47</v>
      </c>
      <c r="H226" s="17"/>
      <c r="I226" s="18"/>
    </row>
    <row r="227" spans="1:9" hidden="1" x14ac:dyDescent="0.2">
      <c r="A227" s="2" t="s">
        <v>188</v>
      </c>
      <c r="B227" s="2" t="s">
        <v>287</v>
      </c>
      <c r="C227" s="2" t="s">
        <v>300</v>
      </c>
      <c r="D227" s="2" t="s">
        <v>284</v>
      </c>
      <c r="E227" s="9">
        <v>150.12</v>
      </c>
      <c r="F227" s="9">
        <v>13.65</v>
      </c>
      <c r="G227" s="9">
        <v>136.47</v>
      </c>
      <c r="H227" s="17"/>
      <c r="I227" s="18"/>
    </row>
    <row r="228" spans="1:9" hidden="1" x14ac:dyDescent="0.2">
      <c r="A228" s="6" t="s">
        <v>304</v>
      </c>
      <c r="B228" s="10"/>
      <c r="C228" s="10"/>
      <c r="D228" s="10"/>
      <c r="E228" s="11">
        <v>57622.61</v>
      </c>
      <c r="F228" s="11">
        <v>5238.4799999999996</v>
      </c>
      <c r="G228" s="11">
        <v>52384.13</v>
      </c>
      <c r="H228" s="17"/>
      <c r="I228" s="18"/>
    </row>
    <row r="229" spans="1:9" hidden="1" x14ac:dyDescent="0.2">
      <c r="H229" s="17"/>
      <c r="I229" s="18"/>
    </row>
    <row r="230" spans="1:9" hidden="1" x14ac:dyDescent="0.2">
      <c r="A230" s="4" t="s">
        <v>305</v>
      </c>
      <c r="H230" s="17"/>
      <c r="I230" s="18"/>
    </row>
    <row r="231" spans="1:9" hidden="1" x14ac:dyDescent="0.2">
      <c r="A231" s="2" t="s">
        <v>76</v>
      </c>
      <c r="B231" s="2" t="s">
        <v>306</v>
      </c>
      <c r="C231" s="2" t="s">
        <v>11</v>
      </c>
      <c r="D231" s="2" t="s">
        <v>308</v>
      </c>
      <c r="E231" s="9">
        <v>-11.2</v>
      </c>
      <c r="F231" s="9">
        <v>-1.02</v>
      </c>
      <c r="G231" s="9">
        <v>-10.18</v>
      </c>
      <c r="H231" s="17"/>
      <c r="I231" s="18"/>
    </row>
    <row r="232" spans="1:9" hidden="1" x14ac:dyDescent="0.2">
      <c r="A232" s="2" t="s">
        <v>76</v>
      </c>
      <c r="B232" s="2" t="s">
        <v>306</v>
      </c>
      <c r="C232" s="2" t="s">
        <v>11</v>
      </c>
      <c r="D232" s="2" t="s">
        <v>307</v>
      </c>
      <c r="E232" s="9">
        <v>527.6</v>
      </c>
      <c r="F232" s="9">
        <v>47.96</v>
      </c>
      <c r="G232" s="9">
        <v>479.64</v>
      </c>
      <c r="H232" s="17"/>
      <c r="I232" s="18"/>
    </row>
    <row r="233" spans="1:9" hidden="1" x14ac:dyDescent="0.2">
      <c r="A233" s="6" t="s">
        <v>309</v>
      </c>
      <c r="B233" s="10"/>
      <c r="C233" s="10"/>
      <c r="D233" s="10"/>
      <c r="E233" s="11">
        <v>516.4</v>
      </c>
      <c r="F233" s="11">
        <v>46.94</v>
      </c>
      <c r="G233" s="11">
        <v>469.46</v>
      </c>
      <c r="H233" s="17"/>
      <c r="I233" s="18"/>
    </row>
    <row r="234" spans="1:9" hidden="1" x14ac:dyDescent="0.2">
      <c r="H234" s="17"/>
      <c r="I234" s="18"/>
    </row>
    <row r="235" spans="1:9" hidden="1" x14ac:dyDescent="0.2">
      <c r="A235" s="4" t="s">
        <v>310</v>
      </c>
      <c r="H235" s="17"/>
      <c r="I235" s="18"/>
    </row>
    <row r="236" spans="1:9" hidden="1" x14ac:dyDescent="0.2">
      <c r="A236" s="2" t="s">
        <v>66</v>
      </c>
      <c r="B236" s="2" t="s">
        <v>312</v>
      </c>
      <c r="C236" s="2" t="s">
        <v>11</v>
      </c>
      <c r="D236" s="2" t="s">
        <v>313</v>
      </c>
      <c r="E236" s="9">
        <v>1.27</v>
      </c>
      <c r="F236" s="9">
        <v>0</v>
      </c>
      <c r="G236" s="9">
        <v>1.27</v>
      </c>
      <c r="H236" s="17"/>
      <c r="I236" s="18"/>
    </row>
    <row r="237" spans="1:9" hidden="1" x14ac:dyDescent="0.2">
      <c r="A237" s="2" t="s">
        <v>66</v>
      </c>
      <c r="B237" s="2" t="s">
        <v>312</v>
      </c>
      <c r="C237" s="2" t="s">
        <v>11</v>
      </c>
      <c r="D237" s="2" t="s">
        <v>313</v>
      </c>
      <c r="E237" s="9">
        <v>2.0099999999999998</v>
      </c>
      <c r="F237" s="9">
        <v>0</v>
      </c>
      <c r="G237" s="9">
        <v>2.0099999999999998</v>
      </c>
      <c r="H237" s="17"/>
      <c r="I237" s="18"/>
    </row>
    <row r="238" spans="1:9" hidden="1" x14ac:dyDescent="0.2">
      <c r="A238" s="2" t="s">
        <v>76</v>
      </c>
      <c r="B238" s="2" t="s">
        <v>312</v>
      </c>
      <c r="C238" s="2" t="s">
        <v>11</v>
      </c>
      <c r="D238" s="2" t="s">
        <v>313</v>
      </c>
      <c r="E238" s="9">
        <v>2.8</v>
      </c>
      <c r="F238" s="9">
        <v>0</v>
      </c>
      <c r="G238" s="9">
        <v>2.8</v>
      </c>
      <c r="H238" s="17"/>
      <c r="I238" s="18"/>
    </row>
    <row r="239" spans="1:9" hidden="1" x14ac:dyDescent="0.2">
      <c r="A239" s="2" t="s">
        <v>76</v>
      </c>
      <c r="B239" s="2" t="s">
        <v>312</v>
      </c>
      <c r="C239" s="2" t="s">
        <v>11</v>
      </c>
      <c r="D239" s="2" t="s">
        <v>313</v>
      </c>
      <c r="E239" s="9">
        <v>4.07</v>
      </c>
      <c r="F239" s="9">
        <v>0</v>
      </c>
      <c r="G239" s="9">
        <v>4.07</v>
      </c>
      <c r="H239" s="17"/>
      <c r="I239" s="18"/>
    </row>
    <row r="240" spans="1:9" hidden="1" x14ac:dyDescent="0.2">
      <c r="A240" s="2" t="s">
        <v>76</v>
      </c>
      <c r="B240" s="2" t="s">
        <v>312</v>
      </c>
      <c r="C240" s="2" t="s">
        <v>11</v>
      </c>
      <c r="D240" s="2" t="s">
        <v>313</v>
      </c>
      <c r="E240" s="9">
        <v>1.93</v>
      </c>
      <c r="F240" s="9">
        <v>0</v>
      </c>
      <c r="G240" s="9">
        <v>1.93</v>
      </c>
      <c r="H240" s="17"/>
      <c r="I240" s="18"/>
    </row>
    <row r="241" spans="1:9" hidden="1" x14ac:dyDescent="0.2">
      <c r="A241" s="2" t="s">
        <v>76</v>
      </c>
      <c r="B241" s="2" t="s">
        <v>312</v>
      </c>
      <c r="C241" s="2" t="s">
        <v>11</v>
      </c>
      <c r="D241" s="2" t="s">
        <v>313</v>
      </c>
      <c r="E241" s="9">
        <v>1.27</v>
      </c>
      <c r="F241" s="9">
        <v>0</v>
      </c>
      <c r="G241" s="9">
        <v>1.27</v>
      </c>
      <c r="H241" s="17"/>
      <c r="I241" s="18"/>
    </row>
    <row r="242" spans="1:9" hidden="1" x14ac:dyDescent="0.2">
      <c r="A242" s="2" t="s">
        <v>81</v>
      </c>
      <c r="B242" s="2" t="s">
        <v>312</v>
      </c>
      <c r="C242" s="2" t="s">
        <v>11</v>
      </c>
      <c r="D242" s="2" t="s">
        <v>313</v>
      </c>
      <c r="E242" s="9">
        <v>2.16</v>
      </c>
      <c r="F242" s="9">
        <v>0</v>
      </c>
      <c r="G242" s="9">
        <v>2.16</v>
      </c>
      <c r="H242" s="17"/>
      <c r="I242" s="18"/>
    </row>
    <row r="243" spans="1:9" hidden="1" x14ac:dyDescent="0.2">
      <c r="A243" s="2" t="s">
        <v>81</v>
      </c>
      <c r="B243" s="2" t="s">
        <v>312</v>
      </c>
      <c r="C243" s="2" t="s">
        <v>11</v>
      </c>
      <c r="D243" s="2" t="s">
        <v>313</v>
      </c>
      <c r="E243" s="9">
        <v>5.49</v>
      </c>
      <c r="F243" s="9">
        <v>0</v>
      </c>
      <c r="G243" s="9">
        <v>5.49</v>
      </c>
      <c r="H243" s="17"/>
      <c r="I243" s="18"/>
    </row>
    <row r="244" spans="1:9" hidden="1" x14ac:dyDescent="0.2">
      <c r="A244" s="2" t="s">
        <v>81</v>
      </c>
      <c r="B244" s="2" t="s">
        <v>312</v>
      </c>
      <c r="C244" s="2" t="s">
        <v>11</v>
      </c>
      <c r="D244" s="2" t="s">
        <v>313</v>
      </c>
      <c r="E244" s="9">
        <v>1.27</v>
      </c>
      <c r="F244" s="9">
        <v>0</v>
      </c>
      <c r="G244" s="9">
        <v>1.27</v>
      </c>
      <c r="H244" s="17"/>
      <c r="I244" s="18"/>
    </row>
    <row r="245" spans="1:9" hidden="1" x14ac:dyDescent="0.2">
      <c r="A245" s="2" t="s">
        <v>81</v>
      </c>
      <c r="B245" s="2" t="s">
        <v>312</v>
      </c>
      <c r="C245" s="2" t="s">
        <v>11</v>
      </c>
      <c r="D245" s="2" t="s">
        <v>313</v>
      </c>
      <c r="E245" s="9">
        <v>2.42</v>
      </c>
      <c r="F245" s="9">
        <v>0</v>
      </c>
      <c r="G245" s="9">
        <v>2.42</v>
      </c>
      <c r="H245" s="17"/>
      <c r="I245" s="18"/>
    </row>
    <row r="246" spans="1:9" hidden="1" x14ac:dyDescent="0.2">
      <c r="A246" s="2" t="s">
        <v>86</v>
      </c>
      <c r="B246" s="2" t="s">
        <v>312</v>
      </c>
      <c r="C246" s="2" t="s">
        <v>11</v>
      </c>
      <c r="D246" s="2" t="s">
        <v>313</v>
      </c>
      <c r="E246" s="9">
        <v>4.07</v>
      </c>
      <c r="F246" s="9">
        <v>0</v>
      </c>
      <c r="G246" s="9">
        <v>4.07</v>
      </c>
      <c r="H246" s="17"/>
      <c r="I246" s="18"/>
    </row>
    <row r="247" spans="1:9" hidden="1" x14ac:dyDescent="0.2">
      <c r="A247" s="2" t="s">
        <v>86</v>
      </c>
      <c r="B247" s="2" t="s">
        <v>312</v>
      </c>
      <c r="C247" s="2" t="s">
        <v>11</v>
      </c>
      <c r="D247" s="2" t="s">
        <v>313</v>
      </c>
      <c r="E247" s="9">
        <v>3.24</v>
      </c>
      <c r="F247" s="9">
        <v>0</v>
      </c>
      <c r="G247" s="9">
        <v>3.24</v>
      </c>
      <c r="H247" s="17"/>
      <c r="I247" s="18"/>
    </row>
    <row r="248" spans="1:9" hidden="1" x14ac:dyDescent="0.2">
      <c r="A248" s="2" t="s">
        <v>86</v>
      </c>
      <c r="B248" s="2" t="s">
        <v>312</v>
      </c>
      <c r="C248" s="2" t="s">
        <v>11</v>
      </c>
      <c r="D248" s="2" t="s">
        <v>313</v>
      </c>
      <c r="E248" s="9">
        <v>5.19</v>
      </c>
      <c r="F248" s="9">
        <v>0</v>
      </c>
      <c r="G248" s="9">
        <v>5.19</v>
      </c>
      <c r="H248" s="17"/>
      <c r="I248" s="18"/>
    </row>
    <row r="249" spans="1:9" hidden="1" x14ac:dyDescent="0.2">
      <c r="A249" s="2" t="s">
        <v>86</v>
      </c>
      <c r="B249" s="2" t="s">
        <v>312</v>
      </c>
      <c r="C249" s="2" t="s">
        <v>11</v>
      </c>
      <c r="D249" s="2" t="s">
        <v>313</v>
      </c>
      <c r="E249" s="9">
        <v>7.26</v>
      </c>
      <c r="F249" s="9">
        <v>0</v>
      </c>
      <c r="G249" s="9">
        <v>7.26</v>
      </c>
      <c r="H249" s="17"/>
      <c r="I249" s="18"/>
    </row>
    <row r="250" spans="1:9" hidden="1" x14ac:dyDescent="0.2">
      <c r="A250" s="2" t="s">
        <v>91</v>
      </c>
      <c r="B250" s="2" t="s">
        <v>312</v>
      </c>
      <c r="C250" s="2" t="s">
        <v>11</v>
      </c>
      <c r="D250" s="2" t="s">
        <v>313</v>
      </c>
      <c r="E250" s="9">
        <v>2.04</v>
      </c>
      <c r="F250" s="9">
        <v>0</v>
      </c>
      <c r="G250" s="9">
        <v>2.04</v>
      </c>
      <c r="H250" s="17"/>
      <c r="I250" s="18"/>
    </row>
    <row r="251" spans="1:9" hidden="1" x14ac:dyDescent="0.2">
      <c r="A251" s="2" t="s">
        <v>91</v>
      </c>
      <c r="B251" s="2" t="s">
        <v>312</v>
      </c>
      <c r="C251" s="2" t="s">
        <v>11</v>
      </c>
      <c r="D251" s="2" t="s">
        <v>313</v>
      </c>
      <c r="E251" s="9">
        <v>2.2999999999999998</v>
      </c>
      <c r="F251" s="9">
        <v>0</v>
      </c>
      <c r="G251" s="9">
        <v>2.2999999999999998</v>
      </c>
      <c r="H251" s="17"/>
      <c r="I251" s="18"/>
    </row>
    <row r="252" spans="1:9" hidden="1" x14ac:dyDescent="0.2">
      <c r="A252" s="2" t="s">
        <v>91</v>
      </c>
      <c r="B252" s="2" t="s">
        <v>312</v>
      </c>
      <c r="C252" s="2" t="s">
        <v>11</v>
      </c>
      <c r="D252" s="2" t="s">
        <v>313</v>
      </c>
      <c r="E252" s="9">
        <v>2.62</v>
      </c>
      <c r="F252" s="9">
        <v>0</v>
      </c>
      <c r="G252" s="9">
        <v>2.62</v>
      </c>
      <c r="H252" s="17"/>
      <c r="I252" s="18"/>
    </row>
    <row r="253" spans="1:9" hidden="1" x14ac:dyDescent="0.2">
      <c r="A253" s="2" t="s">
        <v>91</v>
      </c>
      <c r="B253" s="2" t="s">
        <v>312</v>
      </c>
      <c r="C253" s="2" t="s">
        <v>11</v>
      </c>
      <c r="D253" s="2" t="s">
        <v>313</v>
      </c>
      <c r="E253" s="9">
        <v>4.1399999999999997</v>
      </c>
      <c r="F253" s="9">
        <v>0</v>
      </c>
      <c r="G253" s="9">
        <v>4.1399999999999997</v>
      </c>
      <c r="H253" s="17"/>
      <c r="I253" s="18"/>
    </row>
    <row r="254" spans="1:9" hidden="1" x14ac:dyDescent="0.2">
      <c r="A254" s="2" t="s">
        <v>91</v>
      </c>
      <c r="B254" s="2" t="s">
        <v>312</v>
      </c>
      <c r="C254" s="2" t="s">
        <v>11</v>
      </c>
      <c r="D254" s="2" t="s">
        <v>313</v>
      </c>
      <c r="E254" s="9">
        <v>4.79</v>
      </c>
      <c r="F254" s="9">
        <v>0</v>
      </c>
      <c r="G254" s="9">
        <v>4.79</v>
      </c>
      <c r="H254" s="17"/>
      <c r="I254" s="18"/>
    </row>
    <row r="255" spans="1:9" hidden="1" x14ac:dyDescent="0.2">
      <c r="A255" s="2" t="s">
        <v>97</v>
      </c>
      <c r="B255" s="2" t="s">
        <v>312</v>
      </c>
      <c r="C255" s="2" t="s">
        <v>11</v>
      </c>
      <c r="D255" s="2" t="s">
        <v>313</v>
      </c>
      <c r="E255" s="9">
        <v>1.89</v>
      </c>
      <c r="F255" s="9">
        <v>0</v>
      </c>
      <c r="G255" s="9">
        <v>1.89</v>
      </c>
      <c r="H255" s="17"/>
      <c r="I255" s="18"/>
    </row>
    <row r="256" spans="1:9" hidden="1" x14ac:dyDescent="0.2">
      <c r="A256" s="2" t="s">
        <v>99</v>
      </c>
      <c r="B256" s="2" t="s">
        <v>312</v>
      </c>
      <c r="C256" s="2" t="s">
        <v>11</v>
      </c>
      <c r="D256" s="2" t="s">
        <v>313</v>
      </c>
      <c r="E256" s="9">
        <v>5.09</v>
      </c>
      <c r="F256" s="9">
        <v>0</v>
      </c>
      <c r="G256" s="9">
        <v>5.09</v>
      </c>
      <c r="H256" s="17"/>
      <c r="I256" s="18"/>
    </row>
    <row r="257" spans="1:9" hidden="1" x14ac:dyDescent="0.2">
      <c r="A257" s="2" t="s">
        <v>99</v>
      </c>
      <c r="B257" s="2" t="s">
        <v>312</v>
      </c>
      <c r="C257" s="2" t="s">
        <v>11</v>
      </c>
      <c r="D257" s="2" t="s">
        <v>313</v>
      </c>
      <c r="E257" s="9">
        <v>2.36</v>
      </c>
      <c r="F257" s="9">
        <v>0</v>
      </c>
      <c r="G257" s="9">
        <v>2.36</v>
      </c>
      <c r="H257" s="17"/>
      <c r="I257" s="18"/>
    </row>
    <row r="258" spans="1:9" hidden="1" x14ac:dyDescent="0.2">
      <c r="A258" s="2" t="s">
        <v>99</v>
      </c>
      <c r="B258" s="2" t="s">
        <v>312</v>
      </c>
      <c r="C258" s="2" t="s">
        <v>11</v>
      </c>
      <c r="D258" s="2" t="s">
        <v>313</v>
      </c>
      <c r="E258" s="9">
        <v>2.27</v>
      </c>
      <c r="F258" s="9">
        <v>0</v>
      </c>
      <c r="G258" s="9">
        <v>2.27</v>
      </c>
      <c r="H258" s="17"/>
      <c r="I258" s="18"/>
    </row>
    <row r="259" spans="1:9" hidden="1" x14ac:dyDescent="0.2">
      <c r="A259" s="2" t="s">
        <v>103</v>
      </c>
      <c r="B259" s="2" t="s">
        <v>312</v>
      </c>
      <c r="C259" s="2" t="s">
        <v>11</v>
      </c>
      <c r="D259" s="2" t="s">
        <v>313</v>
      </c>
      <c r="E259" s="9">
        <v>4.49</v>
      </c>
      <c r="F259" s="9">
        <v>0</v>
      </c>
      <c r="G259" s="9">
        <v>4.49</v>
      </c>
      <c r="H259" s="17"/>
      <c r="I259" s="18"/>
    </row>
    <row r="260" spans="1:9" hidden="1" x14ac:dyDescent="0.2">
      <c r="A260" s="2" t="s">
        <v>103</v>
      </c>
      <c r="B260" s="2" t="s">
        <v>312</v>
      </c>
      <c r="C260" s="2" t="s">
        <v>11</v>
      </c>
      <c r="D260" s="2" t="s">
        <v>313</v>
      </c>
      <c r="E260" s="9">
        <v>1.4</v>
      </c>
      <c r="F260" s="9">
        <v>0</v>
      </c>
      <c r="G260" s="9">
        <v>1.4</v>
      </c>
      <c r="H260" s="17"/>
      <c r="I260" s="18"/>
    </row>
    <row r="261" spans="1:9" hidden="1" x14ac:dyDescent="0.2">
      <c r="A261" s="2" t="s">
        <v>106</v>
      </c>
      <c r="B261" s="2" t="s">
        <v>312</v>
      </c>
      <c r="C261" s="2" t="s">
        <v>11</v>
      </c>
      <c r="D261" s="2" t="s">
        <v>313</v>
      </c>
      <c r="E261" s="9">
        <v>3.14</v>
      </c>
      <c r="F261" s="9">
        <v>0</v>
      </c>
      <c r="G261" s="9">
        <v>3.14</v>
      </c>
      <c r="H261" s="17"/>
      <c r="I261" s="18"/>
    </row>
    <row r="262" spans="1:9" hidden="1" x14ac:dyDescent="0.2">
      <c r="A262" s="2" t="s">
        <v>106</v>
      </c>
      <c r="B262" s="2" t="s">
        <v>312</v>
      </c>
      <c r="C262" s="2" t="s">
        <v>11</v>
      </c>
      <c r="D262" s="2" t="s">
        <v>313</v>
      </c>
      <c r="E262" s="9">
        <v>3.49</v>
      </c>
      <c r="F262" s="9">
        <v>0</v>
      </c>
      <c r="G262" s="9">
        <v>3.49</v>
      </c>
      <c r="H262" s="17"/>
      <c r="I262" s="18"/>
    </row>
    <row r="263" spans="1:9" hidden="1" x14ac:dyDescent="0.2">
      <c r="A263" s="2" t="s">
        <v>106</v>
      </c>
      <c r="B263" s="2" t="s">
        <v>312</v>
      </c>
      <c r="C263" s="2" t="s">
        <v>11</v>
      </c>
      <c r="D263" s="2" t="s">
        <v>313</v>
      </c>
      <c r="E263" s="9">
        <v>4.08</v>
      </c>
      <c r="F263" s="9">
        <v>0</v>
      </c>
      <c r="G263" s="9">
        <v>4.08</v>
      </c>
      <c r="H263" s="17"/>
      <c r="I263" s="18"/>
    </row>
    <row r="264" spans="1:9" hidden="1" x14ac:dyDescent="0.2">
      <c r="A264" s="2" t="s">
        <v>106</v>
      </c>
      <c r="B264" s="2" t="s">
        <v>312</v>
      </c>
      <c r="C264" s="2" t="s">
        <v>11</v>
      </c>
      <c r="D264" s="2" t="s">
        <v>313</v>
      </c>
      <c r="E264" s="9">
        <v>2.27</v>
      </c>
      <c r="F264" s="9">
        <v>0</v>
      </c>
      <c r="G264" s="9">
        <v>2.27</v>
      </c>
      <c r="H264" s="17"/>
      <c r="I264" s="18"/>
    </row>
    <row r="265" spans="1:9" hidden="1" x14ac:dyDescent="0.2">
      <c r="A265" s="2" t="s">
        <v>106</v>
      </c>
      <c r="B265" s="2" t="s">
        <v>312</v>
      </c>
      <c r="C265" s="2" t="s">
        <v>11</v>
      </c>
      <c r="D265" s="2" t="s">
        <v>313</v>
      </c>
      <c r="E265" s="9">
        <v>4.24</v>
      </c>
      <c r="F265" s="9">
        <v>0</v>
      </c>
      <c r="G265" s="9">
        <v>4.24</v>
      </c>
      <c r="H265" s="17"/>
      <c r="I265" s="18"/>
    </row>
    <row r="266" spans="1:9" hidden="1" x14ac:dyDescent="0.2">
      <c r="A266" s="2" t="s">
        <v>113</v>
      </c>
      <c r="B266" s="2" t="s">
        <v>312</v>
      </c>
      <c r="C266" s="2" t="s">
        <v>11</v>
      </c>
      <c r="D266" s="2" t="s">
        <v>313</v>
      </c>
      <c r="E266" s="9">
        <v>4.87</v>
      </c>
      <c r="F266" s="9">
        <v>0</v>
      </c>
      <c r="G266" s="9">
        <v>4.87</v>
      </c>
      <c r="H266" s="17"/>
      <c r="I266" s="18"/>
    </row>
    <row r="267" spans="1:9" hidden="1" x14ac:dyDescent="0.2">
      <c r="A267" s="2" t="s">
        <v>113</v>
      </c>
      <c r="B267" s="2" t="s">
        <v>312</v>
      </c>
      <c r="C267" s="2" t="s">
        <v>11</v>
      </c>
      <c r="D267" s="2" t="s">
        <v>313</v>
      </c>
      <c r="E267" s="9">
        <v>3.25</v>
      </c>
      <c r="F267" s="9">
        <v>0</v>
      </c>
      <c r="G267" s="9">
        <v>3.25</v>
      </c>
      <c r="H267" s="17"/>
      <c r="I267" s="18"/>
    </row>
    <row r="268" spans="1:9" hidden="1" x14ac:dyDescent="0.2">
      <c r="A268" s="2" t="s">
        <v>113</v>
      </c>
      <c r="B268" s="2" t="s">
        <v>312</v>
      </c>
      <c r="C268" s="2" t="s">
        <v>11</v>
      </c>
      <c r="D268" s="2" t="s">
        <v>313</v>
      </c>
      <c r="E268" s="9">
        <v>3.49</v>
      </c>
      <c r="F268" s="9">
        <v>0</v>
      </c>
      <c r="G268" s="9">
        <v>3.49</v>
      </c>
      <c r="H268" s="17"/>
      <c r="I268" s="18"/>
    </row>
    <row r="269" spans="1:9" hidden="1" x14ac:dyDescent="0.2">
      <c r="A269" s="2" t="s">
        <v>113</v>
      </c>
      <c r="B269" s="2" t="s">
        <v>312</v>
      </c>
      <c r="C269" s="2" t="s">
        <v>11</v>
      </c>
      <c r="D269" s="2" t="s">
        <v>313</v>
      </c>
      <c r="E269" s="9">
        <v>4.37</v>
      </c>
      <c r="F269" s="9">
        <v>0</v>
      </c>
      <c r="G269" s="9">
        <v>4.37</v>
      </c>
      <c r="H269" s="17"/>
      <c r="I269" s="18"/>
    </row>
    <row r="270" spans="1:9" hidden="1" x14ac:dyDescent="0.2">
      <c r="A270" s="2" t="s">
        <v>113</v>
      </c>
      <c r="B270" s="2" t="s">
        <v>312</v>
      </c>
      <c r="C270" s="2" t="s">
        <v>11</v>
      </c>
      <c r="D270" s="2" t="s">
        <v>313</v>
      </c>
      <c r="E270" s="9">
        <v>5.52</v>
      </c>
      <c r="F270" s="9">
        <v>0</v>
      </c>
      <c r="G270" s="9">
        <v>5.52</v>
      </c>
      <c r="H270" s="17"/>
      <c r="I270" s="18"/>
    </row>
    <row r="271" spans="1:9" hidden="1" x14ac:dyDescent="0.2">
      <c r="A271" s="2" t="s">
        <v>119</v>
      </c>
      <c r="B271" s="2" t="s">
        <v>312</v>
      </c>
      <c r="C271" s="2" t="s">
        <v>11</v>
      </c>
      <c r="D271" s="2" t="s">
        <v>313</v>
      </c>
      <c r="E271" s="9">
        <v>2.4500000000000002</v>
      </c>
      <c r="F271" s="9">
        <v>0</v>
      </c>
      <c r="G271" s="9">
        <v>2.4500000000000002</v>
      </c>
      <c r="H271" s="17"/>
      <c r="I271" s="18"/>
    </row>
    <row r="272" spans="1:9" hidden="1" x14ac:dyDescent="0.2">
      <c r="A272" s="2" t="s">
        <v>121</v>
      </c>
      <c r="B272" s="2" t="s">
        <v>312</v>
      </c>
      <c r="C272" s="2" t="s">
        <v>11</v>
      </c>
      <c r="D272" s="2" t="s">
        <v>313</v>
      </c>
      <c r="E272" s="9">
        <v>2.68</v>
      </c>
      <c r="F272" s="9">
        <v>0</v>
      </c>
      <c r="G272" s="9">
        <v>2.68</v>
      </c>
      <c r="H272" s="17"/>
      <c r="I272" s="18"/>
    </row>
    <row r="273" spans="1:9" hidden="1" x14ac:dyDescent="0.2">
      <c r="A273" s="2" t="s">
        <v>123</v>
      </c>
      <c r="B273" s="2" t="s">
        <v>312</v>
      </c>
      <c r="C273" s="2" t="s">
        <v>11</v>
      </c>
      <c r="D273" s="2" t="s">
        <v>313</v>
      </c>
      <c r="E273" s="9">
        <v>4.13</v>
      </c>
      <c r="F273" s="9">
        <v>0</v>
      </c>
      <c r="G273" s="9">
        <v>4.13</v>
      </c>
      <c r="H273" s="17"/>
      <c r="I273" s="18"/>
    </row>
    <row r="274" spans="1:9" hidden="1" x14ac:dyDescent="0.2">
      <c r="A274" s="2" t="s">
        <v>123</v>
      </c>
      <c r="B274" s="2" t="s">
        <v>312</v>
      </c>
      <c r="C274" s="2" t="s">
        <v>11</v>
      </c>
      <c r="D274" s="2" t="s">
        <v>313</v>
      </c>
      <c r="E274" s="9">
        <v>1.46</v>
      </c>
      <c r="F274" s="9">
        <v>0</v>
      </c>
      <c r="G274" s="9">
        <v>1.46</v>
      </c>
      <c r="H274" s="17"/>
      <c r="I274" s="18"/>
    </row>
    <row r="275" spans="1:9" hidden="1" x14ac:dyDescent="0.2">
      <c r="A275" s="2" t="s">
        <v>123</v>
      </c>
      <c r="B275" s="2" t="s">
        <v>312</v>
      </c>
      <c r="C275" s="2" t="s">
        <v>11</v>
      </c>
      <c r="D275" s="2" t="s">
        <v>313</v>
      </c>
      <c r="E275" s="9">
        <v>5.52</v>
      </c>
      <c r="F275" s="9">
        <v>0</v>
      </c>
      <c r="G275" s="9">
        <v>5.52</v>
      </c>
      <c r="H275" s="17"/>
      <c r="I275" s="18"/>
    </row>
    <row r="276" spans="1:9" hidden="1" x14ac:dyDescent="0.2">
      <c r="A276" s="2" t="s">
        <v>123</v>
      </c>
      <c r="B276" s="2" t="s">
        <v>312</v>
      </c>
      <c r="C276" s="2" t="s">
        <v>11</v>
      </c>
      <c r="D276" s="2" t="s">
        <v>313</v>
      </c>
      <c r="E276" s="9">
        <v>10.01</v>
      </c>
      <c r="F276" s="9">
        <v>0</v>
      </c>
      <c r="G276" s="9">
        <v>10.01</v>
      </c>
      <c r="H276" s="17"/>
      <c r="I276" s="18"/>
    </row>
    <row r="277" spans="1:9" hidden="1" x14ac:dyDescent="0.2">
      <c r="A277" s="2" t="s">
        <v>123</v>
      </c>
      <c r="B277" s="2" t="s">
        <v>312</v>
      </c>
      <c r="C277" s="2" t="s">
        <v>11</v>
      </c>
      <c r="D277" s="2" t="s">
        <v>313</v>
      </c>
      <c r="E277" s="9">
        <v>3.56</v>
      </c>
      <c r="F277" s="9">
        <v>0</v>
      </c>
      <c r="G277" s="9">
        <v>3.56</v>
      </c>
      <c r="H277" s="17"/>
      <c r="I277" s="18"/>
    </row>
    <row r="278" spans="1:9" hidden="1" x14ac:dyDescent="0.2">
      <c r="A278" s="2" t="s">
        <v>129</v>
      </c>
      <c r="B278" s="2" t="s">
        <v>312</v>
      </c>
      <c r="C278" s="2" t="s">
        <v>11</v>
      </c>
      <c r="D278" s="2" t="s">
        <v>313</v>
      </c>
      <c r="E278" s="9">
        <v>3.85</v>
      </c>
      <c r="F278" s="9">
        <v>0</v>
      </c>
      <c r="G278" s="9">
        <v>3.85</v>
      </c>
      <c r="H278" s="17"/>
      <c r="I278" s="18"/>
    </row>
    <row r="279" spans="1:9" hidden="1" x14ac:dyDescent="0.2">
      <c r="A279" s="2" t="s">
        <v>129</v>
      </c>
      <c r="B279" s="2" t="s">
        <v>312</v>
      </c>
      <c r="C279" s="2" t="s">
        <v>11</v>
      </c>
      <c r="D279" s="2" t="s">
        <v>313</v>
      </c>
      <c r="E279" s="9">
        <v>5.93</v>
      </c>
      <c r="F279" s="9">
        <v>0</v>
      </c>
      <c r="G279" s="9">
        <v>5.93</v>
      </c>
      <c r="H279" s="17"/>
      <c r="I279" s="18"/>
    </row>
    <row r="280" spans="1:9" hidden="1" x14ac:dyDescent="0.2">
      <c r="A280" s="2" t="s">
        <v>129</v>
      </c>
      <c r="B280" s="2" t="s">
        <v>312</v>
      </c>
      <c r="C280" s="2" t="s">
        <v>11</v>
      </c>
      <c r="D280" s="2" t="s">
        <v>313</v>
      </c>
      <c r="E280" s="9">
        <v>5.52</v>
      </c>
      <c r="F280" s="9">
        <v>0</v>
      </c>
      <c r="G280" s="9">
        <v>5.52</v>
      </c>
      <c r="H280" s="17"/>
      <c r="I280" s="18"/>
    </row>
    <row r="281" spans="1:9" hidden="1" x14ac:dyDescent="0.2">
      <c r="A281" s="2" t="s">
        <v>129</v>
      </c>
      <c r="B281" s="2" t="s">
        <v>312</v>
      </c>
      <c r="C281" s="2" t="s">
        <v>11</v>
      </c>
      <c r="D281" s="2" t="s">
        <v>313</v>
      </c>
      <c r="E281" s="9">
        <v>5.09</v>
      </c>
      <c r="F281" s="9">
        <v>0</v>
      </c>
      <c r="G281" s="9">
        <v>5.09</v>
      </c>
      <c r="H281" s="17"/>
      <c r="I281" s="18"/>
    </row>
    <row r="282" spans="1:9" hidden="1" x14ac:dyDescent="0.2">
      <c r="A282" s="2" t="s">
        <v>129</v>
      </c>
      <c r="B282" s="2" t="s">
        <v>312</v>
      </c>
      <c r="C282" s="2" t="s">
        <v>11</v>
      </c>
      <c r="D282" s="2" t="s">
        <v>313</v>
      </c>
      <c r="E282" s="9">
        <v>2.75</v>
      </c>
      <c r="F282" s="9">
        <v>0</v>
      </c>
      <c r="G282" s="9">
        <v>2.75</v>
      </c>
      <c r="H282" s="17"/>
      <c r="I282" s="18"/>
    </row>
    <row r="283" spans="1:9" hidden="1" x14ac:dyDescent="0.2">
      <c r="A283" s="2" t="s">
        <v>129</v>
      </c>
      <c r="B283" s="2" t="s">
        <v>312</v>
      </c>
      <c r="C283" s="2" t="s">
        <v>11</v>
      </c>
      <c r="D283" s="2" t="s">
        <v>313</v>
      </c>
      <c r="E283" s="9">
        <v>1.32</v>
      </c>
      <c r="F283" s="9">
        <v>0</v>
      </c>
      <c r="G283" s="9">
        <v>1.32</v>
      </c>
      <c r="H283" s="17"/>
      <c r="I283" s="18"/>
    </row>
    <row r="284" spans="1:9" hidden="1" x14ac:dyDescent="0.2">
      <c r="A284" s="2" t="s">
        <v>129</v>
      </c>
      <c r="B284" s="2" t="s">
        <v>312</v>
      </c>
      <c r="C284" s="2" t="s">
        <v>11</v>
      </c>
      <c r="D284" s="2" t="s">
        <v>313</v>
      </c>
      <c r="E284" s="9">
        <v>2.27</v>
      </c>
      <c r="F284" s="9">
        <v>0</v>
      </c>
      <c r="G284" s="9">
        <v>2.27</v>
      </c>
      <c r="H284" s="17"/>
      <c r="I284" s="18"/>
    </row>
    <row r="285" spans="1:9" hidden="1" x14ac:dyDescent="0.2">
      <c r="A285" s="2" t="s">
        <v>137</v>
      </c>
      <c r="B285" s="2" t="s">
        <v>312</v>
      </c>
      <c r="C285" s="2" t="s">
        <v>11</v>
      </c>
      <c r="D285" s="2" t="s">
        <v>313</v>
      </c>
      <c r="E285" s="9">
        <v>2.9</v>
      </c>
      <c r="F285" s="9">
        <v>0</v>
      </c>
      <c r="G285" s="9">
        <v>2.9</v>
      </c>
      <c r="H285" s="17"/>
      <c r="I285" s="18"/>
    </row>
    <row r="286" spans="1:9" hidden="1" x14ac:dyDescent="0.2">
      <c r="A286" s="2" t="s">
        <v>137</v>
      </c>
      <c r="B286" s="2" t="s">
        <v>312</v>
      </c>
      <c r="C286" s="2" t="s">
        <v>11</v>
      </c>
      <c r="D286" s="2" t="s">
        <v>313</v>
      </c>
      <c r="E286" s="9">
        <v>3.24</v>
      </c>
      <c r="F286" s="9">
        <v>0</v>
      </c>
      <c r="G286" s="9">
        <v>3.24</v>
      </c>
      <c r="H286" s="17"/>
      <c r="I286" s="18"/>
    </row>
    <row r="287" spans="1:9" hidden="1" x14ac:dyDescent="0.2">
      <c r="A287" s="2" t="s">
        <v>142</v>
      </c>
      <c r="B287" s="2" t="s">
        <v>312</v>
      </c>
      <c r="C287" s="2" t="s">
        <v>11</v>
      </c>
      <c r="D287" s="2" t="s">
        <v>313</v>
      </c>
      <c r="E287" s="9">
        <v>2.65</v>
      </c>
      <c r="F287" s="9">
        <v>0</v>
      </c>
      <c r="G287" s="9">
        <v>2.65</v>
      </c>
      <c r="H287" s="17"/>
      <c r="I287" s="18"/>
    </row>
    <row r="288" spans="1:9" hidden="1" x14ac:dyDescent="0.2">
      <c r="A288" s="2" t="s">
        <v>142</v>
      </c>
      <c r="B288" s="2" t="s">
        <v>312</v>
      </c>
      <c r="C288" s="2" t="s">
        <v>11</v>
      </c>
      <c r="D288" s="2" t="s">
        <v>313</v>
      </c>
      <c r="E288" s="9">
        <v>3.52</v>
      </c>
      <c r="F288" s="9">
        <v>0</v>
      </c>
      <c r="G288" s="9">
        <v>3.52</v>
      </c>
      <c r="H288" s="17"/>
      <c r="I288" s="18"/>
    </row>
    <row r="289" spans="1:9" hidden="1" x14ac:dyDescent="0.2">
      <c r="A289" s="2" t="s">
        <v>142</v>
      </c>
      <c r="B289" s="2" t="s">
        <v>312</v>
      </c>
      <c r="C289" s="2" t="s">
        <v>11</v>
      </c>
      <c r="D289" s="2" t="s">
        <v>313</v>
      </c>
      <c r="E289" s="9">
        <v>3.49</v>
      </c>
      <c r="F289" s="9">
        <v>0</v>
      </c>
      <c r="G289" s="9">
        <v>3.49</v>
      </c>
      <c r="H289" s="17"/>
      <c r="I289" s="18"/>
    </row>
    <row r="290" spans="1:9" hidden="1" x14ac:dyDescent="0.2">
      <c r="A290" s="2" t="s">
        <v>142</v>
      </c>
      <c r="B290" s="2" t="s">
        <v>312</v>
      </c>
      <c r="C290" s="2" t="s">
        <v>11</v>
      </c>
      <c r="D290" s="2" t="s">
        <v>313</v>
      </c>
      <c r="E290" s="9">
        <v>3.82</v>
      </c>
      <c r="F290" s="9">
        <v>0</v>
      </c>
      <c r="G290" s="9">
        <v>3.82</v>
      </c>
      <c r="H290" s="17"/>
      <c r="I290" s="18"/>
    </row>
    <row r="291" spans="1:9" hidden="1" x14ac:dyDescent="0.2">
      <c r="A291" s="2" t="s">
        <v>142</v>
      </c>
      <c r="B291" s="2" t="s">
        <v>312</v>
      </c>
      <c r="C291" s="2" t="s">
        <v>11</v>
      </c>
      <c r="D291" s="2" t="s">
        <v>313</v>
      </c>
      <c r="E291" s="9">
        <v>6.71</v>
      </c>
      <c r="F291" s="9">
        <v>0</v>
      </c>
      <c r="G291" s="9">
        <v>6.71</v>
      </c>
      <c r="H291" s="17"/>
      <c r="I291" s="18"/>
    </row>
    <row r="292" spans="1:9" hidden="1" x14ac:dyDescent="0.2">
      <c r="A292" s="2" t="s">
        <v>142</v>
      </c>
      <c r="B292" s="2" t="s">
        <v>312</v>
      </c>
      <c r="C292" s="2" t="s">
        <v>11</v>
      </c>
      <c r="D292" s="2" t="s">
        <v>313</v>
      </c>
      <c r="E292" s="9">
        <v>4.07</v>
      </c>
      <c r="F292" s="9">
        <v>0</v>
      </c>
      <c r="G292" s="9">
        <v>4.07</v>
      </c>
      <c r="H292" s="17"/>
      <c r="I292" s="18"/>
    </row>
    <row r="293" spans="1:9" hidden="1" x14ac:dyDescent="0.2">
      <c r="A293" s="2" t="s">
        <v>149</v>
      </c>
      <c r="B293" s="2" t="s">
        <v>312</v>
      </c>
      <c r="C293" s="2" t="s">
        <v>11</v>
      </c>
      <c r="D293" s="2" t="s">
        <v>313</v>
      </c>
      <c r="E293" s="9">
        <v>2.9</v>
      </c>
      <c r="F293" s="9">
        <v>0</v>
      </c>
      <c r="G293" s="9">
        <v>2.9</v>
      </c>
      <c r="H293" s="17"/>
      <c r="I293" s="18"/>
    </row>
    <row r="294" spans="1:9" hidden="1" x14ac:dyDescent="0.2">
      <c r="A294" s="2" t="s">
        <v>149</v>
      </c>
      <c r="B294" s="2" t="s">
        <v>312</v>
      </c>
      <c r="C294" s="2" t="s">
        <v>11</v>
      </c>
      <c r="D294" s="2" t="s">
        <v>313</v>
      </c>
      <c r="E294" s="9">
        <v>2.0099999999999998</v>
      </c>
      <c r="F294" s="9">
        <v>0</v>
      </c>
      <c r="G294" s="9">
        <v>2.0099999999999998</v>
      </c>
      <c r="H294" s="17"/>
      <c r="I294" s="18"/>
    </row>
    <row r="295" spans="1:9" hidden="1" x14ac:dyDescent="0.2">
      <c r="A295" s="2" t="s">
        <v>149</v>
      </c>
      <c r="B295" s="2" t="s">
        <v>312</v>
      </c>
      <c r="C295" s="2" t="s">
        <v>11</v>
      </c>
      <c r="D295" s="2" t="s">
        <v>313</v>
      </c>
      <c r="E295" s="9">
        <v>4.0199999999999996</v>
      </c>
      <c r="F295" s="9">
        <v>0</v>
      </c>
      <c r="G295" s="9">
        <v>4.0199999999999996</v>
      </c>
      <c r="H295" s="17"/>
      <c r="I295" s="18"/>
    </row>
    <row r="296" spans="1:9" hidden="1" x14ac:dyDescent="0.2">
      <c r="A296" s="2" t="s">
        <v>153</v>
      </c>
      <c r="B296" s="2" t="s">
        <v>312</v>
      </c>
      <c r="C296" s="2" t="s">
        <v>11</v>
      </c>
      <c r="D296" s="2" t="s">
        <v>313</v>
      </c>
      <c r="E296" s="9">
        <v>3.79</v>
      </c>
      <c r="F296" s="9">
        <v>0</v>
      </c>
      <c r="G296" s="9">
        <v>3.79</v>
      </c>
      <c r="H296" s="17"/>
      <c r="I296" s="18"/>
    </row>
    <row r="297" spans="1:9" hidden="1" x14ac:dyDescent="0.2">
      <c r="A297" s="2" t="s">
        <v>153</v>
      </c>
      <c r="B297" s="2" t="s">
        <v>312</v>
      </c>
      <c r="C297" s="2" t="s">
        <v>11</v>
      </c>
      <c r="D297" s="2" t="s">
        <v>313</v>
      </c>
      <c r="E297" s="9">
        <v>2.4500000000000002</v>
      </c>
      <c r="F297" s="9">
        <v>0</v>
      </c>
      <c r="G297" s="9">
        <v>2.4500000000000002</v>
      </c>
      <c r="H297" s="17"/>
      <c r="I297" s="18"/>
    </row>
    <row r="298" spans="1:9" hidden="1" x14ac:dyDescent="0.2">
      <c r="A298" s="2" t="s">
        <v>153</v>
      </c>
      <c r="B298" s="2" t="s">
        <v>312</v>
      </c>
      <c r="C298" s="2" t="s">
        <v>11</v>
      </c>
      <c r="D298" s="2" t="s">
        <v>313</v>
      </c>
      <c r="E298" s="9">
        <v>1.81</v>
      </c>
      <c r="F298" s="9">
        <v>0</v>
      </c>
      <c r="G298" s="9">
        <v>1.81</v>
      </c>
      <c r="H298" s="17"/>
      <c r="I298" s="18"/>
    </row>
    <row r="299" spans="1:9" hidden="1" x14ac:dyDescent="0.2">
      <c r="A299" s="2" t="s">
        <v>153</v>
      </c>
      <c r="B299" s="2" t="s">
        <v>312</v>
      </c>
      <c r="C299" s="2" t="s">
        <v>11</v>
      </c>
      <c r="D299" s="2" t="s">
        <v>313</v>
      </c>
      <c r="E299" s="9">
        <v>3.93</v>
      </c>
      <c r="F299" s="9">
        <v>0</v>
      </c>
      <c r="G299" s="9">
        <v>3.93</v>
      </c>
      <c r="H299" s="17"/>
      <c r="I299" s="18"/>
    </row>
    <row r="300" spans="1:9" hidden="1" x14ac:dyDescent="0.2">
      <c r="A300" s="2" t="s">
        <v>153</v>
      </c>
      <c r="B300" s="2" t="s">
        <v>312</v>
      </c>
      <c r="C300" s="2" t="s">
        <v>11</v>
      </c>
      <c r="D300" s="2" t="s">
        <v>313</v>
      </c>
      <c r="E300" s="9">
        <v>3.92</v>
      </c>
      <c r="F300" s="9">
        <v>0</v>
      </c>
      <c r="G300" s="9">
        <v>3.92</v>
      </c>
      <c r="H300" s="17"/>
      <c r="I300" s="18"/>
    </row>
    <row r="301" spans="1:9" hidden="1" x14ac:dyDescent="0.2">
      <c r="A301" s="2" t="s">
        <v>153</v>
      </c>
      <c r="B301" s="2" t="s">
        <v>312</v>
      </c>
      <c r="C301" s="2" t="s">
        <v>11</v>
      </c>
      <c r="D301" s="2" t="s">
        <v>313</v>
      </c>
      <c r="E301" s="9">
        <v>4.6100000000000003</v>
      </c>
      <c r="F301" s="9">
        <v>0</v>
      </c>
      <c r="G301" s="9">
        <v>4.6100000000000003</v>
      </c>
      <c r="H301" s="17"/>
      <c r="I301" s="18"/>
    </row>
    <row r="302" spans="1:9" hidden="1" x14ac:dyDescent="0.2">
      <c r="A302" s="2" t="s">
        <v>162</v>
      </c>
      <c r="B302" s="2" t="s">
        <v>312</v>
      </c>
      <c r="C302" s="2" t="s">
        <v>11</v>
      </c>
      <c r="D302" s="2" t="s">
        <v>313</v>
      </c>
      <c r="E302" s="9">
        <v>2.6</v>
      </c>
      <c r="F302" s="9">
        <v>0</v>
      </c>
      <c r="G302" s="9">
        <v>2.6</v>
      </c>
      <c r="H302" s="17"/>
      <c r="I302" s="18"/>
    </row>
    <row r="303" spans="1:9" hidden="1" x14ac:dyDescent="0.2">
      <c r="A303" s="2" t="s">
        <v>162</v>
      </c>
      <c r="B303" s="2" t="s">
        <v>312</v>
      </c>
      <c r="C303" s="2" t="s">
        <v>11</v>
      </c>
      <c r="D303" s="2" t="s">
        <v>313</v>
      </c>
      <c r="E303" s="9">
        <v>5.93</v>
      </c>
      <c r="F303" s="9">
        <v>0</v>
      </c>
      <c r="G303" s="9">
        <v>5.93</v>
      </c>
      <c r="H303" s="17"/>
      <c r="I303" s="18"/>
    </row>
    <row r="304" spans="1:9" hidden="1" x14ac:dyDescent="0.2">
      <c r="A304" s="2" t="s">
        <v>162</v>
      </c>
      <c r="B304" s="2" t="s">
        <v>312</v>
      </c>
      <c r="C304" s="2" t="s">
        <v>11</v>
      </c>
      <c r="D304" s="2" t="s">
        <v>313</v>
      </c>
      <c r="E304" s="9">
        <v>4.4800000000000004</v>
      </c>
      <c r="F304" s="9">
        <v>0</v>
      </c>
      <c r="G304" s="9">
        <v>4.4800000000000004</v>
      </c>
      <c r="H304" s="17"/>
      <c r="I304" s="18"/>
    </row>
    <row r="305" spans="1:9" hidden="1" x14ac:dyDescent="0.2">
      <c r="A305" s="2" t="s">
        <v>166</v>
      </c>
      <c r="B305" s="2" t="s">
        <v>312</v>
      </c>
      <c r="C305" s="2" t="s">
        <v>11</v>
      </c>
      <c r="D305" s="2" t="s">
        <v>313</v>
      </c>
      <c r="E305" s="9">
        <v>2.13</v>
      </c>
      <c r="F305" s="9">
        <v>0</v>
      </c>
      <c r="G305" s="9">
        <v>2.13</v>
      </c>
      <c r="H305" s="17"/>
      <c r="I305" s="18"/>
    </row>
    <row r="306" spans="1:9" hidden="1" x14ac:dyDescent="0.2">
      <c r="A306" s="2" t="s">
        <v>166</v>
      </c>
      <c r="B306" s="2" t="s">
        <v>312</v>
      </c>
      <c r="C306" s="2" t="s">
        <v>11</v>
      </c>
      <c r="D306" s="2" t="s">
        <v>313</v>
      </c>
      <c r="E306" s="9">
        <v>2.0099999999999998</v>
      </c>
      <c r="F306" s="9">
        <v>0</v>
      </c>
      <c r="G306" s="9">
        <v>2.0099999999999998</v>
      </c>
      <c r="H306" s="17"/>
      <c r="I306" s="18"/>
    </row>
    <row r="307" spans="1:9" hidden="1" x14ac:dyDescent="0.2">
      <c r="A307" s="2" t="s">
        <v>169</v>
      </c>
      <c r="B307" s="2" t="s">
        <v>312</v>
      </c>
      <c r="C307" s="2" t="s">
        <v>11</v>
      </c>
      <c r="D307" s="2" t="s">
        <v>313</v>
      </c>
      <c r="E307" s="9">
        <v>1.58</v>
      </c>
      <c r="F307" s="9">
        <v>0</v>
      </c>
      <c r="G307" s="9">
        <v>1.58</v>
      </c>
      <c r="H307" s="17"/>
      <c r="I307" s="18"/>
    </row>
    <row r="308" spans="1:9" hidden="1" x14ac:dyDescent="0.2">
      <c r="A308" s="2" t="s">
        <v>169</v>
      </c>
      <c r="B308" s="2" t="s">
        <v>312</v>
      </c>
      <c r="C308" s="2" t="s">
        <v>11</v>
      </c>
      <c r="D308" s="2" t="s">
        <v>313</v>
      </c>
      <c r="E308" s="9">
        <v>2.97</v>
      </c>
      <c r="F308" s="9">
        <v>0</v>
      </c>
      <c r="G308" s="9">
        <v>2.97</v>
      </c>
      <c r="H308" s="17"/>
      <c r="I308" s="18"/>
    </row>
    <row r="309" spans="1:9" hidden="1" x14ac:dyDescent="0.2">
      <c r="A309" s="2" t="s">
        <v>169</v>
      </c>
      <c r="B309" s="2" t="s">
        <v>312</v>
      </c>
      <c r="C309" s="2" t="s">
        <v>11</v>
      </c>
      <c r="D309" s="2" t="s">
        <v>313</v>
      </c>
      <c r="E309" s="9">
        <v>3.26</v>
      </c>
      <c r="F309" s="9">
        <v>0</v>
      </c>
      <c r="G309" s="9">
        <v>3.26</v>
      </c>
      <c r="H309" s="17"/>
      <c r="I309" s="18"/>
    </row>
    <row r="310" spans="1:9" hidden="1" x14ac:dyDescent="0.2">
      <c r="A310" s="2" t="s">
        <v>169</v>
      </c>
      <c r="B310" s="2" t="s">
        <v>312</v>
      </c>
      <c r="C310" s="2" t="s">
        <v>11</v>
      </c>
      <c r="D310" s="2" t="s">
        <v>313</v>
      </c>
      <c r="E310" s="9">
        <v>4.24</v>
      </c>
      <c r="F310" s="9">
        <v>0</v>
      </c>
      <c r="G310" s="9">
        <v>4.24</v>
      </c>
      <c r="H310" s="17"/>
      <c r="I310" s="18"/>
    </row>
    <row r="311" spans="1:9" hidden="1" x14ac:dyDescent="0.2">
      <c r="A311" s="2" t="s">
        <v>169</v>
      </c>
      <c r="B311" s="2" t="s">
        <v>312</v>
      </c>
      <c r="C311" s="2" t="s">
        <v>11</v>
      </c>
      <c r="D311" s="2" t="s">
        <v>313</v>
      </c>
      <c r="E311" s="9">
        <v>2.65</v>
      </c>
      <c r="F311" s="9">
        <v>0</v>
      </c>
      <c r="G311" s="9">
        <v>2.65</v>
      </c>
      <c r="H311" s="17"/>
      <c r="I311" s="18"/>
    </row>
    <row r="312" spans="1:9" hidden="1" x14ac:dyDescent="0.2">
      <c r="A312" s="2" t="s">
        <v>169</v>
      </c>
      <c r="B312" s="2" t="s">
        <v>312</v>
      </c>
      <c r="C312" s="2" t="s">
        <v>11</v>
      </c>
      <c r="D312" s="2" t="s">
        <v>313</v>
      </c>
      <c r="E312" s="9">
        <v>2.27</v>
      </c>
      <c r="F312" s="9">
        <v>0</v>
      </c>
      <c r="G312" s="9">
        <v>2.27</v>
      </c>
      <c r="H312" s="17"/>
      <c r="I312" s="18"/>
    </row>
    <row r="313" spans="1:9" hidden="1" x14ac:dyDescent="0.2">
      <c r="A313" s="2" t="s">
        <v>176</v>
      </c>
      <c r="B313" s="2" t="s">
        <v>312</v>
      </c>
      <c r="C313" s="2" t="s">
        <v>11</v>
      </c>
      <c r="D313" s="2" t="s">
        <v>313</v>
      </c>
      <c r="E313" s="9">
        <v>2.13</v>
      </c>
      <c r="F313" s="9">
        <v>0</v>
      </c>
      <c r="G313" s="9">
        <v>2.13</v>
      </c>
      <c r="H313" s="17"/>
      <c r="I313" s="18"/>
    </row>
    <row r="314" spans="1:9" hidden="1" x14ac:dyDescent="0.2">
      <c r="A314" s="2" t="s">
        <v>176</v>
      </c>
      <c r="B314" s="2" t="s">
        <v>312</v>
      </c>
      <c r="C314" s="2" t="s">
        <v>11</v>
      </c>
      <c r="D314" s="2" t="s">
        <v>313</v>
      </c>
      <c r="E314" s="9">
        <v>4.29</v>
      </c>
      <c r="F314" s="9">
        <v>0</v>
      </c>
      <c r="G314" s="9">
        <v>4.29</v>
      </c>
      <c r="H314" s="17"/>
      <c r="I314" s="18"/>
    </row>
    <row r="315" spans="1:9" hidden="1" x14ac:dyDescent="0.2">
      <c r="A315" s="2" t="s">
        <v>176</v>
      </c>
      <c r="B315" s="2" t="s">
        <v>312</v>
      </c>
      <c r="C315" s="2" t="s">
        <v>11</v>
      </c>
      <c r="D315" s="2" t="s">
        <v>313</v>
      </c>
      <c r="E315" s="9">
        <v>4.4000000000000004</v>
      </c>
      <c r="F315" s="9">
        <v>0</v>
      </c>
      <c r="G315" s="9">
        <v>4.4000000000000004</v>
      </c>
      <c r="H315" s="17"/>
      <c r="I315" s="18"/>
    </row>
    <row r="316" spans="1:9" hidden="1" x14ac:dyDescent="0.2">
      <c r="A316" s="2" t="s">
        <v>176</v>
      </c>
      <c r="B316" s="2" t="s">
        <v>312</v>
      </c>
      <c r="C316" s="2" t="s">
        <v>11</v>
      </c>
      <c r="D316" s="2" t="s">
        <v>313</v>
      </c>
      <c r="E316" s="9">
        <v>2.59</v>
      </c>
      <c r="F316" s="9">
        <v>0</v>
      </c>
      <c r="G316" s="9">
        <v>2.59</v>
      </c>
      <c r="H316" s="17"/>
      <c r="I316" s="18"/>
    </row>
    <row r="317" spans="1:9" hidden="1" x14ac:dyDescent="0.2">
      <c r="A317" s="2" t="s">
        <v>176</v>
      </c>
      <c r="B317" s="2" t="s">
        <v>312</v>
      </c>
      <c r="C317" s="2" t="s">
        <v>11</v>
      </c>
      <c r="D317" s="2" t="s">
        <v>313</v>
      </c>
      <c r="E317" s="9">
        <v>1.92</v>
      </c>
      <c r="F317" s="9">
        <v>0</v>
      </c>
      <c r="G317" s="9">
        <v>1.92</v>
      </c>
      <c r="H317" s="17"/>
      <c r="I317" s="18"/>
    </row>
    <row r="318" spans="1:9" hidden="1" x14ac:dyDescent="0.2">
      <c r="A318" s="2" t="s">
        <v>176</v>
      </c>
      <c r="B318" s="2" t="s">
        <v>312</v>
      </c>
      <c r="C318" s="2" t="s">
        <v>11</v>
      </c>
      <c r="D318" s="2" t="s">
        <v>313</v>
      </c>
      <c r="E318" s="9">
        <v>5.61</v>
      </c>
      <c r="F318" s="9">
        <v>0</v>
      </c>
      <c r="G318" s="9">
        <v>5.61</v>
      </c>
      <c r="H318" s="17"/>
      <c r="I318" s="18"/>
    </row>
    <row r="319" spans="1:9" hidden="1" x14ac:dyDescent="0.2">
      <c r="A319" s="2" t="s">
        <v>176</v>
      </c>
      <c r="B319" s="2" t="s">
        <v>312</v>
      </c>
      <c r="C319" s="2" t="s">
        <v>11</v>
      </c>
      <c r="D319" s="2" t="s">
        <v>313</v>
      </c>
      <c r="E319" s="9">
        <v>3.36</v>
      </c>
      <c r="F319" s="9">
        <v>0</v>
      </c>
      <c r="G319" s="9">
        <v>3.36</v>
      </c>
      <c r="H319" s="17"/>
      <c r="I319" s="18"/>
    </row>
    <row r="320" spans="1:9" hidden="1" x14ac:dyDescent="0.2">
      <c r="A320" s="2" t="s">
        <v>176</v>
      </c>
      <c r="B320" s="2" t="s">
        <v>312</v>
      </c>
      <c r="C320" s="2" t="s">
        <v>11</v>
      </c>
      <c r="D320" s="2" t="s">
        <v>313</v>
      </c>
      <c r="E320" s="9">
        <v>1.85</v>
      </c>
      <c r="F320" s="9">
        <v>0</v>
      </c>
      <c r="G320" s="9">
        <v>1.85</v>
      </c>
      <c r="H320" s="17"/>
      <c r="I320" s="18"/>
    </row>
    <row r="321" spans="1:9" hidden="1" x14ac:dyDescent="0.2">
      <c r="A321" s="2" t="s">
        <v>188</v>
      </c>
      <c r="B321" s="2" t="s">
        <v>312</v>
      </c>
      <c r="C321" s="2" t="s">
        <v>11</v>
      </c>
      <c r="D321" s="2" t="s">
        <v>313</v>
      </c>
      <c r="E321" s="9">
        <v>5.52</v>
      </c>
      <c r="F321" s="9">
        <v>0</v>
      </c>
      <c r="G321" s="9">
        <v>5.52</v>
      </c>
      <c r="H321" s="17"/>
      <c r="I321" s="18"/>
    </row>
    <row r="322" spans="1:9" hidden="1" x14ac:dyDescent="0.2">
      <c r="A322" s="2" t="s">
        <v>188</v>
      </c>
      <c r="B322" s="2" t="s">
        <v>312</v>
      </c>
      <c r="C322" s="2" t="s">
        <v>11</v>
      </c>
      <c r="D322" s="2" t="s">
        <v>313</v>
      </c>
      <c r="E322" s="9">
        <v>2.13</v>
      </c>
      <c r="F322" s="9">
        <v>0</v>
      </c>
      <c r="G322" s="9">
        <v>2.13</v>
      </c>
      <c r="H322" s="17"/>
      <c r="I322" s="18"/>
    </row>
    <row r="323" spans="1:9" hidden="1" x14ac:dyDescent="0.2">
      <c r="A323" s="2" t="s">
        <v>188</v>
      </c>
      <c r="B323" s="2" t="s">
        <v>312</v>
      </c>
      <c r="C323" s="2" t="s">
        <v>11</v>
      </c>
      <c r="D323" s="2" t="s">
        <v>313</v>
      </c>
      <c r="E323" s="9">
        <v>6.13</v>
      </c>
      <c r="F323" s="9">
        <v>0</v>
      </c>
      <c r="G323" s="9">
        <v>6.13</v>
      </c>
      <c r="H323" s="17"/>
      <c r="I323" s="18"/>
    </row>
    <row r="324" spans="1:9" hidden="1" x14ac:dyDescent="0.2">
      <c r="A324" s="2" t="s">
        <v>188</v>
      </c>
      <c r="B324" s="2" t="s">
        <v>312</v>
      </c>
      <c r="C324" s="2" t="s">
        <v>11</v>
      </c>
      <c r="D324" s="2" t="s">
        <v>313</v>
      </c>
      <c r="E324" s="9">
        <v>1.81</v>
      </c>
      <c r="F324" s="9">
        <v>0</v>
      </c>
      <c r="G324" s="9">
        <v>1.81</v>
      </c>
      <c r="H324" s="17"/>
      <c r="I324" s="18"/>
    </row>
    <row r="325" spans="1:9" hidden="1" x14ac:dyDescent="0.2">
      <c r="A325" s="2" t="s">
        <v>188</v>
      </c>
      <c r="B325" s="2" t="s">
        <v>312</v>
      </c>
      <c r="C325" s="2" t="s">
        <v>11</v>
      </c>
      <c r="D325" s="2" t="s">
        <v>313</v>
      </c>
      <c r="E325" s="9">
        <v>4.37</v>
      </c>
      <c r="F325" s="9">
        <v>0</v>
      </c>
      <c r="G325" s="9">
        <v>4.37</v>
      </c>
      <c r="H325" s="17"/>
      <c r="I325" s="18"/>
    </row>
    <row r="326" spans="1:9" hidden="1" x14ac:dyDescent="0.2">
      <c r="A326" s="2" t="s">
        <v>188</v>
      </c>
      <c r="B326" s="2" t="s">
        <v>312</v>
      </c>
      <c r="C326" s="2" t="s">
        <v>11</v>
      </c>
      <c r="D326" s="2" t="s">
        <v>313</v>
      </c>
      <c r="E326" s="9">
        <v>1.33</v>
      </c>
      <c r="F326" s="9">
        <v>0</v>
      </c>
      <c r="G326" s="9">
        <v>1.33</v>
      </c>
      <c r="H326" s="17"/>
      <c r="I326" s="18"/>
    </row>
    <row r="327" spans="1:9" hidden="1" x14ac:dyDescent="0.2">
      <c r="A327" s="2" t="s">
        <v>188</v>
      </c>
      <c r="B327" s="2" t="s">
        <v>312</v>
      </c>
      <c r="C327" s="2" t="s">
        <v>11</v>
      </c>
      <c r="D327" s="2" t="s">
        <v>313</v>
      </c>
      <c r="E327" s="9">
        <v>2.13</v>
      </c>
      <c r="F327" s="9">
        <v>0</v>
      </c>
      <c r="G327" s="9">
        <v>2.13</v>
      </c>
      <c r="H327" s="17"/>
      <c r="I327" s="18"/>
    </row>
    <row r="328" spans="1:9" hidden="1" x14ac:dyDescent="0.2">
      <c r="A328" s="2" t="s">
        <v>197</v>
      </c>
      <c r="B328" s="2" t="s">
        <v>312</v>
      </c>
      <c r="C328" s="2" t="s">
        <v>11</v>
      </c>
      <c r="D328" s="2" t="s">
        <v>313</v>
      </c>
      <c r="E328" s="9">
        <v>3.49</v>
      </c>
      <c r="F328" s="9">
        <v>0</v>
      </c>
      <c r="G328" s="9">
        <v>3.49</v>
      </c>
      <c r="H328" s="17"/>
      <c r="I328" s="18"/>
    </row>
    <row r="329" spans="1:9" hidden="1" x14ac:dyDescent="0.2">
      <c r="A329" s="2" t="s">
        <v>197</v>
      </c>
      <c r="B329" s="2" t="s">
        <v>312</v>
      </c>
      <c r="C329" s="2" t="s">
        <v>11</v>
      </c>
      <c r="D329" s="2" t="s">
        <v>313</v>
      </c>
      <c r="E329" s="9">
        <v>1.27</v>
      </c>
      <c r="F329" s="9">
        <v>0</v>
      </c>
      <c r="G329" s="9">
        <v>1.27</v>
      </c>
      <c r="H329" s="17"/>
      <c r="I329" s="18"/>
    </row>
    <row r="330" spans="1:9" hidden="1" x14ac:dyDescent="0.2">
      <c r="A330" s="2" t="s">
        <v>197</v>
      </c>
      <c r="B330" s="2" t="s">
        <v>312</v>
      </c>
      <c r="C330" s="2" t="s">
        <v>11</v>
      </c>
      <c r="D330" s="2" t="s">
        <v>313</v>
      </c>
      <c r="E330" s="9">
        <v>2.0099999999999998</v>
      </c>
      <c r="F330" s="9">
        <v>0</v>
      </c>
      <c r="G330" s="9">
        <v>2.0099999999999998</v>
      </c>
      <c r="H330" s="17"/>
      <c r="I330" s="18"/>
    </row>
    <row r="331" spans="1:9" hidden="1" x14ac:dyDescent="0.2">
      <c r="A331" s="2" t="s">
        <v>197</v>
      </c>
      <c r="B331" s="2" t="s">
        <v>312</v>
      </c>
      <c r="C331" s="2" t="s">
        <v>11</v>
      </c>
      <c r="D331" s="2" t="s">
        <v>313</v>
      </c>
      <c r="E331" s="9">
        <v>4.59</v>
      </c>
      <c r="F331" s="9">
        <v>0</v>
      </c>
      <c r="G331" s="9">
        <v>4.59</v>
      </c>
      <c r="H331" s="17"/>
      <c r="I331" s="18"/>
    </row>
    <row r="332" spans="1:9" hidden="1" x14ac:dyDescent="0.2">
      <c r="A332" s="2" t="s">
        <v>197</v>
      </c>
      <c r="B332" s="2" t="s">
        <v>312</v>
      </c>
      <c r="C332" s="2" t="s">
        <v>11</v>
      </c>
      <c r="D332" s="2" t="s">
        <v>313</v>
      </c>
      <c r="E332" s="9">
        <v>2.36</v>
      </c>
      <c r="F332" s="9">
        <v>0</v>
      </c>
      <c r="G332" s="9">
        <v>2.36</v>
      </c>
      <c r="H332" s="17"/>
      <c r="I332" s="18"/>
    </row>
    <row r="333" spans="1:9" hidden="1" x14ac:dyDescent="0.2">
      <c r="A333" s="2" t="s">
        <v>206</v>
      </c>
      <c r="B333" s="2" t="s">
        <v>312</v>
      </c>
      <c r="C333" s="2" t="s">
        <v>11</v>
      </c>
      <c r="D333" s="2" t="s">
        <v>313</v>
      </c>
      <c r="E333" s="9">
        <v>1.75</v>
      </c>
      <c r="F333" s="9">
        <v>0</v>
      </c>
      <c r="G333" s="9">
        <v>1.75</v>
      </c>
      <c r="H333" s="17"/>
      <c r="I333" s="18"/>
    </row>
    <row r="334" spans="1:9" hidden="1" x14ac:dyDescent="0.2">
      <c r="A334" s="2" t="s">
        <v>206</v>
      </c>
      <c r="B334" s="2" t="s">
        <v>312</v>
      </c>
      <c r="C334" s="2" t="s">
        <v>11</v>
      </c>
      <c r="D334" s="2" t="s">
        <v>313</v>
      </c>
      <c r="E334" s="9">
        <v>1.56</v>
      </c>
      <c r="F334" s="9">
        <v>0</v>
      </c>
      <c r="G334" s="9">
        <v>1.56</v>
      </c>
      <c r="H334" s="17"/>
      <c r="I334" s="18"/>
    </row>
    <row r="335" spans="1:9" hidden="1" x14ac:dyDescent="0.2">
      <c r="A335" s="2" t="s">
        <v>206</v>
      </c>
      <c r="B335" s="2" t="s">
        <v>312</v>
      </c>
      <c r="C335" s="2" t="s">
        <v>11</v>
      </c>
      <c r="D335" s="2" t="s">
        <v>313</v>
      </c>
      <c r="E335" s="9">
        <v>4.16</v>
      </c>
      <c r="F335" s="9">
        <v>0</v>
      </c>
      <c r="G335" s="9">
        <v>4.16</v>
      </c>
      <c r="H335" s="17"/>
      <c r="I335" s="18"/>
    </row>
    <row r="336" spans="1:9" hidden="1" x14ac:dyDescent="0.2">
      <c r="A336" s="2" t="s">
        <v>206</v>
      </c>
      <c r="B336" s="2" t="s">
        <v>312</v>
      </c>
      <c r="C336" s="2" t="s">
        <v>11</v>
      </c>
      <c r="D336" s="2" t="s">
        <v>313</v>
      </c>
      <c r="E336" s="9">
        <v>1.57</v>
      </c>
      <c r="F336" s="9">
        <v>0</v>
      </c>
      <c r="G336" s="9">
        <v>1.57</v>
      </c>
      <c r="H336" s="17"/>
      <c r="I336" s="18"/>
    </row>
    <row r="337" spans="1:9" hidden="1" x14ac:dyDescent="0.2">
      <c r="A337" s="2" t="s">
        <v>212</v>
      </c>
      <c r="B337" s="2" t="s">
        <v>312</v>
      </c>
      <c r="C337" s="2" t="s">
        <v>11</v>
      </c>
      <c r="D337" s="2" t="s">
        <v>313</v>
      </c>
      <c r="E337" s="9">
        <v>1.92</v>
      </c>
      <c r="F337" s="9">
        <v>0</v>
      </c>
      <c r="G337" s="9">
        <v>1.92</v>
      </c>
      <c r="H337" s="17"/>
      <c r="I337" s="18"/>
    </row>
    <row r="338" spans="1:9" hidden="1" x14ac:dyDescent="0.2">
      <c r="A338" s="2" t="s">
        <v>212</v>
      </c>
      <c r="B338" s="2" t="s">
        <v>312</v>
      </c>
      <c r="C338" s="2" t="s">
        <v>11</v>
      </c>
      <c r="D338" s="2" t="s">
        <v>313</v>
      </c>
      <c r="E338" s="9">
        <v>2.13</v>
      </c>
      <c r="F338" s="9">
        <v>0</v>
      </c>
      <c r="G338" s="9">
        <v>2.13</v>
      </c>
      <c r="H338" s="17"/>
      <c r="I338" s="18"/>
    </row>
    <row r="339" spans="1:9" hidden="1" x14ac:dyDescent="0.2">
      <c r="A339" s="2" t="s">
        <v>212</v>
      </c>
      <c r="B339" s="2" t="s">
        <v>312</v>
      </c>
      <c r="C339" s="2" t="s">
        <v>11</v>
      </c>
      <c r="D339" s="2" t="s">
        <v>313</v>
      </c>
      <c r="E339" s="9">
        <v>3.72</v>
      </c>
      <c r="F339" s="9">
        <v>0</v>
      </c>
      <c r="G339" s="9">
        <v>3.72</v>
      </c>
      <c r="H339" s="17"/>
      <c r="I339" s="18"/>
    </row>
    <row r="340" spans="1:9" hidden="1" x14ac:dyDescent="0.2">
      <c r="A340" s="2" t="s">
        <v>212</v>
      </c>
      <c r="B340" s="2" t="s">
        <v>312</v>
      </c>
      <c r="C340" s="2" t="s">
        <v>11</v>
      </c>
      <c r="D340" s="2" t="s">
        <v>313</v>
      </c>
      <c r="E340" s="9">
        <v>7.74</v>
      </c>
      <c r="F340" s="9">
        <v>0</v>
      </c>
      <c r="G340" s="9">
        <v>7.74</v>
      </c>
      <c r="H340" s="17"/>
      <c r="I340" s="18"/>
    </row>
    <row r="341" spans="1:9" hidden="1" x14ac:dyDescent="0.2">
      <c r="A341" s="2" t="s">
        <v>217</v>
      </c>
      <c r="B341" s="2" t="s">
        <v>312</v>
      </c>
      <c r="C341" s="2" t="s">
        <v>11</v>
      </c>
      <c r="D341" s="2" t="s">
        <v>313</v>
      </c>
      <c r="E341" s="9">
        <v>4.12</v>
      </c>
      <c r="F341" s="9">
        <v>0</v>
      </c>
      <c r="G341" s="9">
        <v>4.12</v>
      </c>
      <c r="H341" s="17"/>
      <c r="I341" s="18"/>
    </row>
    <row r="342" spans="1:9" hidden="1" x14ac:dyDescent="0.2">
      <c r="A342" s="2" t="s">
        <v>217</v>
      </c>
      <c r="B342" s="2" t="s">
        <v>312</v>
      </c>
      <c r="C342" s="2" t="s">
        <v>11</v>
      </c>
      <c r="D342" s="2" t="s">
        <v>313</v>
      </c>
      <c r="E342" s="9">
        <v>3.85</v>
      </c>
      <c r="F342" s="9">
        <v>0</v>
      </c>
      <c r="G342" s="9">
        <v>3.85</v>
      </c>
      <c r="H342" s="17"/>
      <c r="I342" s="18"/>
    </row>
    <row r="343" spans="1:9" hidden="1" x14ac:dyDescent="0.2">
      <c r="A343" s="2" t="s">
        <v>217</v>
      </c>
      <c r="B343" s="2" t="s">
        <v>312</v>
      </c>
      <c r="C343" s="2" t="s">
        <v>11</v>
      </c>
      <c r="D343" s="2" t="s">
        <v>313</v>
      </c>
      <c r="E343" s="9">
        <v>4.13</v>
      </c>
      <c r="F343" s="9">
        <v>0</v>
      </c>
      <c r="G343" s="9">
        <v>4.13</v>
      </c>
      <c r="H343" s="17"/>
      <c r="I343" s="18"/>
    </row>
    <row r="344" spans="1:9" hidden="1" x14ac:dyDescent="0.2">
      <c r="A344" s="2" t="s">
        <v>217</v>
      </c>
      <c r="B344" s="2" t="s">
        <v>312</v>
      </c>
      <c r="C344" s="2" t="s">
        <v>11</v>
      </c>
      <c r="D344" s="2" t="s">
        <v>313</v>
      </c>
      <c r="E344" s="9">
        <v>1.58</v>
      </c>
      <c r="F344" s="9">
        <v>0</v>
      </c>
      <c r="G344" s="9">
        <v>1.58</v>
      </c>
      <c r="H344" s="17"/>
      <c r="I344" s="18"/>
    </row>
    <row r="345" spans="1:9" hidden="1" x14ac:dyDescent="0.2">
      <c r="A345" s="2" t="s">
        <v>217</v>
      </c>
      <c r="B345" s="2" t="s">
        <v>312</v>
      </c>
      <c r="C345" s="2" t="s">
        <v>11</v>
      </c>
      <c r="D345" s="2" t="s">
        <v>313</v>
      </c>
      <c r="E345" s="9">
        <v>4.2699999999999996</v>
      </c>
      <c r="F345" s="9">
        <v>0</v>
      </c>
      <c r="G345" s="9">
        <v>4.2699999999999996</v>
      </c>
      <c r="H345" s="17"/>
      <c r="I345" s="18"/>
    </row>
    <row r="346" spans="1:9" hidden="1" x14ac:dyDescent="0.2">
      <c r="A346" s="2" t="s">
        <v>217</v>
      </c>
      <c r="B346" s="2" t="s">
        <v>312</v>
      </c>
      <c r="C346" s="2" t="s">
        <v>11</v>
      </c>
      <c r="D346" s="2" t="s">
        <v>313</v>
      </c>
      <c r="E346" s="9">
        <v>6.39</v>
      </c>
      <c r="F346" s="9">
        <v>0</v>
      </c>
      <c r="G346" s="9">
        <v>6.39</v>
      </c>
      <c r="H346" s="17"/>
      <c r="I346" s="18"/>
    </row>
    <row r="347" spans="1:9" hidden="1" x14ac:dyDescent="0.2">
      <c r="A347" s="2" t="s">
        <v>224</v>
      </c>
      <c r="B347" s="2" t="s">
        <v>312</v>
      </c>
      <c r="C347" s="2" t="s">
        <v>11</v>
      </c>
      <c r="D347" s="2" t="s">
        <v>313</v>
      </c>
      <c r="E347" s="9">
        <v>2.13</v>
      </c>
      <c r="F347" s="9">
        <v>0</v>
      </c>
      <c r="G347" s="9">
        <v>2.13</v>
      </c>
      <c r="H347" s="17"/>
      <c r="I347" s="18"/>
    </row>
    <row r="348" spans="1:9" hidden="1" x14ac:dyDescent="0.2">
      <c r="A348" s="2" t="s">
        <v>224</v>
      </c>
      <c r="B348" s="2" t="s">
        <v>312</v>
      </c>
      <c r="C348" s="2" t="s">
        <v>11</v>
      </c>
      <c r="D348" s="2" t="s">
        <v>313</v>
      </c>
      <c r="E348" s="9">
        <v>2.02</v>
      </c>
      <c r="F348" s="9">
        <v>0</v>
      </c>
      <c r="G348" s="9">
        <v>2.02</v>
      </c>
      <c r="H348" s="17"/>
      <c r="I348" s="18"/>
    </row>
    <row r="349" spans="1:9" hidden="1" x14ac:dyDescent="0.2">
      <c r="A349" s="2" t="s">
        <v>224</v>
      </c>
      <c r="B349" s="2" t="s">
        <v>312</v>
      </c>
      <c r="C349" s="2" t="s">
        <v>11</v>
      </c>
      <c r="D349" s="2" t="s">
        <v>313</v>
      </c>
      <c r="E349" s="9">
        <v>2.94</v>
      </c>
      <c r="F349" s="9">
        <v>0</v>
      </c>
      <c r="G349" s="9">
        <v>2.94</v>
      </c>
      <c r="H349" s="17"/>
      <c r="I349" s="18"/>
    </row>
    <row r="350" spans="1:9" hidden="1" x14ac:dyDescent="0.2">
      <c r="A350" s="2" t="s">
        <v>224</v>
      </c>
      <c r="B350" s="2" t="s">
        <v>312</v>
      </c>
      <c r="C350" s="2" t="s">
        <v>11</v>
      </c>
      <c r="D350" s="2" t="s">
        <v>313</v>
      </c>
      <c r="E350" s="9">
        <v>7.49</v>
      </c>
      <c r="F350" s="9">
        <v>0</v>
      </c>
      <c r="G350" s="9">
        <v>7.49</v>
      </c>
      <c r="H350" s="17"/>
      <c r="I350" s="18"/>
    </row>
    <row r="351" spans="1:9" hidden="1" x14ac:dyDescent="0.2">
      <c r="A351" s="2" t="s">
        <v>224</v>
      </c>
      <c r="B351" s="2" t="s">
        <v>312</v>
      </c>
      <c r="C351" s="2" t="s">
        <v>11</v>
      </c>
      <c r="D351" s="2" t="s">
        <v>313</v>
      </c>
      <c r="E351" s="9">
        <v>7</v>
      </c>
      <c r="F351" s="9">
        <v>0</v>
      </c>
      <c r="G351" s="9">
        <v>7</v>
      </c>
      <c r="H351" s="17"/>
      <c r="I351" s="18"/>
    </row>
    <row r="352" spans="1:9" hidden="1" x14ac:dyDescent="0.2">
      <c r="A352" s="2" t="s">
        <v>230</v>
      </c>
      <c r="B352" s="2" t="s">
        <v>312</v>
      </c>
      <c r="C352" s="2" t="s">
        <v>11</v>
      </c>
      <c r="D352" s="2" t="s">
        <v>313</v>
      </c>
      <c r="E352" s="9">
        <v>2.27</v>
      </c>
      <c r="F352" s="9">
        <v>0</v>
      </c>
      <c r="G352" s="9">
        <v>2.27</v>
      </c>
      <c r="H352" s="17"/>
      <c r="I352" s="18"/>
    </row>
    <row r="353" spans="1:9" hidden="1" x14ac:dyDescent="0.2">
      <c r="A353" s="2" t="s">
        <v>230</v>
      </c>
      <c r="B353" s="2" t="s">
        <v>312</v>
      </c>
      <c r="C353" s="2" t="s">
        <v>11</v>
      </c>
      <c r="D353" s="2" t="s">
        <v>313</v>
      </c>
      <c r="E353" s="9">
        <v>4.22</v>
      </c>
      <c r="F353" s="9">
        <v>0</v>
      </c>
      <c r="G353" s="9">
        <v>4.22</v>
      </c>
      <c r="H353" s="17"/>
      <c r="I353" s="18"/>
    </row>
    <row r="354" spans="1:9" hidden="1" x14ac:dyDescent="0.2">
      <c r="A354" s="2" t="s">
        <v>230</v>
      </c>
      <c r="B354" s="2" t="s">
        <v>312</v>
      </c>
      <c r="C354" s="2" t="s">
        <v>11</v>
      </c>
      <c r="D354" s="2" t="s">
        <v>313</v>
      </c>
      <c r="E354" s="9">
        <v>2.6</v>
      </c>
      <c r="F354" s="9">
        <v>0</v>
      </c>
      <c r="G354" s="9">
        <v>2.6</v>
      </c>
      <c r="H354" s="17"/>
      <c r="I354" s="18"/>
    </row>
    <row r="355" spans="1:9" hidden="1" x14ac:dyDescent="0.2">
      <c r="A355" s="2" t="s">
        <v>230</v>
      </c>
      <c r="B355" s="2" t="s">
        <v>312</v>
      </c>
      <c r="C355" s="2" t="s">
        <v>11</v>
      </c>
      <c r="D355" s="2" t="s">
        <v>313</v>
      </c>
      <c r="E355" s="9">
        <v>2.0099999999999998</v>
      </c>
      <c r="F355" s="9">
        <v>0</v>
      </c>
      <c r="G355" s="9">
        <v>2.0099999999999998</v>
      </c>
      <c r="H355" s="17"/>
      <c r="I355" s="18"/>
    </row>
    <row r="356" spans="1:9" hidden="1" x14ac:dyDescent="0.2">
      <c r="A356" s="2" t="s">
        <v>230</v>
      </c>
      <c r="B356" s="2" t="s">
        <v>312</v>
      </c>
      <c r="C356" s="2" t="s">
        <v>11</v>
      </c>
      <c r="D356" s="2" t="s">
        <v>313</v>
      </c>
      <c r="E356" s="9">
        <v>2.4500000000000002</v>
      </c>
      <c r="F356" s="9">
        <v>0</v>
      </c>
      <c r="G356" s="9">
        <v>2.4500000000000002</v>
      </c>
      <c r="H356" s="17"/>
      <c r="I356" s="18"/>
    </row>
    <row r="357" spans="1:9" hidden="1" x14ac:dyDescent="0.2">
      <c r="A357" s="2" t="s">
        <v>230</v>
      </c>
      <c r="B357" s="2" t="s">
        <v>312</v>
      </c>
      <c r="C357" s="2" t="s">
        <v>11</v>
      </c>
      <c r="D357" s="2" t="s">
        <v>313</v>
      </c>
      <c r="E357" s="9">
        <v>5.09</v>
      </c>
      <c r="F357" s="9">
        <v>0</v>
      </c>
      <c r="G357" s="9">
        <v>5.09</v>
      </c>
      <c r="H357" s="17"/>
      <c r="I357" s="18"/>
    </row>
    <row r="358" spans="1:9" hidden="1" x14ac:dyDescent="0.2">
      <c r="A358" s="2" t="s">
        <v>240</v>
      </c>
      <c r="B358" s="2" t="s">
        <v>312</v>
      </c>
      <c r="C358" s="2" t="s">
        <v>11</v>
      </c>
      <c r="D358" s="2" t="s">
        <v>313</v>
      </c>
      <c r="E358" s="9">
        <v>2.13</v>
      </c>
      <c r="F358" s="9">
        <v>0</v>
      </c>
      <c r="G358" s="9">
        <v>2.13</v>
      </c>
      <c r="H358" s="17"/>
      <c r="I358" s="18"/>
    </row>
    <row r="359" spans="1:9" hidden="1" x14ac:dyDescent="0.2">
      <c r="A359" s="2" t="s">
        <v>240</v>
      </c>
      <c r="B359" s="2" t="s">
        <v>312</v>
      </c>
      <c r="C359" s="2" t="s">
        <v>11</v>
      </c>
      <c r="D359" s="2" t="s">
        <v>313</v>
      </c>
      <c r="E359" s="9">
        <v>2.34</v>
      </c>
      <c r="F359" s="9">
        <v>0</v>
      </c>
      <c r="G359" s="9">
        <v>2.34</v>
      </c>
      <c r="H359" s="17"/>
      <c r="I359" s="18"/>
    </row>
    <row r="360" spans="1:9" hidden="1" x14ac:dyDescent="0.2">
      <c r="A360" s="2" t="s">
        <v>240</v>
      </c>
      <c r="B360" s="2" t="s">
        <v>312</v>
      </c>
      <c r="C360" s="2" t="s">
        <v>11</v>
      </c>
      <c r="D360" s="2" t="s">
        <v>313</v>
      </c>
      <c r="E360" s="9">
        <v>1.4</v>
      </c>
      <c r="F360" s="9">
        <v>0</v>
      </c>
      <c r="G360" s="9">
        <v>1.4</v>
      </c>
      <c r="H360" s="17"/>
      <c r="I360" s="18"/>
    </row>
    <row r="361" spans="1:9" hidden="1" x14ac:dyDescent="0.2">
      <c r="A361" s="2" t="s">
        <v>240</v>
      </c>
      <c r="B361" s="2" t="s">
        <v>312</v>
      </c>
      <c r="C361" s="2" t="s">
        <v>11</v>
      </c>
      <c r="D361" s="2" t="s">
        <v>313</v>
      </c>
      <c r="E361" s="9">
        <v>2.2599999999999998</v>
      </c>
      <c r="F361" s="9">
        <v>0</v>
      </c>
      <c r="G361" s="9">
        <v>2.2599999999999998</v>
      </c>
      <c r="H361" s="17"/>
      <c r="I361" s="18"/>
    </row>
    <row r="362" spans="1:9" hidden="1" x14ac:dyDescent="0.2">
      <c r="A362" s="2" t="s">
        <v>240</v>
      </c>
      <c r="B362" s="2" t="s">
        <v>312</v>
      </c>
      <c r="C362" s="2" t="s">
        <v>11</v>
      </c>
      <c r="D362" s="2" t="s">
        <v>313</v>
      </c>
      <c r="E362" s="9">
        <v>3.15</v>
      </c>
      <c r="F362" s="9">
        <v>0</v>
      </c>
      <c r="G362" s="9">
        <v>3.15</v>
      </c>
      <c r="H362" s="17"/>
      <c r="I362" s="18"/>
    </row>
    <row r="363" spans="1:9" hidden="1" x14ac:dyDescent="0.2">
      <c r="A363" s="2" t="s">
        <v>76</v>
      </c>
      <c r="B363" s="2" t="s">
        <v>314</v>
      </c>
      <c r="C363" s="2" t="s">
        <v>11</v>
      </c>
      <c r="D363" s="2" t="s">
        <v>321</v>
      </c>
      <c r="E363" s="9">
        <v>10</v>
      </c>
      <c r="F363" s="9">
        <v>0</v>
      </c>
      <c r="G363" s="9">
        <v>10</v>
      </c>
      <c r="H363" s="17"/>
      <c r="I363" s="18"/>
    </row>
    <row r="364" spans="1:9" hidden="1" x14ac:dyDescent="0.2">
      <c r="A364" s="2" t="s">
        <v>66</v>
      </c>
      <c r="B364" s="2" t="s">
        <v>314</v>
      </c>
      <c r="C364" s="2" t="s">
        <v>11</v>
      </c>
      <c r="D364" s="2" t="s">
        <v>315</v>
      </c>
      <c r="E364" s="9">
        <v>0.3</v>
      </c>
      <c r="F364" s="9">
        <v>0</v>
      </c>
      <c r="G364" s="9">
        <v>0.3</v>
      </c>
      <c r="H364" s="17"/>
      <c r="I364" s="18"/>
    </row>
    <row r="365" spans="1:9" ht="53" x14ac:dyDescent="0.2">
      <c r="A365" s="15" t="s">
        <v>230</v>
      </c>
      <c r="B365" s="15" t="s">
        <v>341</v>
      </c>
      <c r="C365" s="15" t="s">
        <v>342</v>
      </c>
      <c r="D365" s="15" t="s">
        <v>343</v>
      </c>
      <c r="E365" s="16">
        <v>-939.9</v>
      </c>
      <c r="F365" s="16">
        <v>0</v>
      </c>
      <c r="G365" s="16">
        <v>-939.9</v>
      </c>
      <c r="H365" s="17" t="s">
        <v>424</v>
      </c>
      <c r="I365" s="18" t="s">
        <v>431</v>
      </c>
    </row>
    <row r="366" spans="1:9" hidden="1" x14ac:dyDescent="0.2">
      <c r="A366" s="2" t="s">
        <v>240</v>
      </c>
      <c r="B366" s="2" t="s">
        <v>345</v>
      </c>
      <c r="C366" s="2" t="s">
        <v>11</v>
      </c>
      <c r="D366" s="2" t="s">
        <v>255</v>
      </c>
      <c r="E366" s="9">
        <v>32348.1</v>
      </c>
      <c r="F366" s="9">
        <v>0</v>
      </c>
      <c r="G366" s="9">
        <v>32348.1</v>
      </c>
      <c r="H366" s="17"/>
      <c r="I366" s="18"/>
    </row>
    <row r="367" spans="1:9" hidden="1" x14ac:dyDescent="0.2">
      <c r="A367" s="2" t="s">
        <v>188</v>
      </c>
      <c r="B367" s="2" t="s">
        <v>337</v>
      </c>
      <c r="C367" s="2" t="s">
        <v>11</v>
      </c>
      <c r="D367" s="2" t="s">
        <v>338</v>
      </c>
      <c r="E367" s="9">
        <v>22681.02</v>
      </c>
      <c r="F367" s="9">
        <v>0</v>
      </c>
      <c r="G367" s="9">
        <v>22681.02</v>
      </c>
      <c r="H367" s="17"/>
      <c r="I367" s="18"/>
    </row>
    <row r="368" spans="1:9" hidden="1" x14ac:dyDescent="0.2">
      <c r="A368" s="2" t="s">
        <v>86</v>
      </c>
      <c r="B368" s="2" t="s">
        <v>325</v>
      </c>
      <c r="C368" s="2" t="s">
        <v>11</v>
      </c>
      <c r="D368" s="2" t="s">
        <v>326</v>
      </c>
      <c r="E368" s="9">
        <v>24.99</v>
      </c>
      <c r="F368" s="9">
        <v>0</v>
      </c>
      <c r="G368" s="9">
        <v>24.99</v>
      </c>
      <c r="H368" s="17" t="s">
        <v>416</v>
      </c>
      <c r="I368" s="18"/>
    </row>
    <row r="369" spans="1:9" ht="27" x14ac:dyDescent="0.2">
      <c r="A369" s="15" t="s">
        <v>91</v>
      </c>
      <c r="B369" s="15" t="s">
        <v>328</v>
      </c>
      <c r="C369" s="15" t="s">
        <v>11</v>
      </c>
      <c r="D369" s="15" t="s">
        <v>329</v>
      </c>
      <c r="E369" s="16">
        <v>280</v>
      </c>
      <c r="F369" s="16">
        <v>0</v>
      </c>
      <c r="G369" s="16">
        <v>280</v>
      </c>
      <c r="H369" s="17" t="s">
        <v>425</v>
      </c>
      <c r="I369" s="18" t="s">
        <v>430</v>
      </c>
    </row>
    <row r="370" spans="1:9" hidden="1" x14ac:dyDescent="0.2">
      <c r="A370" s="2" t="s">
        <v>66</v>
      </c>
      <c r="B370" s="2" t="s">
        <v>272</v>
      </c>
      <c r="C370" s="2" t="s">
        <v>11</v>
      </c>
      <c r="D370" s="2" t="s">
        <v>311</v>
      </c>
      <c r="E370" s="9">
        <v>175</v>
      </c>
      <c r="F370" s="9">
        <v>0</v>
      </c>
      <c r="G370" s="9">
        <v>175</v>
      </c>
      <c r="H370" s="17"/>
      <c r="I370" s="18"/>
    </row>
    <row r="371" spans="1:9" hidden="1" x14ac:dyDescent="0.2">
      <c r="A371" s="2" t="s">
        <v>76</v>
      </c>
      <c r="B371" s="2" t="s">
        <v>272</v>
      </c>
      <c r="C371" s="2" t="s">
        <v>11</v>
      </c>
      <c r="D371" s="2" t="s">
        <v>311</v>
      </c>
      <c r="E371" s="9">
        <v>280</v>
      </c>
      <c r="F371" s="9">
        <v>0</v>
      </c>
      <c r="G371" s="9">
        <v>280</v>
      </c>
      <c r="H371" s="17"/>
      <c r="I371" s="18"/>
    </row>
    <row r="372" spans="1:9" hidden="1" x14ac:dyDescent="0.2">
      <c r="A372" s="2" t="s">
        <v>142</v>
      </c>
      <c r="B372" s="2" t="s">
        <v>272</v>
      </c>
      <c r="C372" s="2" t="s">
        <v>11</v>
      </c>
      <c r="D372" s="2" t="s">
        <v>336</v>
      </c>
      <c r="E372" s="9">
        <v>800</v>
      </c>
      <c r="F372" s="9">
        <v>0</v>
      </c>
      <c r="G372" s="9">
        <v>800</v>
      </c>
      <c r="H372" s="17"/>
      <c r="I372" s="18"/>
    </row>
    <row r="373" spans="1:9" hidden="1" x14ac:dyDescent="0.2">
      <c r="A373" s="2" t="s">
        <v>81</v>
      </c>
      <c r="B373" s="2" t="s">
        <v>272</v>
      </c>
      <c r="C373" s="2" t="s">
        <v>11</v>
      </c>
      <c r="D373" s="2" t="s">
        <v>322</v>
      </c>
      <c r="E373" s="9">
        <v>425</v>
      </c>
      <c r="F373" s="9">
        <v>0</v>
      </c>
      <c r="G373" s="9">
        <v>425</v>
      </c>
      <c r="H373" s="17"/>
      <c r="I373" s="18"/>
    </row>
    <row r="374" spans="1:9" hidden="1" x14ac:dyDescent="0.2">
      <c r="A374" s="2" t="s">
        <v>99</v>
      </c>
      <c r="B374" s="2" t="s">
        <v>272</v>
      </c>
      <c r="C374" s="2" t="s">
        <v>11</v>
      </c>
      <c r="D374" s="2" t="s">
        <v>330</v>
      </c>
      <c r="E374" s="9">
        <v>149.55000000000001</v>
      </c>
      <c r="F374" s="9">
        <v>0</v>
      </c>
      <c r="G374" s="9">
        <v>149.55000000000001</v>
      </c>
      <c r="H374" s="17"/>
      <c r="I374" s="18"/>
    </row>
    <row r="375" spans="1:9" hidden="1" x14ac:dyDescent="0.2">
      <c r="A375" s="2" t="s">
        <v>99</v>
      </c>
      <c r="B375" s="2" t="s">
        <v>272</v>
      </c>
      <c r="C375" s="2" t="s">
        <v>11</v>
      </c>
      <c r="D375" s="2" t="s">
        <v>330</v>
      </c>
      <c r="E375" s="9">
        <v>224.33</v>
      </c>
      <c r="F375" s="9">
        <v>0</v>
      </c>
      <c r="G375" s="9">
        <v>224.33</v>
      </c>
      <c r="H375" s="17"/>
      <c r="I375" s="18"/>
    </row>
    <row r="376" spans="1:9" hidden="1" x14ac:dyDescent="0.2">
      <c r="A376" s="2" t="s">
        <v>106</v>
      </c>
      <c r="B376" s="2" t="s">
        <v>272</v>
      </c>
      <c r="C376" s="2" t="s">
        <v>11</v>
      </c>
      <c r="D376" s="2" t="s">
        <v>330</v>
      </c>
      <c r="E376" s="9">
        <v>52.21</v>
      </c>
      <c r="F376" s="9">
        <v>0</v>
      </c>
      <c r="G376" s="9">
        <v>52.21</v>
      </c>
      <c r="H376" s="17"/>
      <c r="I376" s="18"/>
    </row>
    <row r="377" spans="1:9" hidden="1" x14ac:dyDescent="0.2">
      <c r="A377" s="2" t="s">
        <v>123</v>
      </c>
      <c r="B377" s="2" t="s">
        <v>272</v>
      </c>
      <c r="C377" s="2" t="s">
        <v>11</v>
      </c>
      <c r="D377" s="2" t="s">
        <v>330</v>
      </c>
      <c r="E377" s="9">
        <v>89.7</v>
      </c>
      <c r="F377" s="9">
        <v>0</v>
      </c>
      <c r="G377" s="9">
        <v>89.7</v>
      </c>
      <c r="H377" s="17"/>
      <c r="I377" s="18"/>
    </row>
    <row r="378" spans="1:9" hidden="1" x14ac:dyDescent="0.2">
      <c r="A378" s="2" t="s">
        <v>176</v>
      </c>
      <c r="B378" s="2" t="s">
        <v>272</v>
      </c>
      <c r="C378" s="2" t="s">
        <v>11</v>
      </c>
      <c r="D378" s="2" t="s">
        <v>330</v>
      </c>
      <c r="E378" s="9">
        <v>225.44</v>
      </c>
      <c r="F378" s="9">
        <v>0</v>
      </c>
      <c r="G378" s="9">
        <v>225.44</v>
      </c>
      <c r="H378" s="17"/>
      <c r="I378" s="18"/>
    </row>
    <row r="379" spans="1:9" hidden="1" x14ac:dyDescent="0.2">
      <c r="A379" s="2" t="s">
        <v>188</v>
      </c>
      <c r="B379" s="2" t="s">
        <v>272</v>
      </c>
      <c r="C379" s="2" t="s">
        <v>11</v>
      </c>
      <c r="D379" s="2" t="s">
        <v>330</v>
      </c>
      <c r="E379" s="9">
        <v>182.2</v>
      </c>
      <c r="F379" s="9">
        <v>0</v>
      </c>
      <c r="G379" s="9">
        <v>182.2</v>
      </c>
      <c r="H379" s="17"/>
      <c r="I379" s="18"/>
    </row>
    <row r="380" spans="1:9" hidden="1" x14ac:dyDescent="0.2">
      <c r="A380" s="2" t="s">
        <v>212</v>
      </c>
      <c r="B380" s="2" t="s">
        <v>272</v>
      </c>
      <c r="C380" s="2" t="s">
        <v>11</v>
      </c>
      <c r="D380" s="2" t="s">
        <v>330</v>
      </c>
      <c r="E380" s="9">
        <v>183.04</v>
      </c>
      <c r="F380" s="9">
        <v>0</v>
      </c>
      <c r="G380" s="9">
        <v>183.04</v>
      </c>
      <c r="H380" s="17"/>
      <c r="I380" s="18"/>
    </row>
    <row r="381" spans="1:9" hidden="1" x14ac:dyDescent="0.2">
      <c r="A381" s="2" t="s">
        <v>99</v>
      </c>
      <c r="B381" s="2" t="s">
        <v>279</v>
      </c>
      <c r="C381" s="2" t="s">
        <v>11</v>
      </c>
      <c r="D381" s="2" t="s">
        <v>333</v>
      </c>
      <c r="E381" s="9">
        <v>34.99</v>
      </c>
      <c r="F381" s="9">
        <v>0</v>
      </c>
      <c r="G381" s="9">
        <v>34.99</v>
      </c>
      <c r="H381" s="17" t="s">
        <v>416</v>
      </c>
      <c r="I381" s="18"/>
    </row>
    <row r="382" spans="1:9" hidden="1" x14ac:dyDescent="0.2">
      <c r="A382" s="2" t="s">
        <v>113</v>
      </c>
      <c r="B382" s="2" t="s">
        <v>279</v>
      </c>
      <c r="C382" s="2" t="s">
        <v>11</v>
      </c>
      <c r="D382" s="2" t="s">
        <v>335</v>
      </c>
      <c r="E382" s="9">
        <v>17.09</v>
      </c>
      <c r="F382" s="9">
        <v>0</v>
      </c>
      <c r="G382" s="9">
        <v>17.09</v>
      </c>
      <c r="H382" s="17" t="s">
        <v>416</v>
      </c>
      <c r="I382" s="18"/>
    </row>
    <row r="383" spans="1:9" hidden="1" x14ac:dyDescent="0.2">
      <c r="A383" s="2" t="s">
        <v>86</v>
      </c>
      <c r="B383" s="2" t="s">
        <v>279</v>
      </c>
      <c r="C383" s="2" t="s">
        <v>11</v>
      </c>
      <c r="D383" s="2" t="s">
        <v>324</v>
      </c>
      <c r="E383" s="9">
        <v>37.93</v>
      </c>
      <c r="F383" s="9">
        <v>0</v>
      </c>
      <c r="G383" s="9">
        <v>37.93</v>
      </c>
      <c r="H383" s="17" t="s">
        <v>416</v>
      </c>
      <c r="I383" s="18"/>
    </row>
    <row r="384" spans="1:9" hidden="1" x14ac:dyDescent="0.2">
      <c r="A384" s="2" t="s">
        <v>230</v>
      </c>
      <c r="B384" s="2" t="s">
        <v>279</v>
      </c>
      <c r="C384" s="2" t="s">
        <v>11</v>
      </c>
      <c r="D384" s="2" t="s">
        <v>344</v>
      </c>
      <c r="E384" s="9">
        <v>30.2</v>
      </c>
      <c r="F384" s="9">
        <v>0</v>
      </c>
      <c r="G384" s="9">
        <v>30.2</v>
      </c>
      <c r="H384" s="17"/>
      <c r="I384" s="18"/>
    </row>
    <row r="385" spans="1:9" hidden="1" x14ac:dyDescent="0.2">
      <c r="A385" s="2" t="s">
        <v>206</v>
      </c>
      <c r="B385" s="2" t="s">
        <v>262</v>
      </c>
      <c r="C385" s="2" t="s">
        <v>11</v>
      </c>
      <c r="D385" s="2" t="s">
        <v>339</v>
      </c>
      <c r="E385" s="9">
        <v>612.61</v>
      </c>
      <c r="F385" s="9">
        <v>0</v>
      </c>
      <c r="G385" s="9">
        <v>612.61</v>
      </c>
      <c r="H385" s="33" t="s">
        <v>417</v>
      </c>
      <c r="I385" s="18"/>
    </row>
    <row r="386" spans="1:9" hidden="1" x14ac:dyDescent="0.2">
      <c r="A386" s="2" t="s">
        <v>212</v>
      </c>
      <c r="B386" s="2" t="s">
        <v>262</v>
      </c>
      <c r="C386" s="2" t="s">
        <v>11</v>
      </c>
      <c r="D386" s="2" t="s">
        <v>340</v>
      </c>
      <c r="E386" s="9">
        <v>614.69000000000005</v>
      </c>
      <c r="F386" s="9">
        <v>0</v>
      </c>
      <c r="G386" s="9">
        <v>614.69000000000005</v>
      </c>
      <c r="H386" s="34"/>
      <c r="I386" s="18"/>
    </row>
    <row r="387" spans="1:9" hidden="1" x14ac:dyDescent="0.2">
      <c r="A387" s="2" t="s">
        <v>66</v>
      </c>
      <c r="B387" s="2" t="s">
        <v>262</v>
      </c>
      <c r="C387" s="2" t="s">
        <v>11</v>
      </c>
      <c r="D387" s="2" t="s">
        <v>316</v>
      </c>
      <c r="E387" s="9">
        <v>420</v>
      </c>
      <c r="F387" s="9">
        <v>0</v>
      </c>
      <c r="G387" s="9">
        <v>420</v>
      </c>
      <c r="H387" s="17" t="s">
        <v>415</v>
      </c>
      <c r="I387" s="18"/>
    </row>
    <row r="388" spans="1:9" hidden="1" x14ac:dyDescent="0.2">
      <c r="A388" s="2" t="s">
        <v>81</v>
      </c>
      <c r="B388" s="2" t="s">
        <v>262</v>
      </c>
      <c r="C388" s="2" t="s">
        <v>11</v>
      </c>
      <c r="D388" s="2" t="s">
        <v>323</v>
      </c>
      <c r="E388" s="9">
        <v>50</v>
      </c>
      <c r="F388" s="9">
        <v>0</v>
      </c>
      <c r="G388" s="9">
        <v>50</v>
      </c>
      <c r="H388" s="17" t="s">
        <v>415</v>
      </c>
      <c r="I388" s="18"/>
    </row>
    <row r="389" spans="1:9" hidden="1" x14ac:dyDescent="0.2">
      <c r="A389" s="2" t="s">
        <v>91</v>
      </c>
      <c r="B389" s="2" t="s">
        <v>262</v>
      </c>
      <c r="C389" s="2" t="s">
        <v>11</v>
      </c>
      <c r="D389" s="2" t="s">
        <v>327</v>
      </c>
      <c r="E389" s="9">
        <v>411.1</v>
      </c>
      <c r="F389" s="9">
        <v>0</v>
      </c>
      <c r="G389" s="9">
        <v>411.1</v>
      </c>
      <c r="H389" s="17"/>
      <c r="I389" s="18"/>
    </row>
    <row r="390" spans="1:9" hidden="1" x14ac:dyDescent="0.2">
      <c r="A390" s="2" t="s">
        <v>66</v>
      </c>
      <c r="B390" s="2" t="s">
        <v>262</v>
      </c>
      <c r="C390" s="2" t="s">
        <v>11</v>
      </c>
      <c r="D390" s="2" t="s">
        <v>320</v>
      </c>
      <c r="E390" s="9">
        <v>315</v>
      </c>
      <c r="F390" s="9">
        <v>0</v>
      </c>
      <c r="G390" s="9">
        <v>315</v>
      </c>
      <c r="H390" s="17" t="s">
        <v>415</v>
      </c>
      <c r="I390" s="18"/>
    </row>
    <row r="391" spans="1:9" hidden="1" x14ac:dyDescent="0.2">
      <c r="A391" s="2" t="s">
        <v>66</v>
      </c>
      <c r="B391" s="2" t="s">
        <v>262</v>
      </c>
      <c r="C391" s="2" t="s">
        <v>11</v>
      </c>
      <c r="D391" s="2" t="s">
        <v>317</v>
      </c>
      <c r="E391" s="9">
        <v>60</v>
      </c>
      <c r="F391" s="9">
        <v>0</v>
      </c>
      <c r="G391" s="9">
        <v>60</v>
      </c>
      <c r="H391" s="17" t="s">
        <v>418</v>
      </c>
      <c r="I391" s="18"/>
    </row>
    <row r="392" spans="1:9" hidden="1" x14ac:dyDescent="0.2">
      <c r="A392" s="2" t="s">
        <v>66</v>
      </c>
      <c r="B392" s="2" t="s">
        <v>262</v>
      </c>
      <c r="C392" s="2" t="s">
        <v>11</v>
      </c>
      <c r="D392" s="2" t="s">
        <v>319</v>
      </c>
      <c r="E392" s="9">
        <v>1000</v>
      </c>
      <c r="F392" s="9">
        <v>0</v>
      </c>
      <c r="G392" s="9">
        <v>1000</v>
      </c>
      <c r="H392" s="17" t="s">
        <v>419</v>
      </c>
      <c r="I392" s="18"/>
    </row>
    <row r="393" spans="1:9" hidden="1" x14ac:dyDescent="0.2">
      <c r="A393" s="2" t="s">
        <v>91</v>
      </c>
      <c r="B393" s="2" t="s">
        <v>262</v>
      </c>
      <c r="C393" s="2" t="s">
        <v>11</v>
      </c>
      <c r="D393" s="2" t="s">
        <v>330</v>
      </c>
      <c r="E393" s="9">
        <v>35.58</v>
      </c>
      <c r="F393" s="9">
        <v>0</v>
      </c>
      <c r="G393" s="9">
        <v>35.58</v>
      </c>
      <c r="H393" s="17"/>
      <c r="I393" s="18"/>
    </row>
    <row r="394" spans="1:9" hidden="1" x14ac:dyDescent="0.2">
      <c r="A394" s="2" t="s">
        <v>66</v>
      </c>
      <c r="B394" s="2" t="s">
        <v>262</v>
      </c>
      <c r="C394" s="2" t="s">
        <v>11</v>
      </c>
      <c r="D394" s="2" t="s">
        <v>318</v>
      </c>
      <c r="E394" s="9">
        <v>192</v>
      </c>
      <c r="F394" s="9">
        <v>0</v>
      </c>
      <c r="G394" s="9">
        <v>192</v>
      </c>
      <c r="H394" s="17"/>
      <c r="I394" s="18"/>
    </row>
    <row r="395" spans="1:9" hidden="1" x14ac:dyDescent="0.2">
      <c r="A395" s="2" t="s">
        <v>103</v>
      </c>
      <c r="B395" s="2" t="s">
        <v>262</v>
      </c>
      <c r="C395" s="2" t="s">
        <v>11</v>
      </c>
      <c r="D395" s="2" t="s">
        <v>334</v>
      </c>
      <c r="E395" s="9">
        <v>91.11</v>
      </c>
      <c r="F395" s="9">
        <v>0</v>
      </c>
      <c r="G395" s="9">
        <v>91.11</v>
      </c>
      <c r="H395" s="17"/>
      <c r="I395" s="18"/>
    </row>
    <row r="396" spans="1:9" hidden="1" x14ac:dyDescent="0.2">
      <c r="A396" s="2" t="s">
        <v>97</v>
      </c>
      <c r="B396" s="2" t="s">
        <v>331</v>
      </c>
      <c r="C396" s="2" t="s">
        <v>11</v>
      </c>
      <c r="D396" s="2" t="s">
        <v>332</v>
      </c>
      <c r="E396" s="9">
        <v>137.71</v>
      </c>
      <c r="F396" s="9">
        <v>0</v>
      </c>
      <c r="G396" s="9">
        <v>137.71</v>
      </c>
      <c r="H396" s="17"/>
      <c r="I396" s="18"/>
    </row>
    <row r="397" spans="1:9" hidden="1" x14ac:dyDescent="0.2">
      <c r="A397" s="6" t="s">
        <v>346</v>
      </c>
      <c r="B397" s="10"/>
      <c r="C397" s="10"/>
      <c r="D397" s="10"/>
      <c r="E397" s="11">
        <v>61681.73</v>
      </c>
      <c r="F397" s="11">
        <v>0</v>
      </c>
      <c r="G397" s="11">
        <v>61681.73</v>
      </c>
      <c r="H397" s="17"/>
      <c r="I397" s="18"/>
    </row>
    <row r="398" spans="1:9" hidden="1" x14ac:dyDescent="0.2">
      <c r="H398" s="17"/>
      <c r="I398" s="18"/>
    </row>
    <row r="399" spans="1:9" hidden="1" x14ac:dyDescent="0.2">
      <c r="A399" s="4" t="s">
        <v>347</v>
      </c>
      <c r="H399" s="17"/>
      <c r="I399" s="18"/>
    </row>
    <row r="400" spans="1:9" hidden="1" x14ac:dyDescent="0.2">
      <c r="A400" s="2" t="s">
        <v>176</v>
      </c>
      <c r="B400" s="2" t="s">
        <v>398</v>
      </c>
      <c r="C400" s="2" t="s">
        <v>11</v>
      </c>
      <c r="D400" s="2" t="s">
        <v>399</v>
      </c>
      <c r="E400" s="9">
        <v>19546</v>
      </c>
      <c r="F400" s="9">
        <v>0</v>
      </c>
      <c r="G400" s="9">
        <v>19546</v>
      </c>
      <c r="H400" s="17" t="s">
        <v>416</v>
      </c>
      <c r="I400" s="18"/>
    </row>
    <row r="401" spans="1:9" hidden="1" x14ac:dyDescent="0.2">
      <c r="A401" s="2" t="s">
        <v>86</v>
      </c>
      <c r="B401" s="2" t="s">
        <v>379</v>
      </c>
      <c r="C401" s="2" t="s">
        <v>380</v>
      </c>
      <c r="D401" s="19" t="s">
        <v>381</v>
      </c>
      <c r="E401" s="9">
        <v>296.43</v>
      </c>
      <c r="F401" s="9">
        <v>0</v>
      </c>
      <c r="G401" s="9">
        <v>296.43</v>
      </c>
      <c r="H401" s="17"/>
      <c r="I401" s="18"/>
    </row>
    <row r="402" spans="1:9" hidden="1" x14ac:dyDescent="0.2">
      <c r="A402" s="2" t="s">
        <v>153</v>
      </c>
      <c r="B402" s="2" t="s">
        <v>379</v>
      </c>
      <c r="C402" s="2" t="s">
        <v>11</v>
      </c>
      <c r="D402" s="2" t="s">
        <v>389</v>
      </c>
      <c r="E402" s="9">
        <v>151.44</v>
      </c>
      <c r="F402" s="9">
        <v>0</v>
      </c>
      <c r="G402" s="9">
        <v>151.44</v>
      </c>
      <c r="H402" s="17"/>
      <c r="I402" s="18"/>
    </row>
    <row r="403" spans="1:9" hidden="1" x14ac:dyDescent="0.2">
      <c r="A403" s="2" t="s">
        <v>230</v>
      </c>
      <c r="B403" s="2" t="s">
        <v>379</v>
      </c>
      <c r="C403" s="2" t="s">
        <v>342</v>
      </c>
      <c r="D403" s="2" t="s">
        <v>343</v>
      </c>
      <c r="E403" s="9">
        <v>-209</v>
      </c>
      <c r="F403" s="9">
        <v>0</v>
      </c>
      <c r="G403" s="9">
        <v>-209</v>
      </c>
      <c r="H403" s="17"/>
      <c r="I403" s="18"/>
    </row>
    <row r="404" spans="1:9" hidden="1" x14ac:dyDescent="0.2">
      <c r="A404" s="2" t="s">
        <v>103</v>
      </c>
      <c r="B404" s="2" t="s">
        <v>379</v>
      </c>
      <c r="C404" s="2" t="s">
        <v>11</v>
      </c>
      <c r="D404" s="2" t="s">
        <v>388</v>
      </c>
      <c r="E404" s="9">
        <v>39</v>
      </c>
      <c r="F404" s="9">
        <v>0</v>
      </c>
      <c r="G404" s="9">
        <v>39</v>
      </c>
      <c r="H404" s="17"/>
      <c r="I404" s="18"/>
    </row>
    <row r="405" spans="1:9" hidden="1" x14ac:dyDescent="0.2">
      <c r="A405" s="2" t="s">
        <v>66</v>
      </c>
      <c r="B405" s="2" t="s">
        <v>369</v>
      </c>
      <c r="C405" s="2" t="s">
        <v>367</v>
      </c>
      <c r="D405" s="2" t="s">
        <v>368</v>
      </c>
      <c r="E405" s="9">
        <v>22750</v>
      </c>
      <c r="F405" s="9">
        <v>0</v>
      </c>
      <c r="G405" s="9">
        <v>22750</v>
      </c>
      <c r="H405" s="17"/>
      <c r="I405" s="18"/>
    </row>
    <row r="406" spans="1:9" hidden="1" x14ac:dyDescent="0.2">
      <c r="A406" s="2" t="s">
        <v>240</v>
      </c>
      <c r="B406" s="2" t="s">
        <v>400</v>
      </c>
      <c r="C406" s="2" t="s">
        <v>11</v>
      </c>
      <c r="D406" s="2" t="s">
        <v>401</v>
      </c>
      <c r="E406" s="9">
        <v>104.67</v>
      </c>
      <c r="F406" s="9">
        <v>0</v>
      </c>
      <c r="G406" s="9">
        <v>104.67</v>
      </c>
      <c r="H406" s="17"/>
      <c r="I406" s="18"/>
    </row>
    <row r="407" spans="1:9" hidden="1" x14ac:dyDescent="0.2">
      <c r="A407" s="2" t="s">
        <v>240</v>
      </c>
      <c r="B407" s="2" t="s">
        <v>400</v>
      </c>
      <c r="C407" s="2" t="s">
        <v>11</v>
      </c>
      <c r="D407" s="2" t="s">
        <v>402</v>
      </c>
      <c r="E407" s="9">
        <v>95.95</v>
      </c>
      <c r="F407" s="9">
        <v>0</v>
      </c>
      <c r="G407" s="9">
        <v>95.95</v>
      </c>
      <c r="H407" s="17"/>
      <c r="I407" s="18"/>
    </row>
    <row r="408" spans="1:9" hidden="1" x14ac:dyDescent="0.2">
      <c r="A408" s="2" t="s">
        <v>66</v>
      </c>
      <c r="B408" s="2" t="s">
        <v>267</v>
      </c>
      <c r="C408" s="2" t="s">
        <v>367</v>
      </c>
      <c r="D408" s="2" t="s">
        <v>371</v>
      </c>
      <c r="E408" s="9">
        <v>-2133.27</v>
      </c>
      <c r="F408" s="9">
        <v>0</v>
      </c>
      <c r="G408" s="9">
        <v>-2133.27</v>
      </c>
      <c r="H408" s="17"/>
      <c r="I408" s="18"/>
    </row>
    <row r="409" spans="1:9" hidden="1" x14ac:dyDescent="0.2">
      <c r="A409" s="2" t="s">
        <v>66</v>
      </c>
      <c r="B409" s="2" t="s">
        <v>360</v>
      </c>
      <c r="C409" s="2" t="s">
        <v>358</v>
      </c>
      <c r="D409" s="2" t="s">
        <v>361</v>
      </c>
      <c r="E409" s="9">
        <v>-4437</v>
      </c>
      <c r="F409" s="9">
        <v>0</v>
      </c>
      <c r="G409" s="9">
        <v>-4437</v>
      </c>
      <c r="H409" s="17"/>
      <c r="I409" s="18"/>
    </row>
    <row r="410" spans="1:9" hidden="1" x14ac:dyDescent="0.2">
      <c r="A410" s="2" t="s">
        <v>66</v>
      </c>
      <c r="B410" s="2" t="s">
        <v>360</v>
      </c>
      <c r="C410" s="2" t="s">
        <v>367</v>
      </c>
      <c r="D410" s="2" t="s">
        <v>370</v>
      </c>
      <c r="E410" s="9">
        <v>-11497</v>
      </c>
      <c r="F410" s="9">
        <v>0</v>
      </c>
      <c r="G410" s="9">
        <v>-11497</v>
      </c>
      <c r="H410" s="17"/>
      <c r="I410" s="18"/>
    </row>
    <row r="411" spans="1:9" hidden="1" x14ac:dyDescent="0.2">
      <c r="A411" s="2" t="s">
        <v>99</v>
      </c>
      <c r="B411" s="2" t="s">
        <v>360</v>
      </c>
      <c r="C411" s="2" t="s">
        <v>382</v>
      </c>
      <c r="D411" s="2" t="s">
        <v>384</v>
      </c>
      <c r="E411" s="9">
        <v>-62</v>
      </c>
      <c r="F411" s="9">
        <v>0</v>
      </c>
      <c r="G411" s="9">
        <v>-62</v>
      </c>
      <c r="H411" s="17"/>
      <c r="I411" s="18"/>
    </row>
    <row r="412" spans="1:9" hidden="1" x14ac:dyDescent="0.2">
      <c r="A412" s="2" t="s">
        <v>169</v>
      </c>
      <c r="B412" s="2" t="s">
        <v>360</v>
      </c>
      <c r="C412" s="2" t="s">
        <v>390</v>
      </c>
      <c r="D412" s="2" t="s">
        <v>392</v>
      </c>
      <c r="E412" s="9">
        <v>-384</v>
      </c>
      <c r="F412" s="9">
        <v>0</v>
      </c>
      <c r="G412" s="9">
        <v>-384</v>
      </c>
      <c r="H412" s="17"/>
      <c r="I412" s="18"/>
    </row>
    <row r="413" spans="1:9" hidden="1" x14ac:dyDescent="0.2">
      <c r="A413" s="2" t="s">
        <v>66</v>
      </c>
      <c r="B413" s="2" t="s">
        <v>362</v>
      </c>
      <c r="C413" s="2" t="s">
        <v>358</v>
      </c>
      <c r="D413" s="2" t="s">
        <v>363</v>
      </c>
      <c r="E413" s="9">
        <v>2056.6</v>
      </c>
      <c r="F413" s="9">
        <v>0</v>
      </c>
      <c r="G413" s="9">
        <v>2056.6</v>
      </c>
      <c r="H413" s="17"/>
      <c r="I413" s="18"/>
    </row>
    <row r="414" spans="1:9" hidden="1" x14ac:dyDescent="0.2">
      <c r="A414" s="2" t="s">
        <v>66</v>
      </c>
      <c r="B414" s="2" t="s">
        <v>362</v>
      </c>
      <c r="C414" s="2" t="s">
        <v>367</v>
      </c>
      <c r="D414" s="2" t="s">
        <v>372</v>
      </c>
      <c r="E414" s="9">
        <v>5015.83</v>
      </c>
      <c r="F414" s="9">
        <v>0</v>
      </c>
      <c r="G414" s="9">
        <v>5015.83</v>
      </c>
      <c r="H414" s="17"/>
      <c r="I414" s="18"/>
    </row>
    <row r="415" spans="1:9" hidden="1" x14ac:dyDescent="0.2">
      <c r="A415" s="2" t="s">
        <v>99</v>
      </c>
      <c r="B415" s="2" t="s">
        <v>362</v>
      </c>
      <c r="C415" s="2" t="s">
        <v>382</v>
      </c>
      <c r="D415" s="2" t="s">
        <v>385</v>
      </c>
      <c r="E415" s="9">
        <v>43.6</v>
      </c>
      <c r="F415" s="9">
        <v>0</v>
      </c>
      <c r="G415" s="9">
        <v>43.6</v>
      </c>
      <c r="H415" s="17"/>
      <c r="I415" s="18"/>
    </row>
    <row r="416" spans="1:9" hidden="1" x14ac:dyDescent="0.2">
      <c r="A416" s="2" t="s">
        <v>169</v>
      </c>
      <c r="B416" s="2" t="s">
        <v>362</v>
      </c>
      <c r="C416" s="2" t="s">
        <v>390</v>
      </c>
      <c r="D416" s="2" t="s">
        <v>395</v>
      </c>
      <c r="E416" s="9">
        <v>193.2</v>
      </c>
      <c r="F416" s="9">
        <v>0</v>
      </c>
      <c r="G416" s="9">
        <v>193.2</v>
      </c>
      <c r="H416" s="17"/>
      <c r="I416" s="18"/>
    </row>
    <row r="417" spans="1:9" hidden="1" x14ac:dyDescent="0.2">
      <c r="A417" s="2" t="s">
        <v>66</v>
      </c>
      <c r="B417" s="2" t="s">
        <v>357</v>
      </c>
      <c r="C417" s="2" t="s">
        <v>358</v>
      </c>
      <c r="D417" s="2" t="s">
        <v>359</v>
      </c>
      <c r="E417" s="9">
        <v>17138.34</v>
      </c>
      <c r="F417" s="9">
        <v>0</v>
      </c>
      <c r="G417" s="9">
        <v>17138.34</v>
      </c>
      <c r="H417" s="17"/>
      <c r="I417" s="18"/>
    </row>
    <row r="418" spans="1:9" hidden="1" x14ac:dyDescent="0.2">
      <c r="A418" s="2" t="s">
        <v>66</v>
      </c>
      <c r="B418" s="2" t="s">
        <v>357</v>
      </c>
      <c r="C418" s="2" t="s">
        <v>367</v>
      </c>
      <c r="D418" s="2" t="s">
        <v>368</v>
      </c>
      <c r="E418" s="9">
        <v>15833.33</v>
      </c>
      <c r="F418" s="9">
        <v>0</v>
      </c>
      <c r="G418" s="9">
        <v>15833.33</v>
      </c>
      <c r="H418" s="17"/>
      <c r="I418" s="18"/>
    </row>
    <row r="419" spans="1:9" hidden="1" x14ac:dyDescent="0.2">
      <c r="A419" s="2" t="s">
        <v>99</v>
      </c>
      <c r="B419" s="2" t="s">
        <v>357</v>
      </c>
      <c r="C419" s="2" t="s">
        <v>382</v>
      </c>
      <c r="D419" s="2" t="s">
        <v>383</v>
      </c>
      <c r="E419" s="9">
        <v>363.33</v>
      </c>
      <c r="F419" s="9">
        <v>0</v>
      </c>
      <c r="G419" s="9">
        <v>363.33</v>
      </c>
      <c r="H419" s="17"/>
      <c r="I419" s="18"/>
    </row>
    <row r="420" spans="1:9" hidden="1" x14ac:dyDescent="0.2">
      <c r="A420" s="2" t="s">
        <v>169</v>
      </c>
      <c r="B420" s="2" t="s">
        <v>357</v>
      </c>
      <c r="C420" s="2" t="s">
        <v>390</v>
      </c>
      <c r="D420" s="2" t="s">
        <v>391</v>
      </c>
      <c r="E420" s="9">
        <v>1610</v>
      </c>
      <c r="F420" s="9">
        <v>0</v>
      </c>
      <c r="G420" s="9">
        <v>1610</v>
      </c>
      <c r="H420" s="17"/>
      <c r="I420" s="18"/>
    </row>
    <row r="421" spans="1:9" hidden="1" x14ac:dyDescent="0.2">
      <c r="A421" s="2" t="s">
        <v>66</v>
      </c>
      <c r="B421" s="2" t="s">
        <v>364</v>
      </c>
      <c r="C421" s="2" t="s">
        <v>358</v>
      </c>
      <c r="D421" s="2" t="s">
        <v>365</v>
      </c>
      <c r="E421" s="21">
        <v>-2056.6</v>
      </c>
      <c r="F421" s="9">
        <v>0</v>
      </c>
      <c r="G421" s="9">
        <v>-2056.6</v>
      </c>
      <c r="H421" s="17"/>
      <c r="I421" s="18"/>
    </row>
    <row r="422" spans="1:9" hidden="1" x14ac:dyDescent="0.2">
      <c r="A422" s="2" t="s">
        <v>66</v>
      </c>
      <c r="B422" s="2" t="s">
        <v>364</v>
      </c>
      <c r="C422" s="2" t="s">
        <v>367</v>
      </c>
      <c r="D422" s="2" t="s">
        <v>373</v>
      </c>
      <c r="E422" s="21">
        <v>-5015.83</v>
      </c>
      <c r="F422" s="9">
        <v>0</v>
      </c>
      <c r="G422" s="9">
        <v>-5015.83</v>
      </c>
      <c r="H422" s="17"/>
      <c r="I422" s="18"/>
    </row>
    <row r="423" spans="1:9" hidden="1" x14ac:dyDescent="0.2">
      <c r="A423" s="2" t="s">
        <v>99</v>
      </c>
      <c r="B423" s="2" t="s">
        <v>364</v>
      </c>
      <c r="C423" s="2" t="s">
        <v>382</v>
      </c>
      <c r="D423" s="2" t="s">
        <v>386</v>
      </c>
      <c r="E423" s="21">
        <v>-43.6</v>
      </c>
      <c r="F423" s="9">
        <v>0</v>
      </c>
      <c r="G423" s="9">
        <v>-43.6</v>
      </c>
      <c r="H423" s="17"/>
      <c r="I423" s="18"/>
    </row>
    <row r="424" spans="1:9" hidden="1" x14ac:dyDescent="0.2">
      <c r="A424" s="2" t="s">
        <v>169</v>
      </c>
      <c r="B424" s="2" t="s">
        <v>364</v>
      </c>
      <c r="C424" s="2" t="s">
        <v>390</v>
      </c>
      <c r="D424" s="2" t="s">
        <v>396</v>
      </c>
      <c r="E424" s="21">
        <v>-193.2</v>
      </c>
      <c r="F424" s="9">
        <v>0</v>
      </c>
      <c r="G424" s="9">
        <v>-193.2</v>
      </c>
      <c r="H424" s="17"/>
      <c r="I424" s="18"/>
    </row>
    <row r="425" spans="1:9" hidden="1" x14ac:dyDescent="0.2">
      <c r="A425" s="2" t="s">
        <v>66</v>
      </c>
      <c r="B425" s="2" t="s">
        <v>364</v>
      </c>
      <c r="C425" s="2" t="s">
        <v>11</v>
      </c>
      <c r="D425" s="2" t="s">
        <v>378</v>
      </c>
      <c r="E425" s="21">
        <v>7190.03</v>
      </c>
      <c r="F425" s="9">
        <v>0</v>
      </c>
      <c r="G425" s="9">
        <v>7190.03</v>
      </c>
      <c r="H425" s="17"/>
      <c r="I425" s="18"/>
    </row>
    <row r="426" spans="1:9" ht="27" x14ac:dyDescent="0.2">
      <c r="A426" s="15" t="s">
        <v>169</v>
      </c>
      <c r="B426" s="15" t="s">
        <v>393</v>
      </c>
      <c r="C426" s="15" t="s">
        <v>390</v>
      </c>
      <c r="D426" s="15" t="s">
        <v>394</v>
      </c>
      <c r="E426" s="16">
        <v>20</v>
      </c>
      <c r="F426" s="16">
        <v>0</v>
      </c>
      <c r="G426" s="16">
        <v>20</v>
      </c>
      <c r="H426" s="17" t="s">
        <v>420</v>
      </c>
      <c r="I426" s="18" t="s">
        <v>429</v>
      </c>
    </row>
    <row r="427" spans="1:9" hidden="1" x14ac:dyDescent="0.2">
      <c r="A427" s="2" t="s">
        <v>66</v>
      </c>
      <c r="B427" s="2" t="s">
        <v>331</v>
      </c>
      <c r="C427" s="2" t="s">
        <v>348</v>
      </c>
      <c r="D427" s="2" t="s">
        <v>349</v>
      </c>
      <c r="E427" s="9">
        <v>-1365</v>
      </c>
      <c r="F427" s="9">
        <v>0</v>
      </c>
      <c r="G427" s="9">
        <v>-1365</v>
      </c>
      <c r="H427" s="17"/>
      <c r="I427" s="18"/>
    </row>
    <row r="428" spans="1:9" hidden="1" x14ac:dyDescent="0.2">
      <c r="A428" s="2" t="s">
        <v>66</v>
      </c>
      <c r="B428" s="2" t="s">
        <v>331</v>
      </c>
      <c r="C428" s="2" t="s">
        <v>354</v>
      </c>
      <c r="D428" s="2" t="s">
        <v>355</v>
      </c>
      <c r="E428" s="9">
        <v>1365</v>
      </c>
      <c r="F428" s="9">
        <v>0</v>
      </c>
      <c r="G428" s="9">
        <v>1365</v>
      </c>
      <c r="H428" s="17"/>
      <c r="I428" s="18"/>
    </row>
    <row r="429" spans="1:9" hidden="1" x14ac:dyDescent="0.2">
      <c r="A429" s="2" t="s">
        <v>66</v>
      </c>
      <c r="B429" s="2" t="s">
        <v>331</v>
      </c>
      <c r="C429" s="2" t="s">
        <v>375</v>
      </c>
      <c r="D429" s="2" t="s">
        <v>376</v>
      </c>
      <c r="E429" s="9">
        <v>12240</v>
      </c>
      <c r="F429" s="9">
        <v>0</v>
      </c>
      <c r="G429" s="9">
        <v>12240</v>
      </c>
      <c r="H429" s="17"/>
      <c r="I429" s="18"/>
    </row>
    <row r="430" spans="1:9" hidden="1" x14ac:dyDescent="0.2">
      <c r="A430" s="2" t="s">
        <v>66</v>
      </c>
      <c r="B430" s="2" t="s">
        <v>350</v>
      </c>
      <c r="C430" s="2" t="s">
        <v>348</v>
      </c>
      <c r="D430" s="2" t="s">
        <v>351</v>
      </c>
      <c r="E430" s="20">
        <v>1365</v>
      </c>
      <c r="F430" s="9">
        <v>0</v>
      </c>
      <c r="G430" s="9">
        <v>1365</v>
      </c>
      <c r="H430" s="17"/>
      <c r="I430" s="18"/>
    </row>
    <row r="431" spans="1:9" hidden="1" x14ac:dyDescent="0.2">
      <c r="A431" s="2" t="s">
        <v>66</v>
      </c>
      <c r="B431" s="2" t="s">
        <v>350</v>
      </c>
      <c r="C431" s="2" t="s">
        <v>354</v>
      </c>
      <c r="D431" s="2" t="s">
        <v>356</v>
      </c>
      <c r="E431" s="20">
        <v>-1365</v>
      </c>
      <c r="F431" s="9">
        <v>0</v>
      </c>
      <c r="G431" s="9">
        <v>-1365</v>
      </c>
      <c r="H431" s="17"/>
      <c r="I431" s="18"/>
    </row>
    <row r="432" spans="1:9" hidden="1" x14ac:dyDescent="0.2">
      <c r="A432" s="2" t="s">
        <v>66</v>
      </c>
      <c r="B432" s="2" t="s">
        <v>350</v>
      </c>
      <c r="C432" s="2" t="s">
        <v>358</v>
      </c>
      <c r="D432" s="19" t="s">
        <v>366</v>
      </c>
      <c r="E432" s="20">
        <v>-12701.34</v>
      </c>
      <c r="F432" s="9">
        <v>0</v>
      </c>
      <c r="G432" s="9">
        <v>-12701.34</v>
      </c>
      <c r="H432" s="17"/>
      <c r="I432" s="18"/>
    </row>
    <row r="433" spans="1:9" hidden="1" x14ac:dyDescent="0.2">
      <c r="A433" s="2" t="s">
        <v>66</v>
      </c>
      <c r="B433" s="2" t="s">
        <v>350</v>
      </c>
      <c r="C433" s="2" t="s">
        <v>367</v>
      </c>
      <c r="D433" s="2" t="s">
        <v>374</v>
      </c>
      <c r="E433" s="20">
        <v>-24953.06</v>
      </c>
      <c r="F433" s="9">
        <v>0</v>
      </c>
      <c r="G433" s="9">
        <v>-24953.06</v>
      </c>
      <c r="H433" s="17"/>
      <c r="I433" s="18"/>
    </row>
    <row r="434" spans="1:9" hidden="1" x14ac:dyDescent="0.2">
      <c r="A434" s="2" t="s">
        <v>99</v>
      </c>
      <c r="B434" s="2" t="s">
        <v>350</v>
      </c>
      <c r="C434" s="2" t="s">
        <v>382</v>
      </c>
      <c r="D434" s="2" t="s">
        <v>387</v>
      </c>
      <c r="E434" s="20">
        <v>-301.33</v>
      </c>
      <c r="F434" s="9">
        <v>0</v>
      </c>
      <c r="G434" s="9">
        <v>-301.33</v>
      </c>
      <c r="H434" s="17"/>
      <c r="I434" s="18"/>
    </row>
    <row r="435" spans="1:9" hidden="1" x14ac:dyDescent="0.2">
      <c r="A435" s="2" t="s">
        <v>66</v>
      </c>
      <c r="B435" s="2" t="s">
        <v>350</v>
      </c>
      <c r="C435" s="2" t="s">
        <v>375</v>
      </c>
      <c r="D435" s="2" t="s">
        <v>377</v>
      </c>
      <c r="E435" s="20">
        <v>-12240</v>
      </c>
      <c r="F435" s="9">
        <v>0</v>
      </c>
      <c r="G435" s="9">
        <v>-12240</v>
      </c>
      <c r="H435" s="17"/>
      <c r="I435" s="18"/>
    </row>
    <row r="436" spans="1:9" hidden="1" x14ac:dyDescent="0.2">
      <c r="A436" s="2" t="s">
        <v>169</v>
      </c>
      <c r="B436" s="2" t="s">
        <v>350</v>
      </c>
      <c r="C436" s="2" t="s">
        <v>390</v>
      </c>
      <c r="D436" s="2" t="s">
        <v>397</v>
      </c>
      <c r="E436" s="20">
        <v>-1246</v>
      </c>
      <c r="F436" s="9">
        <v>0</v>
      </c>
      <c r="G436" s="9">
        <v>-1246</v>
      </c>
      <c r="H436" s="17"/>
      <c r="I436" s="18"/>
    </row>
    <row r="437" spans="1:9" hidden="1" x14ac:dyDescent="0.2">
      <c r="A437" s="2" t="s">
        <v>66</v>
      </c>
      <c r="B437" s="2" t="s">
        <v>350</v>
      </c>
      <c r="C437" s="2" t="s">
        <v>11</v>
      </c>
      <c r="D437" s="2" t="s">
        <v>352</v>
      </c>
      <c r="E437" s="20">
        <v>301.33</v>
      </c>
      <c r="F437" s="9">
        <v>0</v>
      </c>
      <c r="G437" s="9">
        <v>301.33</v>
      </c>
      <c r="H437" s="17"/>
      <c r="I437" s="18"/>
    </row>
    <row r="438" spans="1:9" hidden="1" x14ac:dyDescent="0.2">
      <c r="A438" s="2" t="s">
        <v>66</v>
      </c>
      <c r="B438" s="2" t="s">
        <v>350</v>
      </c>
      <c r="C438" s="2" t="s">
        <v>11</v>
      </c>
      <c r="D438" s="2" t="s">
        <v>353</v>
      </c>
      <c r="E438" s="20">
        <v>12701.34</v>
      </c>
      <c r="F438" s="9">
        <v>0</v>
      </c>
      <c r="G438" s="9">
        <v>12701.34</v>
      </c>
      <c r="H438" s="17"/>
      <c r="I438" s="18"/>
    </row>
    <row r="439" spans="1:9" hidden="1" x14ac:dyDescent="0.2">
      <c r="A439" s="2" t="s">
        <v>66</v>
      </c>
      <c r="B439" s="2" t="s">
        <v>350</v>
      </c>
      <c r="C439" s="2" t="s">
        <v>11</v>
      </c>
      <c r="D439" s="2" t="s">
        <v>353</v>
      </c>
      <c r="E439" s="20">
        <v>24953.06</v>
      </c>
      <c r="F439" s="9">
        <v>0</v>
      </c>
      <c r="G439" s="9">
        <v>24953.06</v>
      </c>
      <c r="H439" s="17"/>
      <c r="I439" s="18"/>
    </row>
    <row r="440" spans="1:9" hidden="1" x14ac:dyDescent="0.2">
      <c r="A440" s="2" t="s">
        <v>76</v>
      </c>
      <c r="B440" s="2" t="s">
        <v>350</v>
      </c>
      <c r="C440" s="2" t="s">
        <v>11</v>
      </c>
      <c r="D440" s="2" t="s">
        <v>353</v>
      </c>
      <c r="E440" s="20">
        <v>12240</v>
      </c>
      <c r="F440" s="9">
        <v>0</v>
      </c>
      <c r="G440" s="9">
        <v>12240</v>
      </c>
      <c r="H440" s="17"/>
      <c r="I440" s="18"/>
    </row>
    <row r="441" spans="1:9" hidden="1" x14ac:dyDescent="0.2">
      <c r="A441" s="2" t="s">
        <v>176</v>
      </c>
      <c r="B441" s="2" t="s">
        <v>350</v>
      </c>
      <c r="C441" s="2" t="s">
        <v>11</v>
      </c>
      <c r="D441" s="2" t="s">
        <v>353</v>
      </c>
      <c r="E441" s="20">
        <v>1226</v>
      </c>
      <c r="F441" s="9">
        <v>0</v>
      </c>
      <c r="G441" s="9">
        <v>1226</v>
      </c>
      <c r="H441" s="17"/>
      <c r="I441" s="18"/>
    </row>
    <row r="442" spans="1:9" hidden="1" x14ac:dyDescent="0.2">
      <c r="A442" s="6" t="s">
        <v>403</v>
      </c>
      <c r="B442" s="10"/>
      <c r="C442" s="10"/>
      <c r="D442" s="10"/>
      <c r="E442" s="11">
        <v>78636.25</v>
      </c>
      <c r="F442" s="11">
        <v>0</v>
      </c>
      <c r="G442" s="11">
        <v>78636.25</v>
      </c>
      <c r="H442" s="17"/>
      <c r="I442" s="18"/>
    </row>
  </sheetData>
  <autoFilter ref="H1:H442" xr:uid="{00000000-0001-0000-0100-000000000000}">
    <filterColumn colId="0">
      <filters>
        <filter val="Confirm if with GST or not?"/>
        <filter val="Move to _x0009_Storage Fees - Website (AU)?"/>
        <filter val="Move to GST Free (ABN 14 733 239 034 is not currently registered for GST)? Her invoice mentions GST so would be good to raise with her (she hasn't been registered since 2013)"/>
        <filter val="Move to GST Free &gt;&gt;&gt;"/>
        <filter val="Move to Wages Payable - Payroll?"/>
        <filter val="Pillar Query"/>
        <filter val="Suppliers is registered so Move to GST on Expenses (ABN 93 608 530 061)?"/>
        <filter val="This should go an account such as &quot;Other Income&quot;, or &quot;Proceeds from Insurance Claim&quot; GST Free income"/>
      </filters>
    </filterColumn>
  </autoFilter>
  <mergeCells count="4">
    <mergeCell ref="A1:G1"/>
    <mergeCell ref="A2:G2"/>
    <mergeCell ref="A3:G3"/>
    <mergeCell ref="H385:H386"/>
  </mergeCells>
  <pageMargins left="0.7" right="0.7" top="0.75" bottom="0.75" header="0.3" footer="0.3"/>
  <pageSetup orientation="portrait" horizontalDpi="4294967295" verticalDpi="429496729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50"/>
  <sheetViews>
    <sheetView workbookViewId="0">
      <selection sqref="A1:G1"/>
    </sheetView>
  </sheetViews>
  <sheetFormatPr baseColWidth="10" defaultColWidth="8.83203125" defaultRowHeight="15" x14ac:dyDescent="0.2"/>
  <cols>
    <col min="1" max="1" width="15" customWidth="1"/>
    <col min="2" max="4" width="25" customWidth="1"/>
    <col min="5" max="7" width="15" customWidth="1"/>
  </cols>
  <sheetData>
    <row r="1" spans="1:7" ht="16" x14ac:dyDescent="0.2">
      <c r="A1" s="31" t="s">
        <v>404</v>
      </c>
      <c r="B1" s="31"/>
      <c r="C1" s="31"/>
      <c r="D1" s="31"/>
      <c r="E1" s="31"/>
      <c r="F1" s="31"/>
      <c r="G1" s="31"/>
    </row>
    <row r="2" spans="1:7" x14ac:dyDescent="0.2">
      <c r="A2" s="32" t="s">
        <v>1</v>
      </c>
      <c r="B2" s="32"/>
      <c r="C2" s="32"/>
      <c r="D2" s="32"/>
      <c r="E2" s="32"/>
      <c r="F2" s="32"/>
      <c r="G2" s="32"/>
    </row>
    <row r="3" spans="1:7" x14ac:dyDescent="0.2">
      <c r="A3" s="32" t="s">
        <v>57</v>
      </c>
      <c r="B3" s="32"/>
      <c r="C3" s="32"/>
      <c r="D3" s="32"/>
      <c r="E3" s="32"/>
      <c r="F3" s="32"/>
      <c r="G3" s="32"/>
    </row>
    <row r="5" spans="1:7" x14ac:dyDescent="0.2">
      <c r="A5" s="8" t="s">
        <v>58</v>
      </c>
      <c r="B5" s="8" t="s">
        <v>59</v>
      </c>
      <c r="C5" s="8" t="s">
        <v>60</v>
      </c>
      <c r="D5" s="8" t="s">
        <v>61</v>
      </c>
      <c r="E5" s="8" t="s">
        <v>62</v>
      </c>
      <c r="F5" s="8" t="s">
        <v>63</v>
      </c>
    </row>
    <row r="7" spans="1:7" x14ac:dyDescent="0.2">
      <c r="A7" s="12" t="s">
        <v>405</v>
      </c>
      <c r="B7" s="10"/>
      <c r="C7" s="10"/>
      <c r="D7" s="10"/>
      <c r="E7" s="11">
        <v>333017.42</v>
      </c>
      <c r="F7" s="10"/>
    </row>
    <row r="8" spans="1:7" x14ac:dyDescent="0.2">
      <c r="A8" s="4" t="s">
        <v>65</v>
      </c>
    </row>
    <row r="9" spans="1:7" x14ac:dyDescent="0.2">
      <c r="A9" s="2" t="s">
        <v>66</v>
      </c>
      <c r="B9" s="2" t="s">
        <v>67</v>
      </c>
      <c r="C9" s="2" t="s">
        <v>68</v>
      </c>
      <c r="D9" s="2" t="s">
        <v>69</v>
      </c>
      <c r="E9" s="9">
        <v>23326.639999999999</v>
      </c>
      <c r="F9" s="9">
        <v>2120.6</v>
      </c>
    </row>
    <row r="10" spans="1:7" x14ac:dyDescent="0.2">
      <c r="A10" s="2" t="s">
        <v>66</v>
      </c>
      <c r="B10" s="2" t="s">
        <v>67</v>
      </c>
      <c r="C10" s="2" t="s">
        <v>70</v>
      </c>
      <c r="D10" s="2" t="s">
        <v>71</v>
      </c>
      <c r="E10" s="9">
        <v>59</v>
      </c>
      <c r="F10" s="9">
        <v>5.36</v>
      </c>
    </row>
    <row r="11" spans="1:7" x14ac:dyDescent="0.2">
      <c r="A11" s="2" t="s">
        <v>66</v>
      </c>
      <c r="B11" s="2" t="s">
        <v>67</v>
      </c>
      <c r="C11" s="2" t="s">
        <v>72</v>
      </c>
      <c r="D11" s="2" t="s">
        <v>71</v>
      </c>
      <c r="E11" s="9">
        <v>33.5</v>
      </c>
      <c r="F11" s="9">
        <v>3.05</v>
      </c>
    </row>
    <row r="12" spans="1:7" x14ac:dyDescent="0.2">
      <c r="A12" s="2" t="s">
        <v>66</v>
      </c>
      <c r="B12" s="2" t="s">
        <v>73</v>
      </c>
      <c r="C12" s="2" t="s">
        <v>74</v>
      </c>
      <c r="D12" s="2" t="s">
        <v>75</v>
      </c>
      <c r="E12" s="9">
        <v>8568.8799999999992</v>
      </c>
      <c r="F12" s="9">
        <v>778.99</v>
      </c>
    </row>
    <row r="13" spans="1:7" x14ac:dyDescent="0.2">
      <c r="A13" s="2" t="s">
        <v>66</v>
      </c>
      <c r="B13" s="2" t="s">
        <v>73</v>
      </c>
      <c r="C13" s="2" t="s">
        <v>74</v>
      </c>
      <c r="D13" s="2" t="s">
        <v>75</v>
      </c>
      <c r="E13" s="9">
        <v>-253.5</v>
      </c>
      <c r="F13" s="9">
        <v>-23.05</v>
      </c>
    </row>
    <row r="14" spans="1:7" x14ac:dyDescent="0.2">
      <c r="A14" s="2" t="s">
        <v>76</v>
      </c>
      <c r="B14" s="2" t="s">
        <v>67</v>
      </c>
      <c r="C14" s="2" t="s">
        <v>77</v>
      </c>
      <c r="D14" s="2" t="s">
        <v>71</v>
      </c>
      <c r="E14" s="9">
        <v>130</v>
      </c>
      <c r="F14" s="9">
        <v>11.82</v>
      </c>
    </row>
    <row r="15" spans="1:7" x14ac:dyDescent="0.2">
      <c r="A15" s="2" t="s">
        <v>76</v>
      </c>
      <c r="B15" s="2" t="s">
        <v>67</v>
      </c>
      <c r="C15" s="2" t="s">
        <v>78</v>
      </c>
      <c r="D15" s="2" t="s">
        <v>71</v>
      </c>
      <c r="E15" s="9">
        <v>86.2</v>
      </c>
      <c r="F15" s="9">
        <v>7.84</v>
      </c>
    </row>
    <row r="16" spans="1:7" x14ac:dyDescent="0.2">
      <c r="A16" s="2" t="s">
        <v>76</v>
      </c>
      <c r="B16" s="2" t="s">
        <v>67</v>
      </c>
      <c r="C16" s="2" t="s">
        <v>79</v>
      </c>
      <c r="D16" s="2" t="s">
        <v>71</v>
      </c>
      <c r="E16" s="9">
        <v>33.6</v>
      </c>
      <c r="F16" s="9">
        <v>3.05</v>
      </c>
    </row>
    <row r="17" spans="1:6" x14ac:dyDescent="0.2">
      <c r="A17" s="2" t="s">
        <v>76</v>
      </c>
      <c r="B17" s="2" t="s">
        <v>67</v>
      </c>
      <c r="C17" s="2" t="s">
        <v>80</v>
      </c>
      <c r="D17" s="2" t="s">
        <v>71</v>
      </c>
      <c r="E17" s="9">
        <v>56.2</v>
      </c>
      <c r="F17" s="9">
        <v>5.1100000000000003</v>
      </c>
    </row>
    <row r="18" spans="1:6" x14ac:dyDescent="0.2">
      <c r="A18" s="2" t="s">
        <v>81</v>
      </c>
      <c r="B18" s="2" t="s">
        <v>67</v>
      </c>
      <c r="C18" s="2" t="s">
        <v>82</v>
      </c>
      <c r="D18" s="2" t="s">
        <v>71</v>
      </c>
      <c r="E18" s="9">
        <v>179.01</v>
      </c>
      <c r="F18" s="9">
        <v>16.27</v>
      </c>
    </row>
    <row r="19" spans="1:6" x14ac:dyDescent="0.2">
      <c r="A19" s="2" t="s">
        <v>81</v>
      </c>
      <c r="B19" s="2" t="s">
        <v>67</v>
      </c>
      <c r="C19" s="2" t="s">
        <v>83</v>
      </c>
      <c r="D19" s="2" t="s">
        <v>71</v>
      </c>
      <c r="E19" s="9">
        <v>64.099999999999994</v>
      </c>
      <c r="F19" s="9">
        <v>5.83</v>
      </c>
    </row>
    <row r="20" spans="1:6" x14ac:dyDescent="0.2">
      <c r="A20" s="2" t="s">
        <v>81</v>
      </c>
      <c r="B20" s="2" t="s">
        <v>67</v>
      </c>
      <c r="C20" s="2" t="s">
        <v>84</v>
      </c>
      <c r="D20" s="2" t="s">
        <v>71</v>
      </c>
      <c r="E20" s="9">
        <v>33.5</v>
      </c>
      <c r="F20" s="9">
        <v>3.05</v>
      </c>
    </row>
    <row r="21" spans="1:6" x14ac:dyDescent="0.2">
      <c r="A21" s="2" t="s">
        <v>81</v>
      </c>
      <c r="B21" s="2" t="s">
        <v>67</v>
      </c>
      <c r="C21" s="2" t="s">
        <v>85</v>
      </c>
      <c r="D21" s="2" t="s">
        <v>71</v>
      </c>
      <c r="E21" s="9">
        <v>73</v>
      </c>
      <c r="F21" s="9">
        <v>6.64</v>
      </c>
    </row>
    <row r="22" spans="1:6" x14ac:dyDescent="0.2">
      <c r="A22" s="2" t="s">
        <v>86</v>
      </c>
      <c r="B22" s="2" t="s">
        <v>67</v>
      </c>
      <c r="C22" s="2" t="s">
        <v>87</v>
      </c>
      <c r="D22" s="2" t="s">
        <v>71</v>
      </c>
      <c r="E22" s="9">
        <v>240</v>
      </c>
      <c r="F22" s="9">
        <v>21.82</v>
      </c>
    </row>
    <row r="23" spans="1:6" x14ac:dyDescent="0.2">
      <c r="A23" s="2" t="s">
        <v>86</v>
      </c>
      <c r="B23" s="2" t="s">
        <v>67</v>
      </c>
      <c r="C23" s="2" t="s">
        <v>88</v>
      </c>
      <c r="D23" s="2" t="s">
        <v>71</v>
      </c>
      <c r="E23" s="9">
        <v>101.5</v>
      </c>
      <c r="F23" s="9">
        <v>9.23</v>
      </c>
    </row>
    <row r="24" spans="1:6" x14ac:dyDescent="0.2">
      <c r="A24" s="2" t="s">
        <v>86</v>
      </c>
      <c r="B24" s="2" t="s">
        <v>67</v>
      </c>
      <c r="C24" s="2" t="s">
        <v>89</v>
      </c>
      <c r="D24" s="2" t="s">
        <v>71</v>
      </c>
      <c r="E24" s="9">
        <v>130</v>
      </c>
      <c r="F24" s="9">
        <v>11.82</v>
      </c>
    </row>
    <row r="25" spans="1:6" x14ac:dyDescent="0.2">
      <c r="A25" s="2" t="s">
        <v>86</v>
      </c>
      <c r="B25" s="2" t="s">
        <v>67</v>
      </c>
      <c r="C25" s="2" t="s">
        <v>90</v>
      </c>
      <c r="D25" s="2" t="s">
        <v>71</v>
      </c>
      <c r="E25" s="9">
        <v>168.7</v>
      </c>
      <c r="F25" s="9">
        <v>15.34</v>
      </c>
    </row>
    <row r="26" spans="1:6" x14ac:dyDescent="0.2">
      <c r="A26" s="2" t="s">
        <v>91</v>
      </c>
      <c r="B26" s="2" t="s">
        <v>67</v>
      </c>
      <c r="C26" s="2" t="s">
        <v>92</v>
      </c>
      <c r="D26" s="2" t="s">
        <v>71</v>
      </c>
      <c r="E26" s="9">
        <v>154.97999999999999</v>
      </c>
      <c r="F26" s="9">
        <v>14.09</v>
      </c>
    </row>
    <row r="27" spans="1:6" x14ac:dyDescent="0.2">
      <c r="A27" s="2" t="s">
        <v>91</v>
      </c>
      <c r="B27" s="2" t="s">
        <v>67</v>
      </c>
      <c r="C27" s="2" t="s">
        <v>93</v>
      </c>
      <c r="D27" s="2" t="s">
        <v>71</v>
      </c>
      <c r="E27" s="9">
        <v>80</v>
      </c>
      <c r="F27" s="9">
        <v>7.27</v>
      </c>
    </row>
    <row r="28" spans="1:6" x14ac:dyDescent="0.2">
      <c r="A28" s="2" t="s">
        <v>91</v>
      </c>
      <c r="B28" s="2" t="s">
        <v>67</v>
      </c>
      <c r="C28" s="2" t="s">
        <v>94</v>
      </c>
      <c r="D28" s="2" t="s">
        <v>71</v>
      </c>
      <c r="E28" s="9">
        <v>60</v>
      </c>
      <c r="F28" s="9">
        <v>5.45</v>
      </c>
    </row>
    <row r="29" spans="1:6" x14ac:dyDescent="0.2">
      <c r="A29" s="2" t="s">
        <v>91</v>
      </c>
      <c r="B29" s="2" t="s">
        <v>67</v>
      </c>
      <c r="C29" s="2" t="s">
        <v>95</v>
      </c>
      <c r="D29" s="2" t="s">
        <v>71</v>
      </c>
      <c r="E29" s="9">
        <v>69</v>
      </c>
      <c r="F29" s="9">
        <v>6.27</v>
      </c>
    </row>
    <row r="30" spans="1:6" x14ac:dyDescent="0.2">
      <c r="A30" s="2" t="s">
        <v>91</v>
      </c>
      <c r="B30" s="2" t="s">
        <v>67</v>
      </c>
      <c r="C30" s="2" t="s">
        <v>96</v>
      </c>
      <c r="D30" s="2" t="s">
        <v>71</v>
      </c>
      <c r="E30" s="9">
        <v>132.26</v>
      </c>
      <c r="F30" s="9">
        <v>12.02</v>
      </c>
    </row>
    <row r="31" spans="1:6" x14ac:dyDescent="0.2">
      <c r="A31" s="2" t="s">
        <v>97</v>
      </c>
      <c r="B31" s="2" t="s">
        <v>67</v>
      </c>
      <c r="C31" s="2" t="s">
        <v>98</v>
      </c>
      <c r="D31" s="2" t="s">
        <v>71</v>
      </c>
      <c r="E31" s="9">
        <v>54.75</v>
      </c>
      <c r="F31" s="9">
        <v>4.9800000000000004</v>
      </c>
    </row>
    <row r="32" spans="1:6" x14ac:dyDescent="0.2">
      <c r="A32" s="2" t="s">
        <v>99</v>
      </c>
      <c r="B32" s="2" t="s">
        <v>67</v>
      </c>
      <c r="C32" s="2" t="s">
        <v>100</v>
      </c>
      <c r="D32" s="2" t="s">
        <v>71</v>
      </c>
      <c r="E32" s="9">
        <v>165</v>
      </c>
      <c r="F32" s="9">
        <v>15</v>
      </c>
    </row>
    <row r="33" spans="1:6" x14ac:dyDescent="0.2">
      <c r="A33" s="2" t="s">
        <v>99</v>
      </c>
      <c r="B33" s="2" t="s">
        <v>67</v>
      </c>
      <c r="C33" s="2" t="s">
        <v>101</v>
      </c>
      <c r="D33" s="2" t="s">
        <v>71</v>
      </c>
      <c r="E33" s="9">
        <v>70.98</v>
      </c>
      <c r="F33" s="9">
        <v>6.45</v>
      </c>
    </row>
    <row r="34" spans="1:6" x14ac:dyDescent="0.2">
      <c r="A34" s="2" t="s">
        <v>99</v>
      </c>
      <c r="B34" s="2" t="s">
        <v>67</v>
      </c>
      <c r="C34" s="2" t="s">
        <v>102</v>
      </c>
      <c r="D34" s="2" t="s">
        <v>71</v>
      </c>
      <c r="E34" s="9">
        <v>68</v>
      </c>
      <c r="F34" s="9">
        <v>6.18</v>
      </c>
    </row>
    <row r="35" spans="1:6" x14ac:dyDescent="0.2">
      <c r="A35" s="2" t="s">
        <v>103</v>
      </c>
      <c r="B35" s="2" t="s">
        <v>67</v>
      </c>
      <c r="C35" s="2" t="s">
        <v>104</v>
      </c>
      <c r="D35" s="2" t="s">
        <v>71</v>
      </c>
      <c r="E35" s="9">
        <v>38</v>
      </c>
      <c r="F35" s="9">
        <v>3.45</v>
      </c>
    </row>
    <row r="36" spans="1:6" x14ac:dyDescent="0.2">
      <c r="A36" s="2" t="s">
        <v>103</v>
      </c>
      <c r="B36" s="2" t="s">
        <v>67</v>
      </c>
      <c r="C36" s="2" t="s">
        <v>105</v>
      </c>
      <c r="D36" s="2" t="s">
        <v>71</v>
      </c>
      <c r="E36" s="9">
        <v>144.5</v>
      </c>
      <c r="F36" s="9">
        <v>13.14</v>
      </c>
    </row>
    <row r="37" spans="1:6" x14ac:dyDescent="0.2">
      <c r="A37" s="2" t="s">
        <v>106</v>
      </c>
      <c r="B37" s="2" t="s">
        <v>67</v>
      </c>
      <c r="C37" s="2" t="s">
        <v>107</v>
      </c>
      <c r="D37" s="2" t="s">
        <v>71</v>
      </c>
      <c r="E37" s="9">
        <v>68</v>
      </c>
      <c r="F37" s="9">
        <v>6.18</v>
      </c>
    </row>
    <row r="38" spans="1:6" x14ac:dyDescent="0.2">
      <c r="A38" s="2" t="s">
        <v>106</v>
      </c>
      <c r="B38" s="2" t="s">
        <v>67</v>
      </c>
      <c r="C38" s="2" t="s">
        <v>108</v>
      </c>
      <c r="D38" s="2" t="s">
        <v>71</v>
      </c>
      <c r="E38" s="9">
        <v>136</v>
      </c>
      <c r="F38" s="9">
        <v>12.36</v>
      </c>
    </row>
    <row r="39" spans="1:6" x14ac:dyDescent="0.2">
      <c r="A39" s="2" t="s">
        <v>106</v>
      </c>
      <c r="B39" s="2" t="s">
        <v>67</v>
      </c>
      <c r="C39" s="2" t="s">
        <v>109</v>
      </c>
      <c r="D39" s="2" t="s">
        <v>69</v>
      </c>
      <c r="E39" s="9">
        <v>19984.61</v>
      </c>
      <c r="F39" s="9">
        <v>1816.78</v>
      </c>
    </row>
    <row r="40" spans="1:6" x14ac:dyDescent="0.2">
      <c r="A40" s="2" t="s">
        <v>106</v>
      </c>
      <c r="B40" s="2" t="s">
        <v>67</v>
      </c>
      <c r="C40" s="2" t="s">
        <v>110</v>
      </c>
      <c r="D40" s="2" t="s">
        <v>71</v>
      </c>
      <c r="E40" s="9">
        <v>130.51</v>
      </c>
      <c r="F40" s="9">
        <v>11.86</v>
      </c>
    </row>
    <row r="41" spans="1:6" x14ac:dyDescent="0.2">
      <c r="A41" s="2" t="s">
        <v>106</v>
      </c>
      <c r="B41" s="2" t="s">
        <v>67</v>
      </c>
      <c r="C41" s="2" t="s">
        <v>111</v>
      </c>
      <c r="D41" s="2" t="s">
        <v>71</v>
      </c>
      <c r="E41" s="9">
        <v>110</v>
      </c>
      <c r="F41" s="9">
        <v>10</v>
      </c>
    </row>
    <row r="42" spans="1:6" x14ac:dyDescent="0.2">
      <c r="A42" s="2" t="s">
        <v>106</v>
      </c>
      <c r="B42" s="2" t="s">
        <v>67</v>
      </c>
      <c r="C42" s="2" t="s">
        <v>112</v>
      </c>
      <c r="D42" s="2" t="s">
        <v>71</v>
      </c>
      <c r="E42" s="9">
        <v>98</v>
      </c>
      <c r="F42" s="9">
        <v>8.91</v>
      </c>
    </row>
    <row r="43" spans="1:6" x14ac:dyDescent="0.2">
      <c r="A43" s="2" t="s">
        <v>113</v>
      </c>
      <c r="B43" s="2" t="s">
        <v>67</v>
      </c>
      <c r="C43" s="2" t="s">
        <v>114</v>
      </c>
      <c r="D43" s="2" t="s">
        <v>71</v>
      </c>
      <c r="E43" s="9">
        <v>110</v>
      </c>
      <c r="F43" s="9">
        <v>10</v>
      </c>
    </row>
    <row r="44" spans="1:6" x14ac:dyDescent="0.2">
      <c r="A44" s="2" t="s">
        <v>113</v>
      </c>
      <c r="B44" s="2" t="s">
        <v>67</v>
      </c>
      <c r="C44" s="2" t="s">
        <v>115</v>
      </c>
      <c r="D44" s="2" t="s">
        <v>71</v>
      </c>
      <c r="E44" s="9">
        <v>140.25</v>
      </c>
      <c r="F44" s="9">
        <v>12.75</v>
      </c>
    </row>
    <row r="45" spans="1:6" x14ac:dyDescent="0.2">
      <c r="A45" s="2" t="s">
        <v>113</v>
      </c>
      <c r="B45" s="2" t="s">
        <v>67</v>
      </c>
      <c r="C45" s="2" t="s">
        <v>116</v>
      </c>
      <c r="D45" s="2" t="s">
        <v>71</v>
      </c>
      <c r="E45" s="9">
        <v>180</v>
      </c>
      <c r="F45" s="9">
        <v>16.36</v>
      </c>
    </row>
    <row r="46" spans="1:6" x14ac:dyDescent="0.2">
      <c r="A46" s="2" t="s">
        <v>113</v>
      </c>
      <c r="B46" s="2" t="s">
        <v>67</v>
      </c>
      <c r="C46" s="2" t="s">
        <v>117</v>
      </c>
      <c r="D46" s="2" t="s">
        <v>71</v>
      </c>
      <c r="E46" s="9">
        <v>101.8</v>
      </c>
      <c r="F46" s="9">
        <v>9.25</v>
      </c>
    </row>
    <row r="47" spans="1:6" x14ac:dyDescent="0.2">
      <c r="A47" s="2" t="s">
        <v>113</v>
      </c>
      <c r="B47" s="2" t="s">
        <v>67</v>
      </c>
      <c r="C47" s="2" t="s">
        <v>118</v>
      </c>
      <c r="D47" s="2" t="s">
        <v>71</v>
      </c>
      <c r="E47" s="9">
        <v>157.5</v>
      </c>
      <c r="F47" s="9">
        <v>14.32</v>
      </c>
    </row>
    <row r="48" spans="1:6" x14ac:dyDescent="0.2">
      <c r="A48" s="2" t="s">
        <v>119</v>
      </c>
      <c r="B48" s="2" t="s">
        <v>67</v>
      </c>
      <c r="C48" s="2" t="s">
        <v>120</v>
      </c>
      <c r="D48" s="2" t="s">
        <v>71</v>
      </c>
      <c r="E48" s="9">
        <v>74.3</v>
      </c>
      <c r="F48" s="9">
        <v>6.75</v>
      </c>
    </row>
    <row r="49" spans="1:6" x14ac:dyDescent="0.2">
      <c r="A49" s="2" t="s">
        <v>121</v>
      </c>
      <c r="B49" s="2" t="s">
        <v>67</v>
      </c>
      <c r="C49" s="2" t="s">
        <v>122</v>
      </c>
      <c r="D49" s="2" t="s">
        <v>71</v>
      </c>
      <c r="E49" s="9">
        <v>81.95</v>
      </c>
      <c r="F49" s="9">
        <v>7.45</v>
      </c>
    </row>
    <row r="50" spans="1:6" x14ac:dyDescent="0.2">
      <c r="A50" s="2" t="s">
        <v>123</v>
      </c>
      <c r="B50" s="2" t="s">
        <v>67</v>
      </c>
      <c r="C50" s="2" t="s">
        <v>124</v>
      </c>
      <c r="D50" s="2" t="s">
        <v>71</v>
      </c>
      <c r="E50" s="9">
        <v>40</v>
      </c>
      <c r="F50" s="9">
        <v>3.64</v>
      </c>
    </row>
    <row r="51" spans="1:6" x14ac:dyDescent="0.2">
      <c r="A51" s="2" t="s">
        <v>123</v>
      </c>
      <c r="B51" s="2" t="s">
        <v>67</v>
      </c>
      <c r="C51" s="2" t="s">
        <v>125</v>
      </c>
      <c r="D51" s="2" t="s">
        <v>71</v>
      </c>
      <c r="E51" s="9">
        <v>132</v>
      </c>
      <c r="F51" s="9">
        <v>12</v>
      </c>
    </row>
    <row r="52" spans="1:6" x14ac:dyDescent="0.2">
      <c r="A52" s="2" t="s">
        <v>123</v>
      </c>
      <c r="B52" s="2" t="s">
        <v>67</v>
      </c>
      <c r="C52" s="2" t="s">
        <v>126</v>
      </c>
      <c r="D52" s="2" t="s">
        <v>71</v>
      </c>
      <c r="E52" s="9">
        <v>180</v>
      </c>
      <c r="F52" s="9">
        <v>16.36</v>
      </c>
    </row>
    <row r="53" spans="1:6" x14ac:dyDescent="0.2">
      <c r="A53" s="2" t="s">
        <v>123</v>
      </c>
      <c r="B53" s="2" t="s">
        <v>67</v>
      </c>
      <c r="C53" s="2" t="s">
        <v>127</v>
      </c>
      <c r="D53" s="2" t="s">
        <v>71</v>
      </c>
      <c r="E53" s="9">
        <v>334.9</v>
      </c>
      <c r="F53" s="9">
        <v>30.45</v>
      </c>
    </row>
    <row r="54" spans="1:6" x14ac:dyDescent="0.2">
      <c r="A54" s="2" t="s">
        <v>123</v>
      </c>
      <c r="B54" s="2" t="s">
        <v>67</v>
      </c>
      <c r="C54" s="2" t="s">
        <v>128</v>
      </c>
      <c r="D54" s="2" t="s">
        <v>71</v>
      </c>
      <c r="E54" s="9">
        <v>112.51</v>
      </c>
      <c r="F54" s="9">
        <v>10.23</v>
      </c>
    </row>
    <row r="55" spans="1:6" x14ac:dyDescent="0.2">
      <c r="A55" s="2" t="s">
        <v>129</v>
      </c>
      <c r="B55" s="2" t="s">
        <v>67</v>
      </c>
      <c r="C55" s="2" t="s">
        <v>130</v>
      </c>
      <c r="D55" s="2" t="s">
        <v>71</v>
      </c>
      <c r="E55" s="9">
        <v>35.200000000000003</v>
      </c>
      <c r="F55" s="9">
        <v>3.2</v>
      </c>
    </row>
    <row r="56" spans="1:6" x14ac:dyDescent="0.2">
      <c r="A56" s="2" t="s">
        <v>129</v>
      </c>
      <c r="B56" s="2" t="s">
        <v>67</v>
      </c>
      <c r="C56" s="2" t="s">
        <v>131</v>
      </c>
      <c r="D56" s="2" t="s">
        <v>71</v>
      </c>
      <c r="E56" s="9">
        <v>68</v>
      </c>
      <c r="F56" s="9">
        <v>6.18</v>
      </c>
    </row>
    <row r="57" spans="1:6" x14ac:dyDescent="0.2">
      <c r="A57" s="2" t="s">
        <v>129</v>
      </c>
      <c r="B57" s="2" t="s">
        <v>67</v>
      </c>
      <c r="C57" s="2" t="s">
        <v>132</v>
      </c>
      <c r="D57" s="2" t="s">
        <v>71</v>
      </c>
      <c r="E57" s="9">
        <v>84.5</v>
      </c>
      <c r="F57" s="9">
        <v>7.68</v>
      </c>
    </row>
    <row r="58" spans="1:6" x14ac:dyDescent="0.2">
      <c r="A58" s="2" t="s">
        <v>129</v>
      </c>
      <c r="B58" s="2" t="s">
        <v>67</v>
      </c>
      <c r="C58" s="2" t="s">
        <v>133</v>
      </c>
      <c r="D58" s="2" t="s">
        <v>71</v>
      </c>
      <c r="E58" s="9">
        <v>194</v>
      </c>
      <c r="F58" s="9">
        <v>17.64</v>
      </c>
    </row>
    <row r="59" spans="1:6" x14ac:dyDescent="0.2">
      <c r="A59" s="2" t="s">
        <v>129</v>
      </c>
      <c r="B59" s="2" t="s">
        <v>67</v>
      </c>
      <c r="C59" s="2" t="s">
        <v>134</v>
      </c>
      <c r="D59" s="2" t="s">
        <v>71</v>
      </c>
      <c r="E59" s="9">
        <v>165</v>
      </c>
      <c r="F59" s="9">
        <v>15</v>
      </c>
    </row>
    <row r="60" spans="1:6" x14ac:dyDescent="0.2">
      <c r="A60" s="2" t="s">
        <v>129</v>
      </c>
      <c r="B60" s="2" t="s">
        <v>67</v>
      </c>
      <c r="C60" s="2" t="s">
        <v>135</v>
      </c>
      <c r="D60" s="2" t="s">
        <v>71</v>
      </c>
      <c r="E60" s="9">
        <v>122.4</v>
      </c>
      <c r="F60" s="9">
        <v>11.13</v>
      </c>
    </row>
    <row r="61" spans="1:6" x14ac:dyDescent="0.2">
      <c r="A61" s="2" t="s">
        <v>129</v>
      </c>
      <c r="B61" s="2" t="s">
        <v>67</v>
      </c>
      <c r="C61" s="2" t="s">
        <v>136</v>
      </c>
      <c r="D61" s="2" t="s">
        <v>71</v>
      </c>
      <c r="E61" s="9">
        <v>180</v>
      </c>
      <c r="F61" s="9">
        <v>16.36</v>
      </c>
    </row>
    <row r="62" spans="1:6" x14ac:dyDescent="0.2">
      <c r="A62" s="2" t="s">
        <v>137</v>
      </c>
      <c r="B62" s="2" t="s">
        <v>73</v>
      </c>
      <c r="C62" s="2" t="s">
        <v>138</v>
      </c>
      <c r="D62" s="2" t="s">
        <v>75</v>
      </c>
      <c r="E62" s="9">
        <v>11900.69</v>
      </c>
      <c r="F62" s="9">
        <v>1081.8800000000001</v>
      </c>
    </row>
    <row r="63" spans="1:6" x14ac:dyDescent="0.2">
      <c r="A63" s="2" t="s">
        <v>137</v>
      </c>
      <c r="B63" s="2" t="s">
        <v>73</v>
      </c>
      <c r="C63" s="2" t="s">
        <v>138</v>
      </c>
      <c r="D63" s="2" t="s">
        <v>75</v>
      </c>
      <c r="E63" s="9">
        <v>-295.52</v>
      </c>
      <c r="F63" s="9">
        <v>-26.87</v>
      </c>
    </row>
    <row r="64" spans="1:6" x14ac:dyDescent="0.2">
      <c r="A64" s="2" t="s">
        <v>137</v>
      </c>
      <c r="B64" s="2" t="s">
        <v>67</v>
      </c>
      <c r="C64" s="2" t="s">
        <v>139</v>
      </c>
      <c r="D64" s="2" t="s">
        <v>71</v>
      </c>
      <c r="E64" s="9">
        <v>89.6</v>
      </c>
      <c r="F64" s="9">
        <v>8.15</v>
      </c>
    </row>
    <row r="65" spans="1:6" x14ac:dyDescent="0.2">
      <c r="A65" s="2" t="s">
        <v>137</v>
      </c>
      <c r="B65" s="2" t="s">
        <v>67</v>
      </c>
      <c r="C65" s="2" t="s">
        <v>140</v>
      </c>
      <c r="D65" s="2" t="s">
        <v>71</v>
      </c>
      <c r="E65" s="9">
        <v>101.5</v>
      </c>
      <c r="F65" s="9">
        <v>9.23</v>
      </c>
    </row>
    <row r="66" spans="1:6" x14ac:dyDescent="0.2">
      <c r="A66" s="2" t="s">
        <v>137</v>
      </c>
      <c r="B66" s="2" t="s">
        <v>67</v>
      </c>
      <c r="C66" s="2" t="s">
        <v>141</v>
      </c>
      <c r="D66" s="2" t="s">
        <v>69</v>
      </c>
      <c r="E66" s="9">
        <v>20819.009999999998</v>
      </c>
      <c r="F66" s="9">
        <v>1892.64</v>
      </c>
    </row>
    <row r="67" spans="1:6" x14ac:dyDescent="0.2">
      <c r="A67" s="2" t="s">
        <v>142</v>
      </c>
      <c r="B67" s="2" t="s">
        <v>67</v>
      </c>
      <c r="C67" s="2" t="s">
        <v>143</v>
      </c>
      <c r="D67" s="2" t="s">
        <v>71</v>
      </c>
      <c r="E67" s="9">
        <v>81.099999999999994</v>
      </c>
      <c r="F67" s="9">
        <v>7.37</v>
      </c>
    </row>
    <row r="68" spans="1:6" x14ac:dyDescent="0.2">
      <c r="A68" s="2" t="s">
        <v>142</v>
      </c>
      <c r="B68" s="2" t="s">
        <v>67</v>
      </c>
      <c r="C68" s="2" t="s">
        <v>144</v>
      </c>
      <c r="D68" s="2" t="s">
        <v>71</v>
      </c>
      <c r="E68" s="9">
        <v>111</v>
      </c>
      <c r="F68" s="9">
        <v>10.09</v>
      </c>
    </row>
    <row r="69" spans="1:6" x14ac:dyDescent="0.2">
      <c r="A69" s="2" t="s">
        <v>142</v>
      </c>
      <c r="B69" s="2" t="s">
        <v>67</v>
      </c>
      <c r="C69" s="2" t="s">
        <v>145</v>
      </c>
      <c r="D69" s="2" t="s">
        <v>71</v>
      </c>
      <c r="E69" s="9">
        <v>121.4</v>
      </c>
      <c r="F69" s="9">
        <v>11.04</v>
      </c>
    </row>
    <row r="70" spans="1:6" x14ac:dyDescent="0.2">
      <c r="A70" s="2" t="s">
        <v>142</v>
      </c>
      <c r="B70" s="2" t="s">
        <v>67</v>
      </c>
      <c r="C70" s="2" t="s">
        <v>146</v>
      </c>
      <c r="D70" s="2" t="s">
        <v>71</v>
      </c>
      <c r="E70" s="9">
        <v>110</v>
      </c>
      <c r="F70" s="9">
        <v>10</v>
      </c>
    </row>
    <row r="71" spans="1:6" x14ac:dyDescent="0.2">
      <c r="A71" s="2" t="s">
        <v>142</v>
      </c>
      <c r="B71" s="2" t="s">
        <v>67</v>
      </c>
      <c r="C71" s="2" t="s">
        <v>147</v>
      </c>
      <c r="D71" s="2" t="s">
        <v>71</v>
      </c>
      <c r="E71" s="9">
        <v>130</v>
      </c>
      <c r="F71" s="9">
        <v>11.82</v>
      </c>
    </row>
    <row r="72" spans="1:6" x14ac:dyDescent="0.2">
      <c r="A72" s="2" t="s">
        <v>142</v>
      </c>
      <c r="B72" s="2" t="s">
        <v>67</v>
      </c>
      <c r="C72" s="2" t="s">
        <v>148</v>
      </c>
      <c r="D72" s="2" t="s">
        <v>71</v>
      </c>
      <c r="E72" s="9">
        <v>221.09</v>
      </c>
      <c r="F72" s="9">
        <v>20.100000000000001</v>
      </c>
    </row>
    <row r="73" spans="1:6" x14ac:dyDescent="0.2">
      <c r="A73" s="2" t="s">
        <v>149</v>
      </c>
      <c r="B73" s="2" t="s">
        <v>67</v>
      </c>
      <c r="C73" s="2" t="s">
        <v>150</v>
      </c>
      <c r="D73" s="2" t="s">
        <v>71</v>
      </c>
      <c r="E73" s="9">
        <v>89.6</v>
      </c>
      <c r="F73" s="9">
        <v>8.15</v>
      </c>
    </row>
    <row r="74" spans="1:6" x14ac:dyDescent="0.2">
      <c r="A74" s="2" t="s">
        <v>149</v>
      </c>
      <c r="B74" s="2" t="s">
        <v>67</v>
      </c>
      <c r="C74" s="2" t="s">
        <v>151</v>
      </c>
      <c r="D74" s="2" t="s">
        <v>71</v>
      </c>
      <c r="E74" s="9">
        <v>59</v>
      </c>
      <c r="F74" s="9">
        <v>5.36</v>
      </c>
    </row>
    <row r="75" spans="1:6" x14ac:dyDescent="0.2">
      <c r="A75" s="2" t="s">
        <v>149</v>
      </c>
      <c r="B75" s="2" t="s">
        <v>67</v>
      </c>
      <c r="C75" s="2" t="s">
        <v>152</v>
      </c>
      <c r="D75" s="2" t="s">
        <v>71</v>
      </c>
      <c r="E75" s="9">
        <v>128.35</v>
      </c>
      <c r="F75" s="9">
        <v>11.67</v>
      </c>
    </row>
    <row r="76" spans="1:6" x14ac:dyDescent="0.2">
      <c r="A76" s="2" t="s">
        <v>153</v>
      </c>
      <c r="B76" s="2" t="s">
        <v>67</v>
      </c>
      <c r="C76" s="2" t="s">
        <v>154</v>
      </c>
      <c r="D76" s="2" t="s">
        <v>71</v>
      </c>
      <c r="E76" s="9">
        <v>120.38</v>
      </c>
      <c r="F76" s="9">
        <v>10.94</v>
      </c>
    </row>
    <row r="77" spans="1:6" x14ac:dyDescent="0.2">
      <c r="A77" s="2" t="s">
        <v>153</v>
      </c>
      <c r="B77" s="2" t="s">
        <v>67</v>
      </c>
      <c r="C77" s="2" t="s">
        <v>155</v>
      </c>
      <c r="D77" s="2" t="s">
        <v>71</v>
      </c>
      <c r="E77" s="9">
        <v>74</v>
      </c>
      <c r="F77" s="9">
        <v>6.73</v>
      </c>
    </row>
    <row r="78" spans="1:6" x14ac:dyDescent="0.2">
      <c r="A78" s="2" t="s">
        <v>153</v>
      </c>
      <c r="B78" s="2" t="s">
        <v>67</v>
      </c>
      <c r="C78" s="2" t="s">
        <v>156</v>
      </c>
      <c r="D78" s="2" t="s">
        <v>71</v>
      </c>
      <c r="E78" s="9">
        <v>52.2</v>
      </c>
      <c r="F78" s="9">
        <v>4.75</v>
      </c>
    </row>
    <row r="79" spans="1:6" x14ac:dyDescent="0.2">
      <c r="A79" s="2" t="s">
        <v>153</v>
      </c>
      <c r="B79" s="2" t="s">
        <v>67</v>
      </c>
      <c r="C79" s="2" t="s">
        <v>157</v>
      </c>
      <c r="D79" s="2" t="s">
        <v>71</v>
      </c>
      <c r="E79" s="9">
        <v>125</v>
      </c>
      <c r="F79" s="9">
        <v>11.36</v>
      </c>
    </row>
    <row r="80" spans="1:6" x14ac:dyDescent="0.2">
      <c r="A80" s="2" t="s">
        <v>153</v>
      </c>
      <c r="B80" s="2" t="s">
        <v>67</v>
      </c>
      <c r="C80" s="2" t="s">
        <v>158</v>
      </c>
      <c r="D80" s="2" t="s">
        <v>71</v>
      </c>
      <c r="E80" s="9">
        <v>124.8</v>
      </c>
      <c r="F80" s="9">
        <v>11.35</v>
      </c>
    </row>
    <row r="81" spans="1:6" x14ac:dyDescent="0.2">
      <c r="A81" s="2" t="s">
        <v>153</v>
      </c>
      <c r="B81" s="2" t="s">
        <v>67</v>
      </c>
      <c r="C81" s="2" t="s">
        <v>159</v>
      </c>
      <c r="D81" s="2" t="s">
        <v>71</v>
      </c>
      <c r="E81" s="9">
        <v>148.75</v>
      </c>
      <c r="F81" s="9">
        <v>13.52</v>
      </c>
    </row>
    <row r="82" spans="1:6" x14ac:dyDescent="0.2">
      <c r="A82" s="2" t="s">
        <v>153</v>
      </c>
      <c r="B82" s="2" t="s">
        <v>67</v>
      </c>
      <c r="C82" s="2" t="s">
        <v>160</v>
      </c>
      <c r="D82" s="2" t="s">
        <v>161</v>
      </c>
      <c r="E82" s="9">
        <v>112.91</v>
      </c>
      <c r="F82" s="9">
        <v>10.26</v>
      </c>
    </row>
    <row r="83" spans="1:6" x14ac:dyDescent="0.2">
      <c r="A83" s="2" t="s">
        <v>162</v>
      </c>
      <c r="B83" s="2" t="s">
        <v>67</v>
      </c>
      <c r="C83" s="2" t="s">
        <v>163</v>
      </c>
      <c r="D83" s="2" t="s">
        <v>71</v>
      </c>
      <c r="E83" s="9">
        <v>79.400000000000006</v>
      </c>
      <c r="F83" s="9">
        <v>7.22</v>
      </c>
    </row>
    <row r="84" spans="1:6" x14ac:dyDescent="0.2">
      <c r="A84" s="2" t="s">
        <v>162</v>
      </c>
      <c r="B84" s="2" t="s">
        <v>67</v>
      </c>
      <c r="C84" s="2" t="s">
        <v>164</v>
      </c>
      <c r="D84" s="2" t="s">
        <v>71</v>
      </c>
      <c r="E84" s="9">
        <v>194</v>
      </c>
      <c r="F84" s="9">
        <v>17.64</v>
      </c>
    </row>
    <row r="85" spans="1:6" x14ac:dyDescent="0.2">
      <c r="A85" s="2" t="s">
        <v>162</v>
      </c>
      <c r="B85" s="2" t="s">
        <v>67</v>
      </c>
      <c r="C85" s="2" t="s">
        <v>165</v>
      </c>
      <c r="D85" s="2" t="s">
        <v>71</v>
      </c>
      <c r="E85" s="9">
        <v>144</v>
      </c>
      <c r="F85" s="9">
        <v>13.09</v>
      </c>
    </row>
    <row r="86" spans="1:6" x14ac:dyDescent="0.2">
      <c r="A86" s="2" t="s">
        <v>166</v>
      </c>
      <c r="B86" s="2" t="s">
        <v>67</v>
      </c>
      <c r="C86" s="2" t="s">
        <v>167</v>
      </c>
      <c r="D86" s="2" t="s">
        <v>71</v>
      </c>
      <c r="E86" s="9">
        <v>59</v>
      </c>
      <c r="F86" s="9">
        <v>5.36</v>
      </c>
    </row>
    <row r="87" spans="1:6" x14ac:dyDescent="0.2">
      <c r="A87" s="2" t="s">
        <v>166</v>
      </c>
      <c r="B87" s="2" t="s">
        <v>67</v>
      </c>
      <c r="C87" s="2" t="s">
        <v>168</v>
      </c>
      <c r="D87" s="2" t="s">
        <v>71</v>
      </c>
      <c r="E87" s="9">
        <v>63</v>
      </c>
      <c r="F87" s="9">
        <v>5.73</v>
      </c>
    </row>
    <row r="88" spans="1:6" x14ac:dyDescent="0.2">
      <c r="A88" s="2" t="s">
        <v>169</v>
      </c>
      <c r="B88" s="2" t="s">
        <v>67</v>
      </c>
      <c r="C88" s="2" t="s">
        <v>170</v>
      </c>
      <c r="D88" s="2" t="s">
        <v>71</v>
      </c>
      <c r="E88" s="9">
        <v>68</v>
      </c>
      <c r="F88" s="9">
        <v>6.18</v>
      </c>
    </row>
    <row r="89" spans="1:6" x14ac:dyDescent="0.2">
      <c r="A89" s="2" t="s">
        <v>169</v>
      </c>
      <c r="B89" s="2" t="s">
        <v>67</v>
      </c>
      <c r="C89" s="2" t="s">
        <v>171</v>
      </c>
      <c r="D89" s="2" t="s">
        <v>71</v>
      </c>
      <c r="E89" s="9">
        <v>44</v>
      </c>
      <c r="F89" s="9">
        <v>4</v>
      </c>
    </row>
    <row r="90" spans="1:6" x14ac:dyDescent="0.2">
      <c r="A90" s="2" t="s">
        <v>169</v>
      </c>
      <c r="B90" s="2" t="s">
        <v>67</v>
      </c>
      <c r="C90" s="2" t="s">
        <v>172</v>
      </c>
      <c r="D90" s="2" t="s">
        <v>71</v>
      </c>
      <c r="E90" s="9">
        <v>81</v>
      </c>
      <c r="F90" s="9">
        <v>7.36</v>
      </c>
    </row>
    <row r="91" spans="1:6" x14ac:dyDescent="0.2">
      <c r="A91" s="2" t="s">
        <v>169</v>
      </c>
      <c r="B91" s="2" t="s">
        <v>67</v>
      </c>
      <c r="C91" s="2" t="s">
        <v>173</v>
      </c>
      <c r="D91" s="2" t="s">
        <v>71</v>
      </c>
      <c r="E91" s="9">
        <v>101.93</v>
      </c>
      <c r="F91" s="9">
        <v>9.27</v>
      </c>
    </row>
    <row r="92" spans="1:6" x14ac:dyDescent="0.2">
      <c r="A92" s="2" t="s">
        <v>169</v>
      </c>
      <c r="B92" s="2" t="s">
        <v>67</v>
      </c>
      <c r="C92" s="2" t="s">
        <v>174</v>
      </c>
      <c r="D92" s="2" t="s">
        <v>71</v>
      </c>
      <c r="E92" s="9">
        <v>92</v>
      </c>
      <c r="F92" s="9">
        <v>8.36</v>
      </c>
    </row>
    <row r="93" spans="1:6" x14ac:dyDescent="0.2">
      <c r="A93" s="2" t="s">
        <v>169</v>
      </c>
      <c r="B93" s="2" t="s">
        <v>67</v>
      </c>
      <c r="C93" s="2" t="s">
        <v>175</v>
      </c>
      <c r="D93" s="2" t="s">
        <v>71</v>
      </c>
      <c r="E93" s="9">
        <v>136</v>
      </c>
      <c r="F93" s="9">
        <v>12.36</v>
      </c>
    </row>
    <row r="94" spans="1:6" x14ac:dyDescent="0.2">
      <c r="A94" s="2" t="s">
        <v>176</v>
      </c>
      <c r="B94" s="2" t="s">
        <v>67</v>
      </c>
      <c r="C94" s="2" t="s">
        <v>177</v>
      </c>
      <c r="D94" s="2" t="s">
        <v>71</v>
      </c>
      <c r="E94" s="9">
        <v>79</v>
      </c>
      <c r="F94" s="9">
        <v>7.18</v>
      </c>
    </row>
    <row r="95" spans="1:6" x14ac:dyDescent="0.2">
      <c r="A95" s="2" t="s">
        <v>176</v>
      </c>
      <c r="B95" s="2" t="s">
        <v>67</v>
      </c>
      <c r="C95" s="2" t="s">
        <v>178</v>
      </c>
      <c r="D95" s="2" t="s">
        <v>71</v>
      </c>
      <c r="E95" s="9">
        <v>137.69999999999999</v>
      </c>
      <c r="F95" s="9">
        <v>12.52</v>
      </c>
    </row>
    <row r="96" spans="1:6" x14ac:dyDescent="0.2">
      <c r="A96" s="2" t="s">
        <v>176</v>
      </c>
      <c r="B96" s="2" t="s">
        <v>67</v>
      </c>
      <c r="C96" s="2" t="s">
        <v>179</v>
      </c>
      <c r="D96" s="2" t="s">
        <v>71</v>
      </c>
      <c r="E96" s="9">
        <v>53.5</v>
      </c>
      <c r="F96" s="9">
        <v>4.8600000000000003</v>
      </c>
    </row>
    <row r="97" spans="1:6" x14ac:dyDescent="0.2">
      <c r="A97" s="2" t="s">
        <v>176</v>
      </c>
      <c r="B97" s="2" t="s">
        <v>67</v>
      </c>
      <c r="C97" s="2" t="s">
        <v>180</v>
      </c>
      <c r="D97" s="2" t="s">
        <v>71</v>
      </c>
      <c r="E97" s="9">
        <v>56</v>
      </c>
      <c r="F97" s="9">
        <v>5.09</v>
      </c>
    </row>
    <row r="98" spans="1:6" x14ac:dyDescent="0.2">
      <c r="A98" s="2" t="s">
        <v>176</v>
      </c>
      <c r="B98" s="2" t="s">
        <v>67</v>
      </c>
      <c r="C98" s="2" t="s">
        <v>181</v>
      </c>
      <c r="D98" s="2" t="s">
        <v>71</v>
      </c>
      <c r="E98" s="9">
        <v>141.44</v>
      </c>
      <c r="F98" s="9">
        <v>12.86</v>
      </c>
    </row>
    <row r="99" spans="1:6" x14ac:dyDescent="0.2">
      <c r="A99" s="2" t="s">
        <v>176</v>
      </c>
      <c r="B99" s="2" t="s">
        <v>67</v>
      </c>
      <c r="C99" s="2" t="s">
        <v>182</v>
      </c>
      <c r="D99" s="2" t="s">
        <v>183</v>
      </c>
      <c r="E99" s="9">
        <v>-183.18</v>
      </c>
      <c r="F99" s="9">
        <v>-16.649999999999999</v>
      </c>
    </row>
    <row r="100" spans="1:6" x14ac:dyDescent="0.2">
      <c r="A100" s="2" t="s">
        <v>176</v>
      </c>
      <c r="B100" s="2" t="s">
        <v>67</v>
      </c>
      <c r="C100" s="2" t="s">
        <v>184</v>
      </c>
      <c r="D100" s="2" t="s">
        <v>71</v>
      </c>
      <c r="E100" s="9">
        <v>183.18</v>
      </c>
      <c r="F100" s="9">
        <v>16.649999999999999</v>
      </c>
    </row>
    <row r="101" spans="1:6" x14ac:dyDescent="0.2">
      <c r="A101" s="2" t="s">
        <v>176</v>
      </c>
      <c r="B101" s="2" t="s">
        <v>67</v>
      </c>
      <c r="C101" s="2" t="s">
        <v>185</v>
      </c>
      <c r="D101" s="2" t="s">
        <v>71</v>
      </c>
      <c r="E101" s="9">
        <v>63</v>
      </c>
      <c r="F101" s="9">
        <v>5.73</v>
      </c>
    </row>
    <row r="102" spans="1:6" x14ac:dyDescent="0.2">
      <c r="A102" s="2" t="s">
        <v>176</v>
      </c>
      <c r="B102" s="2" t="s">
        <v>67</v>
      </c>
      <c r="C102" s="2" t="s">
        <v>186</v>
      </c>
      <c r="D102" s="2" t="s">
        <v>71</v>
      </c>
      <c r="E102" s="9">
        <v>105.5</v>
      </c>
      <c r="F102" s="9">
        <v>9.59</v>
      </c>
    </row>
    <row r="103" spans="1:6" x14ac:dyDescent="0.2">
      <c r="A103" s="2" t="s">
        <v>176</v>
      </c>
      <c r="B103" s="2" t="s">
        <v>67</v>
      </c>
      <c r="C103" s="2" t="s">
        <v>187</v>
      </c>
      <c r="D103" s="2" t="s">
        <v>69</v>
      </c>
      <c r="E103" s="9">
        <v>20211.48</v>
      </c>
      <c r="F103" s="9">
        <v>1837.41</v>
      </c>
    </row>
    <row r="104" spans="1:6" x14ac:dyDescent="0.2">
      <c r="A104" s="2" t="s">
        <v>188</v>
      </c>
      <c r="B104" s="2" t="s">
        <v>67</v>
      </c>
      <c r="C104" s="2" t="s">
        <v>189</v>
      </c>
      <c r="D104" s="2" t="s">
        <v>71</v>
      </c>
      <c r="E104" s="9">
        <v>52.2</v>
      </c>
      <c r="F104" s="9">
        <v>4.75</v>
      </c>
    </row>
    <row r="105" spans="1:6" x14ac:dyDescent="0.2">
      <c r="A105" s="2" t="s">
        <v>188</v>
      </c>
      <c r="B105" s="2" t="s">
        <v>67</v>
      </c>
      <c r="C105" s="2" t="s">
        <v>190</v>
      </c>
      <c r="D105" s="2" t="s">
        <v>71</v>
      </c>
      <c r="E105" s="9">
        <v>63</v>
      </c>
      <c r="F105" s="9">
        <v>5.73</v>
      </c>
    </row>
    <row r="106" spans="1:6" x14ac:dyDescent="0.2">
      <c r="A106" s="2" t="s">
        <v>188</v>
      </c>
      <c r="B106" s="2" t="s">
        <v>67</v>
      </c>
      <c r="C106" s="2" t="s">
        <v>191</v>
      </c>
      <c r="D106" s="2" t="s">
        <v>71</v>
      </c>
      <c r="E106" s="9">
        <v>180</v>
      </c>
      <c r="F106" s="9">
        <v>16.36</v>
      </c>
    </row>
    <row r="107" spans="1:6" x14ac:dyDescent="0.2">
      <c r="A107" s="2" t="s">
        <v>188</v>
      </c>
      <c r="B107" s="2" t="s">
        <v>67</v>
      </c>
      <c r="C107" s="2" t="s">
        <v>192</v>
      </c>
      <c r="D107" s="2" t="s">
        <v>71</v>
      </c>
      <c r="E107" s="9">
        <v>140.26</v>
      </c>
      <c r="F107" s="9">
        <v>12.75</v>
      </c>
    </row>
    <row r="108" spans="1:6" x14ac:dyDescent="0.2">
      <c r="A108" s="2" t="s">
        <v>188</v>
      </c>
      <c r="B108" s="2" t="s">
        <v>67</v>
      </c>
      <c r="C108" s="2" t="s">
        <v>193</v>
      </c>
      <c r="D108" s="2" t="s">
        <v>71</v>
      </c>
      <c r="E108" s="9">
        <v>63.25</v>
      </c>
      <c r="F108" s="9">
        <v>5.75</v>
      </c>
    </row>
    <row r="109" spans="1:6" x14ac:dyDescent="0.2">
      <c r="A109" s="2" t="s">
        <v>188</v>
      </c>
      <c r="B109" s="2" t="s">
        <v>67</v>
      </c>
      <c r="C109" s="2" t="s">
        <v>194</v>
      </c>
      <c r="D109" s="2" t="s">
        <v>71</v>
      </c>
      <c r="E109" s="9">
        <v>35.5</v>
      </c>
      <c r="F109" s="9">
        <v>3.23</v>
      </c>
    </row>
    <row r="110" spans="1:6" x14ac:dyDescent="0.2">
      <c r="A110" s="2" t="s">
        <v>188</v>
      </c>
      <c r="B110" s="2" t="s">
        <v>67</v>
      </c>
      <c r="C110" s="2" t="s">
        <v>195</v>
      </c>
      <c r="D110" s="2" t="s">
        <v>71</v>
      </c>
      <c r="E110" s="9">
        <v>201</v>
      </c>
      <c r="F110" s="9">
        <v>18.27</v>
      </c>
    </row>
    <row r="111" spans="1:6" x14ac:dyDescent="0.2">
      <c r="A111" s="2" t="s">
        <v>188</v>
      </c>
      <c r="B111" s="2" t="s">
        <v>67</v>
      </c>
      <c r="C111" s="2" t="s">
        <v>196</v>
      </c>
      <c r="D111" s="2" t="s">
        <v>161</v>
      </c>
      <c r="E111" s="9">
        <v>165.82</v>
      </c>
      <c r="F111" s="9">
        <v>15.07</v>
      </c>
    </row>
    <row r="112" spans="1:6" x14ac:dyDescent="0.2">
      <c r="A112" s="2" t="s">
        <v>197</v>
      </c>
      <c r="B112" s="2" t="s">
        <v>67</v>
      </c>
      <c r="C112" s="2" t="s">
        <v>198</v>
      </c>
      <c r="D112" s="2" t="s">
        <v>71</v>
      </c>
      <c r="E112" s="9">
        <v>147.9</v>
      </c>
      <c r="F112" s="9">
        <v>13.45</v>
      </c>
    </row>
    <row r="113" spans="1:6" x14ac:dyDescent="0.2">
      <c r="A113" s="2" t="s">
        <v>197</v>
      </c>
      <c r="B113" s="2" t="s">
        <v>199</v>
      </c>
      <c r="C113" s="2" t="s">
        <v>200</v>
      </c>
      <c r="D113" s="2" t="s">
        <v>201</v>
      </c>
      <c r="E113" s="9">
        <v>2552.88</v>
      </c>
      <c r="F113" s="9">
        <v>232.08</v>
      </c>
    </row>
    <row r="114" spans="1:6" x14ac:dyDescent="0.2">
      <c r="A114" s="2" t="s">
        <v>197</v>
      </c>
      <c r="B114" s="2" t="s">
        <v>67</v>
      </c>
      <c r="C114" s="2" t="s">
        <v>202</v>
      </c>
      <c r="D114" s="2" t="s">
        <v>71</v>
      </c>
      <c r="E114" s="9">
        <v>59</v>
      </c>
      <c r="F114" s="9">
        <v>5.36</v>
      </c>
    </row>
    <row r="115" spans="1:6" x14ac:dyDescent="0.2">
      <c r="A115" s="2" t="s">
        <v>197</v>
      </c>
      <c r="B115" s="2" t="s">
        <v>67</v>
      </c>
      <c r="C115" s="2" t="s">
        <v>203</v>
      </c>
      <c r="D115" s="2" t="s">
        <v>71</v>
      </c>
      <c r="E115" s="9">
        <v>33.5</v>
      </c>
      <c r="F115" s="9">
        <v>3.05</v>
      </c>
    </row>
    <row r="116" spans="1:6" x14ac:dyDescent="0.2">
      <c r="A116" s="2" t="s">
        <v>197</v>
      </c>
      <c r="B116" s="2" t="s">
        <v>67</v>
      </c>
      <c r="C116" s="2" t="s">
        <v>204</v>
      </c>
      <c r="D116" s="2" t="s">
        <v>71</v>
      </c>
      <c r="E116" s="9">
        <v>71</v>
      </c>
      <c r="F116" s="9">
        <v>6.45</v>
      </c>
    </row>
    <row r="117" spans="1:6" x14ac:dyDescent="0.2">
      <c r="A117" s="2" t="s">
        <v>197</v>
      </c>
      <c r="B117" s="2" t="s">
        <v>67</v>
      </c>
      <c r="C117" s="2" t="s">
        <v>205</v>
      </c>
      <c r="D117" s="2" t="s">
        <v>71</v>
      </c>
      <c r="E117" s="9">
        <v>110</v>
      </c>
      <c r="F117" s="9">
        <v>10</v>
      </c>
    </row>
    <row r="118" spans="1:6" x14ac:dyDescent="0.2">
      <c r="A118" s="2" t="s">
        <v>206</v>
      </c>
      <c r="B118" s="2" t="s">
        <v>67</v>
      </c>
      <c r="C118" s="2" t="s">
        <v>207</v>
      </c>
      <c r="D118" s="2" t="s">
        <v>71</v>
      </c>
      <c r="E118" s="9">
        <v>43.36</v>
      </c>
      <c r="F118" s="9">
        <v>3.94</v>
      </c>
    </row>
    <row r="119" spans="1:6" x14ac:dyDescent="0.2">
      <c r="A119" s="2" t="s">
        <v>206</v>
      </c>
      <c r="B119" s="2" t="s">
        <v>67</v>
      </c>
      <c r="C119" s="2" t="s">
        <v>208</v>
      </c>
      <c r="D119" s="2" t="s">
        <v>71</v>
      </c>
      <c r="E119" s="9">
        <v>132.99</v>
      </c>
      <c r="F119" s="9">
        <v>12.09</v>
      </c>
    </row>
    <row r="120" spans="1:6" x14ac:dyDescent="0.2">
      <c r="A120" s="2" t="s">
        <v>206</v>
      </c>
      <c r="B120" s="2" t="s">
        <v>67</v>
      </c>
      <c r="C120" s="2" t="s">
        <v>209</v>
      </c>
      <c r="D120" s="2" t="s">
        <v>71</v>
      </c>
      <c r="E120" s="9">
        <v>50</v>
      </c>
      <c r="F120" s="9">
        <v>4.55</v>
      </c>
    </row>
    <row r="121" spans="1:6" x14ac:dyDescent="0.2">
      <c r="A121" s="2" t="s">
        <v>206</v>
      </c>
      <c r="B121" s="2" t="s">
        <v>67</v>
      </c>
      <c r="C121" s="2" t="s">
        <v>210</v>
      </c>
      <c r="D121" s="2" t="s">
        <v>71</v>
      </c>
      <c r="E121" s="9">
        <v>43.7</v>
      </c>
      <c r="F121" s="9">
        <v>3.97</v>
      </c>
    </row>
    <row r="122" spans="1:6" x14ac:dyDescent="0.2">
      <c r="A122" s="2" t="s">
        <v>206</v>
      </c>
      <c r="B122" s="2" t="s">
        <v>67</v>
      </c>
      <c r="C122" s="2" t="s">
        <v>211</v>
      </c>
      <c r="D122" s="2" t="s">
        <v>161</v>
      </c>
      <c r="E122" s="9">
        <v>169.62</v>
      </c>
      <c r="F122" s="9">
        <v>15.42</v>
      </c>
    </row>
    <row r="123" spans="1:6" x14ac:dyDescent="0.2">
      <c r="A123" s="2" t="s">
        <v>212</v>
      </c>
      <c r="B123" s="2" t="s">
        <v>67</v>
      </c>
      <c r="C123" s="2" t="s">
        <v>213</v>
      </c>
      <c r="D123" s="2" t="s">
        <v>71</v>
      </c>
      <c r="E123" s="9">
        <v>56</v>
      </c>
      <c r="F123" s="9">
        <v>5.09</v>
      </c>
    </row>
    <row r="124" spans="1:6" x14ac:dyDescent="0.2">
      <c r="A124" s="2" t="s">
        <v>212</v>
      </c>
      <c r="B124" s="2" t="s">
        <v>67</v>
      </c>
      <c r="C124" s="2" t="s">
        <v>214</v>
      </c>
      <c r="D124" s="2" t="s">
        <v>71</v>
      </c>
      <c r="E124" s="9">
        <v>63</v>
      </c>
      <c r="F124" s="9">
        <v>5.73</v>
      </c>
    </row>
    <row r="125" spans="1:6" x14ac:dyDescent="0.2">
      <c r="A125" s="2" t="s">
        <v>212</v>
      </c>
      <c r="B125" s="2" t="s">
        <v>67</v>
      </c>
      <c r="C125" s="2" t="s">
        <v>215</v>
      </c>
      <c r="D125" s="2" t="s">
        <v>71</v>
      </c>
      <c r="E125" s="9">
        <v>256.5</v>
      </c>
      <c r="F125" s="9">
        <v>23.32</v>
      </c>
    </row>
    <row r="126" spans="1:6" x14ac:dyDescent="0.2">
      <c r="A126" s="2" t="s">
        <v>212</v>
      </c>
      <c r="B126" s="2" t="s">
        <v>67</v>
      </c>
      <c r="C126" s="2" t="s">
        <v>216</v>
      </c>
      <c r="D126" s="2" t="s">
        <v>71</v>
      </c>
      <c r="E126" s="9">
        <v>118</v>
      </c>
      <c r="F126" s="9">
        <v>10.73</v>
      </c>
    </row>
    <row r="127" spans="1:6" x14ac:dyDescent="0.2">
      <c r="A127" s="2" t="s">
        <v>217</v>
      </c>
      <c r="B127" s="2" t="s">
        <v>67</v>
      </c>
      <c r="C127" s="2" t="s">
        <v>218</v>
      </c>
      <c r="D127" s="2" t="s">
        <v>71</v>
      </c>
      <c r="E127" s="9">
        <v>210</v>
      </c>
      <c r="F127" s="9">
        <v>19.09</v>
      </c>
    </row>
    <row r="128" spans="1:6" x14ac:dyDescent="0.2">
      <c r="A128" s="2" t="s">
        <v>217</v>
      </c>
      <c r="B128" s="2" t="s">
        <v>67</v>
      </c>
      <c r="C128" s="2" t="s">
        <v>219</v>
      </c>
      <c r="D128" s="2" t="s">
        <v>71</v>
      </c>
      <c r="E128" s="9">
        <v>137</v>
      </c>
      <c r="F128" s="9">
        <v>12.45</v>
      </c>
    </row>
    <row r="129" spans="1:6" x14ac:dyDescent="0.2">
      <c r="A129" s="2" t="s">
        <v>217</v>
      </c>
      <c r="B129" s="2" t="s">
        <v>67</v>
      </c>
      <c r="C129" s="2" t="s">
        <v>220</v>
      </c>
      <c r="D129" s="2" t="s">
        <v>71</v>
      </c>
      <c r="E129" s="9">
        <v>44</v>
      </c>
      <c r="F129" s="9">
        <v>4</v>
      </c>
    </row>
    <row r="130" spans="1:6" x14ac:dyDescent="0.2">
      <c r="A130" s="2" t="s">
        <v>217</v>
      </c>
      <c r="B130" s="2" t="s">
        <v>67</v>
      </c>
      <c r="C130" s="2" t="s">
        <v>221</v>
      </c>
      <c r="D130" s="2" t="s">
        <v>71</v>
      </c>
      <c r="E130" s="9">
        <v>131.6</v>
      </c>
      <c r="F130" s="9">
        <v>11.96</v>
      </c>
    </row>
    <row r="131" spans="1:6" x14ac:dyDescent="0.2">
      <c r="A131" s="2" t="s">
        <v>217</v>
      </c>
      <c r="B131" s="2" t="s">
        <v>67</v>
      </c>
      <c r="C131" s="2" t="s">
        <v>222</v>
      </c>
      <c r="D131" s="2" t="s">
        <v>71</v>
      </c>
      <c r="E131" s="9">
        <v>132</v>
      </c>
      <c r="F131" s="9">
        <v>12</v>
      </c>
    </row>
    <row r="132" spans="1:6" x14ac:dyDescent="0.2">
      <c r="A132" s="2" t="s">
        <v>217</v>
      </c>
      <c r="B132" s="2" t="s">
        <v>67</v>
      </c>
      <c r="C132" s="2" t="s">
        <v>223</v>
      </c>
      <c r="D132" s="2" t="s">
        <v>71</v>
      </c>
      <c r="E132" s="9">
        <v>122.4</v>
      </c>
      <c r="F132" s="9">
        <v>11.13</v>
      </c>
    </row>
    <row r="133" spans="1:6" x14ac:dyDescent="0.2">
      <c r="A133" s="2" t="s">
        <v>224</v>
      </c>
      <c r="B133" s="2" t="s">
        <v>67</v>
      </c>
      <c r="C133" s="2" t="s">
        <v>225</v>
      </c>
      <c r="D133" s="2" t="s">
        <v>71</v>
      </c>
      <c r="E133" s="9">
        <v>247.89</v>
      </c>
      <c r="F133" s="9">
        <v>22.54</v>
      </c>
    </row>
    <row r="134" spans="1:6" x14ac:dyDescent="0.2">
      <c r="A134" s="2" t="s">
        <v>224</v>
      </c>
      <c r="B134" s="2" t="s">
        <v>67</v>
      </c>
      <c r="C134" s="2" t="s">
        <v>226</v>
      </c>
      <c r="D134" s="2" t="s">
        <v>71</v>
      </c>
      <c r="E134" s="9">
        <v>231</v>
      </c>
      <c r="F134" s="9">
        <v>21</v>
      </c>
    </row>
    <row r="135" spans="1:6" x14ac:dyDescent="0.2">
      <c r="A135" s="2" t="s">
        <v>224</v>
      </c>
      <c r="B135" s="2" t="s">
        <v>67</v>
      </c>
      <c r="C135" s="2" t="s">
        <v>227</v>
      </c>
      <c r="D135" s="2" t="s">
        <v>71</v>
      </c>
      <c r="E135" s="9">
        <v>63.25</v>
      </c>
      <c r="F135" s="9">
        <v>5.75</v>
      </c>
    </row>
    <row r="136" spans="1:6" x14ac:dyDescent="0.2">
      <c r="A136" s="2" t="s">
        <v>224</v>
      </c>
      <c r="B136" s="2" t="s">
        <v>67</v>
      </c>
      <c r="C136" s="2" t="s">
        <v>228</v>
      </c>
      <c r="D136" s="2" t="s">
        <v>71</v>
      </c>
      <c r="E136" s="9">
        <v>90.88</v>
      </c>
      <c r="F136" s="9">
        <v>8.26</v>
      </c>
    </row>
    <row r="137" spans="1:6" x14ac:dyDescent="0.2">
      <c r="A137" s="2" t="s">
        <v>224</v>
      </c>
      <c r="B137" s="2" t="s">
        <v>67</v>
      </c>
      <c r="C137" s="2" t="s">
        <v>229</v>
      </c>
      <c r="D137" s="2" t="s">
        <v>71</v>
      </c>
      <c r="E137" s="9">
        <v>59.2</v>
      </c>
      <c r="F137" s="9">
        <v>5.38</v>
      </c>
    </row>
    <row r="138" spans="1:6" x14ac:dyDescent="0.2">
      <c r="A138" s="2" t="s">
        <v>230</v>
      </c>
      <c r="B138" s="2" t="s">
        <v>73</v>
      </c>
      <c r="C138" s="2" t="s">
        <v>231</v>
      </c>
      <c r="D138" s="2" t="s">
        <v>75</v>
      </c>
      <c r="E138" s="9">
        <v>14867.59</v>
      </c>
      <c r="F138" s="9">
        <v>1351.6</v>
      </c>
    </row>
    <row r="139" spans="1:6" x14ac:dyDescent="0.2">
      <c r="A139" s="2" t="s">
        <v>230</v>
      </c>
      <c r="B139" s="2" t="s">
        <v>73</v>
      </c>
      <c r="C139" s="2" t="s">
        <v>231</v>
      </c>
      <c r="D139" s="2" t="s">
        <v>75</v>
      </c>
      <c r="E139" s="9">
        <v>-377.3</v>
      </c>
      <c r="F139" s="9">
        <v>-34.299999999999997</v>
      </c>
    </row>
    <row r="140" spans="1:6" x14ac:dyDescent="0.2">
      <c r="A140" s="2" t="s">
        <v>230</v>
      </c>
      <c r="B140" s="2" t="s">
        <v>67</v>
      </c>
      <c r="C140" s="2" t="s">
        <v>232</v>
      </c>
      <c r="D140" s="2" t="s">
        <v>71</v>
      </c>
      <c r="E140" s="9">
        <v>59</v>
      </c>
      <c r="F140" s="9">
        <v>5.36</v>
      </c>
    </row>
    <row r="141" spans="1:6" x14ac:dyDescent="0.2">
      <c r="A141" s="2" t="s">
        <v>230</v>
      </c>
      <c r="B141" s="2" t="s">
        <v>67</v>
      </c>
      <c r="C141" s="2" t="s">
        <v>233</v>
      </c>
      <c r="D141" s="2" t="s">
        <v>71</v>
      </c>
      <c r="E141" s="9">
        <v>74</v>
      </c>
      <c r="F141" s="9">
        <v>6.73</v>
      </c>
    </row>
    <row r="142" spans="1:6" x14ac:dyDescent="0.2">
      <c r="A142" s="2" t="s">
        <v>230</v>
      </c>
      <c r="B142" s="2" t="s">
        <v>67</v>
      </c>
      <c r="C142" s="2" t="s">
        <v>234</v>
      </c>
      <c r="D142" s="2" t="s">
        <v>71</v>
      </c>
      <c r="E142" s="9">
        <v>165</v>
      </c>
      <c r="F142" s="9">
        <v>15</v>
      </c>
    </row>
    <row r="143" spans="1:6" x14ac:dyDescent="0.2">
      <c r="A143" s="2" t="s">
        <v>230</v>
      </c>
      <c r="B143" s="2" t="s">
        <v>67</v>
      </c>
      <c r="C143" s="2" t="s">
        <v>235</v>
      </c>
      <c r="D143" s="2" t="s">
        <v>71</v>
      </c>
      <c r="E143" s="9">
        <v>68</v>
      </c>
      <c r="F143" s="9">
        <v>6.18</v>
      </c>
    </row>
    <row r="144" spans="1:6" x14ac:dyDescent="0.2">
      <c r="A144" s="2" t="s">
        <v>230</v>
      </c>
      <c r="B144" s="2" t="s">
        <v>67</v>
      </c>
      <c r="C144" s="2" t="s">
        <v>236</v>
      </c>
      <c r="D144" s="2" t="s">
        <v>71</v>
      </c>
      <c r="E144" s="9">
        <v>135.1</v>
      </c>
      <c r="F144" s="9">
        <v>12.28</v>
      </c>
    </row>
    <row r="145" spans="1:6" x14ac:dyDescent="0.2">
      <c r="A145" s="2" t="s">
        <v>230</v>
      </c>
      <c r="B145" s="2" t="s">
        <v>67</v>
      </c>
      <c r="C145" s="2" t="s">
        <v>237</v>
      </c>
      <c r="D145" s="2" t="s">
        <v>71</v>
      </c>
      <c r="E145" s="9">
        <v>79.400000000000006</v>
      </c>
      <c r="F145" s="9">
        <v>7.22</v>
      </c>
    </row>
    <row r="146" spans="1:6" x14ac:dyDescent="0.2">
      <c r="A146" s="2" t="s">
        <v>230</v>
      </c>
      <c r="B146" s="2" t="s">
        <v>67</v>
      </c>
      <c r="C146" s="2" t="s">
        <v>238</v>
      </c>
      <c r="D146" s="2" t="s">
        <v>161</v>
      </c>
      <c r="E146" s="9">
        <v>175.39</v>
      </c>
      <c r="F146" s="9">
        <v>15.94</v>
      </c>
    </row>
    <row r="147" spans="1:6" x14ac:dyDescent="0.2">
      <c r="A147" s="2" t="s">
        <v>230</v>
      </c>
      <c r="B147" s="2" t="s">
        <v>67</v>
      </c>
      <c r="C147" s="2" t="s">
        <v>239</v>
      </c>
      <c r="D147" s="2" t="s">
        <v>69</v>
      </c>
      <c r="E147" s="9">
        <v>24789.83</v>
      </c>
      <c r="F147" s="9">
        <v>2253.62</v>
      </c>
    </row>
    <row r="148" spans="1:6" x14ac:dyDescent="0.2">
      <c r="A148" s="2" t="s">
        <v>240</v>
      </c>
      <c r="B148" s="2" t="s">
        <v>67</v>
      </c>
      <c r="C148" s="2" t="s">
        <v>241</v>
      </c>
      <c r="D148" s="2" t="s">
        <v>161</v>
      </c>
      <c r="E148" s="9">
        <v>50.06</v>
      </c>
      <c r="F148" s="9">
        <v>4.55</v>
      </c>
    </row>
    <row r="149" spans="1:6" x14ac:dyDescent="0.2">
      <c r="A149" s="2" t="s">
        <v>240</v>
      </c>
      <c r="B149" s="2" t="s">
        <v>67</v>
      </c>
      <c r="C149" s="2" t="s">
        <v>242</v>
      </c>
      <c r="D149" s="2" t="s">
        <v>71</v>
      </c>
      <c r="E149" s="9">
        <v>38</v>
      </c>
      <c r="F149" s="9">
        <v>3.45</v>
      </c>
    </row>
    <row r="150" spans="1:6" x14ac:dyDescent="0.2">
      <c r="A150" s="2" t="s">
        <v>240</v>
      </c>
      <c r="B150" s="2" t="s">
        <v>67</v>
      </c>
      <c r="C150" s="2" t="s">
        <v>243</v>
      </c>
      <c r="D150" s="2" t="s">
        <v>71</v>
      </c>
      <c r="E150" s="9">
        <v>63</v>
      </c>
      <c r="F150" s="9">
        <v>5.73</v>
      </c>
    </row>
    <row r="151" spans="1:6" x14ac:dyDescent="0.2">
      <c r="A151" s="2" t="s">
        <v>240</v>
      </c>
      <c r="B151" s="2" t="s">
        <v>67</v>
      </c>
      <c r="C151" s="2" t="s">
        <v>244</v>
      </c>
      <c r="D151" s="2" t="s">
        <v>71</v>
      </c>
      <c r="E151" s="9">
        <v>52.2</v>
      </c>
      <c r="F151" s="9">
        <v>4.75</v>
      </c>
    </row>
    <row r="152" spans="1:6" x14ac:dyDescent="0.2">
      <c r="A152" s="2" t="s">
        <v>240</v>
      </c>
      <c r="B152" s="2" t="s">
        <v>67</v>
      </c>
      <c r="C152" s="2" t="s">
        <v>245</v>
      </c>
      <c r="D152" s="2" t="s">
        <v>71</v>
      </c>
      <c r="E152" s="9">
        <v>67.5</v>
      </c>
      <c r="F152" s="9">
        <v>6.14</v>
      </c>
    </row>
    <row r="153" spans="1:6" x14ac:dyDescent="0.2">
      <c r="A153" s="2" t="s">
        <v>240</v>
      </c>
      <c r="B153" s="2" t="s">
        <v>67</v>
      </c>
      <c r="C153" s="2" t="s">
        <v>246</v>
      </c>
      <c r="D153" s="2" t="s">
        <v>71</v>
      </c>
      <c r="E153" s="9">
        <v>73</v>
      </c>
      <c r="F153" s="9">
        <v>6.64</v>
      </c>
    </row>
    <row r="154" spans="1:6" x14ac:dyDescent="0.2">
      <c r="A154" s="2" t="s">
        <v>240</v>
      </c>
      <c r="B154" s="2" t="s">
        <v>67</v>
      </c>
      <c r="C154" s="2" t="s">
        <v>247</v>
      </c>
      <c r="D154" s="2" t="s">
        <v>248</v>
      </c>
      <c r="E154" s="9">
        <v>-386.16</v>
      </c>
      <c r="F154" s="9">
        <v>-35.11</v>
      </c>
    </row>
    <row r="155" spans="1:6" x14ac:dyDescent="0.2">
      <c r="A155" s="2" t="s">
        <v>240</v>
      </c>
      <c r="B155" s="2" t="s">
        <v>67</v>
      </c>
      <c r="C155" s="2" t="s">
        <v>247</v>
      </c>
      <c r="D155" s="2" t="s">
        <v>249</v>
      </c>
      <c r="E155" s="9">
        <v>-38.43</v>
      </c>
      <c r="F155" s="9">
        <v>-3.49</v>
      </c>
    </row>
    <row r="157" spans="1:6" x14ac:dyDescent="0.2">
      <c r="A157" s="4" t="s">
        <v>251</v>
      </c>
    </row>
    <row r="158" spans="1:6" x14ac:dyDescent="0.2">
      <c r="A158" s="2" t="s">
        <v>197</v>
      </c>
      <c r="B158" s="2" t="s">
        <v>199</v>
      </c>
      <c r="C158" s="2" t="s">
        <v>252</v>
      </c>
      <c r="D158" s="2" t="s">
        <v>201</v>
      </c>
      <c r="E158" s="9">
        <v>86284.800000000003</v>
      </c>
      <c r="F158" s="9">
        <v>0</v>
      </c>
    </row>
    <row r="159" spans="1:6" x14ac:dyDescent="0.2">
      <c r="A159" s="2" t="s">
        <v>240</v>
      </c>
      <c r="B159" s="2" t="s">
        <v>253</v>
      </c>
      <c r="C159" s="2" t="s">
        <v>254</v>
      </c>
      <c r="D159" s="2" t="s">
        <v>255</v>
      </c>
      <c r="E159" s="9">
        <v>86689.54</v>
      </c>
      <c r="F159" s="9">
        <v>0</v>
      </c>
    </row>
    <row r="160" spans="1:6" x14ac:dyDescent="0.2">
      <c r="A160" s="2" t="s">
        <v>240</v>
      </c>
      <c r="B160" s="2" t="s">
        <v>256</v>
      </c>
      <c r="C160" s="2" t="s">
        <v>247</v>
      </c>
      <c r="D160" s="2" t="s">
        <v>257</v>
      </c>
      <c r="E160" s="9">
        <v>201.16</v>
      </c>
      <c r="F160" s="9">
        <v>0</v>
      </c>
    </row>
    <row r="161" spans="1:6" x14ac:dyDescent="0.2">
      <c r="A161" s="13" t="s">
        <v>240</v>
      </c>
      <c r="B161" s="13" t="s">
        <v>258</v>
      </c>
      <c r="C161" s="13" t="s">
        <v>247</v>
      </c>
      <c r="D161" s="13" t="s">
        <v>259</v>
      </c>
      <c r="E161" s="14">
        <v>185</v>
      </c>
      <c r="F161" s="14">
        <v>0</v>
      </c>
    </row>
    <row r="163" spans="1:6" x14ac:dyDescent="0.2">
      <c r="A163" s="12" t="s">
        <v>406</v>
      </c>
      <c r="B163" s="10"/>
      <c r="C163" s="10"/>
      <c r="D163" s="10"/>
      <c r="E163" s="10"/>
      <c r="F163" s="11">
        <v>14514.25</v>
      </c>
    </row>
    <row r="164" spans="1:6" x14ac:dyDescent="0.2">
      <c r="A164" s="4" t="s">
        <v>65</v>
      </c>
    </row>
    <row r="165" spans="1:6" x14ac:dyDescent="0.2">
      <c r="A165" s="2" t="s">
        <v>66</v>
      </c>
      <c r="B165" s="2" t="s">
        <v>67</v>
      </c>
      <c r="C165" s="2" t="s">
        <v>68</v>
      </c>
      <c r="D165" s="2" t="s">
        <v>69</v>
      </c>
      <c r="E165" s="9">
        <v>23326.639999999999</v>
      </c>
      <c r="F165" s="9">
        <v>2120.6</v>
      </c>
    </row>
    <row r="166" spans="1:6" x14ac:dyDescent="0.2">
      <c r="A166" s="2" t="s">
        <v>66</v>
      </c>
      <c r="B166" s="2" t="s">
        <v>67</v>
      </c>
      <c r="C166" s="2" t="s">
        <v>70</v>
      </c>
      <c r="D166" s="2" t="s">
        <v>71</v>
      </c>
      <c r="E166" s="9">
        <v>59</v>
      </c>
      <c r="F166" s="9">
        <v>5.36</v>
      </c>
    </row>
    <row r="167" spans="1:6" x14ac:dyDescent="0.2">
      <c r="A167" s="2" t="s">
        <v>66</v>
      </c>
      <c r="B167" s="2" t="s">
        <v>67</v>
      </c>
      <c r="C167" s="2" t="s">
        <v>72</v>
      </c>
      <c r="D167" s="2" t="s">
        <v>71</v>
      </c>
      <c r="E167" s="9">
        <v>33.5</v>
      </c>
      <c r="F167" s="9">
        <v>3.05</v>
      </c>
    </row>
    <row r="168" spans="1:6" x14ac:dyDescent="0.2">
      <c r="A168" s="2" t="s">
        <v>66</v>
      </c>
      <c r="B168" s="2" t="s">
        <v>73</v>
      </c>
      <c r="C168" s="2" t="s">
        <v>74</v>
      </c>
      <c r="D168" s="2" t="s">
        <v>75</v>
      </c>
      <c r="E168" s="9">
        <v>8568.8799999999992</v>
      </c>
      <c r="F168" s="9">
        <v>778.99</v>
      </c>
    </row>
    <row r="169" spans="1:6" x14ac:dyDescent="0.2">
      <c r="A169" s="2" t="s">
        <v>66</v>
      </c>
      <c r="B169" s="2" t="s">
        <v>73</v>
      </c>
      <c r="C169" s="2" t="s">
        <v>74</v>
      </c>
      <c r="D169" s="2" t="s">
        <v>75</v>
      </c>
      <c r="E169" s="9">
        <v>-253.5</v>
      </c>
      <c r="F169" s="9">
        <v>-23.05</v>
      </c>
    </row>
    <row r="170" spans="1:6" x14ac:dyDescent="0.2">
      <c r="A170" s="2" t="s">
        <v>76</v>
      </c>
      <c r="B170" s="2" t="s">
        <v>67</v>
      </c>
      <c r="C170" s="2" t="s">
        <v>77</v>
      </c>
      <c r="D170" s="2" t="s">
        <v>71</v>
      </c>
      <c r="E170" s="9">
        <v>130</v>
      </c>
      <c r="F170" s="9">
        <v>11.82</v>
      </c>
    </row>
    <row r="171" spans="1:6" x14ac:dyDescent="0.2">
      <c r="A171" s="2" t="s">
        <v>76</v>
      </c>
      <c r="B171" s="2" t="s">
        <v>67</v>
      </c>
      <c r="C171" s="2" t="s">
        <v>78</v>
      </c>
      <c r="D171" s="2" t="s">
        <v>71</v>
      </c>
      <c r="E171" s="9">
        <v>86.2</v>
      </c>
      <c r="F171" s="9">
        <v>7.84</v>
      </c>
    </row>
    <row r="172" spans="1:6" x14ac:dyDescent="0.2">
      <c r="A172" s="2" t="s">
        <v>76</v>
      </c>
      <c r="B172" s="2" t="s">
        <v>67</v>
      </c>
      <c r="C172" s="2" t="s">
        <v>79</v>
      </c>
      <c r="D172" s="2" t="s">
        <v>71</v>
      </c>
      <c r="E172" s="9">
        <v>33.6</v>
      </c>
      <c r="F172" s="9">
        <v>3.05</v>
      </c>
    </row>
    <row r="173" spans="1:6" x14ac:dyDescent="0.2">
      <c r="A173" s="2" t="s">
        <v>76</v>
      </c>
      <c r="B173" s="2" t="s">
        <v>67</v>
      </c>
      <c r="C173" s="2" t="s">
        <v>80</v>
      </c>
      <c r="D173" s="2" t="s">
        <v>71</v>
      </c>
      <c r="E173" s="9">
        <v>56.2</v>
      </c>
      <c r="F173" s="9">
        <v>5.1100000000000003</v>
      </c>
    </row>
    <row r="174" spans="1:6" x14ac:dyDescent="0.2">
      <c r="A174" s="2" t="s">
        <v>81</v>
      </c>
      <c r="B174" s="2" t="s">
        <v>67</v>
      </c>
      <c r="C174" s="2" t="s">
        <v>82</v>
      </c>
      <c r="D174" s="2" t="s">
        <v>71</v>
      </c>
      <c r="E174" s="9">
        <v>179.01</v>
      </c>
      <c r="F174" s="9">
        <v>16.27</v>
      </c>
    </row>
    <row r="175" spans="1:6" x14ac:dyDescent="0.2">
      <c r="A175" s="2" t="s">
        <v>81</v>
      </c>
      <c r="B175" s="2" t="s">
        <v>67</v>
      </c>
      <c r="C175" s="2" t="s">
        <v>83</v>
      </c>
      <c r="D175" s="2" t="s">
        <v>71</v>
      </c>
      <c r="E175" s="9">
        <v>64.099999999999994</v>
      </c>
      <c r="F175" s="9">
        <v>5.83</v>
      </c>
    </row>
    <row r="176" spans="1:6" x14ac:dyDescent="0.2">
      <c r="A176" s="2" t="s">
        <v>81</v>
      </c>
      <c r="B176" s="2" t="s">
        <v>67</v>
      </c>
      <c r="C176" s="2" t="s">
        <v>84</v>
      </c>
      <c r="D176" s="2" t="s">
        <v>71</v>
      </c>
      <c r="E176" s="9">
        <v>33.5</v>
      </c>
      <c r="F176" s="9">
        <v>3.05</v>
      </c>
    </row>
    <row r="177" spans="1:6" x14ac:dyDescent="0.2">
      <c r="A177" s="2" t="s">
        <v>81</v>
      </c>
      <c r="B177" s="2" t="s">
        <v>67</v>
      </c>
      <c r="C177" s="2" t="s">
        <v>85</v>
      </c>
      <c r="D177" s="2" t="s">
        <v>71</v>
      </c>
      <c r="E177" s="9">
        <v>73</v>
      </c>
      <c r="F177" s="9">
        <v>6.64</v>
      </c>
    </row>
    <row r="178" spans="1:6" x14ac:dyDescent="0.2">
      <c r="A178" s="2" t="s">
        <v>86</v>
      </c>
      <c r="B178" s="2" t="s">
        <v>67</v>
      </c>
      <c r="C178" s="2" t="s">
        <v>87</v>
      </c>
      <c r="D178" s="2" t="s">
        <v>71</v>
      </c>
      <c r="E178" s="9">
        <v>240</v>
      </c>
      <c r="F178" s="9">
        <v>21.82</v>
      </c>
    </row>
    <row r="179" spans="1:6" x14ac:dyDescent="0.2">
      <c r="A179" s="2" t="s">
        <v>86</v>
      </c>
      <c r="B179" s="2" t="s">
        <v>67</v>
      </c>
      <c r="C179" s="2" t="s">
        <v>88</v>
      </c>
      <c r="D179" s="2" t="s">
        <v>71</v>
      </c>
      <c r="E179" s="9">
        <v>101.5</v>
      </c>
      <c r="F179" s="9">
        <v>9.23</v>
      </c>
    </row>
    <row r="180" spans="1:6" x14ac:dyDescent="0.2">
      <c r="A180" s="2" t="s">
        <v>86</v>
      </c>
      <c r="B180" s="2" t="s">
        <v>67</v>
      </c>
      <c r="C180" s="2" t="s">
        <v>89</v>
      </c>
      <c r="D180" s="2" t="s">
        <v>71</v>
      </c>
      <c r="E180" s="9">
        <v>130</v>
      </c>
      <c r="F180" s="9">
        <v>11.82</v>
      </c>
    </row>
    <row r="181" spans="1:6" x14ac:dyDescent="0.2">
      <c r="A181" s="2" t="s">
        <v>86</v>
      </c>
      <c r="B181" s="2" t="s">
        <v>67</v>
      </c>
      <c r="C181" s="2" t="s">
        <v>90</v>
      </c>
      <c r="D181" s="2" t="s">
        <v>71</v>
      </c>
      <c r="E181" s="9">
        <v>168.7</v>
      </c>
      <c r="F181" s="9">
        <v>15.34</v>
      </c>
    </row>
    <row r="182" spans="1:6" x14ac:dyDescent="0.2">
      <c r="A182" s="2" t="s">
        <v>91</v>
      </c>
      <c r="B182" s="2" t="s">
        <v>67</v>
      </c>
      <c r="C182" s="2" t="s">
        <v>92</v>
      </c>
      <c r="D182" s="2" t="s">
        <v>71</v>
      </c>
      <c r="E182" s="9">
        <v>154.97999999999999</v>
      </c>
      <c r="F182" s="9">
        <v>14.09</v>
      </c>
    </row>
    <row r="183" spans="1:6" x14ac:dyDescent="0.2">
      <c r="A183" s="2" t="s">
        <v>91</v>
      </c>
      <c r="B183" s="2" t="s">
        <v>67</v>
      </c>
      <c r="C183" s="2" t="s">
        <v>93</v>
      </c>
      <c r="D183" s="2" t="s">
        <v>71</v>
      </c>
      <c r="E183" s="9">
        <v>80</v>
      </c>
      <c r="F183" s="9">
        <v>7.27</v>
      </c>
    </row>
    <row r="184" spans="1:6" x14ac:dyDescent="0.2">
      <c r="A184" s="2" t="s">
        <v>91</v>
      </c>
      <c r="B184" s="2" t="s">
        <v>67</v>
      </c>
      <c r="C184" s="2" t="s">
        <v>94</v>
      </c>
      <c r="D184" s="2" t="s">
        <v>71</v>
      </c>
      <c r="E184" s="9">
        <v>60</v>
      </c>
      <c r="F184" s="9">
        <v>5.45</v>
      </c>
    </row>
    <row r="185" spans="1:6" x14ac:dyDescent="0.2">
      <c r="A185" s="2" t="s">
        <v>91</v>
      </c>
      <c r="B185" s="2" t="s">
        <v>67</v>
      </c>
      <c r="C185" s="2" t="s">
        <v>95</v>
      </c>
      <c r="D185" s="2" t="s">
        <v>71</v>
      </c>
      <c r="E185" s="9">
        <v>69</v>
      </c>
      <c r="F185" s="9">
        <v>6.27</v>
      </c>
    </row>
    <row r="186" spans="1:6" x14ac:dyDescent="0.2">
      <c r="A186" s="2" t="s">
        <v>91</v>
      </c>
      <c r="B186" s="2" t="s">
        <v>67</v>
      </c>
      <c r="C186" s="2" t="s">
        <v>96</v>
      </c>
      <c r="D186" s="2" t="s">
        <v>71</v>
      </c>
      <c r="E186" s="9">
        <v>132.26</v>
      </c>
      <c r="F186" s="9">
        <v>12.02</v>
      </c>
    </row>
    <row r="187" spans="1:6" x14ac:dyDescent="0.2">
      <c r="A187" s="2" t="s">
        <v>97</v>
      </c>
      <c r="B187" s="2" t="s">
        <v>67</v>
      </c>
      <c r="C187" s="2" t="s">
        <v>98</v>
      </c>
      <c r="D187" s="2" t="s">
        <v>71</v>
      </c>
      <c r="E187" s="9">
        <v>54.75</v>
      </c>
      <c r="F187" s="9">
        <v>4.9800000000000004</v>
      </c>
    </row>
    <row r="188" spans="1:6" x14ac:dyDescent="0.2">
      <c r="A188" s="2" t="s">
        <v>99</v>
      </c>
      <c r="B188" s="2" t="s">
        <v>67</v>
      </c>
      <c r="C188" s="2" t="s">
        <v>100</v>
      </c>
      <c r="D188" s="2" t="s">
        <v>71</v>
      </c>
      <c r="E188" s="9">
        <v>165</v>
      </c>
      <c r="F188" s="9">
        <v>15</v>
      </c>
    </row>
    <row r="189" spans="1:6" x14ac:dyDescent="0.2">
      <c r="A189" s="2" t="s">
        <v>99</v>
      </c>
      <c r="B189" s="2" t="s">
        <v>67</v>
      </c>
      <c r="C189" s="2" t="s">
        <v>101</v>
      </c>
      <c r="D189" s="2" t="s">
        <v>71</v>
      </c>
      <c r="E189" s="9">
        <v>70.98</v>
      </c>
      <c r="F189" s="9">
        <v>6.45</v>
      </c>
    </row>
    <row r="190" spans="1:6" x14ac:dyDescent="0.2">
      <c r="A190" s="2" t="s">
        <v>99</v>
      </c>
      <c r="B190" s="2" t="s">
        <v>67</v>
      </c>
      <c r="C190" s="2" t="s">
        <v>102</v>
      </c>
      <c r="D190" s="2" t="s">
        <v>71</v>
      </c>
      <c r="E190" s="9">
        <v>68</v>
      </c>
      <c r="F190" s="9">
        <v>6.18</v>
      </c>
    </row>
    <row r="191" spans="1:6" x14ac:dyDescent="0.2">
      <c r="A191" s="2" t="s">
        <v>103</v>
      </c>
      <c r="B191" s="2" t="s">
        <v>67</v>
      </c>
      <c r="C191" s="2" t="s">
        <v>104</v>
      </c>
      <c r="D191" s="2" t="s">
        <v>71</v>
      </c>
      <c r="E191" s="9">
        <v>38</v>
      </c>
      <c r="F191" s="9">
        <v>3.45</v>
      </c>
    </row>
    <row r="192" spans="1:6" x14ac:dyDescent="0.2">
      <c r="A192" s="2" t="s">
        <v>103</v>
      </c>
      <c r="B192" s="2" t="s">
        <v>67</v>
      </c>
      <c r="C192" s="2" t="s">
        <v>105</v>
      </c>
      <c r="D192" s="2" t="s">
        <v>71</v>
      </c>
      <c r="E192" s="9">
        <v>144.5</v>
      </c>
      <c r="F192" s="9">
        <v>13.14</v>
      </c>
    </row>
    <row r="193" spans="1:6" x14ac:dyDescent="0.2">
      <c r="A193" s="2" t="s">
        <v>106</v>
      </c>
      <c r="B193" s="2" t="s">
        <v>67</v>
      </c>
      <c r="C193" s="2" t="s">
        <v>107</v>
      </c>
      <c r="D193" s="2" t="s">
        <v>71</v>
      </c>
      <c r="E193" s="9">
        <v>68</v>
      </c>
      <c r="F193" s="9">
        <v>6.18</v>
      </c>
    </row>
    <row r="194" spans="1:6" x14ac:dyDescent="0.2">
      <c r="A194" s="2" t="s">
        <v>106</v>
      </c>
      <c r="B194" s="2" t="s">
        <v>67</v>
      </c>
      <c r="C194" s="2" t="s">
        <v>108</v>
      </c>
      <c r="D194" s="2" t="s">
        <v>71</v>
      </c>
      <c r="E194" s="9">
        <v>136</v>
      </c>
      <c r="F194" s="9">
        <v>12.36</v>
      </c>
    </row>
    <row r="195" spans="1:6" x14ac:dyDescent="0.2">
      <c r="A195" s="2" t="s">
        <v>106</v>
      </c>
      <c r="B195" s="2" t="s">
        <v>67</v>
      </c>
      <c r="C195" s="2" t="s">
        <v>109</v>
      </c>
      <c r="D195" s="2" t="s">
        <v>69</v>
      </c>
      <c r="E195" s="9">
        <v>19984.61</v>
      </c>
      <c r="F195" s="9">
        <v>1816.78</v>
      </c>
    </row>
    <row r="196" spans="1:6" x14ac:dyDescent="0.2">
      <c r="A196" s="2" t="s">
        <v>106</v>
      </c>
      <c r="B196" s="2" t="s">
        <v>67</v>
      </c>
      <c r="C196" s="2" t="s">
        <v>110</v>
      </c>
      <c r="D196" s="2" t="s">
        <v>71</v>
      </c>
      <c r="E196" s="9">
        <v>130.51</v>
      </c>
      <c r="F196" s="9">
        <v>11.86</v>
      </c>
    </row>
    <row r="197" spans="1:6" x14ac:dyDescent="0.2">
      <c r="A197" s="2" t="s">
        <v>106</v>
      </c>
      <c r="B197" s="2" t="s">
        <v>67</v>
      </c>
      <c r="C197" s="2" t="s">
        <v>111</v>
      </c>
      <c r="D197" s="2" t="s">
        <v>71</v>
      </c>
      <c r="E197" s="9">
        <v>110</v>
      </c>
      <c r="F197" s="9">
        <v>10</v>
      </c>
    </row>
    <row r="198" spans="1:6" x14ac:dyDescent="0.2">
      <c r="A198" s="2" t="s">
        <v>106</v>
      </c>
      <c r="B198" s="2" t="s">
        <v>67</v>
      </c>
      <c r="C198" s="2" t="s">
        <v>112</v>
      </c>
      <c r="D198" s="2" t="s">
        <v>71</v>
      </c>
      <c r="E198" s="9">
        <v>98</v>
      </c>
      <c r="F198" s="9">
        <v>8.91</v>
      </c>
    </row>
    <row r="199" spans="1:6" x14ac:dyDescent="0.2">
      <c r="A199" s="2" t="s">
        <v>113</v>
      </c>
      <c r="B199" s="2" t="s">
        <v>67</v>
      </c>
      <c r="C199" s="2" t="s">
        <v>114</v>
      </c>
      <c r="D199" s="2" t="s">
        <v>71</v>
      </c>
      <c r="E199" s="9">
        <v>110</v>
      </c>
      <c r="F199" s="9">
        <v>10</v>
      </c>
    </row>
    <row r="200" spans="1:6" x14ac:dyDescent="0.2">
      <c r="A200" s="2" t="s">
        <v>113</v>
      </c>
      <c r="B200" s="2" t="s">
        <v>67</v>
      </c>
      <c r="C200" s="2" t="s">
        <v>115</v>
      </c>
      <c r="D200" s="2" t="s">
        <v>71</v>
      </c>
      <c r="E200" s="9">
        <v>140.25</v>
      </c>
      <c r="F200" s="9">
        <v>12.75</v>
      </c>
    </row>
    <row r="201" spans="1:6" x14ac:dyDescent="0.2">
      <c r="A201" s="2" t="s">
        <v>113</v>
      </c>
      <c r="B201" s="2" t="s">
        <v>67</v>
      </c>
      <c r="C201" s="2" t="s">
        <v>116</v>
      </c>
      <c r="D201" s="2" t="s">
        <v>71</v>
      </c>
      <c r="E201" s="9">
        <v>180</v>
      </c>
      <c r="F201" s="9">
        <v>16.36</v>
      </c>
    </row>
    <row r="202" spans="1:6" x14ac:dyDescent="0.2">
      <c r="A202" s="2" t="s">
        <v>113</v>
      </c>
      <c r="B202" s="2" t="s">
        <v>67</v>
      </c>
      <c r="C202" s="2" t="s">
        <v>117</v>
      </c>
      <c r="D202" s="2" t="s">
        <v>71</v>
      </c>
      <c r="E202" s="9">
        <v>101.8</v>
      </c>
      <c r="F202" s="9">
        <v>9.25</v>
      </c>
    </row>
    <row r="203" spans="1:6" x14ac:dyDescent="0.2">
      <c r="A203" s="2" t="s">
        <v>113</v>
      </c>
      <c r="B203" s="2" t="s">
        <v>67</v>
      </c>
      <c r="C203" s="2" t="s">
        <v>118</v>
      </c>
      <c r="D203" s="2" t="s">
        <v>71</v>
      </c>
      <c r="E203" s="9">
        <v>157.5</v>
      </c>
      <c r="F203" s="9">
        <v>14.32</v>
      </c>
    </row>
    <row r="204" spans="1:6" x14ac:dyDescent="0.2">
      <c r="A204" s="2" t="s">
        <v>119</v>
      </c>
      <c r="B204" s="2" t="s">
        <v>67</v>
      </c>
      <c r="C204" s="2" t="s">
        <v>120</v>
      </c>
      <c r="D204" s="2" t="s">
        <v>71</v>
      </c>
      <c r="E204" s="9">
        <v>74.3</v>
      </c>
      <c r="F204" s="9">
        <v>6.75</v>
      </c>
    </row>
    <row r="205" spans="1:6" x14ac:dyDescent="0.2">
      <c r="A205" s="2" t="s">
        <v>121</v>
      </c>
      <c r="B205" s="2" t="s">
        <v>67</v>
      </c>
      <c r="C205" s="2" t="s">
        <v>122</v>
      </c>
      <c r="D205" s="2" t="s">
        <v>71</v>
      </c>
      <c r="E205" s="9">
        <v>81.95</v>
      </c>
      <c r="F205" s="9">
        <v>7.45</v>
      </c>
    </row>
    <row r="206" spans="1:6" x14ac:dyDescent="0.2">
      <c r="A206" s="2" t="s">
        <v>123</v>
      </c>
      <c r="B206" s="2" t="s">
        <v>67</v>
      </c>
      <c r="C206" s="2" t="s">
        <v>124</v>
      </c>
      <c r="D206" s="2" t="s">
        <v>71</v>
      </c>
      <c r="E206" s="9">
        <v>40</v>
      </c>
      <c r="F206" s="9">
        <v>3.64</v>
      </c>
    </row>
    <row r="207" spans="1:6" x14ac:dyDescent="0.2">
      <c r="A207" s="2" t="s">
        <v>123</v>
      </c>
      <c r="B207" s="2" t="s">
        <v>67</v>
      </c>
      <c r="C207" s="2" t="s">
        <v>125</v>
      </c>
      <c r="D207" s="2" t="s">
        <v>71</v>
      </c>
      <c r="E207" s="9">
        <v>132</v>
      </c>
      <c r="F207" s="9">
        <v>12</v>
      </c>
    </row>
    <row r="208" spans="1:6" x14ac:dyDescent="0.2">
      <c r="A208" s="2" t="s">
        <v>123</v>
      </c>
      <c r="B208" s="2" t="s">
        <v>67</v>
      </c>
      <c r="C208" s="2" t="s">
        <v>126</v>
      </c>
      <c r="D208" s="2" t="s">
        <v>71</v>
      </c>
      <c r="E208" s="9">
        <v>180</v>
      </c>
      <c r="F208" s="9">
        <v>16.36</v>
      </c>
    </row>
    <row r="209" spans="1:6" x14ac:dyDescent="0.2">
      <c r="A209" s="2" t="s">
        <v>123</v>
      </c>
      <c r="B209" s="2" t="s">
        <v>67</v>
      </c>
      <c r="C209" s="2" t="s">
        <v>127</v>
      </c>
      <c r="D209" s="2" t="s">
        <v>71</v>
      </c>
      <c r="E209" s="9">
        <v>334.9</v>
      </c>
      <c r="F209" s="9">
        <v>30.45</v>
      </c>
    </row>
    <row r="210" spans="1:6" x14ac:dyDescent="0.2">
      <c r="A210" s="2" t="s">
        <v>123</v>
      </c>
      <c r="B210" s="2" t="s">
        <v>67</v>
      </c>
      <c r="C210" s="2" t="s">
        <v>128</v>
      </c>
      <c r="D210" s="2" t="s">
        <v>71</v>
      </c>
      <c r="E210" s="9">
        <v>112.51</v>
      </c>
      <c r="F210" s="9">
        <v>10.23</v>
      </c>
    </row>
    <row r="211" spans="1:6" x14ac:dyDescent="0.2">
      <c r="A211" s="2" t="s">
        <v>129</v>
      </c>
      <c r="B211" s="2" t="s">
        <v>67</v>
      </c>
      <c r="C211" s="2" t="s">
        <v>130</v>
      </c>
      <c r="D211" s="2" t="s">
        <v>71</v>
      </c>
      <c r="E211" s="9">
        <v>35.200000000000003</v>
      </c>
      <c r="F211" s="9">
        <v>3.2</v>
      </c>
    </row>
    <row r="212" spans="1:6" x14ac:dyDescent="0.2">
      <c r="A212" s="2" t="s">
        <v>129</v>
      </c>
      <c r="B212" s="2" t="s">
        <v>67</v>
      </c>
      <c r="C212" s="2" t="s">
        <v>131</v>
      </c>
      <c r="D212" s="2" t="s">
        <v>71</v>
      </c>
      <c r="E212" s="9">
        <v>68</v>
      </c>
      <c r="F212" s="9">
        <v>6.18</v>
      </c>
    </row>
    <row r="213" spans="1:6" x14ac:dyDescent="0.2">
      <c r="A213" s="2" t="s">
        <v>129</v>
      </c>
      <c r="B213" s="2" t="s">
        <v>67</v>
      </c>
      <c r="C213" s="2" t="s">
        <v>132</v>
      </c>
      <c r="D213" s="2" t="s">
        <v>71</v>
      </c>
      <c r="E213" s="9">
        <v>84.5</v>
      </c>
      <c r="F213" s="9">
        <v>7.68</v>
      </c>
    </row>
    <row r="214" spans="1:6" x14ac:dyDescent="0.2">
      <c r="A214" s="2" t="s">
        <v>129</v>
      </c>
      <c r="B214" s="2" t="s">
        <v>67</v>
      </c>
      <c r="C214" s="2" t="s">
        <v>133</v>
      </c>
      <c r="D214" s="2" t="s">
        <v>71</v>
      </c>
      <c r="E214" s="9">
        <v>194</v>
      </c>
      <c r="F214" s="9">
        <v>17.64</v>
      </c>
    </row>
    <row r="215" spans="1:6" x14ac:dyDescent="0.2">
      <c r="A215" s="2" t="s">
        <v>129</v>
      </c>
      <c r="B215" s="2" t="s">
        <v>67</v>
      </c>
      <c r="C215" s="2" t="s">
        <v>134</v>
      </c>
      <c r="D215" s="2" t="s">
        <v>71</v>
      </c>
      <c r="E215" s="9">
        <v>165</v>
      </c>
      <c r="F215" s="9">
        <v>15</v>
      </c>
    </row>
    <row r="216" spans="1:6" x14ac:dyDescent="0.2">
      <c r="A216" s="2" t="s">
        <v>129</v>
      </c>
      <c r="B216" s="2" t="s">
        <v>67</v>
      </c>
      <c r="C216" s="2" t="s">
        <v>135</v>
      </c>
      <c r="D216" s="2" t="s">
        <v>71</v>
      </c>
      <c r="E216" s="9">
        <v>122.4</v>
      </c>
      <c r="F216" s="9">
        <v>11.13</v>
      </c>
    </row>
    <row r="217" spans="1:6" x14ac:dyDescent="0.2">
      <c r="A217" s="2" t="s">
        <v>129</v>
      </c>
      <c r="B217" s="2" t="s">
        <v>67</v>
      </c>
      <c r="C217" s="2" t="s">
        <v>136</v>
      </c>
      <c r="D217" s="2" t="s">
        <v>71</v>
      </c>
      <c r="E217" s="9">
        <v>180</v>
      </c>
      <c r="F217" s="9">
        <v>16.36</v>
      </c>
    </row>
    <row r="218" spans="1:6" x14ac:dyDescent="0.2">
      <c r="A218" s="2" t="s">
        <v>137</v>
      </c>
      <c r="B218" s="2" t="s">
        <v>73</v>
      </c>
      <c r="C218" s="2" t="s">
        <v>138</v>
      </c>
      <c r="D218" s="2" t="s">
        <v>75</v>
      </c>
      <c r="E218" s="9">
        <v>11900.69</v>
      </c>
      <c r="F218" s="9">
        <v>1081.8800000000001</v>
      </c>
    </row>
    <row r="219" spans="1:6" x14ac:dyDescent="0.2">
      <c r="A219" s="2" t="s">
        <v>137</v>
      </c>
      <c r="B219" s="2" t="s">
        <v>73</v>
      </c>
      <c r="C219" s="2" t="s">
        <v>138</v>
      </c>
      <c r="D219" s="2" t="s">
        <v>75</v>
      </c>
      <c r="E219" s="9">
        <v>-295.52</v>
      </c>
      <c r="F219" s="9">
        <v>-26.87</v>
      </c>
    </row>
    <row r="220" spans="1:6" x14ac:dyDescent="0.2">
      <c r="A220" s="2" t="s">
        <v>137</v>
      </c>
      <c r="B220" s="2" t="s">
        <v>67</v>
      </c>
      <c r="C220" s="2" t="s">
        <v>139</v>
      </c>
      <c r="D220" s="2" t="s">
        <v>71</v>
      </c>
      <c r="E220" s="9">
        <v>89.6</v>
      </c>
      <c r="F220" s="9">
        <v>8.15</v>
      </c>
    </row>
    <row r="221" spans="1:6" x14ac:dyDescent="0.2">
      <c r="A221" s="2" t="s">
        <v>137</v>
      </c>
      <c r="B221" s="2" t="s">
        <v>67</v>
      </c>
      <c r="C221" s="2" t="s">
        <v>140</v>
      </c>
      <c r="D221" s="2" t="s">
        <v>71</v>
      </c>
      <c r="E221" s="9">
        <v>101.5</v>
      </c>
      <c r="F221" s="9">
        <v>9.23</v>
      </c>
    </row>
    <row r="222" spans="1:6" x14ac:dyDescent="0.2">
      <c r="A222" s="2" t="s">
        <v>137</v>
      </c>
      <c r="B222" s="2" t="s">
        <v>67</v>
      </c>
      <c r="C222" s="2" t="s">
        <v>141</v>
      </c>
      <c r="D222" s="2" t="s">
        <v>69</v>
      </c>
      <c r="E222" s="9">
        <v>20819.009999999998</v>
      </c>
      <c r="F222" s="9">
        <v>1892.64</v>
      </c>
    </row>
    <row r="223" spans="1:6" x14ac:dyDescent="0.2">
      <c r="A223" s="2" t="s">
        <v>142</v>
      </c>
      <c r="B223" s="2" t="s">
        <v>67</v>
      </c>
      <c r="C223" s="2" t="s">
        <v>143</v>
      </c>
      <c r="D223" s="2" t="s">
        <v>71</v>
      </c>
      <c r="E223" s="9">
        <v>81.099999999999994</v>
      </c>
      <c r="F223" s="9">
        <v>7.37</v>
      </c>
    </row>
    <row r="224" spans="1:6" x14ac:dyDescent="0.2">
      <c r="A224" s="2" t="s">
        <v>142</v>
      </c>
      <c r="B224" s="2" t="s">
        <v>67</v>
      </c>
      <c r="C224" s="2" t="s">
        <v>144</v>
      </c>
      <c r="D224" s="2" t="s">
        <v>71</v>
      </c>
      <c r="E224" s="9">
        <v>111</v>
      </c>
      <c r="F224" s="9">
        <v>10.09</v>
      </c>
    </row>
    <row r="225" spans="1:6" x14ac:dyDescent="0.2">
      <c r="A225" s="2" t="s">
        <v>142</v>
      </c>
      <c r="B225" s="2" t="s">
        <v>67</v>
      </c>
      <c r="C225" s="2" t="s">
        <v>145</v>
      </c>
      <c r="D225" s="2" t="s">
        <v>71</v>
      </c>
      <c r="E225" s="9">
        <v>121.4</v>
      </c>
      <c r="F225" s="9">
        <v>11.04</v>
      </c>
    </row>
    <row r="226" spans="1:6" x14ac:dyDescent="0.2">
      <c r="A226" s="2" t="s">
        <v>142</v>
      </c>
      <c r="B226" s="2" t="s">
        <v>67</v>
      </c>
      <c r="C226" s="2" t="s">
        <v>146</v>
      </c>
      <c r="D226" s="2" t="s">
        <v>71</v>
      </c>
      <c r="E226" s="9">
        <v>110</v>
      </c>
      <c r="F226" s="9">
        <v>10</v>
      </c>
    </row>
    <row r="227" spans="1:6" x14ac:dyDescent="0.2">
      <c r="A227" s="2" t="s">
        <v>142</v>
      </c>
      <c r="B227" s="2" t="s">
        <v>67</v>
      </c>
      <c r="C227" s="2" t="s">
        <v>147</v>
      </c>
      <c r="D227" s="2" t="s">
        <v>71</v>
      </c>
      <c r="E227" s="9">
        <v>130</v>
      </c>
      <c r="F227" s="9">
        <v>11.82</v>
      </c>
    </row>
    <row r="228" spans="1:6" x14ac:dyDescent="0.2">
      <c r="A228" s="2" t="s">
        <v>142</v>
      </c>
      <c r="B228" s="2" t="s">
        <v>67</v>
      </c>
      <c r="C228" s="2" t="s">
        <v>148</v>
      </c>
      <c r="D228" s="2" t="s">
        <v>71</v>
      </c>
      <c r="E228" s="9">
        <v>221.09</v>
      </c>
      <c r="F228" s="9">
        <v>20.100000000000001</v>
      </c>
    </row>
    <row r="229" spans="1:6" x14ac:dyDescent="0.2">
      <c r="A229" s="2" t="s">
        <v>149</v>
      </c>
      <c r="B229" s="2" t="s">
        <v>67</v>
      </c>
      <c r="C229" s="2" t="s">
        <v>150</v>
      </c>
      <c r="D229" s="2" t="s">
        <v>71</v>
      </c>
      <c r="E229" s="9">
        <v>89.6</v>
      </c>
      <c r="F229" s="9">
        <v>8.15</v>
      </c>
    </row>
    <row r="230" spans="1:6" x14ac:dyDescent="0.2">
      <c r="A230" s="2" t="s">
        <v>149</v>
      </c>
      <c r="B230" s="2" t="s">
        <v>67</v>
      </c>
      <c r="C230" s="2" t="s">
        <v>151</v>
      </c>
      <c r="D230" s="2" t="s">
        <v>71</v>
      </c>
      <c r="E230" s="9">
        <v>59</v>
      </c>
      <c r="F230" s="9">
        <v>5.36</v>
      </c>
    </row>
    <row r="231" spans="1:6" x14ac:dyDescent="0.2">
      <c r="A231" s="2" t="s">
        <v>149</v>
      </c>
      <c r="B231" s="2" t="s">
        <v>67</v>
      </c>
      <c r="C231" s="2" t="s">
        <v>152</v>
      </c>
      <c r="D231" s="2" t="s">
        <v>71</v>
      </c>
      <c r="E231" s="9">
        <v>128.35</v>
      </c>
      <c r="F231" s="9">
        <v>11.67</v>
      </c>
    </row>
    <row r="232" spans="1:6" x14ac:dyDescent="0.2">
      <c r="A232" s="2" t="s">
        <v>153</v>
      </c>
      <c r="B232" s="2" t="s">
        <v>67</v>
      </c>
      <c r="C232" s="2" t="s">
        <v>154</v>
      </c>
      <c r="D232" s="2" t="s">
        <v>71</v>
      </c>
      <c r="E232" s="9">
        <v>120.38</v>
      </c>
      <c r="F232" s="9">
        <v>10.94</v>
      </c>
    </row>
    <row r="233" spans="1:6" x14ac:dyDescent="0.2">
      <c r="A233" s="2" t="s">
        <v>153</v>
      </c>
      <c r="B233" s="2" t="s">
        <v>67</v>
      </c>
      <c r="C233" s="2" t="s">
        <v>155</v>
      </c>
      <c r="D233" s="2" t="s">
        <v>71</v>
      </c>
      <c r="E233" s="9">
        <v>74</v>
      </c>
      <c r="F233" s="9">
        <v>6.73</v>
      </c>
    </row>
    <row r="234" spans="1:6" x14ac:dyDescent="0.2">
      <c r="A234" s="2" t="s">
        <v>153</v>
      </c>
      <c r="B234" s="2" t="s">
        <v>67</v>
      </c>
      <c r="C234" s="2" t="s">
        <v>156</v>
      </c>
      <c r="D234" s="2" t="s">
        <v>71</v>
      </c>
      <c r="E234" s="9">
        <v>52.2</v>
      </c>
      <c r="F234" s="9">
        <v>4.75</v>
      </c>
    </row>
    <row r="235" spans="1:6" x14ac:dyDescent="0.2">
      <c r="A235" s="2" t="s">
        <v>153</v>
      </c>
      <c r="B235" s="2" t="s">
        <v>67</v>
      </c>
      <c r="C235" s="2" t="s">
        <v>157</v>
      </c>
      <c r="D235" s="2" t="s">
        <v>71</v>
      </c>
      <c r="E235" s="9">
        <v>125</v>
      </c>
      <c r="F235" s="9">
        <v>11.36</v>
      </c>
    </row>
    <row r="236" spans="1:6" x14ac:dyDescent="0.2">
      <c r="A236" s="2" t="s">
        <v>153</v>
      </c>
      <c r="B236" s="2" t="s">
        <v>67</v>
      </c>
      <c r="C236" s="2" t="s">
        <v>158</v>
      </c>
      <c r="D236" s="2" t="s">
        <v>71</v>
      </c>
      <c r="E236" s="9">
        <v>124.8</v>
      </c>
      <c r="F236" s="9">
        <v>11.35</v>
      </c>
    </row>
    <row r="237" spans="1:6" x14ac:dyDescent="0.2">
      <c r="A237" s="2" t="s">
        <v>153</v>
      </c>
      <c r="B237" s="2" t="s">
        <v>67</v>
      </c>
      <c r="C237" s="2" t="s">
        <v>159</v>
      </c>
      <c r="D237" s="2" t="s">
        <v>71</v>
      </c>
      <c r="E237" s="9">
        <v>148.75</v>
      </c>
      <c r="F237" s="9">
        <v>13.52</v>
      </c>
    </row>
    <row r="238" spans="1:6" x14ac:dyDescent="0.2">
      <c r="A238" s="2" t="s">
        <v>153</v>
      </c>
      <c r="B238" s="2" t="s">
        <v>67</v>
      </c>
      <c r="C238" s="2" t="s">
        <v>160</v>
      </c>
      <c r="D238" s="2" t="s">
        <v>161</v>
      </c>
      <c r="E238" s="9">
        <v>112.91</v>
      </c>
      <c r="F238" s="9">
        <v>10.26</v>
      </c>
    </row>
    <row r="239" spans="1:6" x14ac:dyDescent="0.2">
      <c r="A239" s="2" t="s">
        <v>162</v>
      </c>
      <c r="B239" s="2" t="s">
        <v>67</v>
      </c>
      <c r="C239" s="2" t="s">
        <v>163</v>
      </c>
      <c r="D239" s="2" t="s">
        <v>71</v>
      </c>
      <c r="E239" s="9">
        <v>79.400000000000006</v>
      </c>
      <c r="F239" s="9">
        <v>7.22</v>
      </c>
    </row>
    <row r="240" spans="1:6" x14ac:dyDescent="0.2">
      <c r="A240" s="2" t="s">
        <v>162</v>
      </c>
      <c r="B240" s="2" t="s">
        <v>67</v>
      </c>
      <c r="C240" s="2" t="s">
        <v>164</v>
      </c>
      <c r="D240" s="2" t="s">
        <v>71</v>
      </c>
      <c r="E240" s="9">
        <v>194</v>
      </c>
      <c r="F240" s="9">
        <v>17.64</v>
      </c>
    </row>
    <row r="241" spans="1:6" x14ac:dyDescent="0.2">
      <c r="A241" s="2" t="s">
        <v>162</v>
      </c>
      <c r="B241" s="2" t="s">
        <v>67</v>
      </c>
      <c r="C241" s="2" t="s">
        <v>165</v>
      </c>
      <c r="D241" s="2" t="s">
        <v>71</v>
      </c>
      <c r="E241" s="9">
        <v>144</v>
      </c>
      <c r="F241" s="9">
        <v>13.09</v>
      </c>
    </row>
    <row r="242" spans="1:6" x14ac:dyDescent="0.2">
      <c r="A242" s="2" t="s">
        <v>166</v>
      </c>
      <c r="B242" s="2" t="s">
        <v>67</v>
      </c>
      <c r="C242" s="2" t="s">
        <v>167</v>
      </c>
      <c r="D242" s="2" t="s">
        <v>71</v>
      </c>
      <c r="E242" s="9">
        <v>59</v>
      </c>
      <c r="F242" s="9">
        <v>5.36</v>
      </c>
    </row>
    <row r="243" spans="1:6" x14ac:dyDescent="0.2">
      <c r="A243" s="2" t="s">
        <v>166</v>
      </c>
      <c r="B243" s="2" t="s">
        <v>67</v>
      </c>
      <c r="C243" s="2" t="s">
        <v>168</v>
      </c>
      <c r="D243" s="2" t="s">
        <v>71</v>
      </c>
      <c r="E243" s="9">
        <v>63</v>
      </c>
      <c r="F243" s="9">
        <v>5.73</v>
      </c>
    </row>
    <row r="244" spans="1:6" x14ac:dyDescent="0.2">
      <c r="A244" s="2" t="s">
        <v>169</v>
      </c>
      <c r="B244" s="2" t="s">
        <v>67</v>
      </c>
      <c r="C244" s="2" t="s">
        <v>170</v>
      </c>
      <c r="D244" s="2" t="s">
        <v>71</v>
      </c>
      <c r="E244" s="9">
        <v>68</v>
      </c>
      <c r="F244" s="9">
        <v>6.18</v>
      </c>
    </row>
    <row r="245" spans="1:6" x14ac:dyDescent="0.2">
      <c r="A245" s="2" t="s">
        <v>169</v>
      </c>
      <c r="B245" s="2" t="s">
        <v>67</v>
      </c>
      <c r="C245" s="2" t="s">
        <v>171</v>
      </c>
      <c r="D245" s="2" t="s">
        <v>71</v>
      </c>
      <c r="E245" s="9">
        <v>44</v>
      </c>
      <c r="F245" s="9">
        <v>4</v>
      </c>
    </row>
    <row r="246" spans="1:6" x14ac:dyDescent="0.2">
      <c r="A246" s="2" t="s">
        <v>169</v>
      </c>
      <c r="B246" s="2" t="s">
        <v>67</v>
      </c>
      <c r="C246" s="2" t="s">
        <v>172</v>
      </c>
      <c r="D246" s="2" t="s">
        <v>71</v>
      </c>
      <c r="E246" s="9">
        <v>81</v>
      </c>
      <c r="F246" s="9">
        <v>7.36</v>
      </c>
    </row>
    <row r="247" spans="1:6" x14ac:dyDescent="0.2">
      <c r="A247" s="2" t="s">
        <v>169</v>
      </c>
      <c r="B247" s="2" t="s">
        <v>67</v>
      </c>
      <c r="C247" s="2" t="s">
        <v>173</v>
      </c>
      <c r="D247" s="2" t="s">
        <v>71</v>
      </c>
      <c r="E247" s="9">
        <v>101.93</v>
      </c>
      <c r="F247" s="9">
        <v>9.27</v>
      </c>
    </row>
    <row r="248" spans="1:6" x14ac:dyDescent="0.2">
      <c r="A248" s="2" t="s">
        <v>169</v>
      </c>
      <c r="B248" s="2" t="s">
        <v>67</v>
      </c>
      <c r="C248" s="2" t="s">
        <v>174</v>
      </c>
      <c r="D248" s="2" t="s">
        <v>71</v>
      </c>
      <c r="E248" s="9">
        <v>92</v>
      </c>
      <c r="F248" s="9">
        <v>8.36</v>
      </c>
    </row>
    <row r="249" spans="1:6" x14ac:dyDescent="0.2">
      <c r="A249" s="2" t="s">
        <v>169</v>
      </c>
      <c r="B249" s="2" t="s">
        <v>67</v>
      </c>
      <c r="C249" s="2" t="s">
        <v>175</v>
      </c>
      <c r="D249" s="2" t="s">
        <v>71</v>
      </c>
      <c r="E249" s="9">
        <v>136</v>
      </c>
      <c r="F249" s="9">
        <v>12.36</v>
      </c>
    </row>
    <row r="250" spans="1:6" x14ac:dyDescent="0.2">
      <c r="A250" s="2" t="s">
        <v>176</v>
      </c>
      <c r="B250" s="2" t="s">
        <v>67</v>
      </c>
      <c r="C250" s="2" t="s">
        <v>177</v>
      </c>
      <c r="D250" s="2" t="s">
        <v>71</v>
      </c>
      <c r="E250" s="9">
        <v>79</v>
      </c>
      <c r="F250" s="9">
        <v>7.18</v>
      </c>
    </row>
    <row r="251" spans="1:6" x14ac:dyDescent="0.2">
      <c r="A251" s="2" t="s">
        <v>176</v>
      </c>
      <c r="B251" s="2" t="s">
        <v>67</v>
      </c>
      <c r="C251" s="2" t="s">
        <v>178</v>
      </c>
      <c r="D251" s="2" t="s">
        <v>71</v>
      </c>
      <c r="E251" s="9">
        <v>137.69999999999999</v>
      </c>
      <c r="F251" s="9">
        <v>12.52</v>
      </c>
    </row>
    <row r="252" spans="1:6" x14ac:dyDescent="0.2">
      <c r="A252" s="2" t="s">
        <v>176</v>
      </c>
      <c r="B252" s="2" t="s">
        <v>67</v>
      </c>
      <c r="C252" s="2" t="s">
        <v>179</v>
      </c>
      <c r="D252" s="2" t="s">
        <v>71</v>
      </c>
      <c r="E252" s="9">
        <v>53.5</v>
      </c>
      <c r="F252" s="9">
        <v>4.8600000000000003</v>
      </c>
    </row>
    <row r="253" spans="1:6" x14ac:dyDescent="0.2">
      <c r="A253" s="2" t="s">
        <v>176</v>
      </c>
      <c r="B253" s="2" t="s">
        <v>67</v>
      </c>
      <c r="C253" s="2" t="s">
        <v>180</v>
      </c>
      <c r="D253" s="2" t="s">
        <v>71</v>
      </c>
      <c r="E253" s="9">
        <v>56</v>
      </c>
      <c r="F253" s="9">
        <v>5.09</v>
      </c>
    </row>
    <row r="254" spans="1:6" x14ac:dyDescent="0.2">
      <c r="A254" s="2" t="s">
        <v>176</v>
      </c>
      <c r="B254" s="2" t="s">
        <v>67</v>
      </c>
      <c r="C254" s="2" t="s">
        <v>181</v>
      </c>
      <c r="D254" s="2" t="s">
        <v>71</v>
      </c>
      <c r="E254" s="9">
        <v>141.44</v>
      </c>
      <c r="F254" s="9">
        <v>12.86</v>
      </c>
    </row>
    <row r="255" spans="1:6" x14ac:dyDescent="0.2">
      <c r="A255" s="2" t="s">
        <v>176</v>
      </c>
      <c r="B255" s="2" t="s">
        <v>67</v>
      </c>
      <c r="C255" s="2" t="s">
        <v>182</v>
      </c>
      <c r="D255" s="2" t="s">
        <v>183</v>
      </c>
      <c r="E255" s="9">
        <v>-183.18</v>
      </c>
      <c r="F255" s="9">
        <v>-16.649999999999999</v>
      </c>
    </row>
    <row r="256" spans="1:6" x14ac:dyDescent="0.2">
      <c r="A256" s="2" t="s">
        <v>176</v>
      </c>
      <c r="B256" s="2" t="s">
        <v>67</v>
      </c>
      <c r="C256" s="2" t="s">
        <v>184</v>
      </c>
      <c r="D256" s="2" t="s">
        <v>71</v>
      </c>
      <c r="E256" s="9">
        <v>183.18</v>
      </c>
      <c r="F256" s="9">
        <v>16.649999999999999</v>
      </c>
    </row>
    <row r="257" spans="1:6" x14ac:dyDescent="0.2">
      <c r="A257" s="2" t="s">
        <v>176</v>
      </c>
      <c r="B257" s="2" t="s">
        <v>67</v>
      </c>
      <c r="C257" s="2" t="s">
        <v>185</v>
      </c>
      <c r="D257" s="2" t="s">
        <v>71</v>
      </c>
      <c r="E257" s="9">
        <v>63</v>
      </c>
      <c r="F257" s="9">
        <v>5.73</v>
      </c>
    </row>
    <row r="258" spans="1:6" x14ac:dyDescent="0.2">
      <c r="A258" s="2" t="s">
        <v>176</v>
      </c>
      <c r="B258" s="2" t="s">
        <v>67</v>
      </c>
      <c r="C258" s="2" t="s">
        <v>186</v>
      </c>
      <c r="D258" s="2" t="s">
        <v>71</v>
      </c>
      <c r="E258" s="9">
        <v>105.5</v>
      </c>
      <c r="F258" s="9">
        <v>9.59</v>
      </c>
    </row>
    <row r="259" spans="1:6" x14ac:dyDescent="0.2">
      <c r="A259" s="2" t="s">
        <v>176</v>
      </c>
      <c r="B259" s="2" t="s">
        <v>67</v>
      </c>
      <c r="C259" s="2" t="s">
        <v>187</v>
      </c>
      <c r="D259" s="2" t="s">
        <v>69</v>
      </c>
      <c r="E259" s="9">
        <v>20211.48</v>
      </c>
      <c r="F259" s="9">
        <v>1837.41</v>
      </c>
    </row>
    <row r="260" spans="1:6" x14ac:dyDescent="0.2">
      <c r="A260" s="2" t="s">
        <v>188</v>
      </c>
      <c r="B260" s="2" t="s">
        <v>67</v>
      </c>
      <c r="C260" s="2" t="s">
        <v>189</v>
      </c>
      <c r="D260" s="2" t="s">
        <v>71</v>
      </c>
      <c r="E260" s="9">
        <v>52.2</v>
      </c>
      <c r="F260" s="9">
        <v>4.75</v>
      </c>
    </row>
    <row r="261" spans="1:6" x14ac:dyDescent="0.2">
      <c r="A261" s="2" t="s">
        <v>188</v>
      </c>
      <c r="B261" s="2" t="s">
        <v>67</v>
      </c>
      <c r="C261" s="2" t="s">
        <v>190</v>
      </c>
      <c r="D261" s="2" t="s">
        <v>71</v>
      </c>
      <c r="E261" s="9">
        <v>63</v>
      </c>
      <c r="F261" s="9">
        <v>5.73</v>
      </c>
    </row>
    <row r="262" spans="1:6" x14ac:dyDescent="0.2">
      <c r="A262" s="2" t="s">
        <v>188</v>
      </c>
      <c r="B262" s="2" t="s">
        <v>67</v>
      </c>
      <c r="C262" s="2" t="s">
        <v>191</v>
      </c>
      <c r="D262" s="2" t="s">
        <v>71</v>
      </c>
      <c r="E262" s="9">
        <v>180</v>
      </c>
      <c r="F262" s="9">
        <v>16.36</v>
      </c>
    </row>
    <row r="263" spans="1:6" x14ac:dyDescent="0.2">
      <c r="A263" s="2" t="s">
        <v>188</v>
      </c>
      <c r="B263" s="2" t="s">
        <v>67</v>
      </c>
      <c r="C263" s="2" t="s">
        <v>192</v>
      </c>
      <c r="D263" s="2" t="s">
        <v>71</v>
      </c>
      <c r="E263" s="9">
        <v>140.26</v>
      </c>
      <c r="F263" s="9">
        <v>12.75</v>
      </c>
    </row>
    <row r="264" spans="1:6" x14ac:dyDescent="0.2">
      <c r="A264" s="2" t="s">
        <v>188</v>
      </c>
      <c r="B264" s="2" t="s">
        <v>67</v>
      </c>
      <c r="C264" s="2" t="s">
        <v>193</v>
      </c>
      <c r="D264" s="2" t="s">
        <v>71</v>
      </c>
      <c r="E264" s="9">
        <v>63.25</v>
      </c>
      <c r="F264" s="9">
        <v>5.75</v>
      </c>
    </row>
    <row r="265" spans="1:6" x14ac:dyDescent="0.2">
      <c r="A265" s="2" t="s">
        <v>188</v>
      </c>
      <c r="B265" s="2" t="s">
        <v>67</v>
      </c>
      <c r="C265" s="2" t="s">
        <v>194</v>
      </c>
      <c r="D265" s="2" t="s">
        <v>71</v>
      </c>
      <c r="E265" s="9">
        <v>35.5</v>
      </c>
      <c r="F265" s="9">
        <v>3.23</v>
      </c>
    </row>
    <row r="266" spans="1:6" x14ac:dyDescent="0.2">
      <c r="A266" s="2" t="s">
        <v>188</v>
      </c>
      <c r="B266" s="2" t="s">
        <v>67</v>
      </c>
      <c r="C266" s="2" t="s">
        <v>195</v>
      </c>
      <c r="D266" s="2" t="s">
        <v>71</v>
      </c>
      <c r="E266" s="9">
        <v>201</v>
      </c>
      <c r="F266" s="9">
        <v>18.27</v>
      </c>
    </row>
    <row r="267" spans="1:6" x14ac:dyDescent="0.2">
      <c r="A267" s="2" t="s">
        <v>188</v>
      </c>
      <c r="B267" s="2" t="s">
        <v>67</v>
      </c>
      <c r="C267" s="2" t="s">
        <v>196</v>
      </c>
      <c r="D267" s="2" t="s">
        <v>161</v>
      </c>
      <c r="E267" s="9">
        <v>165.82</v>
      </c>
      <c r="F267" s="9">
        <v>15.07</v>
      </c>
    </row>
    <row r="268" spans="1:6" x14ac:dyDescent="0.2">
      <c r="A268" s="2" t="s">
        <v>197</v>
      </c>
      <c r="B268" s="2" t="s">
        <v>67</v>
      </c>
      <c r="C268" s="2" t="s">
        <v>198</v>
      </c>
      <c r="D268" s="2" t="s">
        <v>71</v>
      </c>
      <c r="E268" s="9">
        <v>147.9</v>
      </c>
      <c r="F268" s="9">
        <v>13.45</v>
      </c>
    </row>
    <row r="269" spans="1:6" x14ac:dyDescent="0.2">
      <c r="A269" s="2" t="s">
        <v>197</v>
      </c>
      <c r="B269" s="2" t="s">
        <v>199</v>
      </c>
      <c r="C269" s="2" t="s">
        <v>200</v>
      </c>
      <c r="D269" s="2" t="s">
        <v>201</v>
      </c>
      <c r="E269" s="9">
        <v>2552.88</v>
      </c>
      <c r="F269" s="9">
        <v>232.08</v>
      </c>
    </row>
    <row r="270" spans="1:6" x14ac:dyDescent="0.2">
      <c r="A270" s="2" t="s">
        <v>197</v>
      </c>
      <c r="B270" s="2" t="s">
        <v>67</v>
      </c>
      <c r="C270" s="2" t="s">
        <v>202</v>
      </c>
      <c r="D270" s="2" t="s">
        <v>71</v>
      </c>
      <c r="E270" s="9">
        <v>59</v>
      </c>
      <c r="F270" s="9">
        <v>5.36</v>
      </c>
    </row>
    <row r="271" spans="1:6" x14ac:dyDescent="0.2">
      <c r="A271" s="2" t="s">
        <v>197</v>
      </c>
      <c r="B271" s="2" t="s">
        <v>67</v>
      </c>
      <c r="C271" s="2" t="s">
        <v>203</v>
      </c>
      <c r="D271" s="2" t="s">
        <v>71</v>
      </c>
      <c r="E271" s="9">
        <v>33.5</v>
      </c>
      <c r="F271" s="9">
        <v>3.05</v>
      </c>
    </row>
    <row r="272" spans="1:6" x14ac:dyDescent="0.2">
      <c r="A272" s="2" t="s">
        <v>197</v>
      </c>
      <c r="B272" s="2" t="s">
        <v>67</v>
      </c>
      <c r="C272" s="2" t="s">
        <v>204</v>
      </c>
      <c r="D272" s="2" t="s">
        <v>71</v>
      </c>
      <c r="E272" s="9">
        <v>71</v>
      </c>
      <c r="F272" s="9">
        <v>6.45</v>
      </c>
    </row>
    <row r="273" spans="1:6" x14ac:dyDescent="0.2">
      <c r="A273" s="2" t="s">
        <v>197</v>
      </c>
      <c r="B273" s="2" t="s">
        <v>67</v>
      </c>
      <c r="C273" s="2" t="s">
        <v>205</v>
      </c>
      <c r="D273" s="2" t="s">
        <v>71</v>
      </c>
      <c r="E273" s="9">
        <v>110</v>
      </c>
      <c r="F273" s="9">
        <v>10</v>
      </c>
    </row>
    <row r="274" spans="1:6" x14ac:dyDescent="0.2">
      <c r="A274" s="2" t="s">
        <v>206</v>
      </c>
      <c r="B274" s="2" t="s">
        <v>67</v>
      </c>
      <c r="C274" s="2" t="s">
        <v>207</v>
      </c>
      <c r="D274" s="2" t="s">
        <v>71</v>
      </c>
      <c r="E274" s="9">
        <v>43.36</v>
      </c>
      <c r="F274" s="9">
        <v>3.94</v>
      </c>
    </row>
    <row r="275" spans="1:6" x14ac:dyDescent="0.2">
      <c r="A275" s="2" t="s">
        <v>206</v>
      </c>
      <c r="B275" s="2" t="s">
        <v>67</v>
      </c>
      <c r="C275" s="2" t="s">
        <v>208</v>
      </c>
      <c r="D275" s="2" t="s">
        <v>71</v>
      </c>
      <c r="E275" s="9">
        <v>132.99</v>
      </c>
      <c r="F275" s="9">
        <v>12.09</v>
      </c>
    </row>
    <row r="276" spans="1:6" x14ac:dyDescent="0.2">
      <c r="A276" s="2" t="s">
        <v>206</v>
      </c>
      <c r="B276" s="2" t="s">
        <v>67</v>
      </c>
      <c r="C276" s="2" t="s">
        <v>209</v>
      </c>
      <c r="D276" s="2" t="s">
        <v>71</v>
      </c>
      <c r="E276" s="9">
        <v>50</v>
      </c>
      <c r="F276" s="9">
        <v>4.55</v>
      </c>
    </row>
    <row r="277" spans="1:6" x14ac:dyDescent="0.2">
      <c r="A277" s="2" t="s">
        <v>206</v>
      </c>
      <c r="B277" s="2" t="s">
        <v>67</v>
      </c>
      <c r="C277" s="2" t="s">
        <v>210</v>
      </c>
      <c r="D277" s="2" t="s">
        <v>71</v>
      </c>
      <c r="E277" s="9">
        <v>43.7</v>
      </c>
      <c r="F277" s="9">
        <v>3.97</v>
      </c>
    </row>
    <row r="278" spans="1:6" x14ac:dyDescent="0.2">
      <c r="A278" s="2" t="s">
        <v>206</v>
      </c>
      <c r="B278" s="2" t="s">
        <v>67</v>
      </c>
      <c r="C278" s="2" t="s">
        <v>211</v>
      </c>
      <c r="D278" s="2" t="s">
        <v>161</v>
      </c>
      <c r="E278" s="9">
        <v>169.62</v>
      </c>
      <c r="F278" s="9">
        <v>15.42</v>
      </c>
    </row>
    <row r="279" spans="1:6" x14ac:dyDescent="0.2">
      <c r="A279" s="2" t="s">
        <v>212</v>
      </c>
      <c r="B279" s="2" t="s">
        <v>67</v>
      </c>
      <c r="C279" s="2" t="s">
        <v>213</v>
      </c>
      <c r="D279" s="2" t="s">
        <v>71</v>
      </c>
      <c r="E279" s="9">
        <v>56</v>
      </c>
      <c r="F279" s="9">
        <v>5.09</v>
      </c>
    </row>
    <row r="280" spans="1:6" x14ac:dyDescent="0.2">
      <c r="A280" s="2" t="s">
        <v>212</v>
      </c>
      <c r="B280" s="2" t="s">
        <v>67</v>
      </c>
      <c r="C280" s="2" t="s">
        <v>214</v>
      </c>
      <c r="D280" s="2" t="s">
        <v>71</v>
      </c>
      <c r="E280" s="9">
        <v>63</v>
      </c>
      <c r="F280" s="9">
        <v>5.73</v>
      </c>
    </row>
    <row r="281" spans="1:6" x14ac:dyDescent="0.2">
      <c r="A281" s="2" t="s">
        <v>212</v>
      </c>
      <c r="B281" s="2" t="s">
        <v>67</v>
      </c>
      <c r="C281" s="2" t="s">
        <v>215</v>
      </c>
      <c r="D281" s="2" t="s">
        <v>71</v>
      </c>
      <c r="E281" s="9">
        <v>256.5</v>
      </c>
      <c r="F281" s="9">
        <v>23.32</v>
      </c>
    </row>
    <row r="282" spans="1:6" x14ac:dyDescent="0.2">
      <c r="A282" s="2" t="s">
        <v>212</v>
      </c>
      <c r="B282" s="2" t="s">
        <v>67</v>
      </c>
      <c r="C282" s="2" t="s">
        <v>216</v>
      </c>
      <c r="D282" s="2" t="s">
        <v>71</v>
      </c>
      <c r="E282" s="9">
        <v>118</v>
      </c>
      <c r="F282" s="9">
        <v>10.73</v>
      </c>
    </row>
    <row r="283" spans="1:6" x14ac:dyDescent="0.2">
      <c r="A283" s="2" t="s">
        <v>217</v>
      </c>
      <c r="B283" s="2" t="s">
        <v>67</v>
      </c>
      <c r="C283" s="2" t="s">
        <v>218</v>
      </c>
      <c r="D283" s="2" t="s">
        <v>71</v>
      </c>
      <c r="E283" s="9">
        <v>210</v>
      </c>
      <c r="F283" s="9">
        <v>19.09</v>
      </c>
    </row>
    <row r="284" spans="1:6" x14ac:dyDescent="0.2">
      <c r="A284" s="2" t="s">
        <v>217</v>
      </c>
      <c r="B284" s="2" t="s">
        <v>67</v>
      </c>
      <c r="C284" s="2" t="s">
        <v>219</v>
      </c>
      <c r="D284" s="2" t="s">
        <v>71</v>
      </c>
      <c r="E284" s="9">
        <v>137</v>
      </c>
      <c r="F284" s="9">
        <v>12.45</v>
      </c>
    </row>
    <row r="285" spans="1:6" x14ac:dyDescent="0.2">
      <c r="A285" s="2" t="s">
        <v>217</v>
      </c>
      <c r="B285" s="2" t="s">
        <v>67</v>
      </c>
      <c r="C285" s="2" t="s">
        <v>220</v>
      </c>
      <c r="D285" s="2" t="s">
        <v>71</v>
      </c>
      <c r="E285" s="9">
        <v>44</v>
      </c>
      <c r="F285" s="9">
        <v>4</v>
      </c>
    </row>
    <row r="286" spans="1:6" x14ac:dyDescent="0.2">
      <c r="A286" s="2" t="s">
        <v>217</v>
      </c>
      <c r="B286" s="2" t="s">
        <v>67</v>
      </c>
      <c r="C286" s="2" t="s">
        <v>221</v>
      </c>
      <c r="D286" s="2" t="s">
        <v>71</v>
      </c>
      <c r="E286" s="9">
        <v>131.6</v>
      </c>
      <c r="F286" s="9">
        <v>11.96</v>
      </c>
    </row>
    <row r="287" spans="1:6" x14ac:dyDescent="0.2">
      <c r="A287" s="2" t="s">
        <v>217</v>
      </c>
      <c r="B287" s="2" t="s">
        <v>67</v>
      </c>
      <c r="C287" s="2" t="s">
        <v>222</v>
      </c>
      <c r="D287" s="2" t="s">
        <v>71</v>
      </c>
      <c r="E287" s="9">
        <v>132</v>
      </c>
      <c r="F287" s="9">
        <v>12</v>
      </c>
    </row>
    <row r="288" spans="1:6" x14ac:dyDescent="0.2">
      <c r="A288" s="2" t="s">
        <v>217</v>
      </c>
      <c r="B288" s="2" t="s">
        <v>67</v>
      </c>
      <c r="C288" s="2" t="s">
        <v>223</v>
      </c>
      <c r="D288" s="2" t="s">
        <v>71</v>
      </c>
      <c r="E288" s="9">
        <v>122.4</v>
      </c>
      <c r="F288" s="9">
        <v>11.13</v>
      </c>
    </row>
    <row r="289" spans="1:6" x14ac:dyDescent="0.2">
      <c r="A289" s="2" t="s">
        <v>224</v>
      </c>
      <c r="B289" s="2" t="s">
        <v>67</v>
      </c>
      <c r="C289" s="2" t="s">
        <v>225</v>
      </c>
      <c r="D289" s="2" t="s">
        <v>71</v>
      </c>
      <c r="E289" s="9">
        <v>247.89</v>
      </c>
      <c r="F289" s="9">
        <v>22.54</v>
      </c>
    </row>
    <row r="290" spans="1:6" x14ac:dyDescent="0.2">
      <c r="A290" s="2" t="s">
        <v>224</v>
      </c>
      <c r="B290" s="2" t="s">
        <v>67</v>
      </c>
      <c r="C290" s="2" t="s">
        <v>226</v>
      </c>
      <c r="D290" s="2" t="s">
        <v>71</v>
      </c>
      <c r="E290" s="9">
        <v>231</v>
      </c>
      <c r="F290" s="9">
        <v>21</v>
      </c>
    </row>
    <row r="291" spans="1:6" x14ac:dyDescent="0.2">
      <c r="A291" s="2" t="s">
        <v>224</v>
      </c>
      <c r="B291" s="2" t="s">
        <v>67</v>
      </c>
      <c r="C291" s="2" t="s">
        <v>227</v>
      </c>
      <c r="D291" s="2" t="s">
        <v>71</v>
      </c>
      <c r="E291" s="9">
        <v>63.25</v>
      </c>
      <c r="F291" s="9">
        <v>5.75</v>
      </c>
    </row>
    <row r="292" spans="1:6" x14ac:dyDescent="0.2">
      <c r="A292" s="2" t="s">
        <v>224</v>
      </c>
      <c r="B292" s="2" t="s">
        <v>67</v>
      </c>
      <c r="C292" s="2" t="s">
        <v>228</v>
      </c>
      <c r="D292" s="2" t="s">
        <v>71</v>
      </c>
      <c r="E292" s="9">
        <v>90.88</v>
      </c>
      <c r="F292" s="9">
        <v>8.26</v>
      </c>
    </row>
    <row r="293" spans="1:6" x14ac:dyDescent="0.2">
      <c r="A293" s="2" t="s">
        <v>224</v>
      </c>
      <c r="B293" s="2" t="s">
        <v>67</v>
      </c>
      <c r="C293" s="2" t="s">
        <v>229</v>
      </c>
      <c r="D293" s="2" t="s">
        <v>71</v>
      </c>
      <c r="E293" s="9">
        <v>59.2</v>
      </c>
      <c r="F293" s="9">
        <v>5.38</v>
      </c>
    </row>
    <row r="294" spans="1:6" x14ac:dyDescent="0.2">
      <c r="A294" s="2" t="s">
        <v>230</v>
      </c>
      <c r="B294" s="2" t="s">
        <v>73</v>
      </c>
      <c r="C294" s="2" t="s">
        <v>231</v>
      </c>
      <c r="D294" s="2" t="s">
        <v>75</v>
      </c>
      <c r="E294" s="9">
        <v>14867.59</v>
      </c>
      <c r="F294" s="9">
        <v>1351.6</v>
      </c>
    </row>
    <row r="295" spans="1:6" x14ac:dyDescent="0.2">
      <c r="A295" s="2" t="s">
        <v>230</v>
      </c>
      <c r="B295" s="2" t="s">
        <v>73</v>
      </c>
      <c r="C295" s="2" t="s">
        <v>231</v>
      </c>
      <c r="D295" s="2" t="s">
        <v>75</v>
      </c>
      <c r="E295" s="9">
        <v>-377.3</v>
      </c>
      <c r="F295" s="9">
        <v>-34.299999999999997</v>
      </c>
    </row>
    <row r="296" spans="1:6" x14ac:dyDescent="0.2">
      <c r="A296" s="2" t="s">
        <v>230</v>
      </c>
      <c r="B296" s="2" t="s">
        <v>67</v>
      </c>
      <c r="C296" s="2" t="s">
        <v>232</v>
      </c>
      <c r="D296" s="2" t="s">
        <v>71</v>
      </c>
      <c r="E296" s="9">
        <v>59</v>
      </c>
      <c r="F296" s="9">
        <v>5.36</v>
      </c>
    </row>
    <row r="297" spans="1:6" x14ac:dyDescent="0.2">
      <c r="A297" s="2" t="s">
        <v>230</v>
      </c>
      <c r="B297" s="2" t="s">
        <v>67</v>
      </c>
      <c r="C297" s="2" t="s">
        <v>233</v>
      </c>
      <c r="D297" s="2" t="s">
        <v>71</v>
      </c>
      <c r="E297" s="9">
        <v>74</v>
      </c>
      <c r="F297" s="9">
        <v>6.73</v>
      </c>
    </row>
    <row r="298" spans="1:6" x14ac:dyDescent="0.2">
      <c r="A298" s="2" t="s">
        <v>230</v>
      </c>
      <c r="B298" s="2" t="s">
        <v>67</v>
      </c>
      <c r="C298" s="2" t="s">
        <v>234</v>
      </c>
      <c r="D298" s="2" t="s">
        <v>71</v>
      </c>
      <c r="E298" s="9">
        <v>165</v>
      </c>
      <c r="F298" s="9">
        <v>15</v>
      </c>
    </row>
    <row r="299" spans="1:6" x14ac:dyDescent="0.2">
      <c r="A299" s="2" t="s">
        <v>230</v>
      </c>
      <c r="B299" s="2" t="s">
        <v>67</v>
      </c>
      <c r="C299" s="2" t="s">
        <v>235</v>
      </c>
      <c r="D299" s="2" t="s">
        <v>71</v>
      </c>
      <c r="E299" s="9">
        <v>68</v>
      </c>
      <c r="F299" s="9">
        <v>6.18</v>
      </c>
    </row>
    <row r="300" spans="1:6" x14ac:dyDescent="0.2">
      <c r="A300" s="2" t="s">
        <v>230</v>
      </c>
      <c r="B300" s="2" t="s">
        <v>67</v>
      </c>
      <c r="C300" s="2" t="s">
        <v>236</v>
      </c>
      <c r="D300" s="2" t="s">
        <v>71</v>
      </c>
      <c r="E300" s="9">
        <v>135.1</v>
      </c>
      <c r="F300" s="9">
        <v>12.28</v>
      </c>
    </row>
    <row r="301" spans="1:6" x14ac:dyDescent="0.2">
      <c r="A301" s="2" t="s">
        <v>230</v>
      </c>
      <c r="B301" s="2" t="s">
        <v>67</v>
      </c>
      <c r="C301" s="2" t="s">
        <v>237</v>
      </c>
      <c r="D301" s="2" t="s">
        <v>71</v>
      </c>
      <c r="E301" s="9">
        <v>79.400000000000006</v>
      </c>
      <c r="F301" s="9">
        <v>7.22</v>
      </c>
    </row>
    <row r="302" spans="1:6" x14ac:dyDescent="0.2">
      <c r="A302" s="2" t="s">
        <v>230</v>
      </c>
      <c r="B302" s="2" t="s">
        <v>67</v>
      </c>
      <c r="C302" s="2" t="s">
        <v>238</v>
      </c>
      <c r="D302" s="2" t="s">
        <v>161</v>
      </c>
      <c r="E302" s="9">
        <v>175.39</v>
      </c>
      <c r="F302" s="9">
        <v>15.94</v>
      </c>
    </row>
    <row r="303" spans="1:6" x14ac:dyDescent="0.2">
      <c r="A303" s="2" t="s">
        <v>230</v>
      </c>
      <c r="B303" s="2" t="s">
        <v>67</v>
      </c>
      <c r="C303" s="2" t="s">
        <v>239</v>
      </c>
      <c r="D303" s="2" t="s">
        <v>69</v>
      </c>
      <c r="E303" s="9">
        <v>24789.83</v>
      </c>
      <c r="F303" s="9">
        <v>2253.62</v>
      </c>
    </row>
    <row r="304" spans="1:6" x14ac:dyDescent="0.2">
      <c r="A304" s="2" t="s">
        <v>240</v>
      </c>
      <c r="B304" s="2" t="s">
        <v>67</v>
      </c>
      <c r="C304" s="2" t="s">
        <v>241</v>
      </c>
      <c r="D304" s="2" t="s">
        <v>161</v>
      </c>
      <c r="E304" s="9">
        <v>50.06</v>
      </c>
      <c r="F304" s="9">
        <v>4.55</v>
      </c>
    </row>
    <row r="305" spans="1:6" x14ac:dyDescent="0.2">
      <c r="A305" s="2" t="s">
        <v>240</v>
      </c>
      <c r="B305" s="2" t="s">
        <v>67</v>
      </c>
      <c r="C305" s="2" t="s">
        <v>242</v>
      </c>
      <c r="D305" s="2" t="s">
        <v>71</v>
      </c>
      <c r="E305" s="9">
        <v>38</v>
      </c>
      <c r="F305" s="9">
        <v>3.45</v>
      </c>
    </row>
    <row r="306" spans="1:6" x14ac:dyDescent="0.2">
      <c r="A306" s="2" t="s">
        <v>240</v>
      </c>
      <c r="B306" s="2" t="s">
        <v>67</v>
      </c>
      <c r="C306" s="2" t="s">
        <v>243</v>
      </c>
      <c r="D306" s="2" t="s">
        <v>71</v>
      </c>
      <c r="E306" s="9">
        <v>63</v>
      </c>
      <c r="F306" s="9">
        <v>5.73</v>
      </c>
    </row>
    <row r="307" spans="1:6" x14ac:dyDescent="0.2">
      <c r="A307" s="2" t="s">
        <v>240</v>
      </c>
      <c r="B307" s="2" t="s">
        <v>67</v>
      </c>
      <c r="C307" s="2" t="s">
        <v>244</v>
      </c>
      <c r="D307" s="2" t="s">
        <v>71</v>
      </c>
      <c r="E307" s="9">
        <v>52.2</v>
      </c>
      <c r="F307" s="9">
        <v>4.75</v>
      </c>
    </row>
    <row r="308" spans="1:6" x14ac:dyDescent="0.2">
      <c r="A308" s="2" t="s">
        <v>240</v>
      </c>
      <c r="B308" s="2" t="s">
        <v>67</v>
      </c>
      <c r="C308" s="2" t="s">
        <v>245</v>
      </c>
      <c r="D308" s="2" t="s">
        <v>71</v>
      </c>
      <c r="E308" s="9">
        <v>67.5</v>
      </c>
      <c r="F308" s="9">
        <v>6.14</v>
      </c>
    </row>
    <row r="309" spans="1:6" x14ac:dyDescent="0.2">
      <c r="A309" s="2" t="s">
        <v>240</v>
      </c>
      <c r="B309" s="2" t="s">
        <v>67</v>
      </c>
      <c r="C309" s="2" t="s">
        <v>246</v>
      </c>
      <c r="D309" s="2" t="s">
        <v>71</v>
      </c>
      <c r="E309" s="9">
        <v>73</v>
      </c>
      <c r="F309" s="9">
        <v>6.64</v>
      </c>
    </row>
    <row r="310" spans="1:6" x14ac:dyDescent="0.2">
      <c r="A310" s="2" t="s">
        <v>240</v>
      </c>
      <c r="B310" s="2" t="s">
        <v>67</v>
      </c>
      <c r="C310" s="2" t="s">
        <v>247</v>
      </c>
      <c r="D310" s="2" t="s">
        <v>248</v>
      </c>
      <c r="E310" s="9">
        <v>-386.16</v>
      </c>
      <c r="F310" s="9">
        <v>-35.11</v>
      </c>
    </row>
    <row r="311" spans="1:6" x14ac:dyDescent="0.2">
      <c r="A311" s="2" t="s">
        <v>240</v>
      </c>
      <c r="B311" s="2" t="s">
        <v>67</v>
      </c>
      <c r="C311" s="2" t="s">
        <v>247</v>
      </c>
      <c r="D311" s="2" t="s">
        <v>249</v>
      </c>
      <c r="E311" s="9">
        <v>-38.43</v>
      </c>
      <c r="F311" s="9">
        <v>-3.49</v>
      </c>
    </row>
    <row r="313" spans="1:6" x14ac:dyDescent="0.2">
      <c r="A313" s="4" t="s">
        <v>251</v>
      </c>
    </row>
    <row r="314" spans="1:6" x14ac:dyDescent="0.2">
      <c r="A314" s="2" t="s">
        <v>197</v>
      </c>
      <c r="B314" s="2" t="s">
        <v>199</v>
      </c>
      <c r="C314" s="2" t="s">
        <v>252</v>
      </c>
      <c r="D314" s="2" t="s">
        <v>201</v>
      </c>
      <c r="E314" s="9">
        <v>86284.800000000003</v>
      </c>
      <c r="F314" s="9">
        <v>0</v>
      </c>
    </row>
    <row r="315" spans="1:6" x14ac:dyDescent="0.2">
      <c r="A315" s="2" t="s">
        <v>240</v>
      </c>
      <c r="B315" s="2" t="s">
        <v>253</v>
      </c>
      <c r="C315" s="2" t="s">
        <v>254</v>
      </c>
      <c r="D315" s="2" t="s">
        <v>255</v>
      </c>
      <c r="E315" s="9">
        <v>86689.54</v>
      </c>
      <c r="F315" s="9">
        <v>0</v>
      </c>
    </row>
    <row r="316" spans="1:6" x14ac:dyDescent="0.2">
      <c r="A316" s="2" t="s">
        <v>240</v>
      </c>
      <c r="B316" s="2" t="s">
        <v>256</v>
      </c>
      <c r="C316" s="2" t="s">
        <v>247</v>
      </c>
      <c r="D316" s="2" t="s">
        <v>257</v>
      </c>
      <c r="E316" s="9">
        <v>201.16</v>
      </c>
      <c r="F316" s="9">
        <v>0</v>
      </c>
    </row>
    <row r="317" spans="1:6" x14ac:dyDescent="0.2">
      <c r="A317" s="13" t="s">
        <v>240</v>
      </c>
      <c r="B317" s="13" t="s">
        <v>258</v>
      </c>
      <c r="C317" s="13" t="s">
        <v>247</v>
      </c>
      <c r="D317" s="13" t="s">
        <v>259</v>
      </c>
      <c r="E317" s="14">
        <v>185</v>
      </c>
      <c r="F317" s="14">
        <v>0</v>
      </c>
    </row>
    <row r="319" spans="1:6" x14ac:dyDescent="0.2">
      <c r="A319" s="12" t="s">
        <v>407</v>
      </c>
      <c r="B319" s="10"/>
      <c r="C319" s="10"/>
      <c r="D319" s="10"/>
      <c r="E319" s="10"/>
      <c r="F319" s="11">
        <v>5285.42</v>
      </c>
    </row>
    <row r="320" spans="1:6" x14ac:dyDescent="0.2">
      <c r="A320" s="4" t="s">
        <v>261</v>
      </c>
    </row>
    <row r="321" spans="1:6" x14ac:dyDescent="0.2">
      <c r="A321" s="2" t="s">
        <v>66</v>
      </c>
      <c r="B321" s="2" t="s">
        <v>262</v>
      </c>
      <c r="C321" s="2" t="s">
        <v>11</v>
      </c>
      <c r="D321" s="2" t="s">
        <v>263</v>
      </c>
      <c r="E321" s="9">
        <v>20</v>
      </c>
      <c r="F321" s="9">
        <v>1.82</v>
      </c>
    </row>
    <row r="322" spans="1:6" x14ac:dyDescent="0.2">
      <c r="A322" s="2" t="s">
        <v>66</v>
      </c>
      <c r="B322" s="2" t="s">
        <v>264</v>
      </c>
      <c r="C322" s="2" t="s">
        <v>68</v>
      </c>
      <c r="D322" s="2" t="s">
        <v>69</v>
      </c>
      <c r="E322" s="9">
        <v>386.08</v>
      </c>
      <c r="F322" s="9">
        <v>35.1</v>
      </c>
    </row>
    <row r="323" spans="1:6" x14ac:dyDescent="0.2">
      <c r="A323" s="2" t="s">
        <v>66</v>
      </c>
      <c r="B323" s="2" t="s">
        <v>265</v>
      </c>
      <c r="C323" s="2" t="s">
        <v>74</v>
      </c>
      <c r="D323" s="2" t="s">
        <v>75</v>
      </c>
      <c r="E323" s="9">
        <v>1660.51</v>
      </c>
      <c r="F323" s="9">
        <v>150.96</v>
      </c>
    </row>
    <row r="324" spans="1:6" x14ac:dyDescent="0.2">
      <c r="A324" s="2" t="s">
        <v>66</v>
      </c>
      <c r="B324" s="2" t="s">
        <v>266</v>
      </c>
      <c r="C324" s="2" t="s">
        <v>74</v>
      </c>
      <c r="D324" s="2" t="s">
        <v>75</v>
      </c>
      <c r="E324" s="9">
        <v>2939.34</v>
      </c>
      <c r="F324" s="9">
        <v>267.20999999999998</v>
      </c>
    </row>
    <row r="325" spans="1:6" x14ac:dyDescent="0.2">
      <c r="A325" s="2" t="s">
        <v>66</v>
      </c>
      <c r="B325" s="2" t="s">
        <v>267</v>
      </c>
      <c r="C325" s="2" t="s">
        <v>11</v>
      </c>
      <c r="D325" s="2" t="s">
        <v>268</v>
      </c>
      <c r="E325" s="9">
        <v>2346.6</v>
      </c>
      <c r="F325" s="9">
        <v>213.33</v>
      </c>
    </row>
    <row r="326" spans="1:6" x14ac:dyDescent="0.2">
      <c r="A326" s="2" t="s">
        <v>66</v>
      </c>
      <c r="B326" s="2" t="s">
        <v>262</v>
      </c>
      <c r="C326" s="2" t="s">
        <v>11</v>
      </c>
      <c r="D326" s="2" t="s">
        <v>269</v>
      </c>
      <c r="E326" s="9">
        <v>30.96</v>
      </c>
      <c r="F326" s="9">
        <v>2.81</v>
      </c>
    </row>
    <row r="327" spans="1:6" x14ac:dyDescent="0.2">
      <c r="A327" s="2" t="s">
        <v>66</v>
      </c>
      <c r="B327" s="2" t="s">
        <v>262</v>
      </c>
      <c r="C327" s="2" t="s">
        <v>11</v>
      </c>
      <c r="D327" s="2" t="s">
        <v>270</v>
      </c>
      <c r="E327" s="9">
        <v>1760</v>
      </c>
      <c r="F327" s="9">
        <v>160</v>
      </c>
    </row>
    <row r="328" spans="1:6" x14ac:dyDescent="0.2">
      <c r="A328" s="2" t="s">
        <v>66</v>
      </c>
      <c r="B328" s="2" t="s">
        <v>262</v>
      </c>
      <c r="C328" s="2" t="s">
        <v>11</v>
      </c>
      <c r="D328" s="2" t="s">
        <v>271</v>
      </c>
      <c r="E328" s="9">
        <v>264</v>
      </c>
      <c r="F328" s="9">
        <v>24</v>
      </c>
    </row>
    <row r="329" spans="1:6" x14ac:dyDescent="0.2">
      <c r="A329" s="2" t="s">
        <v>76</v>
      </c>
      <c r="B329" s="2" t="s">
        <v>272</v>
      </c>
      <c r="C329" s="2" t="s">
        <v>11</v>
      </c>
      <c r="D329" s="2" t="s">
        <v>273</v>
      </c>
      <c r="E329" s="9">
        <v>90.7</v>
      </c>
      <c r="F329" s="9">
        <v>8.25</v>
      </c>
    </row>
    <row r="330" spans="1:6" x14ac:dyDescent="0.2">
      <c r="A330" s="2" t="s">
        <v>76</v>
      </c>
      <c r="B330" s="2" t="s">
        <v>262</v>
      </c>
      <c r="C330" s="2" t="s">
        <v>11</v>
      </c>
      <c r="D330" s="2" t="s">
        <v>274</v>
      </c>
      <c r="E330" s="9">
        <v>1200</v>
      </c>
      <c r="F330" s="9">
        <v>109.09</v>
      </c>
    </row>
    <row r="331" spans="1:6" x14ac:dyDescent="0.2">
      <c r="A331" s="2" t="s">
        <v>76</v>
      </c>
      <c r="B331" s="2" t="s">
        <v>275</v>
      </c>
      <c r="C331" s="2" t="s">
        <v>11</v>
      </c>
      <c r="D331" s="2" t="s">
        <v>276</v>
      </c>
      <c r="E331" s="9">
        <v>5180.09</v>
      </c>
      <c r="F331" s="9">
        <v>470.92</v>
      </c>
    </row>
    <row r="332" spans="1:6" x14ac:dyDescent="0.2">
      <c r="A332" s="2" t="s">
        <v>76</v>
      </c>
      <c r="B332" s="2" t="s">
        <v>277</v>
      </c>
      <c r="C332" s="2" t="s">
        <v>11</v>
      </c>
      <c r="D332" s="2" t="s">
        <v>278</v>
      </c>
      <c r="E332" s="9">
        <v>21.84</v>
      </c>
      <c r="F332" s="9">
        <v>1.99</v>
      </c>
    </row>
    <row r="333" spans="1:6" x14ac:dyDescent="0.2">
      <c r="A333" s="2" t="s">
        <v>81</v>
      </c>
      <c r="B333" s="2" t="s">
        <v>279</v>
      </c>
      <c r="C333" s="2" t="s">
        <v>11</v>
      </c>
      <c r="D333" s="2" t="s">
        <v>280</v>
      </c>
      <c r="E333" s="9">
        <v>326.8</v>
      </c>
      <c r="F333" s="9">
        <v>29.71</v>
      </c>
    </row>
    <row r="334" spans="1:6" x14ac:dyDescent="0.2">
      <c r="A334" s="2" t="s">
        <v>86</v>
      </c>
      <c r="B334" s="2" t="s">
        <v>277</v>
      </c>
      <c r="C334" s="2" t="s">
        <v>11</v>
      </c>
      <c r="D334" s="2" t="s">
        <v>281</v>
      </c>
      <c r="E334" s="9">
        <v>200</v>
      </c>
      <c r="F334" s="9">
        <v>18.18</v>
      </c>
    </row>
    <row r="335" spans="1:6" x14ac:dyDescent="0.2">
      <c r="A335" s="2" t="s">
        <v>86</v>
      </c>
      <c r="B335" s="2" t="s">
        <v>282</v>
      </c>
      <c r="C335" s="2" t="s">
        <v>283</v>
      </c>
      <c r="D335" s="2" t="s">
        <v>284</v>
      </c>
      <c r="E335" s="9">
        <v>10.6</v>
      </c>
      <c r="F335" s="9">
        <v>0.96</v>
      </c>
    </row>
    <row r="336" spans="1:6" x14ac:dyDescent="0.2">
      <c r="A336" s="2" t="s">
        <v>86</v>
      </c>
      <c r="B336" s="2" t="s">
        <v>282</v>
      </c>
      <c r="C336" s="2" t="s">
        <v>283</v>
      </c>
      <c r="D336" s="2" t="s">
        <v>284</v>
      </c>
      <c r="E336" s="9">
        <v>61.39</v>
      </c>
      <c r="F336" s="9">
        <v>5.58</v>
      </c>
    </row>
    <row r="337" spans="1:6" x14ac:dyDescent="0.2">
      <c r="A337" s="2" t="s">
        <v>86</v>
      </c>
      <c r="B337" s="2" t="s">
        <v>285</v>
      </c>
      <c r="C337" s="2" t="s">
        <v>283</v>
      </c>
      <c r="D337" s="2" t="s">
        <v>284</v>
      </c>
      <c r="E337" s="9">
        <v>3464.57</v>
      </c>
      <c r="F337" s="9">
        <v>314.95999999999998</v>
      </c>
    </row>
    <row r="338" spans="1:6" x14ac:dyDescent="0.2">
      <c r="A338" s="2" t="s">
        <v>86</v>
      </c>
      <c r="B338" s="2" t="s">
        <v>282</v>
      </c>
      <c r="C338" s="2" t="s">
        <v>283</v>
      </c>
      <c r="D338" s="2" t="s">
        <v>284</v>
      </c>
      <c r="E338" s="9">
        <v>14.93</v>
      </c>
      <c r="F338" s="9">
        <v>1.36</v>
      </c>
    </row>
    <row r="339" spans="1:6" x14ac:dyDescent="0.2">
      <c r="A339" s="2" t="s">
        <v>86</v>
      </c>
      <c r="B339" s="2" t="s">
        <v>282</v>
      </c>
      <c r="C339" s="2" t="s">
        <v>283</v>
      </c>
      <c r="D339" s="2" t="s">
        <v>284</v>
      </c>
      <c r="E339" s="9">
        <v>35.86</v>
      </c>
      <c r="F339" s="9">
        <v>3.26</v>
      </c>
    </row>
    <row r="340" spans="1:6" x14ac:dyDescent="0.2">
      <c r="A340" s="2" t="s">
        <v>86</v>
      </c>
      <c r="B340" s="2" t="s">
        <v>285</v>
      </c>
      <c r="C340" s="2" t="s">
        <v>283</v>
      </c>
      <c r="D340" s="2" t="s">
        <v>284</v>
      </c>
      <c r="E340" s="9">
        <v>1436.63</v>
      </c>
      <c r="F340" s="9">
        <v>130.6</v>
      </c>
    </row>
    <row r="341" spans="1:6" x14ac:dyDescent="0.2">
      <c r="A341" s="2" t="s">
        <v>86</v>
      </c>
      <c r="B341" s="2" t="s">
        <v>286</v>
      </c>
      <c r="C341" s="2" t="s">
        <v>283</v>
      </c>
      <c r="D341" s="2" t="s">
        <v>284</v>
      </c>
      <c r="E341" s="9">
        <v>1144.6199999999999</v>
      </c>
      <c r="F341" s="9">
        <v>104.06</v>
      </c>
    </row>
    <row r="342" spans="1:6" x14ac:dyDescent="0.2">
      <c r="A342" s="2" t="s">
        <v>86</v>
      </c>
      <c r="B342" s="2" t="s">
        <v>287</v>
      </c>
      <c r="C342" s="2" t="s">
        <v>283</v>
      </c>
      <c r="D342" s="2" t="s">
        <v>284</v>
      </c>
      <c r="E342" s="9">
        <v>74.180000000000007</v>
      </c>
      <c r="F342" s="9">
        <v>6.74</v>
      </c>
    </row>
    <row r="343" spans="1:6" x14ac:dyDescent="0.2">
      <c r="A343" s="2" t="s">
        <v>86</v>
      </c>
      <c r="B343" s="2" t="s">
        <v>287</v>
      </c>
      <c r="C343" s="2" t="s">
        <v>283</v>
      </c>
      <c r="D343" s="2" t="s">
        <v>284</v>
      </c>
      <c r="E343" s="9">
        <v>34.29</v>
      </c>
      <c r="F343" s="9">
        <v>3.12</v>
      </c>
    </row>
    <row r="344" spans="1:6" x14ac:dyDescent="0.2">
      <c r="A344" s="2" t="s">
        <v>86</v>
      </c>
      <c r="B344" s="2" t="s">
        <v>287</v>
      </c>
      <c r="C344" s="2" t="s">
        <v>283</v>
      </c>
      <c r="D344" s="2" t="s">
        <v>284</v>
      </c>
      <c r="E344" s="9">
        <v>150.12</v>
      </c>
      <c r="F344" s="9">
        <v>13.65</v>
      </c>
    </row>
    <row r="345" spans="1:6" x14ac:dyDescent="0.2">
      <c r="A345" s="2" t="s">
        <v>86</v>
      </c>
      <c r="B345" s="2" t="s">
        <v>285</v>
      </c>
      <c r="C345" s="2" t="s">
        <v>283</v>
      </c>
      <c r="D345" s="2" t="s">
        <v>284</v>
      </c>
      <c r="E345" s="9">
        <v>15.31</v>
      </c>
      <c r="F345" s="9">
        <v>1.39</v>
      </c>
    </row>
    <row r="346" spans="1:6" x14ac:dyDescent="0.2">
      <c r="A346" s="2" t="s">
        <v>91</v>
      </c>
      <c r="B346" s="2" t="s">
        <v>272</v>
      </c>
      <c r="C346" s="2" t="s">
        <v>11</v>
      </c>
      <c r="D346" s="2" t="s">
        <v>288</v>
      </c>
      <c r="E346" s="9">
        <v>53.85</v>
      </c>
      <c r="F346" s="9">
        <v>4.9000000000000004</v>
      </c>
    </row>
    <row r="347" spans="1:6" x14ac:dyDescent="0.2">
      <c r="A347" s="2" t="s">
        <v>91</v>
      </c>
      <c r="B347" s="2" t="s">
        <v>279</v>
      </c>
      <c r="C347" s="2" t="s">
        <v>11</v>
      </c>
      <c r="D347" s="2" t="s">
        <v>289</v>
      </c>
      <c r="E347" s="9">
        <v>-23.09</v>
      </c>
      <c r="F347" s="9">
        <v>-2.1</v>
      </c>
    </row>
    <row r="348" spans="1:6" x14ac:dyDescent="0.2">
      <c r="A348" s="2" t="s">
        <v>97</v>
      </c>
      <c r="B348" s="2" t="s">
        <v>279</v>
      </c>
      <c r="C348" s="2" t="s">
        <v>11</v>
      </c>
      <c r="D348" s="2" t="s">
        <v>290</v>
      </c>
      <c r="E348" s="9">
        <v>54.17</v>
      </c>
      <c r="F348" s="9">
        <v>4.92</v>
      </c>
    </row>
    <row r="349" spans="1:6" x14ac:dyDescent="0.2">
      <c r="A349" s="2" t="s">
        <v>99</v>
      </c>
      <c r="B349" s="2" t="s">
        <v>291</v>
      </c>
      <c r="C349" s="2" t="s">
        <v>11</v>
      </c>
      <c r="D349" s="2" t="s">
        <v>292</v>
      </c>
      <c r="E349" s="9">
        <v>182.7</v>
      </c>
      <c r="F349" s="9">
        <v>16.61</v>
      </c>
    </row>
    <row r="350" spans="1:6" x14ac:dyDescent="0.2">
      <c r="A350" s="2" t="s">
        <v>99</v>
      </c>
      <c r="B350" s="2" t="s">
        <v>291</v>
      </c>
      <c r="C350" s="2" t="s">
        <v>11</v>
      </c>
      <c r="D350" s="2" t="s">
        <v>292</v>
      </c>
      <c r="E350" s="9">
        <v>119</v>
      </c>
      <c r="F350" s="9">
        <v>10.82</v>
      </c>
    </row>
    <row r="351" spans="1:6" x14ac:dyDescent="0.2">
      <c r="A351" s="2" t="s">
        <v>103</v>
      </c>
      <c r="B351" s="2" t="s">
        <v>291</v>
      </c>
      <c r="C351" s="2" t="s">
        <v>11</v>
      </c>
      <c r="D351" s="2" t="s">
        <v>293</v>
      </c>
      <c r="E351" s="9">
        <v>15</v>
      </c>
      <c r="F351" s="9">
        <v>1.36</v>
      </c>
    </row>
    <row r="352" spans="1:6" x14ac:dyDescent="0.2">
      <c r="A352" s="2" t="s">
        <v>103</v>
      </c>
      <c r="B352" s="2" t="s">
        <v>291</v>
      </c>
      <c r="C352" s="2" t="s">
        <v>11</v>
      </c>
      <c r="D352" s="2" t="s">
        <v>293</v>
      </c>
      <c r="E352" s="9">
        <v>15</v>
      </c>
      <c r="F352" s="9">
        <v>1.36</v>
      </c>
    </row>
    <row r="353" spans="1:6" x14ac:dyDescent="0.2">
      <c r="A353" s="2" t="s">
        <v>106</v>
      </c>
      <c r="B353" s="2" t="s">
        <v>264</v>
      </c>
      <c r="C353" s="2" t="s">
        <v>109</v>
      </c>
      <c r="D353" s="2" t="s">
        <v>69</v>
      </c>
      <c r="E353" s="9">
        <v>322.73</v>
      </c>
      <c r="F353" s="9">
        <v>29.34</v>
      </c>
    </row>
    <row r="354" spans="1:6" x14ac:dyDescent="0.2">
      <c r="A354" s="2" t="s">
        <v>123</v>
      </c>
      <c r="B354" s="2" t="s">
        <v>275</v>
      </c>
      <c r="C354" s="2" t="s">
        <v>11</v>
      </c>
      <c r="D354" s="2" t="s">
        <v>276</v>
      </c>
      <c r="E354" s="9">
        <v>5000</v>
      </c>
      <c r="F354" s="9">
        <v>454.55</v>
      </c>
    </row>
    <row r="355" spans="1:6" x14ac:dyDescent="0.2">
      <c r="A355" s="2" t="s">
        <v>137</v>
      </c>
      <c r="B355" s="2" t="s">
        <v>265</v>
      </c>
      <c r="C355" s="2" t="s">
        <v>138</v>
      </c>
      <c r="D355" s="2" t="s">
        <v>75</v>
      </c>
      <c r="E355" s="9">
        <v>1076.6600000000001</v>
      </c>
      <c r="F355" s="9">
        <v>97.88</v>
      </c>
    </row>
    <row r="356" spans="1:6" x14ac:dyDescent="0.2">
      <c r="A356" s="2" t="s">
        <v>137</v>
      </c>
      <c r="B356" s="2" t="s">
        <v>266</v>
      </c>
      <c r="C356" s="2" t="s">
        <v>138</v>
      </c>
      <c r="D356" s="2" t="s">
        <v>75</v>
      </c>
      <c r="E356" s="9">
        <v>3980.74</v>
      </c>
      <c r="F356" s="9">
        <v>361.89</v>
      </c>
    </row>
    <row r="357" spans="1:6" x14ac:dyDescent="0.2">
      <c r="A357" s="2" t="s">
        <v>137</v>
      </c>
      <c r="B357" s="2" t="s">
        <v>285</v>
      </c>
      <c r="C357" s="2" t="s">
        <v>11</v>
      </c>
      <c r="D357" s="2" t="s">
        <v>294</v>
      </c>
      <c r="E357" s="9">
        <v>281.38</v>
      </c>
      <c r="F357" s="9">
        <v>25.58</v>
      </c>
    </row>
    <row r="358" spans="1:6" x14ac:dyDescent="0.2">
      <c r="A358" s="2" t="s">
        <v>137</v>
      </c>
      <c r="B358" s="2" t="s">
        <v>264</v>
      </c>
      <c r="C358" s="2" t="s">
        <v>141</v>
      </c>
      <c r="D358" s="2" t="s">
        <v>69</v>
      </c>
      <c r="E358" s="9">
        <v>375.41</v>
      </c>
      <c r="F358" s="9">
        <v>34.130000000000003</v>
      </c>
    </row>
    <row r="359" spans="1:6" x14ac:dyDescent="0.2">
      <c r="A359" s="2" t="s">
        <v>137</v>
      </c>
      <c r="B359" s="2" t="s">
        <v>295</v>
      </c>
      <c r="C359" s="2" t="s">
        <v>11</v>
      </c>
      <c r="D359" s="2" t="s">
        <v>296</v>
      </c>
      <c r="E359" s="9">
        <v>9.99</v>
      </c>
      <c r="F359" s="9">
        <v>0.91</v>
      </c>
    </row>
    <row r="360" spans="1:6" x14ac:dyDescent="0.2">
      <c r="A360" s="2" t="s">
        <v>142</v>
      </c>
      <c r="B360" s="2" t="s">
        <v>282</v>
      </c>
      <c r="C360" s="2" t="s">
        <v>297</v>
      </c>
      <c r="D360" s="2" t="s">
        <v>284</v>
      </c>
      <c r="E360" s="9">
        <v>101.17</v>
      </c>
      <c r="F360" s="9">
        <v>9.1999999999999993</v>
      </c>
    </row>
    <row r="361" spans="1:6" x14ac:dyDescent="0.2">
      <c r="A361" s="2" t="s">
        <v>142</v>
      </c>
      <c r="B361" s="2" t="s">
        <v>285</v>
      </c>
      <c r="C361" s="2" t="s">
        <v>297</v>
      </c>
      <c r="D361" s="2" t="s">
        <v>284</v>
      </c>
      <c r="E361" s="9">
        <v>2834.55</v>
      </c>
      <c r="F361" s="9">
        <v>257.69</v>
      </c>
    </row>
    <row r="362" spans="1:6" x14ac:dyDescent="0.2">
      <c r="A362" s="2" t="s">
        <v>142</v>
      </c>
      <c r="B362" s="2" t="s">
        <v>282</v>
      </c>
      <c r="C362" s="2" t="s">
        <v>297</v>
      </c>
      <c r="D362" s="2" t="s">
        <v>284</v>
      </c>
      <c r="E362" s="9">
        <v>56.08</v>
      </c>
      <c r="F362" s="9">
        <v>5.0999999999999996</v>
      </c>
    </row>
    <row r="363" spans="1:6" x14ac:dyDescent="0.2">
      <c r="A363" s="2" t="s">
        <v>142</v>
      </c>
      <c r="B363" s="2" t="s">
        <v>285</v>
      </c>
      <c r="C363" s="2" t="s">
        <v>297</v>
      </c>
      <c r="D363" s="2" t="s">
        <v>284</v>
      </c>
      <c r="E363" s="9">
        <v>1156.5</v>
      </c>
      <c r="F363" s="9">
        <v>105.14</v>
      </c>
    </row>
    <row r="364" spans="1:6" x14ac:dyDescent="0.2">
      <c r="A364" s="2" t="s">
        <v>142</v>
      </c>
      <c r="B364" s="2" t="s">
        <v>298</v>
      </c>
      <c r="C364" s="2" t="s">
        <v>297</v>
      </c>
      <c r="D364" s="2" t="s">
        <v>284</v>
      </c>
      <c r="E364" s="9">
        <v>1131.3499999999999</v>
      </c>
      <c r="F364" s="9">
        <v>102.85</v>
      </c>
    </row>
    <row r="365" spans="1:6" x14ac:dyDescent="0.2">
      <c r="A365" s="2" t="s">
        <v>142</v>
      </c>
      <c r="B365" s="2" t="s">
        <v>287</v>
      </c>
      <c r="C365" s="2" t="s">
        <v>297</v>
      </c>
      <c r="D365" s="2" t="s">
        <v>284</v>
      </c>
      <c r="E365" s="9">
        <v>150.12</v>
      </c>
      <c r="F365" s="9">
        <v>13.65</v>
      </c>
    </row>
    <row r="366" spans="1:6" x14ac:dyDescent="0.2">
      <c r="A366" s="2" t="s">
        <v>176</v>
      </c>
      <c r="B366" s="2" t="s">
        <v>264</v>
      </c>
      <c r="C366" s="2" t="s">
        <v>187</v>
      </c>
      <c r="D366" s="2" t="s">
        <v>69</v>
      </c>
      <c r="E366" s="9">
        <v>350.74</v>
      </c>
      <c r="F366" s="9">
        <v>31.89</v>
      </c>
    </row>
    <row r="367" spans="1:6" x14ac:dyDescent="0.2">
      <c r="A367" s="2" t="s">
        <v>188</v>
      </c>
      <c r="B367" s="2" t="s">
        <v>291</v>
      </c>
      <c r="C367" s="2" t="s">
        <v>11</v>
      </c>
      <c r="D367" s="2" t="s">
        <v>299</v>
      </c>
      <c r="E367" s="9">
        <v>105</v>
      </c>
      <c r="F367" s="9">
        <v>9.5500000000000007</v>
      </c>
    </row>
    <row r="368" spans="1:6" x14ac:dyDescent="0.2">
      <c r="A368" s="2" t="s">
        <v>188</v>
      </c>
      <c r="B368" s="2" t="s">
        <v>282</v>
      </c>
      <c r="C368" s="2" t="s">
        <v>300</v>
      </c>
      <c r="D368" s="2" t="s">
        <v>284</v>
      </c>
      <c r="E368" s="9">
        <v>23.25</v>
      </c>
      <c r="F368" s="9">
        <v>2.11</v>
      </c>
    </row>
    <row r="369" spans="1:6" x14ac:dyDescent="0.2">
      <c r="A369" s="2" t="s">
        <v>188</v>
      </c>
      <c r="B369" s="2" t="s">
        <v>282</v>
      </c>
      <c r="C369" s="2" t="s">
        <v>300</v>
      </c>
      <c r="D369" s="2" t="s">
        <v>284</v>
      </c>
      <c r="E369" s="9">
        <v>163.81</v>
      </c>
      <c r="F369" s="9">
        <v>14.89</v>
      </c>
    </row>
    <row r="370" spans="1:6" x14ac:dyDescent="0.2">
      <c r="A370" s="2" t="s">
        <v>188</v>
      </c>
      <c r="B370" s="2" t="s">
        <v>285</v>
      </c>
      <c r="C370" s="2" t="s">
        <v>300</v>
      </c>
      <c r="D370" s="2" t="s">
        <v>284</v>
      </c>
      <c r="E370" s="9">
        <v>2616.86</v>
      </c>
      <c r="F370" s="9">
        <v>237.9</v>
      </c>
    </row>
    <row r="371" spans="1:6" x14ac:dyDescent="0.2">
      <c r="A371" s="2" t="s">
        <v>188</v>
      </c>
      <c r="B371" s="2" t="s">
        <v>282</v>
      </c>
      <c r="C371" s="2" t="s">
        <v>300</v>
      </c>
      <c r="D371" s="2" t="s">
        <v>284</v>
      </c>
      <c r="E371" s="9">
        <v>44.73</v>
      </c>
      <c r="F371" s="9">
        <v>4.07</v>
      </c>
    </row>
    <row r="372" spans="1:6" x14ac:dyDescent="0.2">
      <c r="A372" s="2" t="s">
        <v>188</v>
      </c>
      <c r="B372" s="2" t="s">
        <v>282</v>
      </c>
      <c r="C372" s="2" t="s">
        <v>300</v>
      </c>
      <c r="D372" s="2" t="s">
        <v>284</v>
      </c>
      <c r="E372" s="9">
        <v>61.19</v>
      </c>
      <c r="F372" s="9">
        <v>5.56</v>
      </c>
    </row>
    <row r="373" spans="1:6" x14ac:dyDescent="0.2">
      <c r="A373" s="2" t="s">
        <v>188</v>
      </c>
      <c r="B373" s="2" t="s">
        <v>285</v>
      </c>
      <c r="C373" s="2" t="s">
        <v>300</v>
      </c>
      <c r="D373" s="2" t="s">
        <v>284</v>
      </c>
      <c r="E373" s="9">
        <v>1114.81</v>
      </c>
      <c r="F373" s="9">
        <v>101.35</v>
      </c>
    </row>
    <row r="374" spans="1:6" x14ac:dyDescent="0.2">
      <c r="A374" s="2" t="s">
        <v>188</v>
      </c>
      <c r="B374" s="2" t="s">
        <v>298</v>
      </c>
      <c r="C374" s="2" t="s">
        <v>300</v>
      </c>
      <c r="D374" s="2" t="s">
        <v>284</v>
      </c>
      <c r="E374" s="9">
        <v>1131.3499999999999</v>
      </c>
      <c r="F374" s="9">
        <v>102.85</v>
      </c>
    </row>
    <row r="375" spans="1:6" x14ac:dyDescent="0.2">
      <c r="A375" s="2" t="s">
        <v>188</v>
      </c>
      <c r="B375" s="2" t="s">
        <v>287</v>
      </c>
      <c r="C375" s="2" t="s">
        <v>300</v>
      </c>
      <c r="D375" s="2" t="s">
        <v>284</v>
      </c>
      <c r="E375" s="9">
        <v>150.12</v>
      </c>
      <c r="F375" s="9">
        <v>13.65</v>
      </c>
    </row>
    <row r="376" spans="1:6" x14ac:dyDescent="0.2">
      <c r="A376" s="2" t="s">
        <v>188</v>
      </c>
      <c r="B376" s="2" t="s">
        <v>285</v>
      </c>
      <c r="C376" s="2" t="s">
        <v>300</v>
      </c>
      <c r="D376" s="2" t="s">
        <v>284</v>
      </c>
      <c r="E376" s="9">
        <v>35.729999999999997</v>
      </c>
      <c r="F376" s="9">
        <v>3.25</v>
      </c>
    </row>
    <row r="377" spans="1:6" x14ac:dyDescent="0.2">
      <c r="A377" s="2" t="s">
        <v>188</v>
      </c>
      <c r="B377" s="2" t="s">
        <v>301</v>
      </c>
      <c r="C377" s="2" t="s">
        <v>300</v>
      </c>
      <c r="D377" s="2" t="s">
        <v>284</v>
      </c>
      <c r="E377" s="9">
        <v>18.45</v>
      </c>
      <c r="F377" s="9">
        <v>1.68</v>
      </c>
    </row>
    <row r="378" spans="1:6" x14ac:dyDescent="0.2">
      <c r="A378" s="2" t="s">
        <v>197</v>
      </c>
      <c r="B378" s="2" t="s">
        <v>275</v>
      </c>
      <c r="C378" s="2" t="s">
        <v>11</v>
      </c>
      <c r="D378" s="2" t="s">
        <v>276</v>
      </c>
      <c r="E378" s="9">
        <v>5000</v>
      </c>
      <c r="F378" s="9">
        <v>454.55</v>
      </c>
    </row>
    <row r="379" spans="1:6" x14ac:dyDescent="0.2">
      <c r="A379" s="2" t="s">
        <v>217</v>
      </c>
      <c r="B379" s="2" t="s">
        <v>279</v>
      </c>
      <c r="C379" s="2" t="s">
        <v>11</v>
      </c>
      <c r="D379" s="2" t="s">
        <v>302</v>
      </c>
      <c r="E379" s="9">
        <v>97</v>
      </c>
      <c r="F379" s="9">
        <v>8.82</v>
      </c>
    </row>
    <row r="380" spans="1:6" x14ac:dyDescent="0.2">
      <c r="A380" s="2" t="s">
        <v>230</v>
      </c>
      <c r="B380" s="2" t="s">
        <v>265</v>
      </c>
      <c r="C380" s="2" t="s">
        <v>231</v>
      </c>
      <c r="D380" s="2" t="s">
        <v>75</v>
      </c>
      <c r="E380" s="9">
        <v>2210.36</v>
      </c>
      <c r="F380" s="9">
        <v>200.94</v>
      </c>
    </row>
    <row r="381" spans="1:6" x14ac:dyDescent="0.2">
      <c r="A381" s="2" t="s">
        <v>230</v>
      </c>
      <c r="B381" s="2" t="s">
        <v>266</v>
      </c>
      <c r="C381" s="2" t="s">
        <v>231</v>
      </c>
      <c r="D381" s="2" t="s">
        <v>75</v>
      </c>
      <c r="E381" s="9">
        <v>4358.62</v>
      </c>
      <c r="F381" s="9">
        <v>396.24</v>
      </c>
    </row>
    <row r="382" spans="1:6" x14ac:dyDescent="0.2">
      <c r="A382" s="2" t="s">
        <v>230</v>
      </c>
      <c r="B382" s="2" t="s">
        <v>264</v>
      </c>
      <c r="C382" s="2" t="s">
        <v>239</v>
      </c>
      <c r="D382" s="2" t="s">
        <v>69</v>
      </c>
      <c r="E382" s="9">
        <v>416.29</v>
      </c>
      <c r="F382" s="9">
        <v>37.840000000000003</v>
      </c>
    </row>
    <row r="383" spans="1:6" x14ac:dyDescent="0.2">
      <c r="A383" s="2" t="s">
        <v>240</v>
      </c>
      <c r="B383" s="2" t="s">
        <v>264</v>
      </c>
      <c r="C383" s="2" t="s">
        <v>247</v>
      </c>
      <c r="D383" s="2" t="s">
        <v>303</v>
      </c>
      <c r="E383" s="9">
        <v>-38.43</v>
      </c>
      <c r="F383" s="9">
        <v>-3.49</v>
      </c>
    </row>
    <row r="385" spans="1:6" x14ac:dyDescent="0.2">
      <c r="A385" s="4" t="s">
        <v>305</v>
      </c>
    </row>
    <row r="386" spans="1:6" x14ac:dyDescent="0.2">
      <c r="A386" s="2" t="s">
        <v>76</v>
      </c>
      <c r="B386" s="2" t="s">
        <v>306</v>
      </c>
      <c r="C386" s="2" t="s">
        <v>11</v>
      </c>
      <c r="D386" s="2" t="s">
        <v>307</v>
      </c>
      <c r="E386" s="9">
        <v>527.6</v>
      </c>
      <c r="F386" s="9">
        <v>47.96</v>
      </c>
    </row>
    <row r="387" spans="1:6" x14ac:dyDescent="0.2">
      <c r="A387" s="2" t="s">
        <v>76</v>
      </c>
      <c r="B387" s="2" t="s">
        <v>306</v>
      </c>
      <c r="C387" s="2" t="s">
        <v>11</v>
      </c>
      <c r="D387" s="2" t="s">
        <v>308</v>
      </c>
      <c r="E387" s="9">
        <v>-11.2</v>
      </c>
      <c r="F387" s="9">
        <v>-1.02</v>
      </c>
    </row>
    <row r="389" spans="1:6" x14ac:dyDescent="0.2">
      <c r="A389" s="4" t="s">
        <v>310</v>
      </c>
    </row>
    <row r="390" spans="1:6" x14ac:dyDescent="0.2">
      <c r="A390" s="2" t="s">
        <v>66</v>
      </c>
      <c r="B390" s="2" t="s">
        <v>272</v>
      </c>
      <c r="C390" s="2" t="s">
        <v>11</v>
      </c>
      <c r="D390" s="2" t="s">
        <v>311</v>
      </c>
      <c r="E390" s="9">
        <v>175</v>
      </c>
      <c r="F390" s="9">
        <v>0</v>
      </c>
    </row>
    <row r="391" spans="1:6" x14ac:dyDescent="0.2">
      <c r="A391" s="2" t="s">
        <v>66</v>
      </c>
      <c r="B391" s="2" t="s">
        <v>312</v>
      </c>
      <c r="C391" s="2" t="s">
        <v>11</v>
      </c>
      <c r="D391" s="2" t="s">
        <v>313</v>
      </c>
      <c r="E391" s="9">
        <v>1.27</v>
      </c>
      <c r="F391" s="9">
        <v>0</v>
      </c>
    </row>
    <row r="392" spans="1:6" x14ac:dyDescent="0.2">
      <c r="A392" s="2" t="s">
        <v>66</v>
      </c>
      <c r="B392" s="2" t="s">
        <v>314</v>
      </c>
      <c r="C392" s="2" t="s">
        <v>11</v>
      </c>
      <c r="D392" s="2" t="s">
        <v>315</v>
      </c>
      <c r="E392" s="9">
        <v>0.3</v>
      </c>
      <c r="F392" s="9">
        <v>0</v>
      </c>
    </row>
    <row r="393" spans="1:6" x14ac:dyDescent="0.2">
      <c r="A393" s="2" t="s">
        <v>66</v>
      </c>
      <c r="B393" s="2" t="s">
        <v>312</v>
      </c>
      <c r="C393" s="2" t="s">
        <v>11</v>
      </c>
      <c r="D393" s="2" t="s">
        <v>313</v>
      </c>
      <c r="E393" s="9">
        <v>2.0099999999999998</v>
      </c>
      <c r="F393" s="9">
        <v>0</v>
      </c>
    </row>
    <row r="394" spans="1:6" x14ac:dyDescent="0.2">
      <c r="A394" s="2" t="s">
        <v>66</v>
      </c>
      <c r="B394" s="2" t="s">
        <v>262</v>
      </c>
      <c r="C394" s="2" t="s">
        <v>11</v>
      </c>
      <c r="D394" s="2" t="s">
        <v>316</v>
      </c>
      <c r="E394" s="9">
        <v>420</v>
      </c>
      <c r="F394" s="9">
        <v>0</v>
      </c>
    </row>
    <row r="395" spans="1:6" x14ac:dyDescent="0.2">
      <c r="A395" s="2" t="s">
        <v>66</v>
      </c>
      <c r="B395" s="2" t="s">
        <v>262</v>
      </c>
      <c r="C395" s="2" t="s">
        <v>11</v>
      </c>
      <c r="D395" s="2" t="s">
        <v>317</v>
      </c>
      <c r="E395" s="9">
        <v>60</v>
      </c>
      <c r="F395" s="9">
        <v>0</v>
      </c>
    </row>
    <row r="396" spans="1:6" x14ac:dyDescent="0.2">
      <c r="A396" s="2" t="s">
        <v>66</v>
      </c>
      <c r="B396" s="2" t="s">
        <v>262</v>
      </c>
      <c r="C396" s="2" t="s">
        <v>11</v>
      </c>
      <c r="D396" s="2" t="s">
        <v>318</v>
      </c>
      <c r="E396" s="9">
        <v>192</v>
      </c>
      <c r="F396" s="9">
        <v>0</v>
      </c>
    </row>
    <row r="397" spans="1:6" x14ac:dyDescent="0.2">
      <c r="A397" s="2" t="s">
        <v>66</v>
      </c>
      <c r="B397" s="2" t="s">
        <v>262</v>
      </c>
      <c r="C397" s="2" t="s">
        <v>11</v>
      </c>
      <c r="D397" s="2" t="s">
        <v>319</v>
      </c>
      <c r="E397" s="9">
        <v>1000</v>
      </c>
      <c r="F397" s="9">
        <v>0</v>
      </c>
    </row>
    <row r="398" spans="1:6" x14ac:dyDescent="0.2">
      <c r="A398" s="2" t="s">
        <v>66</v>
      </c>
      <c r="B398" s="2" t="s">
        <v>262</v>
      </c>
      <c r="C398" s="2" t="s">
        <v>11</v>
      </c>
      <c r="D398" s="2" t="s">
        <v>320</v>
      </c>
      <c r="E398" s="9">
        <v>315</v>
      </c>
      <c r="F398" s="9">
        <v>0</v>
      </c>
    </row>
    <row r="399" spans="1:6" x14ac:dyDescent="0.2">
      <c r="A399" s="2" t="s">
        <v>76</v>
      </c>
      <c r="B399" s="2" t="s">
        <v>312</v>
      </c>
      <c r="C399" s="2" t="s">
        <v>11</v>
      </c>
      <c r="D399" s="2" t="s">
        <v>313</v>
      </c>
      <c r="E399" s="9">
        <v>2.8</v>
      </c>
      <c r="F399" s="9">
        <v>0</v>
      </c>
    </row>
    <row r="400" spans="1:6" x14ac:dyDescent="0.2">
      <c r="A400" s="2" t="s">
        <v>76</v>
      </c>
      <c r="B400" s="2" t="s">
        <v>312</v>
      </c>
      <c r="C400" s="2" t="s">
        <v>11</v>
      </c>
      <c r="D400" s="2" t="s">
        <v>313</v>
      </c>
      <c r="E400" s="9">
        <v>4.07</v>
      </c>
      <c r="F400" s="9">
        <v>0</v>
      </c>
    </row>
    <row r="401" spans="1:6" x14ac:dyDescent="0.2">
      <c r="A401" s="2" t="s">
        <v>76</v>
      </c>
      <c r="B401" s="2" t="s">
        <v>312</v>
      </c>
      <c r="C401" s="2" t="s">
        <v>11</v>
      </c>
      <c r="D401" s="2" t="s">
        <v>313</v>
      </c>
      <c r="E401" s="9">
        <v>1.93</v>
      </c>
      <c r="F401" s="9">
        <v>0</v>
      </c>
    </row>
    <row r="402" spans="1:6" x14ac:dyDescent="0.2">
      <c r="A402" s="2" t="s">
        <v>76</v>
      </c>
      <c r="B402" s="2" t="s">
        <v>312</v>
      </c>
      <c r="C402" s="2" t="s">
        <v>11</v>
      </c>
      <c r="D402" s="2" t="s">
        <v>313</v>
      </c>
      <c r="E402" s="9">
        <v>1.27</v>
      </c>
      <c r="F402" s="9">
        <v>0</v>
      </c>
    </row>
    <row r="403" spans="1:6" x14ac:dyDescent="0.2">
      <c r="A403" s="2" t="s">
        <v>76</v>
      </c>
      <c r="B403" s="2" t="s">
        <v>272</v>
      </c>
      <c r="C403" s="2" t="s">
        <v>11</v>
      </c>
      <c r="D403" s="2" t="s">
        <v>311</v>
      </c>
      <c r="E403" s="9">
        <v>280</v>
      </c>
      <c r="F403" s="9">
        <v>0</v>
      </c>
    </row>
    <row r="404" spans="1:6" x14ac:dyDescent="0.2">
      <c r="A404" s="2" t="s">
        <v>76</v>
      </c>
      <c r="B404" s="2" t="s">
        <v>314</v>
      </c>
      <c r="C404" s="2" t="s">
        <v>11</v>
      </c>
      <c r="D404" s="2" t="s">
        <v>321</v>
      </c>
      <c r="E404" s="9">
        <v>10</v>
      </c>
      <c r="F404" s="9">
        <v>0</v>
      </c>
    </row>
    <row r="405" spans="1:6" x14ac:dyDescent="0.2">
      <c r="A405" s="2" t="s">
        <v>81</v>
      </c>
      <c r="B405" s="2" t="s">
        <v>312</v>
      </c>
      <c r="C405" s="2" t="s">
        <v>11</v>
      </c>
      <c r="D405" s="2" t="s">
        <v>313</v>
      </c>
      <c r="E405" s="9">
        <v>2.16</v>
      </c>
      <c r="F405" s="9">
        <v>0</v>
      </c>
    </row>
    <row r="406" spans="1:6" x14ac:dyDescent="0.2">
      <c r="A406" s="2" t="s">
        <v>81</v>
      </c>
      <c r="B406" s="2" t="s">
        <v>272</v>
      </c>
      <c r="C406" s="2" t="s">
        <v>11</v>
      </c>
      <c r="D406" s="2" t="s">
        <v>322</v>
      </c>
      <c r="E406" s="9">
        <v>425</v>
      </c>
      <c r="F406" s="9">
        <v>0</v>
      </c>
    </row>
    <row r="407" spans="1:6" x14ac:dyDescent="0.2">
      <c r="A407" s="2" t="s">
        <v>81</v>
      </c>
      <c r="B407" s="2" t="s">
        <v>312</v>
      </c>
      <c r="C407" s="2" t="s">
        <v>11</v>
      </c>
      <c r="D407" s="2" t="s">
        <v>313</v>
      </c>
      <c r="E407" s="9">
        <v>5.49</v>
      </c>
      <c r="F407" s="9">
        <v>0</v>
      </c>
    </row>
    <row r="408" spans="1:6" x14ac:dyDescent="0.2">
      <c r="A408" s="2" t="s">
        <v>81</v>
      </c>
      <c r="B408" s="2" t="s">
        <v>262</v>
      </c>
      <c r="C408" s="2" t="s">
        <v>11</v>
      </c>
      <c r="D408" s="2" t="s">
        <v>323</v>
      </c>
      <c r="E408" s="9">
        <v>50</v>
      </c>
      <c r="F408" s="9">
        <v>0</v>
      </c>
    </row>
    <row r="409" spans="1:6" x14ac:dyDescent="0.2">
      <c r="A409" s="2" t="s">
        <v>81</v>
      </c>
      <c r="B409" s="2" t="s">
        <v>312</v>
      </c>
      <c r="C409" s="2" t="s">
        <v>11</v>
      </c>
      <c r="D409" s="2" t="s">
        <v>313</v>
      </c>
      <c r="E409" s="9">
        <v>1.27</v>
      </c>
      <c r="F409" s="9">
        <v>0</v>
      </c>
    </row>
    <row r="410" spans="1:6" x14ac:dyDescent="0.2">
      <c r="A410" s="2" t="s">
        <v>81</v>
      </c>
      <c r="B410" s="2" t="s">
        <v>312</v>
      </c>
      <c r="C410" s="2" t="s">
        <v>11</v>
      </c>
      <c r="D410" s="2" t="s">
        <v>313</v>
      </c>
      <c r="E410" s="9">
        <v>2.42</v>
      </c>
      <c r="F410" s="9">
        <v>0</v>
      </c>
    </row>
    <row r="411" spans="1:6" x14ac:dyDescent="0.2">
      <c r="A411" s="2" t="s">
        <v>86</v>
      </c>
      <c r="B411" s="2" t="s">
        <v>312</v>
      </c>
      <c r="C411" s="2" t="s">
        <v>11</v>
      </c>
      <c r="D411" s="2" t="s">
        <v>313</v>
      </c>
      <c r="E411" s="9">
        <v>4.07</v>
      </c>
      <c r="F411" s="9">
        <v>0</v>
      </c>
    </row>
    <row r="412" spans="1:6" x14ac:dyDescent="0.2">
      <c r="A412" s="2" t="s">
        <v>86</v>
      </c>
      <c r="B412" s="2" t="s">
        <v>312</v>
      </c>
      <c r="C412" s="2" t="s">
        <v>11</v>
      </c>
      <c r="D412" s="2" t="s">
        <v>313</v>
      </c>
      <c r="E412" s="9">
        <v>3.24</v>
      </c>
      <c r="F412" s="9">
        <v>0</v>
      </c>
    </row>
    <row r="413" spans="1:6" x14ac:dyDescent="0.2">
      <c r="A413" s="2" t="s">
        <v>86</v>
      </c>
      <c r="B413" s="2" t="s">
        <v>312</v>
      </c>
      <c r="C413" s="2" t="s">
        <v>11</v>
      </c>
      <c r="D413" s="2" t="s">
        <v>313</v>
      </c>
      <c r="E413" s="9">
        <v>5.19</v>
      </c>
      <c r="F413" s="9">
        <v>0</v>
      </c>
    </row>
    <row r="414" spans="1:6" x14ac:dyDescent="0.2">
      <c r="A414" s="2" t="s">
        <v>86</v>
      </c>
      <c r="B414" s="2" t="s">
        <v>279</v>
      </c>
      <c r="C414" s="2" t="s">
        <v>11</v>
      </c>
      <c r="D414" s="2" t="s">
        <v>324</v>
      </c>
      <c r="E414" s="9">
        <v>37.93</v>
      </c>
      <c r="F414" s="9">
        <v>0</v>
      </c>
    </row>
    <row r="415" spans="1:6" x14ac:dyDescent="0.2">
      <c r="A415" s="2" t="s">
        <v>86</v>
      </c>
      <c r="B415" s="2" t="s">
        <v>325</v>
      </c>
      <c r="C415" s="2" t="s">
        <v>11</v>
      </c>
      <c r="D415" s="2" t="s">
        <v>326</v>
      </c>
      <c r="E415" s="9">
        <v>24.99</v>
      </c>
      <c r="F415" s="9">
        <v>0</v>
      </c>
    </row>
    <row r="416" spans="1:6" x14ac:dyDescent="0.2">
      <c r="A416" s="2" t="s">
        <v>86</v>
      </c>
      <c r="B416" s="2" t="s">
        <v>312</v>
      </c>
      <c r="C416" s="2" t="s">
        <v>11</v>
      </c>
      <c r="D416" s="2" t="s">
        <v>313</v>
      </c>
      <c r="E416" s="9">
        <v>7.26</v>
      </c>
      <c r="F416" s="9">
        <v>0</v>
      </c>
    </row>
    <row r="417" spans="1:6" x14ac:dyDescent="0.2">
      <c r="A417" s="2" t="s">
        <v>91</v>
      </c>
      <c r="B417" s="2" t="s">
        <v>312</v>
      </c>
      <c r="C417" s="2" t="s">
        <v>11</v>
      </c>
      <c r="D417" s="2" t="s">
        <v>313</v>
      </c>
      <c r="E417" s="9">
        <v>2.04</v>
      </c>
      <c r="F417" s="9">
        <v>0</v>
      </c>
    </row>
    <row r="418" spans="1:6" x14ac:dyDescent="0.2">
      <c r="A418" s="2" t="s">
        <v>91</v>
      </c>
      <c r="B418" s="2" t="s">
        <v>262</v>
      </c>
      <c r="C418" s="2" t="s">
        <v>11</v>
      </c>
      <c r="D418" s="2" t="s">
        <v>327</v>
      </c>
      <c r="E418" s="9">
        <v>411.1</v>
      </c>
      <c r="F418" s="9">
        <v>0</v>
      </c>
    </row>
    <row r="419" spans="1:6" x14ac:dyDescent="0.2">
      <c r="A419" s="2" t="s">
        <v>91</v>
      </c>
      <c r="B419" s="2" t="s">
        <v>312</v>
      </c>
      <c r="C419" s="2" t="s">
        <v>11</v>
      </c>
      <c r="D419" s="2" t="s">
        <v>313</v>
      </c>
      <c r="E419" s="9">
        <v>2.2999999999999998</v>
      </c>
      <c r="F419" s="9">
        <v>0</v>
      </c>
    </row>
    <row r="420" spans="1:6" x14ac:dyDescent="0.2">
      <c r="A420" s="2" t="s">
        <v>91</v>
      </c>
      <c r="B420" s="2" t="s">
        <v>312</v>
      </c>
      <c r="C420" s="2" t="s">
        <v>11</v>
      </c>
      <c r="D420" s="2" t="s">
        <v>313</v>
      </c>
      <c r="E420" s="9">
        <v>2.62</v>
      </c>
      <c r="F420" s="9">
        <v>0</v>
      </c>
    </row>
    <row r="421" spans="1:6" x14ac:dyDescent="0.2">
      <c r="A421" s="2" t="s">
        <v>91</v>
      </c>
      <c r="B421" s="2" t="s">
        <v>312</v>
      </c>
      <c r="C421" s="2" t="s">
        <v>11</v>
      </c>
      <c r="D421" s="2" t="s">
        <v>313</v>
      </c>
      <c r="E421" s="9">
        <v>4.1399999999999997</v>
      </c>
      <c r="F421" s="9">
        <v>0</v>
      </c>
    </row>
    <row r="422" spans="1:6" x14ac:dyDescent="0.2">
      <c r="A422" s="2" t="s">
        <v>91</v>
      </c>
      <c r="B422" s="2" t="s">
        <v>312</v>
      </c>
      <c r="C422" s="2" t="s">
        <v>11</v>
      </c>
      <c r="D422" s="2" t="s">
        <v>313</v>
      </c>
      <c r="E422" s="9">
        <v>4.79</v>
      </c>
      <c r="F422" s="9">
        <v>0</v>
      </c>
    </row>
    <row r="423" spans="1:6" x14ac:dyDescent="0.2">
      <c r="A423" s="2" t="s">
        <v>91</v>
      </c>
      <c r="B423" s="2" t="s">
        <v>328</v>
      </c>
      <c r="C423" s="2" t="s">
        <v>11</v>
      </c>
      <c r="D423" s="2" t="s">
        <v>329</v>
      </c>
      <c r="E423" s="9">
        <v>280</v>
      </c>
      <c r="F423" s="9">
        <v>0</v>
      </c>
    </row>
    <row r="424" spans="1:6" x14ac:dyDescent="0.2">
      <c r="A424" s="2" t="s">
        <v>91</v>
      </c>
      <c r="B424" s="2" t="s">
        <v>262</v>
      </c>
      <c r="C424" s="2" t="s">
        <v>11</v>
      </c>
      <c r="D424" s="2" t="s">
        <v>330</v>
      </c>
      <c r="E424" s="9">
        <v>35.58</v>
      </c>
      <c r="F424" s="9">
        <v>0</v>
      </c>
    </row>
    <row r="425" spans="1:6" x14ac:dyDescent="0.2">
      <c r="A425" s="2" t="s">
        <v>97</v>
      </c>
      <c r="B425" s="2" t="s">
        <v>312</v>
      </c>
      <c r="C425" s="2" t="s">
        <v>11</v>
      </c>
      <c r="D425" s="2" t="s">
        <v>313</v>
      </c>
      <c r="E425" s="9">
        <v>1.89</v>
      </c>
      <c r="F425" s="9">
        <v>0</v>
      </c>
    </row>
    <row r="426" spans="1:6" x14ac:dyDescent="0.2">
      <c r="A426" s="2" t="s">
        <v>97</v>
      </c>
      <c r="B426" s="2" t="s">
        <v>331</v>
      </c>
      <c r="C426" s="2" t="s">
        <v>11</v>
      </c>
      <c r="D426" s="2" t="s">
        <v>332</v>
      </c>
      <c r="E426" s="9">
        <v>137.71</v>
      </c>
      <c r="F426" s="9">
        <v>0</v>
      </c>
    </row>
    <row r="427" spans="1:6" x14ac:dyDescent="0.2">
      <c r="A427" s="2" t="s">
        <v>99</v>
      </c>
      <c r="B427" s="2" t="s">
        <v>279</v>
      </c>
      <c r="C427" s="2" t="s">
        <v>11</v>
      </c>
      <c r="D427" s="2" t="s">
        <v>333</v>
      </c>
      <c r="E427" s="9">
        <v>34.99</v>
      </c>
      <c r="F427" s="9">
        <v>0</v>
      </c>
    </row>
    <row r="428" spans="1:6" x14ac:dyDescent="0.2">
      <c r="A428" s="2" t="s">
        <v>99</v>
      </c>
      <c r="B428" s="2" t="s">
        <v>312</v>
      </c>
      <c r="C428" s="2" t="s">
        <v>11</v>
      </c>
      <c r="D428" s="2" t="s">
        <v>313</v>
      </c>
      <c r="E428" s="9">
        <v>5.09</v>
      </c>
      <c r="F428" s="9">
        <v>0</v>
      </c>
    </row>
    <row r="429" spans="1:6" x14ac:dyDescent="0.2">
      <c r="A429" s="2" t="s">
        <v>99</v>
      </c>
      <c r="B429" s="2" t="s">
        <v>312</v>
      </c>
      <c r="C429" s="2" t="s">
        <v>11</v>
      </c>
      <c r="D429" s="2" t="s">
        <v>313</v>
      </c>
      <c r="E429" s="9">
        <v>2.36</v>
      </c>
      <c r="F429" s="9">
        <v>0</v>
      </c>
    </row>
    <row r="430" spans="1:6" x14ac:dyDescent="0.2">
      <c r="A430" s="2" t="s">
        <v>99</v>
      </c>
      <c r="B430" s="2" t="s">
        <v>272</v>
      </c>
      <c r="C430" s="2" t="s">
        <v>11</v>
      </c>
      <c r="D430" s="2" t="s">
        <v>330</v>
      </c>
      <c r="E430" s="9">
        <v>149.55000000000001</v>
      </c>
      <c r="F430" s="9">
        <v>0</v>
      </c>
    </row>
    <row r="431" spans="1:6" x14ac:dyDescent="0.2">
      <c r="A431" s="2" t="s">
        <v>99</v>
      </c>
      <c r="B431" s="2" t="s">
        <v>272</v>
      </c>
      <c r="C431" s="2" t="s">
        <v>11</v>
      </c>
      <c r="D431" s="2" t="s">
        <v>330</v>
      </c>
      <c r="E431" s="9">
        <v>224.33</v>
      </c>
      <c r="F431" s="9">
        <v>0</v>
      </c>
    </row>
    <row r="432" spans="1:6" x14ac:dyDescent="0.2">
      <c r="A432" s="2" t="s">
        <v>99</v>
      </c>
      <c r="B432" s="2" t="s">
        <v>312</v>
      </c>
      <c r="C432" s="2" t="s">
        <v>11</v>
      </c>
      <c r="D432" s="2" t="s">
        <v>313</v>
      </c>
      <c r="E432" s="9">
        <v>2.27</v>
      </c>
      <c r="F432" s="9">
        <v>0</v>
      </c>
    </row>
    <row r="433" spans="1:6" x14ac:dyDescent="0.2">
      <c r="A433" s="2" t="s">
        <v>103</v>
      </c>
      <c r="B433" s="2" t="s">
        <v>312</v>
      </c>
      <c r="C433" s="2" t="s">
        <v>11</v>
      </c>
      <c r="D433" s="2" t="s">
        <v>313</v>
      </c>
      <c r="E433" s="9">
        <v>4.49</v>
      </c>
      <c r="F433" s="9">
        <v>0</v>
      </c>
    </row>
    <row r="434" spans="1:6" x14ac:dyDescent="0.2">
      <c r="A434" s="2" t="s">
        <v>103</v>
      </c>
      <c r="B434" s="2" t="s">
        <v>312</v>
      </c>
      <c r="C434" s="2" t="s">
        <v>11</v>
      </c>
      <c r="D434" s="2" t="s">
        <v>313</v>
      </c>
      <c r="E434" s="9">
        <v>1.4</v>
      </c>
      <c r="F434" s="9">
        <v>0</v>
      </c>
    </row>
    <row r="435" spans="1:6" x14ac:dyDescent="0.2">
      <c r="A435" s="2" t="s">
        <v>103</v>
      </c>
      <c r="B435" s="2" t="s">
        <v>262</v>
      </c>
      <c r="C435" s="2" t="s">
        <v>11</v>
      </c>
      <c r="D435" s="2" t="s">
        <v>334</v>
      </c>
      <c r="E435" s="9">
        <v>91.11</v>
      </c>
      <c r="F435" s="9">
        <v>0</v>
      </c>
    </row>
    <row r="436" spans="1:6" x14ac:dyDescent="0.2">
      <c r="A436" s="2" t="s">
        <v>106</v>
      </c>
      <c r="B436" s="2" t="s">
        <v>272</v>
      </c>
      <c r="C436" s="2" t="s">
        <v>11</v>
      </c>
      <c r="D436" s="2" t="s">
        <v>330</v>
      </c>
      <c r="E436" s="9">
        <v>52.21</v>
      </c>
      <c r="F436" s="9">
        <v>0</v>
      </c>
    </row>
    <row r="437" spans="1:6" x14ac:dyDescent="0.2">
      <c r="A437" s="2" t="s">
        <v>106</v>
      </c>
      <c r="B437" s="2" t="s">
        <v>312</v>
      </c>
      <c r="C437" s="2" t="s">
        <v>11</v>
      </c>
      <c r="D437" s="2" t="s">
        <v>313</v>
      </c>
      <c r="E437" s="9">
        <v>3.14</v>
      </c>
      <c r="F437" s="9">
        <v>0</v>
      </c>
    </row>
    <row r="438" spans="1:6" x14ac:dyDescent="0.2">
      <c r="A438" s="2" t="s">
        <v>106</v>
      </c>
      <c r="B438" s="2" t="s">
        <v>312</v>
      </c>
      <c r="C438" s="2" t="s">
        <v>11</v>
      </c>
      <c r="D438" s="2" t="s">
        <v>313</v>
      </c>
      <c r="E438" s="9">
        <v>3.49</v>
      </c>
      <c r="F438" s="9">
        <v>0</v>
      </c>
    </row>
    <row r="439" spans="1:6" x14ac:dyDescent="0.2">
      <c r="A439" s="2" t="s">
        <v>106</v>
      </c>
      <c r="B439" s="2" t="s">
        <v>312</v>
      </c>
      <c r="C439" s="2" t="s">
        <v>11</v>
      </c>
      <c r="D439" s="2" t="s">
        <v>313</v>
      </c>
      <c r="E439" s="9">
        <v>4.08</v>
      </c>
      <c r="F439" s="9">
        <v>0</v>
      </c>
    </row>
    <row r="440" spans="1:6" x14ac:dyDescent="0.2">
      <c r="A440" s="2" t="s">
        <v>106</v>
      </c>
      <c r="B440" s="2" t="s">
        <v>312</v>
      </c>
      <c r="C440" s="2" t="s">
        <v>11</v>
      </c>
      <c r="D440" s="2" t="s">
        <v>313</v>
      </c>
      <c r="E440" s="9">
        <v>2.27</v>
      </c>
      <c r="F440" s="9">
        <v>0</v>
      </c>
    </row>
    <row r="441" spans="1:6" x14ac:dyDescent="0.2">
      <c r="A441" s="2" t="s">
        <v>106</v>
      </c>
      <c r="B441" s="2" t="s">
        <v>312</v>
      </c>
      <c r="C441" s="2" t="s">
        <v>11</v>
      </c>
      <c r="D441" s="2" t="s">
        <v>313</v>
      </c>
      <c r="E441" s="9">
        <v>4.24</v>
      </c>
      <c r="F441" s="9">
        <v>0</v>
      </c>
    </row>
    <row r="442" spans="1:6" x14ac:dyDescent="0.2">
      <c r="A442" s="2" t="s">
        <v>113</v>
      </c>
      <c r="B442" s="2" t="s">
        <v>312</v>
      </c>
      <c r="C442" s="2" t="s">
        <v>11</v>
      </c>
      <c r="D442" s="2" t="s">
        <v>313</v>
      </c>
      <c r="E442" s="9">
        <v>4.87</v>
      </c>
      <c r="F442" s="9">
        <v>0</v>
      </c>
    </row>
    <row r="443" spans="1:6" x14ac:dyDescent="0.2">
      <c r="A443" s="2" t="s">
        <v>113</v>
      </c>
      <c r="B443" s="2" t="s">
        <v>312</v>
      </c>
      <c r="C443" s="2" t="s">
        <v>11</v>
      </c>
      <c r="D443" s="2" t="s">
        <v>313</v>
      </c>
      <c r="E443" s="9">
        <v>3.25</v>
      </c>
      <c r="F443" s="9">
        <v>0</v>
      </c>
    </row>
    <row r="444" spans="1:6" x14ac:dyDescent="0.2">
      <c r="A444" s="2" t="s">
        <v>113</v>
      </c>
      <c r="B444" s="2" t="s">
        <v>312</v>
      </c>
      <c r="C444" s="2" t="s">
        <v>11</v>
      </c>
      <c r="D444" s="2" t="s">
        <v>313</v>
      </c>
      <c r="E444" s="9">
        <v>3.49</v>
      </c>
      <c r="F444" s="9">
        <v>0</v>
      </c>
    </row>
    <row r="445" spans="1:6" x14ac:dyDescent="0.2">
      <c r="A445" s="2" t="s">
        <v>113</v>
      </c>
      <c r="B445" s="2" t="s">
        <v>312</v>
      </c>
      <c r="C445" s="2" t="s">
        <v>11</v>
      </c>
      <c r="D445" s="2" t="s">
        <v>313</v>
      </c>
      <c r="E445" s="9">
        <v>4.37</v>
      </c>
      <c r="F445" s="9">
        <v>0</v>
      </c>
    </row>
    <row r="446" spans="1:6" x14ac:dyDescent="0.2">
      <c r="A446" s="2" t="s">
        <v>113</v>
      </c>
      <c r="B446" s="2" t="s">
        <v>312</v>
      </c>
      <c r="C446" s="2" t="s">
        <v>11</v>
      </c>
      <c r="D446" s="2" t="s">
        <v>313</v>
      </c>
      <c r="E446" s="9">
        <v>5.52</v>
      </c>
      <c r="F446" s="9">
        <v>0</v>
      </c>
    </row>
    <row r="447" spans="1:6" x14ac:dyDescent="0.2">
      <c r="A447" s="2" t="s">
        <v>113</v>
      </c>
      <c r="B447" s="2" t="s">
        <v>279</v>
      </c>
      <c r="C447" s="2" t="s">
        <v>11</v>
      </c>
      <c r="D447" s="2" t="s">
        <v>335</v>
      </c>
      <c r="E447" s="9">
        <v>17.09</v>
      </c>
      <c r="F447" s="9">
        <v>0</v>
      </c>
    </row>
    <row r="448" spans="1:6" x14ac:dyDescent="0.2">
      <c r="A448" s="2" t="s">
        <v>119</v>
      </c>
      <c r="B448" s="2" t="s">
        <v>312</v>
      </c>
      <c r="C448" s="2" t="s">
        <v>11</v>
      </c>
      <c r="D448" s="2" t="s">
        <v>313</v>
      </c>
      <c r="E448" s="9">
        <v>2.4500000000000002</v>
      </c>
      <c r="F448" s="9">
        <v>0</v>
      </c>
    </row>
    <row r="449" spans="1:6" x14ac:dyDescent="0.2">
      <c r="A449" s="2" t="s">
        <v>121</v>
      </c>
      <c r="B449" s="2" t="s">
        <v>312</v>
      </c>
      <c r="C449" s="2" t="s">
        <v>11</v>
      </c>
      <c r="D449" s="2" t="s">
        <v>313</v>
      </c>
      <c r="E449" s="9">
        <v>2.68</v>
      </c>
      <c r="F449" s="9">
        <v>0</v>
      </c>
    </row>
    <row r="450" spans="1:6" x14ac:dyDescent="0.2">
      <c r="A450" s="2" t="s">
        <v>123</v>
      </c>
      <c r="B450" s="2" t="s">
        <v>312</v>
      </c>
      <c r="C450" s="2" t="s">
        <v>11</v>
      </c>
      <c r="D450" s="2" t="s">
        <v>313</v>
      </c>
      <c r="E450" s="9">
        <v>4.13</v>
      </c>
      <c r="F450" s="9">
        <v>0</v>
      </c>
    </row>
    <row r="451" spans="1:6" x14ac:dyDescent="0.2">
      <c r="A451" s="2" t="s">
        <v>123</v>
      </c>
      <c r="B451" s="2" t="s">
        <v>312</v>
      </c>
      <c r="C451" s="2" t="s">
        <v>11</v>
      </c>
      <c r="D451" s="2" t="s">
        <v>313</v>
      </c>
      <c r="E451" s="9">
        <v>1.46</v>
      </c>
      <c r="F451" s="9">
        <v>0</v>
      </c>
    </row>
    <row r="452" spans="1:6" x14ac:dyDescent="0.2">
      <c r="A452" s="2" t="s">
        <v>123</v>
      </c>
      <c r="B452" s="2" t="s">
        <v>272</v>
      </c>
      <c r="C452" s="2" t="s">
        <v>11</v>
      </c>
      <c r="D452" s="2" t="s">
        <v>330</v>
      </c>
      <c r="E452" s="9">
        <v>89.7</v>
      </c>
      <c r="F452" s="9">
        <v>0</v>
      </c>
    </row>
    <row r="453" spans="1:6" x14ac:dyDescent="0.2">
      <c r="A453" s="2" t="s">
        <v>123</v>
      </c>
      <c r="B453" s="2" t="s">
        <v>312</v>
      </c>
      <c r="C453" s="2" t="s">
        <v>11</v>
      </c>
      <c r="D453" s="2" t="s">
        <v>313</v>
      </c>
      <c r="E453" s="9">
        <v>5.52</v>
      </c>
      <c r="F453" s="9">
        <v>0</v>
      </c>
    </row>
    <row r="454" spans="1:6" x14ac:dyDescent="0.2">
      <c r="A454" s="2" t="s">
        <v>123</v>
      </c>
      <c r="B454" s="2" t="s">
        <v>312</v>
      </c>
      <c r="C454" s="2" t="s">
        <v>11</v>
      </c>
      <c r="D454" s="2" t="s">
        <v>313</v>
      </c>
      <c r="E454" s="9">
        <v>10.01</v>
      </c>
      <c r="F454" s="9">
        <v>0</v>
      </c>
    </row>
    <row r="455" spans="1:6" x14ac:dyDescent="0.2">
      <c r="A455" s="2" t="s">
        <v>123</v>
      </c>
      <c r="B455" s="2" t="s">
        <v>312</v>
      </c>
      <c r="C455" s="2" t="s">
        <v>11</v>
      </c>
      <c r="D455" s="2" t="s">
        <v>313</v>
      </c>
      <c r="E455" s="9">
        <v>3.56</v>
      </c>
      <c r="F455" s="9">
        <v>0</v>
      </c>
    </row>
    <row r="456" spans="1:6" x14ac:dyDescent="0.2">
      <c r="A456" s="2" t="s">
        <v>129</v>
      </c>
      <c r="B456" s="2" t="s">
        <v>312</v>
      </c>
      <c r="C456" s="2" t="s">
        <v>11</v>
      </c>
      <c r="D456" s="2" t="s">
        <v>313</v>
      </c>
      <c r="E456" s="9">
        <v>3.85</v>
      </c>
      <c r="F456" s="9">
        <v>0</v>
      </c>
    </row>
    <row r="457" spans="1:6" x14ac:dyDescent="0.2">
      <c r="A457" s="2" t="s">
        <v>129</v>
      </c>
      <c r="B457" s="2" t="s">
        <v>312</v>
      </c>
      <c r="C457" s="2" t="s">
        <v>11</v>
      </c>
      <c r="D457" s="2" t="s">
        <v>313</v>
      </c>
      <c r="E457" s="9">
        <v>5.93</v>
      </c>
      <c r="F457" s="9">
        <v>0</v>
      </c>
    </row>
    <row r="458" spans="1:6" x14ac:dyDescent="0.2">
      <c r="A458" s="2" t="s">
        <v>129</v>
      </c>
      <c r="B458" s="2" t="s">
        <v>312</v>
      </c>
      <c r="C458" s="2" t="s">
        <v>11</v>
      </c>
      <c r="D458" s="2" t="s">
        <v>313</v>
      </c>
      <c r="E458" s="9">
        <v>5.52</v>
      </c>
      <c r="F458" s="9">
        <v>0</v>
      </c>
    </row>
    <row r="459" spans="1:6" x14ac:dyDescent="0.2">
      <c r="A459" s="2" t="s">
        <v>129</v>
      </c>
      <c r="B459" s="2" t="s">
        <v>312</v>
      </c>
      <c r="C459" s="2" t="s">
        <v>11</v>
      </c>
      <c r="D459" s="2" t="s">
        <v>313</v>
      </c>
      <c r="E459" s="9">
        <v>5.09</v>
      </c>
      <c r="F459" s="9">
        <v>0</v>
      </c>
    </row>
    <row r="460" spans="1:6" x14ac:dyDescent="0.2">
      <c r="A460" s="2" t="s">
        <v>129</v>
      </c>
      <c r="B460" s="2" t="s">
        <v>312</v>
      </c>
      <c r="C460" s="2" t="s">
        <v>11</v>
      </c>
      <c r="D460" s="2" t="s">
        <v>313</v>
      </c>
      <c r="E460" s="9">
        <v>2.75</v>
      </c>
      <c r="F460" s="9">
        <v>0</v>
      </c>
    </row>
    <row r="461" spans="1:6" x14ac:dyDescent="0.2">
      <c r="A461" s="2" t="s">
        <v>129</v>
      </c>
      <c r="B461" s="2" t="s">
        <v>312</v>
      </c>
      <c r="C461" s="2" t="s">
        <v>11</v>
      </c>
      <c r="D461" s="2" t="s">
        <v>313</v>
      </c>
      <c r="E461" s="9">
        <v>1.32</v>
      </c>
      <c r="F461" s="9">
        <v>0</v>
      </c>
    </row>
    <row r="462" spans="1:6" x14ac:dyDescent="0.2">
      <c r="A462" s="2" t="s">
        <v>129</v>
      </c>
      <c r="B462" s="2" t="s">
        <v>312</v>
      </c>
      <c r="C462" s="2" t="s">
        <v>11</v>
      </c>
      <c r="D462" s="2" t="s">
        <v>313</v>
      </c>
      <c r="E462" s="9">
        <v>2.27</v>
      </c>
      <c r="F462" s="9">
        <v>0</v>
      </c>
    </row>
    <row r="463" spans="1:6" x14ac:dyDescent="0.2">
      <c r="A463" s="2" t="s">
        <v>137</v>
      </c>
      <c r="B463" s="2" t="s">
        <v>312</v>
      </c>
      <c r="C463" s="2" t="s">
        <v>11</v>
      </c>
      <c r="D463" s="2" t="s">
        <v>313</v>
      </c>
      <c r="E463" s="9">
        <v>2.9</v>
      </c>
      <c r="F463" s="9">
        <v>0</v>
      </c>
    </row>
    <row r="464" spans="1:6" x14ac:dyDescent="0.2">
      <c r="A464" s="2" t="s">
        <v>137</v>
      </c>
      <c r="B464" s="2" t="s">
        <v>312</v>
      </c>
      <c r="C464" s="2" t="s">
        <v>11</v>
      </c>
      <c r="D464" s="2" t="s">
        <v>313</v>
      </c>
      <c r="E464" s="9">
        <v>3.24</v>
      </c>
      <c r="F464" s="9">
        <v>0</v>
      </c>
    </row>
    <row r="465" spans="1:6" x14ac:dyDescent="0.2">
      <c r="A465" s="2" t="s">
        <v>142</v>
      </c>
      <c r="B465" s="2" t="s">
        <v>312</v>
      </c>
      <c r="C465" s="2" t="s">
        <v>11</v>
      </c>
      <c r="D465" s="2" t="s">
        <v>313</v>
      </c>
      <c r="E465" s="9">
        <v>2.65</v>
      </c>
      <c r="F465" s="9">
        <v>0</v>
      </c>
    </row>
    <row r="466" spans="1:6" x14ac:dyDescent="0.2">
      <c r="A466" s="2" t="s">
        <v>142</v>
      </c>
      <c r="B466" s="2" t="s">
        <v>312</v>
      </c>
      <c r="C466" s="2" t="s">
        <v>11</v>
      </c>
      <c r="D466" s="2" t="s">
        <v>313</v>
      </c>
      <c r="E466" s="9">
        <v>3.52</v>
      </c>
      <c r="F466" s="9">
        <v>0</v>
      </c>
    </row>
    <row r="467" spans="1:6" x14ac:dyDescent="0.2">
      <c r="A467" s="2" t="s">
        <v>142</v>
      </c>
      <c r="B467" s="2" t="s">
        <v>312</v>
      </c>
      <c r="C467" s="2" t="s">
        <v>11</v>
      </c>
      <c r="D467" s="2" t="s">
        <v>313</v>
      </c>
      <c r="E467" s="9">
        <v>3.49</v>
      </c>
      <c r="F467" s="9">
        <v>0</v>
      </c>
    </row>
    <row r="468" spans="1:6" x14ac:dyDescent="0.2">
      <c r="A468" s="2" t="s">
        <v>142</v>
      </c>
      <c r="B468" s="2" t="s">
        <v>312</v>
      </c>
      <c r="C468" s="2" t="s">
        <v>11</v>
      </c>
      <c r="D468" s="2" t="s">
        <v>313</v>
      </c>
      <c r="E468" s="9">
        <v>3.82</v>
      </c>
      <c r="F468" s="9">
        <v>0</v>
      </c>
    </row>
    <row r="469" spans="1:6" x14ac:dyDescent="0.2">
      <c r="A469" s="2" t="s">
        <v>142</v>
      </c>
      <c r="B469" s="2" t="s">
        <v>312</v>
      </c>
      <c r="C469" s="2" t="s">
        <v>11</v>
      </c>
      <c r="D469" s="2" t="s">
        <v>313</v>
      </c>
      <c r="E469" s="9">
        <v>6.71</v>
      </c>
      <c r="F469" s="9">
        <v>0</v>
      </c>
    </row>
    <row r="470" spans="1:6" x14ac:dyDescent="0.2">
      <c r="A470" s="2" t="s">
        <v>142</v>
      </c>
      <c r="B470" s="2" t="s">
        <v>272</v>
      </c>
      <c r="C470" s="2" t="s">
        <v>11</v>
      </c>
      <c r="D470" s="2" t="s">
        <v>336</v>
      </c>
      <c r="E470" s="9">
        <v>800</v>
      </c>
      <c r="F470" s="9">
        <v>0</v>
      </c>
    </row>
    <row r="471" spans="1:6" x14ac:dyDescent="0.2">
      <c r="A471" s="2" t="s">
        <v>142</v>
      </c>
      <c r="B471" s="2" t="s">
        <v>312</v>
      </c>
      <c r="C471" s="2" t="s">
        <v>11</v>
      </c>
      <c r="D471" s="2" t="s">
        <v>313</v>
      </c>
      <c r="E471" s="9">
        <v>4.07</v>
      </c>
      <c r="F471" s="9">
        <v>0</v>
      </c>
    </row>
    <row r="472" spans="1:6" x14ac:dyDescent="0.2">
      <c r="A472" s="2" t="s">
        <v>149</v>
      </c>
      <c r="B472" s="2" t="s">
        <v>312</v>
      </c>
      <c r="C472" s="2" t="s">
        <v>11</v>
      </c>
      <c r="D472" s="2" t="s">
        <v>313</v>
      </c>
      <c r="E472" s="9">
        <v>2.9</v>
      </c>
      <c r="F472" s="9">
        <v>0</v>
      </c>
    </row>
    <row r="473" spans="1:6" x14ac:dyDescent="0.2">
      <c r="A473" s="2" t="s">
        <v>149</v>
      </c>
      <c r="B473" s="2" t="s">
        <v>312</v>
      </c>
      <c r="C473" s="2" t="s">
        <v>11</v>
      </c>
      <c r="D473" s="2" t="s">
        <v>313</v>
      </c>
      <c r="E473" s="9">
        <v>2.0099999999999998</v>
      </c>
      <c r="F473" s="9">
        <v>0</v>
      </c>
    </row>
    <row r="474" spans="1:6" x14ac:dyDescent="0.2">
      <c r="A474" s="2" t="s">
        <v>149</v>
      </c>
      <c r="B474" s="2" t="s">
        <v>312</v>
      </c>
      <c r="C474" s="2" t="s">
        <v>11</v>
      </c>
      <c r="D474" s="2" t="s">
        <v>313</v>
      </c>
      <c r="E474" s="9">
        <v>4.0199999999999996</v>
      </c>
      <c r="F474" s="9">
        <v>0</v>
      </c>
    </row>
    <row r="475" spans="1:6" x14ac:dyDescent="0.2">
      <c r="A475" s="2" t="s">
        <v>153</v>
      </c>
      <c r="B475" s="2" t="s">
        <v>312</v>
      </c>
      <c r="C475" s="2" t="s">
        <v>11</v>
      </c>
      <c r="D475" s="2" t="s">
        <v>313</v>
      </c>
      <c r="E475" s="9">
        <v>3.79</v>
      </c>
      <c r="F475" s="9">
        <v>0</v>
      </c>
    </row>
    <row r="476" spans="1:6" x14ac:dyDescent="0.2">
      <c r="A476" s="2" t="s">
        <v>153</v>
      </c>
      <c r="B476" s="2" t="s">
        <v>312</v>
      </c>
      <c r="C476" s="2" t="s">
        <v>11</v>
      </c>
      <c r="D476" s="2" t="s">
        <v>313</v>
      </c>
      <c r="E476" s="9">
        <v>2.4500000000000002</v>
      </c>
      <c r="F476" s="9">
        <v>0</v>
      </c>
    </row>
    <row r="477" spans="1:6" x14ac:dyDescent="0.2">
      <c r="A477" s="2" t="s">
        <v>153</v>
      </c>
      <c r="B477" s="2" t="s">
        <v>312</v>
      </c>
      <c r="C477" s="2" t="s">
        <v>11</v>
      </c>
      <c r="D477" s="2" t="s">
        <v>313</v>
      </c>
      <c r="E477" s="9">
        <v>1.81</v>
      </c>
      <c r="F477" s="9">
        <v>0</v>
      </c>
    </row>
    <row r="478" spans="1:6" x14ac:dyDescent="0.2">
      <c r="A478" s="2" t="s">
        <v>153</v>
      </c>
      <c r="B478" s="2" t="s">
        <v>312</v>
      </c>
      <c r="C478" s="2" t="s">
        <v>11</v>
      </c>
      <c r="D478" s="2" t="s">
        <v>313</v>
      </c>
      <c r="E478" s="9">
        <v>3.93</v>
      </c>
      <c r="F478" s="9">
        <v>0</v>
      </c>
    </row>
    <row r="479" spans="1:6" x14ac:dyDescent="0.2">
      <c r="A479" s="2" t="s">
        <v>153</v>
      </c>
      <c r="B479" s="2" t="s">
        <v>312</v>
      </c>
      <c r="C479" s="2" t="s">
        <v>11</v>
      </c>
      <c r="D479" s="2" t="s">
        <v>313</v>
      </c>
      <c r="E479" s="9">
        <v>3.92</v>
      </c>
      <c r="F479" s="9">
        <v>0</v>
      </c>
    </row>
    <row r="480" spans="1:6" x14ac:dyDescent="0.2">
      <c r="A480" s="2" t="s">
        <v>153</v>
      </c>
      <c r="B480" s="2" t="s">
        <v>312</v>
      </c>
      <c r="C480" s="2" t="s">
        <v>11</v>
      </c>
      <c r="D480" s="2" t="s">
        <v>313</v>
      </c>
      <c r="E480" s="9">
        <v>4.6100000000000003</v>
      </c>
      <c r="F480" s="9">
        <v>0</v>
      </c>
    </row>
    <row r="481" spans="1:6" x14ac:dyDescent="0.2">
      <c r="A481" s="2" t="s">
        <v>162</v>
      </c>
      <c r="B481" s="2" t="s">
        <v>312</v>
      </c>
      <c r="C481" s="2" t="s">
        <v>11</v>
      </c>
      <c r="D481" s="2" t="s">
        <v>313</v>
      </c>
      <c r="E481" s="9">
        <v>2.6</v>
      </c>
      <c r="F481" s="9">
        <v>0</v>
      </c>
    </row>
    <row r="482" spans="1:6" x14ac:dyDescent="0.2">
      <c r="A482" s="2" t="s">
        <v>162</v>
      </c>
      <c r="B482" s="2" t="s">
        <v>312</v>
      </c>
      <c r="C482" s="2" t="s">
        <v>11</v>
      </c>
      <c r="D482" s="2" t="s">
        <v>313</v>
      </c>
      <c r="E482" s="9">
        <v>5.93</v>
      </c>
      <c r="F482" s="9">
        <v>0</v>
      </c>
    </row>
    <row r="483" spans="1:6" x14ac:dyDescent="0.2">
      <c r="A483" s="2" t="s">
        <v>162</v>
      </c>
      <c r="B483" s="2" t="s">
        <v>312</v>
      </c>
      <c r="C483" s="2" t="s">
        <v>11</v>
      </c>
      <c r="D483" s="2" t="s">
        <v>313</v>
      </c>
      <c r="E483" s="9">
        <v>4.4800000000000004</v>
      </c>
      <c r="F483" s="9">
        <v>0</v>
      </c>
    </row>
    <row r="484" spans="1:6" x14ac:dyDescent="0.2">
      <c r="A484" s="2" t="s">
        <v>166</v>
      </c>
      <c r="B484" s="2" t="s">
        <v>312</v>
      </c>
      <c r="C484" s="2" t="s">
        <v>11</v>
      </c>
      <c r="D484" s="2" t="s">
        <v>313</v>
      </c>
      <c r="E484" s="9">
        <v>2.13</v>
      </c>
      <c r="F484" s="9">
        <v>0</v>
      </c>
    </row>
    <row r="485" spans="1:6" x14ac:dyDescent="0.2">
      <c r="A485" s="2" t="s">
        <v>166</v>
      </c>
      <c r="B485" s="2" t="s">
        <v>312</v>
      </c>
      <c r="C485" s="2" t="s">
        <v>11</v>
      </c>
      <c r="D485" s="2" t="s">
        <v>313</v>
      </c>
      <c r="E485" s="9">
        <v>2.0099999999999998</v>
      </c>
      <c r="F485" s="9">
        <v>0</v>
      </c>
    </row>
    <row r="486" spans="1:6" x14ac:dyDescent="0.2">
      <c r="A486" s="2" t="s">
        <v>169</v>
      </c>
      <c r="B486" s="2" t="s">
        <v>312</v>
      </c>
      <c r="C486" s="2" t="s">
        <v>11</v>
      </c>
      <c r="D486" s="2" t="s">
        <v>313</v>
      </c>
      <c r="E486" s="9">
        <v>1.58</v>
      </c>
      <c r="F486" s="9">
        <v>0</v>
      </c>
    </row>
    <row r="487" spans="1:6" x14ac:dyDescent="0.2">
      <c r="A487" s="2" t="s">
        <v>169</v>
      </c>
      <c r="B487" s="2" t="s">
        <v>312</v>
      </c>
      <c r="C487" s="2" t="s">
        <v>11</v>
      </c>
      <c r="D487" s="2" t="s">
        <v>313</v>
      </c>
      <c r="E487" s="9">
        <v>2.97</v>
      </c>
      <c r="F487" s="9">
        <v>0</v>
      </c>
    </row>
    <row r="488" spans="1:6" x14ac:dyDescent="0.2">
      <c r="A488" s="2" t="s">
        <v>169</v>
      </c>
      <c r="B488" s="2" t="s">
        <v>312</v>
      </c>
      <c r="C488" s="2" t="s">
        <v>11</v>
      </c>
      <c r="D488" s="2" t="s">
        <v>313</v>
      </c>
      <c r="E488" s="9">
        <v>3.26</v>
      </c>
      <c r="F488" s="9">
        <v>0</v>
      </c>
    </row>
    <row r="489" spans="1:6" x14ac:dyDescent="0.2">
      <c r="A489" s="2" t="s">
        <v>169</v>
      </c>
      <c r="B489" s="2" t="s">
        <v>312</v>
      </c>
      <c r="C489" s="2" t="s">
        <v>11</v>
      </c>
      <c r="D489" s="2" t="s">
        <v>313</v>
      </c>
      <c r="E489" s="9">
        <v>4.24</v>
      </c>
      <c r="F489" s="9">
        <v>0</v>
      </c>
    </row>
    <row r="490" spans="1:6" x14ac:dyDescent="0.2">
      <c r="A490" s="2" t="s">
        <v>169</v>
      </c>
      <c r="B490" s="2" t="s">
        <v>312</v>
      </c>
      <c r="C490" s="2" t="s">
        <v>11</v>
      </c>
      <c r="D490" s="2" t="s">
        <v>313</v>
      </c>
      <c r="E490" s="9">
        <v>2.65</v>
      </c>
      <c r="F490" s="9">
        <v>0</v>
      </c>
    </row>
    <row r="491" spans="1:6" x14ac:dyDescent="0.2">
      <c r="A491" s="2" t="s">
        <v>169</v>
      </c>
      <c r="B491" s="2" t="s">
        <v>312</v>
      </c>
      <c r="C491" s="2" t="s">
        <v>11</v>
      </c>
      <c r="D491" s="2" t="s">
        <v>313</v>
      </c>
      <c r="E491" s="9">
        <v>2.27</v>
      </c>
      <c r="F491" s="9">
        <v>0</v>
      </c>
    </row>
    <row r="492" spans="1:6" x14ac:dyDescent="0.2">
      <c r="A492" s="2" t="s">
        <v>176</v>
      </c>
      <c r="B492" s="2" t="s">
        <v>312</v>
      </c>
      <c r="C492" s="2" t="s">
        <v>11</v>
      </c>
      <c r="D492" s="2" t="s">
        <v>313</v>
      </c>
      <c r="E492" s="9">
        <v>2.13</v>
      </c>
      <c r="F492" s="9">
        <v>0</v>
      </c>
    </row>
    <row r="493" spans="1:6" x14ac:dyDescent="0.2">
      <c r="A493" s="2" t="s">
        <v>176</v>
      </c>
      <c r="B493" s="2" t="s">
        <v>312</v>
      </c>
      <c r="C493" s="2" t="s">
        <v>11</v>
      </c>
      <c r="D493" s="2" t="s">
        <v>313</v>
      </c>
      <c r="E493" s="9">
        <v>4.29</v>
      </c>
      <c r="F493" s="9">
        <v>0</v>
      </c>
    </row>
    <row r="494" spans="1:6" x14ac:dyDescent="0.2">
      <c r="A494" s="2" t="s">
        <v>176</v>
      </c>
      <c r="B494" s="2" t="s">
        <v>312</v>
      </c>
      <c r="C494" s="2" t="s">
        <v>11</v>
      </c>
      <c r="D494" s="2" t="s">
        <v>313</v>
      </c>
      <c r="E494" s="9">
        <v>4.4000000000000004</v>
      </c>
      <c r="F494" s="9">
        <v>0</v>
      </c>
    </row>
    <row r="495" spans="1:6" x14ac:dyDescent="0.2">
      <c r="A495" s="2" t="s">
        <v>176</v>
      </c>
      <c r="B495" s="2" t="s">
        <v>312</v>
      </c>
      <c r="C495" s="2" t="s">
        <v>11</v>
      </c>
      <c r="D495" s="2" t="s">
        <v>313</v>
      </c>
      <c r="E495" s="9">
        <v>2.59</v>
      </c>
      <c r="F495" s="9">
        <v>0</v>
      </c>
    </row>
    <row r="496" spans="1:6" x14ac:dyDescent="0.2">
      <c r="A496" s="2" t="s">
        <v>176</v>
      </c>
      <c r="B496" s="2" t="s">
        <v>272</v>
      </c>
      <c r="C496" s="2" t="s">
        <v>11</v>
      </c>
      <c r="D496" s="2" t="s">
        <v>330</v>
      </c>
      <c r="E496" s="9">
        <v>225.44</v>
      </c>
      <c r="F496" s="9">
        <v>0</v>
      </c>
    </row>
    <row r="497" spans="1:6" x14ac:dyDescent="0.2">
      <c r="A497" s="2" t="s">
        <v>176</v>
      </c>
      <c r="B497" s="2" t="s">
        <v>312</v>
      </c>
      <c r="C497" s="2" t="s">
        <v>11</v>
      </c>
      <c r="D497" s="2" t="s">
        <v>313</v>
      </c>
      <c r="E497" s="9">
        <v>1.92</v>
      </c>
      <c r="F497" s="9">
        <v>0</v>
      </c>
    </row>
    <row r="498" spans="1:6" x14ac:dyDescent="0.2">
      <c r="A498" s="2" t="s">
        <v>176</v>
      </c>
      <c r="B498" s="2" t="s">
        <v>312</v>
      </c>
      <c r="C498" s="2" t="s">
        <v>11</v>
      </c>
      <c r="D498" s="2" t="s">
        <v>313</v>
      </c>
      <c r="E498" s="9">
        <v>5.61</v>
      </c>
      <c r="F498" s="9">
        <v>0</v>
      </c>
    </row>
    <row r="499" spans="1:6" x14ac:dyDescent="0.2">
      <c r="A499" s="2" t="s">
        <v>176</v>
      </c>
      <c r="B499" s="2" t="s">
        <v>312</v>
      </c>
      <c r="C499" s="2" t="s">
        <v>11</v>
      </c>
      <c r="D499" s="2" t="s">
        <v>313</v>
      </c>
      <c r="E499" s="9">
        <v>3.36</v>
      </c>
      <c r="F499" s="9">
        <v>0</v>
      </c>
    </row>
    <row r="500" spans="1:6" x14ac:dyDescent="0.2">
      <c r="A500" s="2" t="s">
        <v>176</v>
      </c>
      <c r="B500" s="2" t="s">
        <v>312</v>
      </c>
      <c r="C500" s="2" t="s">
        <v>11</v>
      </c>
      <c r="D500" s="2" t="s">
        <v>313</v>
      </c>
      <c r="E500" s="9">
        <v>1.85</v>
      </c>
      <c r="F500" s="9">
        <v>0</v>
      </c>
    </row>
    <row r="501" spans="1:6" x14ac:dyDescent="0.2">
      <c r="A501" s="2" t="s">
        <v>188</v>
      </c>
      <c r="B501" s="2" t="s">
        <v>337</v>
      </c>
      <c r="C501" s="2" t="s">
        <v>11</v>
      </c>
      <c r="D501" s="2" t="s">
        <v>338</v>
      </c>
      <c r="E501" s="9">
        <v>22681.02</v>
      </c>
      <c r="F501" s="9">
        <v>0</v>
      </c>
    </row>
    <row r="502" spans="1:6" x14ac:dyDescent="0.2">
      <c r="A502" s="2" t="s">
        <v>188</v>
      </c>
      <c r="B502" s="2" t="s">
        <v>272</v>
      </c>
      <c r="C502" s="2" t="s">
        <v>11</v>
      </c>
      <c r="D502" s="2" t="s">
        <v>330</v>
      </c>
      <c r="E502" s="9">
        <v>182.2</v>
      </c>
      <c r="F502" s="9">
        <v>0</v>
      </c>
    </row>
    <row r="503" spans="1:6" x14ac:dyDescent="0.2">
      <c r="A503" s="2" t="s">
        <v>188</v>
      </c>
      <c r="B503" s="2" t="s">
        <v>312</v>
      </c>
      <c r="C503" s="2" t="s">
        <v>11</v>
      </c>
      <c r="D503" s="2" t="s">
        <v>313</v>
      </c>
      <c r="E503" s="9">
        <v>5.52</v>
      </c>
      <c r="F503" s="9">
        <v>0</v>
      </c>
    </row>
    <row r="504" spans="1:6" x14ac:dyDescent="0.2">
      <c r="A504" s="2" t="s">
        <v>188</v>
      </c>
      <c r="B504" s="2" t="s">
        <v>312</v>
      </c>
      <c r="C504" s="2" t="s">
        <v>11</v>
      </c>
      <c r="D504" s="2" t="s">
        <v>313</v>
      </c>
      <c r="E504" s="9">
        <v>2.13</v>
      </c>
      <c r="F504" s="9">
        <v>0</v>
      </c>
    </row>
    <row r="505" spans="1:6" x14ac:dyDescent="0.2">
      <c r="A505" s="2" t="s">
        <v>188</v>
      </c>
      <c r="B505" s="2" t="s">
        <v>312</v>
      </c>
      <c r="C505" s="2" t="s">
        <v>11</v>
      </c>
      <c r="D505" s="2" t="s">
        <v>313</v>
      </c>
      <c r="E505" s="9">
        <v>6.13</v>
      </c>
      <c r="F505" s="9">
        <v>0</v>
      </c>
    </row>
    <row r="506" spans="1:6" x14ac:dyDescent="0.2">
      <c r="A506" s="2" t="s">
        <v>188</v>
      </c>
      <c r="B506" s="2" t="s">
        <v>312</v>
      </c>
      <c r="C506" s="2" t="s">
        <v>11</v>
      </c>
      <c r="D506" s="2" t="s">
        <v>313</v>
      </c>
      <c r="E506" s="9">
        <v>1.81</v>
      </c>
      <c r="F506" s="9">
        <v>0</v>
      </c>
    </row>
    <row r="507" spans="1:6" x14ac:dyDescent="0.2">
      <c r="A507" s="2" t="s">
        <v>188</v>
      </c>
      <c r="B507" s="2" t="s">
        <v>312</v>
      </c>
      <c r="C507" s="2" t="s">
        <v>11</v>
      </c>
      <c r="D507" s="2" t="s">
        <v>313</v>
      </c>
      <c r="E507" s="9">
        <v>4.37</v>
      </c>
      <c r="F507" s="9">
        <v>0</v>
      </c>
    </row>
    <row r="508" spans="1:6" x14ac:dyDescent="0.2">
      <c r="A508" s="2" t="s">
        <v>188</v>
      </c>
      <c r="B508" s="2" t="s">
        <v>312</v>
      </c>
      <c r="C508" s="2" t="s">
        <v>11</v>
      </c>
      <c r="D508" s="2" t="s">
        <v>313</v>
      </c>
      <c r="E508" s="9">
        <v>1.33</v>
      </c>
      <c r="F508" s="9">
        <v>0</v>
      </c>
    </row>
    <row r="509" spans="1:6" x14ac:dyDescent="0.2">
      <c r="A509" s="2" t="s">
        <v>188</v>
      </c>
      <c r="B509" s="2" t="s">
        <v>312</v>
      </c>
      <c r="C509" s="2" t="s">
        <v>11</v>
      </c>
      <c r="D509" s="2" t="s">
        <v>313</v>
      </c>
      <c r="E509" s="9">
        <v>2.13</v>
      </c>
      <c r="F509" s="9">
        <v>0</v>
      </c>
    </row>
    <row r="510" spans="1:6" x14ac:dyDescent="0.2">
      <c r="A510" s="2" t="s">
        <v>197</v>
      </c>
      <c r="B510" s="2" t="s">
        <v>312</v>
      </c>
      <c r="C510" s="2" t="s">
        <v>11</v>
      </c>
      <c r="D510" s="2" t="s">
        <v>313</v>
      </c>
      <c r="E510" s="9">
        <v>3.49</v>
      </c>
      <c r="F510" s="9">
        <v>0</v>
      </c>
    </row>
    <row r="511" spans="1:6" x14ac:dyDescent="0.2">
      <c r="A511" s="2" t="s">
        <v>197</v>
      </c>
      <c r="B511" s="2" t="s">
        <v>312</v>
      </c>
      <c r="C511" s="2" t="s">
        <v>11</v>
      </c>
      <c r="D511" s="2" t="s">
        <v>313</v>
      </c>
      <c r="E511" s="9">
        <v>1.27</v>
      </c>
      <c r="F511" s="9">
        <v>0</v>
      </c>
    </row>
    <row r="512" spans="1:6" x14ac:dyDescent="0.2">
      <c r="A512" s="2" t="s">
        <v>197</v>
      </c>
      <c r="B512" s="2" t="s">
        <v>312</v>
      </c>
      <c r="C512" s="2" t="s">
        <v>11</v>
      </c>
      <c r="D512" s="2" t="s">
        <v>313</v>
      </c>
      <c r="E512" s="9">
        <v>2.0099999999999998</v>
      </c>
      <c r="F512" s="9">
        <v>0</v>
      </c>
    </row>
    <row r="513" spans="1:6" x14ac:dyDescent="0.2">
      <c r="A513" s="2" t="s">
        <v>197</v>
      </c>
      <c r="B513" s="2" t="s">
        <v>312</v>
      </c>
      <c r="C513" s="2" t="s">
        <v>11</v>
      </c>
      <c r="D513" s="2" t="s">
        <v>313</v>
      </c>
      <c r="E513" s="9">
        <v>4.59</v>
      </c>
      <c r="F513" s="9">
        <v>0</v>
      </c>
    </row>
    <row r="514" spans="1:6" x14ac:dyDescent="0.2">
      <c r="A514" s="2" t="s">
        <v>197</v>
      </c>
      <c r="B514" s="2" t="s">
        <v>312</v>
      </c>
      <c r="C514" s="2" t="s">
        <v>11</v>
      </c>
      <c r="D514" s="2" t="s">
        <v>313</v>
      </c>
      <c r="E514" s="9">
        <v>2.36</v>
      </c>
      <c r="F514" s="9">
        <v>0</v>
      </c>
    </row>
    <row r="515" spans="1:6" x14ac:dyDescent="0.2">
      <c r="A515" s="2" t="s">
        <v>206</v>
      </c>
      <c r="B515" s="2" t="s">
        <v>312</v>
      </c>
      <c r="C515" s="2" t="s">
        <v>11</v>
      </c>
      <c r="D515" s="2" t="s">
        <v>313</v>
      </c>
      <c r="E515" s="9">
        <v>1.75</v>
      </c>
      <c r="F515" s="9">
        <v>0</v>
      </c>
    </row>
    <row r="516" spans="1:6" x14ac:dyDescent="0.2">
      <c r="A516" s="2" t="s">
        <v>206</v>
      </c>
      <c r="B516" s="2" t="s">
        <v>312</v>
      </c>
      <c r="C516" s="2" t="s">
        <v>11</v>
      </c>
      <c r="D516" s="2" t="s">
        <v>313</v>
      </c>
      <c r="E516" s="9">
        <v>1.56</v>
      </c>
      <c r="F516" s="9">
        <v>0</v>
      </c>
    </row>
    <row r="517" spans="1:6" x14ac:dyDescent="0.2">
      <c r="A517" s="2" t="s">
        <v>206</v>
      </c>
      <c r="B517" s="2" t="s">
        <v>312</v>
      </c>
      <c r="C517" s="2" t="s">
        <v>11</v>
      </c>
      <c r="D517" s="2" t="s">
        <v>313</v>
      </c>
      <c r="E517" s="9">
        <v>4.16</v>
      </c>
      <c r="F517" s="9">
        <v>0</v>
      </c>
    </row>
    <row r="518" spans="1:6" x14ac:dyDescent="0.2">
      <c r="A518" s="2" t="s">
        <v>206</v>
      </c>
      <c r="B518" s="2" t="s">
        <v>312</v>
      </c>
      <c r="C518" s="2" t="s">
        <v>11</v>
      </c>
      <c r="D518" s="2" t="s">
        <v>313</v>
      </c>
      <c r="E518" s="9">
        <v>1.57</v>
      </c>
      <c r="F518" s="9">
        <v>0</v>
      </c>
    </row>
    <row r="519" spans="1:6" x14ac:dyDescent="0.2">
      <c r="A519" s="2" t="s">
        <v>206</v>
      </c>
      <c r="B519" s="2" t="s">
        <v>262</v>
      </c>
      <c r="C519" s="2" t="s">
        <v>11</v>
      </c>
      <c r="D519" s="2" t="s">
        <v>339</v>
      </c>
      <c r="E519" s="9">
        <v>612.61</v>
      </c>
      <c r="F519" s="9">
        <v>0</v>
      </c>
    </row>
    <row r="520" spans="1:6" x14ac:dyDescent="0.2">
      <c r="A520" s="2" t="s">
        <v>212</v>
      </c>
      <c r="B520" s="2" t="s">
        <v>312</v>
      </c>
      <c r="C520" s="2" t="s">
        <v>11</v>
      </c>
      <c r="D520" s="2" t="s">
        <v>313</v>
      </c>
      <c r="E520" s="9">
        <v>1.92</v>
      </c>
      <c r="F520" s="9">
        <v>0</v>
      </c>
    </row>
    <row r="521" spans="1:6" x14ac:dyDescent="0.2">
      <c r="A521" s="2" t="s">
        <v>212</v>
      </c>
      <c r="B521" s="2" t="s">
        <v>312</v>
      </c>
      <c r="C521" s="2" t="s">
        <v>11</v>
      </c>
      <c r="D521" s="2" t="s">
        <v>313</v>
      </c>
      <c r="E521" s="9">
        <v>2.13</v>
      </c>
      <c r="F521" s="9">
        <v>0</v>
      </c>
    </row>
    <row r="522" spans="1:6" x14ac:dyDescent="0.2">
      <c r="A522" s="2" t="s">
        <v>212</v>
      </c>
      <c r="B522" s="2" t="s">
        <v>312</v>
      </c>
      <c r="C522" s="2" t="s">
        <v>11</v>
      </c>
      <c r="D522" s="2" t="s">
        <v>313</v>
      </c>
      <c r="E522" s="9">
        <v>3.72</v>
      </c>
      <c r="F522" s="9">
        <v>0</v>
      </c>
    </row>
    <row r="523" spans="1:6" x14ac:dyDescent="0.2">
      <c r="A523" s="2" t="s">
        <v>212</v>
      </c>
      <c r="B523" s="2" t="s">
        <v>262</v>
      </c>
      <c r="C523" s="2" t="s">
        <v>11</v>
      </c>
      <c r="D523" s="2" t="s">
        <v>340</v>
      </c>
      <c r="E523" s="9">
        <v>614.69000000000005</v>
      </c>
      <c r="F523" s="9">
        <v>0</v>
      </c>
    </row>
    <row r="524" spans="1:6" x14ac:dyDescent="0.2">
      <c r="A524" s="2" t="s">
        <v>212</v>
      </c>
      <c r="B524" s="2" t="s">
        <v>272</v>
      </c>
      <c r="C524" s="2" t="s">
        <v>11</v>
      </c>
      <c r="D524" s="2" t="s">
        <v>330</v>
      </c>
      <c r="E524" s="9">
        <v>183.04</v>
      </c>
      <c r="F524" s="9">
        <v>0</v>
      </c>
    </row>
    <row r="525" spans="1:6" x14ac:dyDescent="0.2">
      <c r="A525" s="2" t="s">
        <v>212</v>
      </c>
      <c r="B525" s="2" t="s">
        <v>312</v>
      </c>
      <c r="C525" s="2" t="s">
        <v>11</v>
      </c>
      <c r="D525" s="2" t="s">
        <v>313</v>
      </c>
      <c r="E525" s="9">
        <v>7.74</v>
      </c>
      <c r="F525" s="9">
        <v>0</v>
      </c>
    </row>
    <row r="526" spans="1:6" x14ac:dyDescent="0.2">
      <c r="A526" s="2" t="s">
        <v>217</v>
      </c>
      <c r="B526" s="2" t="s">
        <v>312</v>
      </c>
      <c r="C526" s="2" t="s">
        <v>11</v>
      </c>
      <c r="D526" s="2" t="s">
        <v>313</v>
      </c>
      <c r="E526" s="9">
        <v>4.12</v>
      </c>
      <c r="F526" s="9">
        <v>0</v>
      </c>
    </row>
    <row r="527" spans="1:6" x14ac:dyDescent="0.2">
      <c r="A527" s="2" t="s">
        <v>217</v>
      </c>
      <c r="B527" s="2" t="s">
        <v>312</v>
      </c>
      <c r="C527" s="2" t="s">
        <v>11</v>
      </c>
      <c r="D527" s="2" t="s">
        <v>313</v>
      </c>
      <c r="E527" s="9">
        <v>3.85</v>
      </c>
      <c r="F527" s="9">
        <v>0</v>
      </c>
    </row>
    <row r="528" spans="1:6" x14ac:dyDescent="0.2">
      <c r="A528" s="2" t="s">
        <v>217</v>
      </c>
      <c r="B528" s="2" t="s">
        <v>312</v>
      </c>
      <c r="C528" s="2" t="s">
        <v>11</v>
      </c>
      <c r="D528" s="2" t="s">
        <v>313</v>
      </c>
      <c r="E528" s="9">
        <v>4.13</v>
      </c>
      <c r="F528" s="9">
        <v>0</v>
      </c>
    </row>
    <row r="529" spans="1:6" x14ac:dyDescent="0.2">
      <c r="A529" s="2" t="s">
        <v>217</v>
      </c>
      <c r="B529" s="2" t="s">
        <v>312</v>
      </c>
      <c r="C529" s="2" t="s">
        <v>11</v>
      </c>
      <c r="D529" s="2" t="s">
        <v>313</v>
      </c>
      <c r="E529" s="9">
        <v>1.58</v>
      </c>
      <c r="F529" s="9">
        <v>0</v>
      </c>
    </row>
    <row r="530" spans="1:6" x14ac:dyDescent="0.2">
      <c r="A530" s="2" t="s">
        <v>217</v>
      </c>
      <c r="B530" s="2" t="s">
        <v>312</v>
      </c>
      <c r="C530" s="2" t="s">
        <v>11</v>
      </c>
      <c r="D530" s="2" t="s">
        <v>313</v>
      </c>
      <c r="E530" s="9">
        <v>4.2699999999999996</v>
      </c>
      <c r="F530" s="9">
        <v>0</v>
      </c>
    </row>
    <row r="531" spans="1:6" x14ac:dyDescent="0.2">
      <c r="A531" s="2" t="s">
        <v>217</v>
      </c>
      <c r="B531" s="2" t="s">
        <v>312</v>
      </c>
      <c r="C531" s="2" t="s">
        <v>11</v>
      </c>
      <c r="D531" s="2" t="s">
        <v>313</v>
      </c>
      <c r="E531" s="9">
        <v>6.39</v>
      </c>
      <c r="F531" s="9">
        <v>0</v>
      </c>
    </row>
    <row r="532" spans="1:6" x14ac:dyDescent="0.2">
      <c r="A532" s="2" t="s">
        <v>224</v>
      </c>
      <c r="B532" s="2" t="s">
        <v>312</v>
      </c>
      <c r="C532" s="2" t="s">
        <v>11</v>
      </c>
      <c r="D532" s="2" t="s">
        <v>313</v>
      </c>
      <c r="E532" s="9">
        <v>2.13</v>
      </c>
      <c r="F532" s="9">
        <v>0</v>
      </c>
    </row>
    <row r="533" spans="1:6" x14ac:dyDescent="0.2">
      <c r="A533" s="2" t="s">
        <v>224</v>
      </c>
      <c r="B533" s="2" t="s">
        <v>312</v>
      </c>
      <c r="C533" s="2" t="s">
        <v>11</v>
      </c>
      <c r="D533" s="2" t="s">
        <v>313</v>
      </c>
      <c r="E533" s="9">
        <v>2.02</v>
      </c>
      <c r="F533" s="9">
        <v>0</v>
      </c>
    </row>
    <row r="534" spans="1:6" x14ac:dyDescent="0.2">
      <c r="A534" s="2" t="s">
        <v>224</v>
      </c>
      <c r="B534" s="2" t="s">
        <v>312</v>
      </c>
      <c r="C534" s="2" t="s">
        <v>11</v>
      </c>
      <c r="D534" s="2" t="s">
        <v>313</v>
      </c>
      <c r="E534" s="9">
        <v>2.94</v>
      </c>
      <c r="F534" s="9">
        <v>0</v>
      </c>
    </row>
    <row r="535" spans="1:6" x14ac:dyDescent="0.2">
      <c r="A535" s="2" t="s">
        <v>224</v>
      </c>
      <c r="B535" s="2" t="s">
        <v>312</v>
      </c>
      <c r="C535" s="2" t="s">
        <v>11</v>
      </c>
      <c r="D535" s="2" t="s">
        <v>313</v>
      </c>
      <c r="E535" s="9">
        <v>7.49</v>
      </c>
      <c r="F535" s="9">
        <v>0</v>
      </c>
    </row>
    <row r="536" spans="1:6" x14ac:dyDescent="0.2">
      <c r="A536" s="2" t="s">
        <v>224</v>
      </c>
      <c r="B536" s="2" t="s">
        <v>312</v>
      </c>
      <c r="C536" s="2" t="s">
        <v>11</v>
      </c>
      <c r="D536" s="2" t="s">
        <v>313</v>
      </c>
      <c r="E536" s="9">
        <v>7</v>
      </c>
      <c r="F536" s="9">
        <v>0</v>
      </c>
    </row>
    <row r="537" spans="1:6" x14ac:dyDescent="0.2">
      <c r="A537" s="2" t="s">
        <v>230</v>
      </c>
      <c r="B537" s="2" t="s">
        <v>312</v>
      </c>
      <c r="C537" s="2" t="s">
        <v>11</v>
      </c>
      <c r="D537" s="2" t="s">
        <v>313</v>
      </c>
      <c r="E537" s="9">
        <v>2.27</v>
      </c>
      <c r="F537" s="9">
        <v>0</v>
      </c>
    </row>
    <row r="538" spans="1:6" x14ac:dyDescent="0.2">
      <c r="A538" s="2" t="s">
        <v>230</v>
      </c>
      <c r="B538" s="2" t="s">
        <v>341</v>
      </c>
      <c r="C538" s="2" t="s">
        <v>342</v>
      </c>
      <c r="D538" s="2" t="s">
        <v>343</v>
      </c>
      <c r="E538" s="9">
        <v>-939.9</v>
      </c>
      <c r="F538" s="9">
        <v>0</v>
      </c>
    </row>
    <row r="539" spans="1:6" x14ac:dyDescent="0.2">
      <c r="A539" s="2" t="s">
        <v>230</v>
      </c>
      <c r="B539" s="2" t="s">
        <v>279</v>
      </c>
      <c r="C539" s="2" t="s">
        <v>11</v>
      </c>
      <c r="D539" s="2" t="s">
        <v>344</v>
      </c>
      <c r="E539" s="9">
        <v>30.2</v>
      </c>
      <c r="F539" s="9">
        <v>0</v>
      </c>
    </row>
    <row r="540" spans="1:6" x14ac:dyDescent="0.2">
      <c r="A540" s="2" t="s">
        <v>230</v>
      </c>
      <c r="B540" s="2" t="s">
        <v>312</v>
      </c>
      <c r="C540" s="2" t="s">
        <v>11</v>
      </c>
      <c r="D540" s="2" t="s">
        <v>313</v>
      </c>
      <c r="E540" s="9">
        <v>4.22</v>
      </c>
      <c r="F540" s="9">
        <v>0</v>
      </c>
    </row>
    <row r="541" spans="1:6" x14ac:dyDescent="0.2">
      <c r="A541" s="2" t="s">
        <v>230</v>
      </c>
      <c r="B541" s="2" t="s">
        <v>312</v>
      </c>
      <c r="C541" s="2" t="s">
        <v>11</v>
      </c>
      <c r="D541" s="2" t="s">
        <v>313</v>
      </c>
      <c r="E541" s="9">
        <v>2.6</v>
      </c>
      <c r="F541" s="9">
        <v>0</v>
      </c>
    </row>
    <row r="542" spans="1:6" x14ac:dyDescent="0.2">
      <c r="A542" s="2" t="s">
        <v>230</v>
      </c>
      <c r="B542" s="2" t="s">
        <v>312</v>
      </c>
      <c r="C542" s="2" t="s">
        <v>11</v>
      </c>
      <c r="D542" s="2" t="s">
        <v>313</v>
      </c>
      <c r="E542" s="9">
        <v>2.0099999999999998</v>
      </c>
      <c r="F542" s="9">
        <v>0</v>
      </c>
    </row>
    <row r="543" spans="1:6" x14ac:dyDescent="0.2">
      <c r="A543" s="2" t="s">
        <v>230</v>
      </c>
      <c r="B543" s="2" t="s">
        <v>312</v>
      </c>
      <c r="C543" s="2" t="s">
        <v>11</v>
      </c>
      <c r="D543" s="2" t="s">
        <v>313</v>
      </c>
      <c r="E543" s="9">
        <v>2.4500000000000002</v>
      </c>
      <c r="F543" s="9">
        <v>0</v>
      </c>
    </row>
    <row r="544" spans="1:6" x14ac:dyDescent="0.2">
      <c r="A544" s="2" t="s">
        <v>230</v>
      </c>
      <c r="B544" s="2" t="s">
        <v>312</v>
      </c>
      <c r="C544" s="2" t="s">
        <v>11</v>
      </c>
      <c r="D544" s="2" t="s">
        <v>313</v>
      </c>
      <c r="E544" s="9">
        <v>5.09</v>
      </c>
      <c r="F544" s="9">
        <v>0</v>
      </c>
    </row>
    <row r="545" spans="1:6" x14ac:dyDescent="0.2">
      <c r="A545" s="2" t="s">
        <v>240</v>
      </c>
      <c r="B545" s="2" t="s">
        <v>312</v>
      </c>
      <c r="C545" s="2" t="s">
        <v>11</v>
      </c>
      <c r="D545" s="2" t="s">
        <v>313</v>
      </c>
      <c r="E545" s="9">
        <v>2.13</v>
      </c>
      <c r="F545" s="9">
        <v>0</v>
      </c>
    </row>
    <row r="546" spans="1:6" x14ac:dyDescent="0.2">
      <c r="A546" s="2" t="s">
        <v>240</v>
      </c>
      <c r="B546" s="2" t="s">
        <v>312</v>
      </c>
      <c r="C546" s="2" t="s">
        <v>11</v>
      </c>
      <c r="D546" s="2" t="s">
        <v>313</v>
      </c>
      <c r="E546" s="9">
        <v>2.34</v>
      </c>
      <c r="F546" s="9">
        <v>0</v>
      </c>
    </row>
    <row r="547" spans="1:6" x14ac:dyDescent="0.2">
      <c r="A547" s="2" t="s">
        <v>240</v>
      </c>
      <c r="B547" s="2" t="s">
        <v>312</v>
      </c>
      <c r="C547" s="2" t="s">
        <v>11</v>
      </c>
      <c r="D547" s="2" t="s">
        <v>313</v>
      </c>
      <c r="E547" s="9">
        <v>1.4</v>
      </c>
      <c r="F547" s="9">
        <v>0</v>
      </c>
    </row>
    <row r="548" spans="1:6" x14ac:dyDescent="0.2">
      <c r="A548" s="2" t="s">
        <v>240</v>
      </c>
      <c r="B548" s="2" t="s">
        <v>312</v>
      </c>
      <c r="C548" s="2" t="s">
        <v>11</v>
      </c>
      <c r="D548" s="2" t="s">
        <v>313</v>
      </c>
      <c r="E548" s="9">
        <v>2.2599999999999998</v>
      </c>
      <c r="F548" s="9">
        <v>0</v>
      </c>
    </row>
    <row r="549" spans="1:6" x14ac:dyDescent="0.2">
      <c r="A549" s="2" t="s">
        <v>240</v>
      </c>
      <c r="B549" s="2" t="s">
        <v>312</v>
      </c>
      <c r="C549" s="2" t="s">
        <v>11</v>
      </c>
      <c r="D549" s="2" t="s">
        <v>313</v>
      </c>
      <c r="E549" s="9">
        <v>3.15</v>
      </c>
      <c r="F549" s="9">
        <v>0</v>
      </c>
    </row>
    <row r="550" spans="1:6" x14ac:dyDescent="0.2">
      <c r="A550" s="13" t="s">
        <v>240</v>
      </c>
      <c r="B550" s="13" t="s">
        <v>345</v>
      </c>
      <c r="C550" s="13" t="s">
        <v>11</v>
      </c>
      <c r="D550" s="13" t="s">
        <v>255</v>
      </c>
      <c r="E550" s="14">
        <v>32348.1</v>
      </c>
      <c r="F550" s="14">
        <v>0</v>
      </c>
    </row>
  </sheetData>
  <mergeCells count="3">
    <mergeCell ref="A1:G1"/>
    <mergeCell ref="A2:G2"/>
    <mergeCell ref="A3: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Activity Statement</vt:lpstr>
      <vt:lpstr>Transactions by Tax Rate</vt:lpstr>
      <vt:lpstr>Transactions by BAS Field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2026-07-20T00:19:08Z</dcterms:created>
  <dcterms:modified xsi:type="dcterms:W3CDTF">2026-07-24T00:03:03Z</dcterms:modified>
  <cp:category/>
</cp:coreProperties>
</file>